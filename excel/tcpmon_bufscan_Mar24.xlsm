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DANTE\100Gig\GEANT DTN\TCP\"/>
    </mc:Choice>
  </mc:AlternateContent>
  <xr:revisionPtr revIDLastSave="0" documentId="13_ncr:1_{84E27C1B-1306-4CBF-989C-DB7F227BD620}" xr6:coauthVersionLast="47" xr6:coauthVersionMax="47" xr10:uidLastSave="{00000000-0000-0000-0000-000000000000}"/>
  <bookViews>
    <workbookView xWindow="1770" yWindow="310" windowWidth="16640" windowHeight="9560" tabRatio="594" firstSheet="2" activeTab="4" xr2:uid="{00000000-000D-0000-FFFF-FFFF00000000}"/>
  </bookViews>
  <sheets>
    <sheet name="Delay BW Product" sheetId="19" r:id="rId1"/>
    <sheet name="Histograms" sheetId="26" r:id="rId2"/>
    <sheet name="padding" sheetId="28" r:id="rId3"/>
    <sheet name="Flow Time Series" sheetId="27" r:id="rId4"/>
    <sheet name="Plots" sheetId="3" r:id="rId5"/>
    <sheet name="DTNlon-RALxrootd01_tcpmon_m_01" sheetId="2" r:id="rId6"/>
    <sheet name="DTNlon-RALxrootd01_tcpmon_m_02" sheetId="4" r:id="rId7"/>
    <sheet name="DTNlon-RALxrootd01_tcpmon_m_03" sheetId="5" r:id="rId8"/>
    <sheet name="DTNlon-RALxrootd01_tcpmon_m_04" sheetId="6" r:id="rId9"/>
    <sheet name="DTNlon-RALxrootd01_tcpmon_m_05" sheetId="7" r:id="rId10"/>
    <sheet name="DTNlon-RALxrootd01_tcpmon_m_06" sheetId="8" r:id="rId11"/>
    <sheet name="DTNlon-RALxrootd01_tcpmon_m_07" sheetId="9" r:id="rId12"/>
    <sheet name="DTNlon-RALxrootd01_tcpmon_m_08" sheetId="10" r:id="rId13"/>
    <sheet name="DTNlon-RALxrootd01_tcpmon_m_09" sheetId="11" r:id="rId14"/>
    <sheet name="DTNlon-RALxrootd01_tcpmon_m_10" sheetId="12" r:id="rId15"/>
    <sheet name="DTNlon-RALxrootd01_tcpmon_m_11" sheetId="13" r:id="rId16"/>
    <sheet name="DTNlon-RALxrootd01_tcpmon_m_12" sheetId="14" r:id="rId17"/>
    <sheet name="DTNlon-RALxrootd01_tcpmon_m_13" sheetId="15" r:id="rId18"/>
    <sheet name="DTNlon-RALxrootd01_tcpmon_m_14" sheetId="16" r:id="rId19"/>
    <sheet name="DTNlon-RALxrootd01_tcpmon_m_15" sheetId="17" r:id="rId20"/>
    <sheet name="DTNlon-RALxrootd01_tcpmon_m_16" sheetId="18" r:id="rId21"/>
    <sheet name="DTNlon-RALxrootd01_tcpmon_m_17" sheetId="20" r:id="rId22"/>
    <sheet name="DTNlon-RALxrootd01_tcpmon_m_18" sheetId="21" r:id="rId23"/>
    <sheet name="DTNlon-RALxrootd01_tcpmon_m_19" sheetId="22" r:id="rId24"/>
    <sheet name="BW vs time in flow" sheetId="1" r:id="rId25"/>
  </sheets>
  <definedNames>
    <definedName name="_xlnm._FilterDatabase" localSheetId="13" hidden="1">'DTNlon-RALxrootd01_tcpmon_m_09'!$A$317:$K$2337</definedName>
    <definedName name="chunkNum">INDIRECT(Plots!$C$37)</definedName>
    <definedName name="Flow_end">Plots!$F$3</definedName>
    <definedName name="Flow_start">Plots!$F$2</definedName>
    <definedName name="Histo_1_bin0">Plots!$K$2</definedName>
    <definedName name="Histo_1_lastbin">Plots!$K$3</definedName>
    <definedName name="Histo_2_bin0">Plots!$K$4</definedName>
    <definedName name="Histo_2_lastbin">Plots!$K$5</definedName>
    <definedName name="Histo1_bins">INDIRECT(Plots!$C$38)</definedName>
    <definedName name="Histo2_bins">INDIRECT(Plots!$C$39)</definedName>
    <definedName name="InfoStore_fromRow">Plots!$F$6</definedName>
    <definedName name="InfoStore_toRow">Plots!$F$7</definedName>
    <definedName name="Tab05_hist_getTime">INDIRECT(Plots!$C$54)</definedName>
    <definedName name="Tab05_hist_putTime">INDIRECT(Plots!$C$55)</definedName>
    <definedName name="Tab06_hist_getTime">INDIRECT(Plots!$C$70)</definedName>
    <definedName name="Tab06_hist_putTime">INDIRECT(Plots!$C$71)</definedName>
    <definedName name="Tab07_hist_getTime">INDIRECT(Plots!$C$86)</definedName>
    <definedName name="Tab07_hist_putTime">INDIRECT(Plots!$C$87)</definedName>
    <definedName name="Tab08_elapsed">INDIRECT(Plots!$C$94)</definedName>
    <definedName name="Tab08_getTime">INDIRECT(Plots!$C$90)</definedName>
    <definedName name="Tab08_hist_getTime">INDIRECT(Plots!$C$102)</definedName>
    <definedName name="Tab08_hist_putTime">INDIRECT(Plots!$C$103)</definedName>
    <definedName name="Tab08_num_bytes">INDIRECT(Plots!$C$92)</definedName>
    <definedName name="Tab08_putTime">INDIRECT(Plots!$C$91)</definedName>
    <definedName name="Tab08_recv_bufSize">INDIRECT(Plots!$C$95)</definedName>
    <definedName name="Tab08_rtt">INDIRECT(Plots!$C$99)</definedName>
    <definedName name="Tab08_rttvar">INDIRECT(Plots!$C$100)</definedName>
    <definedName name="Tab08_send_bufSize">INDIRECT(Plots!$C$96)</definedName>
    <definedName name="Tab08_snd_cwnd_octets">INDIRECT(Plots!$C$98)</definedName>
    <definedName name="Tab08_snd_ssthresh">INDIRECT(Plots!$C$97)</definedName>
    <definedName name="Tab08_total_retrans">INDIRECT(Plots!$C$101)</definedName>
    <definedName name="Tab09_elapsed">INDIRECT(Plots!$C$113)</definedName>
    <definedName name="Tab09_getTime">INDIRECT(Plots!$C$109)</definedName>
    <definedName name="Tab09_hist_getTime">INDIRECT(Plots!$C$121)</definedName>
    <definedName name="Tab09_hist_putTime">INDIRECT(Plots!$C$122)</definedName>
    <definedName name="Tab09_num_bytes">INDIRECT(Plots!$C$111)</definedName>
    <definedName name="Tab09_putTime">INDIRECT(Plots!$C$110)</definedName>
    <definedName name="Tab09_rcv_space">INDIRECT(Plots!$C$118)</definedName>
    <definedName name="Tab09_recv_bufSize">INDIRECT(Plots!$C$114)</definedName>
    <definedName name="Tab09_rtt">INDIRECT(Plots!$C$118)</definedName>
    <definedName name="Tab09_rttvar">INDIRECT(Plots!$C$119)</definedName>
    <definedName name="Tab09_send_bufSize">INDIRECT(Plots!$C$115)</definedName>
    <definedName name="Tab09_snd_cwnd_octets">INDIRECT(Plots!$C$117)</definedName>
    <definedName name="Tab09_snd_ssthresh">INDIRECT(Plots!$C$116)</definedName>
    <definedName name="Tab09_total_retrans">INDIRECT(Plots!$C$120)</definedName>
    <definedName name="Tab10_elapsed">INDIRECT(Plots!$C$133)</definedName>
    <definedName name="tab10_flow_cwnd">INDIRECT(Plots!$C$146)</definedName>
    <definedName name="Tab10_flow_rate">INDIRECT(Plots!$C$144)</definedName>
    <definedName name="Tab10_flow_retrans">INDIRECT(Plots!$C$145)</definedName>
    <definedName name="Tab10_flow_time">INDIRECT(Plots!$C$143)</definedName>
    <definedName name="Tab10_getTime">INDIRECT(Plots!$C$129)</definedName>
    <definedName name="Tab10_hist_getTime">INDIRECT(Plots!$C$141)</definedName>
    <definedName name="Tab10_hist_putTime">INDIRECT(Plots!$C$142)</definedName>
    <definedName name="Tab10_num_bytes">INDIRECT(Plots!$C$131)</definedName>
    <definedName name="Tab10_putTime">INDIRECT(Plots!$C$130)</definedName>
    <definedName name="Tab10_recv_bufSize">INDIRECT(Plots!$C$134)</definedName>
    <definedName name="Tab10_rtt">INDIRECT(Plots!$C$138)</definedName>
    <definedName name="Tab10_rttvar">INDIRECT(Plots!$C$139)</definedName>
    <definedName name="Tab10_send_bufSize">INDIRECT(Plots!$C$135)</definedName>
    <definedName name="Tab10_snd_cwnd_octets">INDIRECT(Plots!$C$137)</definedName>
    <definedName name="Tab10_snd_ssthresh">INDIRECT(Plots!$C$136)</definedName>
    <definedName name="Tab10_total_retrans">INDIRECT(Plots!$C$140)</definedName>
    <definedName name="Tab11_elapsed">INDIRECT(Plots!$C$153)</definedName>
    <definedName name="Tab11_flow_cwnd">INDIRECT(Plots!$C$166)</definedName>
    <definedName name="Tab11_flow_rate">INDIRECT(Plots!$C$164)</definedName>
    <definedName name="Tab11_flow_retrans">INDIRECT(Plots!$C$165)</definedName>
    <definedName name="Tab11_flow_time">INDIRECT(Plots!$C$163)</definedName>
    <definedName name="Tab11_getTime">INDIRECT(Plots!$C$149)</definedName>
    <definedName name="Tab11_hist_getTime">INDIRECT(Plots!$C$161)</definedName>
    <definedName name="Tab11_hist_putTime">INDIRECT(Plots!$C$162)</definedName>
    <definedName name="Tab11_num_bytes">INDIRECT(Plots!$C$151)</definedName>
    <definedName name="Tab11_putTime">INDIRECT(Plots!$C$150)</definedName>
    <definedName name="Tab11_rcv_space">INDIRECT(Plots!$C$158)</definedName>
    <definedName name="Tab11_recv_bufSize">INDIRECT(Plots!$C$154)</definedName>
    <definedName name="Tab11_rtt">INDIRECT(Plots!$C$158)</definedName>
    <definedName name="Tab11_rttvar">INDIRECT(Plots!$C$159)</definedName>
    <definedName name="Tab11_send_bufSize">INDIRECT(Plots!$C$155)</definedName>
    <definedName name="Tab11_snd_cwnd_octets">INDIRECT(Plots!$C$157)</definedName>
    <definedName name="Tab11_snd_ssthresh">INDIRECT(Plots!$C$156)</definedName>
    <definedName name="Tab11_total_retrans">INDIRECT(Plots!$C$160)</definedName>
    <definedName name="Tab12_elapsed">INDIRECT(Plots!$C$173)</definedName>
    <definedName name="Tab12_flow_cwnd">INDIRECT(Plots!$C$186)</definedName>
    <definedName name="Tab12_flow_rate">INDIRECT(Plots!$C$184)</definedName>
    <definedName name="Tab12_flow_retrans">INDIRECT(Plots!$C$185)</definedName>
    <definedName name="Tab12_flow_time">INDIRECT(Plots!$C$183)</definedName>
    <definedName name="Tab12_getTime">INDIRECT(Plots!$C$169)</definedName>
    <definedName name="Tab12_hist_getTime">INDIRECT(Plots!$C$181)</definedName>
    <definedName name="Tab12_hist_putTime">INDIRECT(Plots!$C$182)</definedName>
    <definedName name="Tab12_num_bytes">INDIRECT(Plots!$C$171)</definedName>
    <definedName name="Tab12_putTime">INDIRECT(Plots!$C$170)</definedName>
    <definedName name="Tab12_rcv_space">INDIRECT(Plots!$C$178)</definedName>
    <definedName name="Tab12_recv_bufSize">INDIRECT(Plots!$C$174)</definedName>
    <definedName name="Tab12_rtt">INDIRECT(Plots!$C$178)</definedName>
    <definedName name="Tab12_rttvar">INDIRECT(Plots!$C$179)</definedName>
    <definedName name="Tab12_send_bufSize">INDIRECT(Plots!$C$175)</definedName>
    <definedName name="Tab12_snd_cwnd_octets">INDIRECT(Plots!$C$177)</definedName>
    <definedName name="Tab12_snd_ssthresh">INDIRECT(Plots!$C$176)</definedName>
    <definedName name="Tab12_total_retrans">INDIRECT(Plots!$C$180)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6" i="3" l="1"/>
  <c r="C145" i="3"/>
  <c r="C26" i="3"/>
  <c r="C14" i="3"/>
  <c r="C17" i="3"/>
  <c r="M8" i="3" a="1"/>
  <c r="C30" i="3"/>
  <c r="C16" i="3"/>
  <c r="C31" i="3"/>
  <c r="M7" i="3" a="1"/>
  <c r="C21" i="3"/>
  <c r="C22" i="3"/>
  <c r="C19" i="3"/>
  <c r="C24" i="3"/>
  <c r="C15" i="3"/>
  <c r="C29" i="3"/>
  <c r="C27" i="3"/>
  <c r="M6" i="3" a="1"/>
  <c r="C20" i="3"/>
  <c r="C18" i="3"/>
  <c r="C25" i="3"/>
  <c r="C23" i="3"/>
  <c r="C28" i="3"/>
  <c r="M6" i="3" l="1"/>
  <c r="M8" i="3"/>
  <c r="M7" i="3"/>
  <c r="D26" i="3"/>
  <c r="L3" i="27" s="1"/>
  <c r="D24" i="3"/>
  <c r="D19" i="3"/>
  <c r="D18" i="3"/>
  <c r="D25" i="3"/>
  <c r="L2" i="27" s="1"/>
  <c r="D23" i="3"/>
  <c r="B3" i="27" s="1"/>
  <c r="D22" i="3"/>
  <c r="B2" i="27" s="1"/>
  <c r="D21" i="3"/>
  <c r="B1" i="27" s="1"/>
  <c r="D20" i="3"/>
  <c r="D31" i="3"/>
  <c r="D30" i="3"/>
  <c r="D29" i="3"/>
  <c r="D17" i="3"/>
  <c r="D28" i="3"/>
  <c r="D16" i="3"/>
  <c r="D27" i="3"/>
  <c r="D15" i="3"/>
  <c r="D14" i="3"/>
  <c r="W1" i="27" s="1"/>
  <c r="C166" i="3"/>
  <c r="C186" i="3"/>
  <c r="C185" i="3"/>
  <c r="C106" i="3"/>
  <c r="C105" i="3"/>
  <c r="C104" i="3"/>
  <c r="C144" i="3"/>
  <c r="C143" i="3"/>
  <c r="C165" i="3"/>
  <c r="C164" i="3"/>
  <c r="C163" i="3"/>
  <c r="C184" i="3"/>
  <c r="C183" i="3"/>
  <c r="C125" i="3"/>
  <c r="C124" i="3"/>
  <c r="C123" i="3"/>
  <c r="C122" i="3"/>
  <c r="C2" i="26"/>
  <c r="G18" i="3"/>
  <c r="E21" i="3"/>
  <c r="I19" i="3"/>
  <c r="E17" i="3"/>
  <c r="E14" i="3"/>
  <c r="G25" i="3"/>
  <c r="F31" i="3"/>
  <c r="I21" i="3"/>
  <c r="G29" i="3"/>
  <c r="K29" i="3"/>
  <c r="J16" i="3"/>
  <c r="E26" i="3"/>
  <c r="G28" i="3"/>
  <c r="F21" i="3"/>
  <c r="G21" i="3"/>
  <c r="I24" i="3"/>
  <c r="G17" i="3"/>
  <c r="K15" i="3"/>
  <c r="O15" i="3"/>
  <c r="K14" i="3"/>
  <c r="P17" i="3"/>
  <c r="K28" i="3"/>
  <c r="I23" i="3"/>
  <c r="F27" i="3"/>
  <c r="O29" i="3"/>
  <c r="K22" i="3"/>
  <c r="F23" i="3"/>
  <c r="E31" i="3"/>
  <c r="J21" i="3"/>
  <c r="J24" i="3"/>
  <c r="H14" i="3"/>
  <c r="J25" i="3"/>
  <c r="J20" i="3"/>
  <c r="I31" i="3"/>
  <c r="K19" i="3"/>
  <c r="K18" i="3"/>
  <c r="E27" i="3"/>
  <c r="G24" i="3"/>
  <c r="O17" i="3"/>
  <c r="J22" i="3"/>
  <c r="P30" i="3"/>
  <c r="F16" i="3"/>
  <c r="O26" i="3"/>
  <c r="J31" i="3"/>
  <c r="F14" i="3"/>
  <c r="P16" i="3"/>
  <c r="J30" i="3"/>
  <c r="G16" i="3"/>
  <c r="I15" i="3"/>
  <c r="K25" i="3"/>
  <c r="F25" i="3"/>
  <c r="F32" i="3"/>
  <c r="F19" i="3"/>
  <c r="F17" i="3"/>
  <c r="F15" i="3"/>
  <c r="O14" i="3"/>
  <c r="F29" i="3"/>
  <c r="P21" i="3"/>
  <c r="I30" i="3"/>
  <c r="P22" i="3"/>
  <c r="F26" i="3"/>
  <c r="J27" i="3"/>
  <c r="G22" i="3"/>
  <c r="G14" i="3"/>
  <c r="K31" i="3"/>
  <c r="I14" i="3"/>
  <c r="O28" i="3"/>
  <c r="E16" i="3"/>
  <c r="I20" i="3"/>
  <c r="K24" i="3"/>
  <c r="E15" i="3"/>
  <c r="F28" i="3"/>
  <c r="G31" i="3"/>
  <c r="K23" i="3"/>
  <c r="G27" i="3"/>
  <c r="G30" i="3"/>
  <c r="O20" i="3"/>
  <c r="E25" i="3"/>
  <c r="P29" i="3"/>
  <c r="J19" i="3"/>
  <c r="J15" i="3"/>
  <c r="E18" i="3"/>
  <c r="I28" i="3"/>
  <c r="I32" i="3"/>
  <c r="F20" i="3"/>
  <c r="J29" i="3"/>
  <c r="K32" i="3"/>
  <c r="F24" i="3"/>
  <c r="I25" i="3"/>
  <c r="E30" i="3"/>
  <c r="P15" i="3"/>
  <c r="E23" i="3"/>
  <c r="O18" i="3"/>
  <c r="G20" i="3"/>
  <c r="I29" i="3"/>
  <c r="J23" i="3"/>
  <c r="I16" i="3"/>
  <c r="O31" i="3"/>
  <c r="E22" i="3"/>
  <c r="F22" i="3"/>
  <c r="K27" i="3"/>
  <c r="E32" i="3"/>
  <c r="I17" i="3"/>
  <c r="J26" i="3"/>
  <c r="K17" i="3"/>
  <c r="G26" i="3"/>
  <c r="K30" i="3"/>
  <c r="P26" i="3"/>
  <c r="E28" i="3"/>
  <c r="O30" i="3"/>
  <c r="G23" i="3"/>
  <c r="I27" i="3"/>
  <c r="J18" i="3"/>
  <c r="E29" i="3"/>
  <c r="K26" i="3"/>
  <c r="J17" i="3"/>
  <c r="I26" i="3"/>
  <c r="O27" i="3"/>
  <c r="F18" i="3"/>
  <c r="I18" i="3"/>
  <c r="E20" i="3"/>
  <c r="K20" i="3"/>
  <c r="F30" i="3"/>
  <c r="J14" i="3"/>
  <c r="E19" i="3"/>
  <c r="G19" i="3"/>
  <c r="I22" i="3"/>
  <c r="J28" i="3"/>
  <c r="K16" i="3"/>
  <c r="K21" i="3"/>
  <c r="E24" i="3"/>
  <c r="G15" i="3"/>
  <c r="Q30" i="3" l="1"/>
  <c r="Q15" i="3"/>
  <c r="Q29" i="3"/>
  <c r="Q26" i="3"/>
  <c r="Q17" i="3"/>
  <c r="L1" i="27"/>
  <c r="M14" i="3"/>
  <c r="L14" i="3"/>
  <c r="C180" i="3"/>
  <c r="C179" i="3"/>
  <c r="C160" i="3"/>
  <c r="C159" i="3"/>
  <c r="C140" i="3"/>
  <c r="C139" i="3"/>
  <c r="C119" i="3"/>
  <c r="C120" i="3"/>
  <c r="C101" i="3"/>
  <c r="C100" i="3"/>
  <c r="C99" i="3"/>
  <c r="O21" i="3"/>
  <c r="P20" i="3"/>
  <c r="O19" i="3"/>
  <c r="P27" i="3"/>
  <c r="O22" i="3"/>
  <c r="P14" i="3"/>
  <c r="N14" i="3"/>
  <c r="P25" i="3"/>
  <c r="P19" i="3"/>
  <c r="P18" i="3"/>
  <c r="O23" i="3"/>
  <c r="P31" i="3"/>
  <c r="O24" i="3"/>
  <c r="P24" i="3"/>
  <c r="O16" i="3"/>
  <c r="O25" i="3"/>
  <c r="P23" i="3"/>
  <c r="P28" i="3"/>
  <c r="Q25" i="3" l="1"/>
  <c r="Q28" i="3"/>
  <c r="Q27" i="3"/>
  <c r="Q31" i="3"/>
  <c r="Q20" i="3"/>
  <c r="Q14" i="3"/>
  <c r="Q18" i="3"/>
  <c r="Q16" i="3"/>
  <c r="Q19" i="3"/>
  <c r="Q22" i="3"/>
  <c r="Q24" i="3"/>
  <c r="Q23" i="3"/>
  <c r="Q21" i="3"/>
  <c r="N1" i="26"/>
  <c r="C1" i="26"/>
  <c r="C39" i="3"/>
  <c r="C38" i="3"/>
  <c r="C37" i="3"/>
  <c r="C182" i="3"/>
  <c r="C181" i="3"/>
  <c r="C162" i="3"/>
  <c r="C161" i="3"/>
  <c r="C142" i="3"/>
  <c r="C141" i="3"/>
  <c r="C121" i="3"/>
  <c r="C103" i="3"/>
  <c r="C102" i="3"/>
  <c r="C87" i="3"/>
  <c r="C86" i="3"/>
  <c r="C71" i="3"/>
  <c r="C70" i="3"/>
  <c r="C55" i="3"/>
  <c r="C54" i="3"/>
  <c r="C42" i="3"/>
  <c r="C75" i="3"/>
  <c r="C59" i="3"/>
  <c r="C43" i="3"/>
  <c r="C58" i="3"/>
  <c r="C74" i="3"/>
  <c r="C90" i="3"/>
  <c r="N17" i="3"/>
  <c r="N25" i="3"/>
  <c r="N23" i="3"/>
  <c r="N24" i="3"/>
  <c r="N27" i="3"/>
  <c r="N20" i="3"/>
  <c r="N30" i="3"/>
  <c r="N29" i="3"/>
  <c r="N26" i="3"/>
  <c r="N16" i="3"/>
  <c r="N22" i="3"/>
  <c r="N31" i="3"/>
  <c r="N19" i="3"/>
  <c r="N28" i="3"/>
  <c r="N21" i="3"/>
  <c r="N18" i="3"/>
  <c r="N15" i="3"/>
  <c r="C178" i="3" l="1"/>
  <c r="C158" i="3"/>
  <c r="C138" i="3"/>
  <c r="C118" i="3"/>
  <c r="G7" i="19" l="1"/>
  <c r="G8" i="19" s="1"/>
  <c r="C7" i="19"/>
  <c r="C8" i="19" s="1"/>
  <c r="C177" i="3" l="1"/>
  <c r="C176" i="3"/>
  <c r="C175" i="3"/>
  <c r="C174" i="3"/>
  <c r="C173" i="3"/>
  <c r="C172" i="3"/>
  <c r="C171" i="3"/>
  <c r="C170" i="3"/>
  <c r="C169" i="3"/>
  <c r="C157" i="3"/>
  <c r="C156" i="3"/>
  <c r="C155" i="3"/>
  <c r="C154" i="3"/>
  <c r="C153" i="3"/>
  <c r="C152" i="3"/>
  <c r="C151" i="3"/>
  <c r="C150" i="3"/>
  <c r="C149" i="3"/>
  <c r="C137" i="3"/>
  <c r="C136" i="3"/>
  <c r="C135" i="3"/>
  <c r="C134" i="3"/>
  <c r="C133" i="3"/>
  <c r="C132" i="3"/>
  <c r="C131" i="3"/>
  <c r="C130" i="3"/>
  <c r="C129" i="3"/>
  <c r="C117" i="3"/>
  <c r="C116" i="3"/>
  <c r="C115" i="3"/>
  <c r="C114" i="3"/>
  <c r="C113" i="3"/>
  <c r="C112" i="3"/>
  <c r="C111" i="3"/>
  <c r="C110" i="3"/>
  <c r="C109" i="3"/>
  <c r="C98" i="3"/>
  <c r="C97" i="3"/>
  <c r="C96" i="3"/>
  <c r="C95" i="3"/>
  <c r="C94" i="3"/>
  <c r="C93" i="3"/>
  <c r="C92" i="3"/>
  <c r="C91" i="3"/>
  <c r="A1" i="1" l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D19" i="1" l="1"/>
  <c r="H27" i="3"/>
  <c r="M50" i="1"/>
  <c r="M49" i="1"/>
  <c r="U41" i="1"/>
  <c r="O22" i="1"/>
  <c r="D43" i="1"/>
  <c r="R23" i="1"/>
  <c r="R28" i="1"/>
  <c r="R25" i="1"/>
  <c r="Q24" i="1"/>
  <c r="I49" i="1"/>
  <c r="T30" i="1"/>
  <c r="O26" i="1"/>
  <c r="L29" i="1"/>
  <c r="T23" i="1"/>
  <c r="D45" i="1"/>
  <c r="D47" i="1"/>
  <c r="N45" i="1"/>
  <c r="N41" i="1"/>
  <c r="N28" i="1"/>
  <c r="K22" i="1"/>
  <c r="Q30" i="1"/>
  <c r="S41" i="1"/>
  <c r="R46" i="1"/>
  <c r="F28" i="1"/>
  <c r="F47" i="1"/>
  <c r="Q44" i="1"/>
  <c r="D25" i="1"/>
  <c r="R48" i="1"/>
  <c r="B28" i="1"/>
  <c r="H29" i="3"/>
  <c r="H21" i="3"/>
  <c r="H19" i="3"/>
  <c r="L39" i="1"/>
  <c r="T21" i="1"/>
  <c r="L43" i="1"/>
  <c r="L44" i="1"/>
  <c r="L46" i="1"/>
  <c r="R29" i="1"/>
  <c r="T39" i="1"/>
  <c r="Q41" i="1"/>
  <c r="M39" i="1"/>
  <c r="Q27" i="1"/>
  <c r="P29" i="1"/>
  <c r="D32" i="1"/>
  <c r="U47" i="1"/>
  <c r="T45" i="1"/>
  <c r="L47" i="1"/>
  <c r="T27" i="1"/>
  <c r="U45" i="1"/>
  <c r="L22" i="1"/>
  <c r="L31" i="1"/>
  <c r="Q39" i="1"/>
  <c r="I26" i="1"/>
  <c r="H26" i="3"/>
  <c r="M29" i="1"/>
  <c r="D27" i="1"/>
  <c r="O44" i="1"/>
  <c r="P43" i="1"/>
  <c r="D26" i="1"/>
  <c r="K30" i="1"/>
  <c r="I27" i="1"/>
  <c r="M44" i="1"/>
  <c r="I45" i="1"/>
  <c r="O39" i="1"/>
  <c r="D24" i="1"/>
  <c r="N39" i="1"/>
  <c r="F22" i="1"/>
  <c r="R24" i="1"/>
  <c r="R32" i="1"/>
  <c r="S46" i="1"/>
  <c r="N48" i="1"/>
  <c r="R26" i="1"/>
  <c r="R44" i="1"/>
  <c r="L42" i="1"/>
  <c r="H24" i="3"/>
  <c r="P47" i="1"/>
  <c r="R21" i="1"/>
  <c r="N24" i="1"/>
  <c r="U39" i="1"/>
  <c r="Q48" i="1"/>
  <c r="K39" i="1"/>
  <c r="K44" i="1"/>
  <c r="K48" i="1"/>
  <c r="M31" i="1"/>
  <c r="N26" i="1"/>
  <c r="O41" i="1"/>
  <c r="I48" i="1"/>
  <c r="K50" i="1"/>
  <c r="P31" i="1"/>
  <c r="K31" i="1"/>
  <c r="T29" i="1"/>
  <c r="U49" i="1"/>
  <c r="M32" i="1"/>
  <c r="N40" i="1"/>
  <c r="B27" i="1"/>
  <c r="I28" i="1"/>
  <c r="U23" i="1"/>
  <c r="P45" i="1"/>
  <c r="U25" i="1"/>
  <c r="R43" i="1"/>
  <c r="K41" i="1"/>
  <c r="S31" i="1"/>
  <c r="T47" i="1"/>
  <c r="O49" i="1"/>
  <c r="R31" i="1"/>
  <c r="S24" i="1"/>
  <c r="K47" i="1"/>
  <c r="N23" i="1"/>
  <c r="D29" i="1"/>
  <c r="M28" i="1"/>
  <c r="D28" i="1"/>
  <c r="P50" i="1"/>
  <c r="D39" i="1"/>
  <c r="M27" i="1"/>
  <c r="U44" i="1"/>
  <c r="U48" i="1"/>
  <c r="R41" i="1"/>
  <c r="L41" i="1"/>
  <c r="R40" i="1"/>
  <c r="P40" i="1"/>
  <c r="F32" i="1"/>
  <c r="N29" i="1"/>
  <c r="I40" i="1"/>
  <c r="N25" i="1"/>
  <c r="K40" i="1"/>
  <c r="H18" i="3"/>
  <c r="S40" i="1"/>
  <c r="O29" i="1"/>
  <c r="D50" i="1"/>
  <c r="F46" i="1"/>
  <c r="D23" i="1"/>
  <c r="S28" i="1"/>
  <c r="D22" i="1"/>
  <c r="M41" i="1"/>
  <c r="T22" i="1"/>
  <c r="B29" i="1"/>
  <c r="K46" i="1"/>
  <c r="S27" i="1"/>
  <c r="N42" i="1"/>
  <c r="P42" i="1"/>
  <c r="I41" i="1"/>
  <c r="S25" i="1"/>
  <c r="L45" i="1"/>
  <c r="S29" i="1"/>
  <c r="L27" i="1"/>
  <c r="O25" i="1"/>
  <c r="I29" i="1"/>
  <c r="S50" i="1"/>
  <c r="M47" i="1"/>
  <c r="H20" i="3"/>
  <c r="T28" i="1"/>
  <c r="P41" i="1"/>
  <c r="P49" i="1"/>
  <c r="K28" i="1"/>
  <c r="O27" i="1"/>
  <c r="S23" i="1"/>
  <c r="I31" i="1"/>
  <c r="H25" i="3"/>
  <c r="S21" i="1"/>
  <c r="L24" i="1"/>
  <c r="U32" i="1"/>
  <c r="P26" i="1"/>
  <c r="F31" i="1"/>
  <c r="B30" i="1"/>
  <c r="O42" i="1"/>
  <c r="B25" i="1"/>
  <c r="T40" i="1"/>
  <c r="P28" i="1"/>
  <c r="R22" i="1"/>
  <c r="P27" i="1"/>
  <c r="Q31" i="1"/>
  <c r="F48" i="1"/>
  <c r="K21" i="1"/>
  <c r="M45" i="1"/>
  <c r="P21" i="1"/>
  <c r="P44" i="1"/>
  <c r="R30" i="1"/>
  <c r="K45" i="1"/>
  <c r="T26" i="1"/>
  <c r="P46" i="1"/>
  <c r="B32" i="1"/>
  <c r="F41" i="1"/>
  <c r="R49" i="1"/>
  <c r="O50" i="1"/>
  <c r="T42" i="1"/>
  <c r="F25" i="1"/>
  <c r="Q49" i="1"/>
  <c r="D21" i="1"/>
  <c r="O40" i="1"/>
  <c r="U43" i="1"/>
  <c r="I24" i="1"/>
  <c r="D30" i="1"/>
  <c r="U27" i="1"/>
  <c r="N32" i="1"/>
  <c r="F43" i="1"/>
  <c r="I43" i="1"/>
  <c r="F24" i="1"/>
  <c r="N27" i="1"/>
  <c r="M40" i="1"/>
  <c r="P30" i="1"/>
  <c r="R45" i="1"/>
  <c r="P23" i="1"/>
  <c r="I32" i="1"/>
  <c r="M22" i="1"/>
  <c r="R47" i="1"/>
  <c r="T46" i="1"/>
  <c r="F50" i="1"/>
  <c r="Q47" i="1"/>
  <c r="L50" i="1"/>
  <c r="I23" i="1"/>
  <c r="U42" i="1"/>
  <c r="K29" i="1"/>
  <c r="K32" i="1"/>
  <c r="R27" i="1"/>
  <c r="F29" i="1"/>
  <c r="F23" i="1"/>
  <c r="R50" i="1"/>
  <c r="O30" i="1"/>
  <c r="N46" i="1"/>
  <c r="S43" i="1"/>
  <c r="L49" i="1"/>
  <c r="F40" i="1"/>
  <c r="L25" i="1"/>
  <c r="M25" i="1"/>
  <c r="Q45" i="1"/>
  <c r="I22" i="1"/>
  <c r="S45" i="1"/>
  <c r="D41" i="1"/>
  <c r="N22" i="1"/>
  <c r="U46" i="1"/>
  <c r="B21" i="1"/>
  <c r="O24" i="1"/>
  <c r="O46" i="1"/>
  <c r="N44" i="1"/>
  <c r="K23" i="1"/>
  <c r="T24" i="1"/>
  <c r="O47" i="1"/>
  <c r="F49" i="1"/>
  <c r="N43" i="1"/>
  <c r="O32" i="1"/>
  <c r="I42" i="1"/>
  <c r="U29" i="1"/>
  <c r="I50" i="1"/>
  <c r="I44" i="1"/>
  <c r="H15" i="3"/>
  <c r="U31" i="1"/>
  <c r="F27" i="1"/>
  <c r="S30" i="1"/>
  <c r="D40" i="1"/>
  <c r="F45" i="1"/>
  <c r="M42" i="1"/>
  <c r="U22" i="1"/>
  <c r="D48" i="1"/>
  <c r="O23" i="1"/>
  <c r="K49" i="1"/>
  <c r="D44" i="1"/>
  <c r="U26" i="1"/>
  <c r="Q21" i="1"/>
  <c r="D31" i="1"/>
  <c r="M23" i="1"/>
  <c r="F44" i="1"/>
  <c r="U40" i="1"/>
  <c r="N49" i="1"/>
  <c r="H23" i="3"/>
  <c r="L32" i="1"/>
  <c r="K24" i="1"/>
  <c r="I21" i="1"/>
  <c r="T50" i="1"/>
  <c r="L40" i="1"/>
  <c r="T49" i="1"/>
  <c r="N21" i="1"/>
  <c r="D46" i="1"/>
  <c r="B31" i="1"/>
  <c r="I46" i="1"/>
  <c r="O48" i="1"/>
  <c r="M46" i="1"/>
  <c r="T44" i="1"/>
  <c r="N31" i="1"/>
  <c r="L48" i="1"/>
  <c r="Q32" i="1"/>
  <c r="R42" i="1"/>
  <c r="Q50" i="1"/>
  <c r="P39" i="1"/>
  <c r="D42" i="1"/>
  <c r="T43" i="1"/>
  <c r="I39" i="1"/>
  <c r="K43" i="1"/>
  <c r="F42" i="1"/>
  <c r="R39" i="1"/>
  <c r="Q22" i="1"/>
  <c r="H30" i="3"/>
  <c r="M21" i="1"/>
  <c r="H16" i="3"/>
  <c r="U21" i="1"/>
  <c r="T25" i="1"/>
  <c r="O43" i="1"/>
  <c r="Q46" i="1"/>
  <c r="I47" i="1"/>
  <c r="S47" i="1"/>
  <c r="S42" i="1"/>
  <c r="U50" i="1"/>
  <c r="Q42" i="1"/>
  <c r="U28" i="1"/>
  <c r="Q29" i="1"/>
  <c r="T31" i="1"/>
  <c r="N50" i="1"/>
  <c r="M26" i="1"/>
  <c r="B26" i="1"/>
  <c r="S32" i="1"/>
  <c r="U24" i="1"/>
  <c r="M48" i="1"/>
  <c r="N47" i="1"/>
  <c r="U30" i="1"/>
  <c r="F21" i="1"/>
  <c r="L26" i="1"/>
  <c r="L28" i="1"/>
  <c r="Q28" i="1"/>
  <c r="O28" i="1"/>
  <c r="H28" i="3"/>
  <c r="S26" i="1"/>
  <c r="P22" i="1"/>
  <c r="F26" i="1"/>
  <c r="M43" i="1"/>
  <c r="K26" i="1"/>
  <c r="I25" i="1"/>
  <c r="K42" i="1"/>
  <c r="T41" i="1"/>
  <c r="Q25" i="1"/>
  <c r="L30" i="1"/>
  <c r="S49" i="1"/>
  <c r="M24" i="1"/>
  <c r="T48" i="1"/>
  <c r="S22" i="1"/>
  <c r="P24" i="1"/>
  <c r="H22" i="3"/>
  <c r="Q23" i="1"/>
  <c r="N30" i="1"/>
  <c r="P48" i="1"/>
  <c r="K27" i="1"/>
  <c r="B22" i="1"/>
  <c r="O21" i="1"/>
  <c r="S44" i="1"/>
  <c r="B24" i="1"/>
  <c r="M30" i="1"/>
  <c r="I30" i="1"/>
  <c r="F39" i="1"/>
  <c r="P32" i="1"/>
  <c r="D49" i="1"/>
  <c r="Q40" i="1"/>
  <c r="K25" i="1"/>
  <c r="Q43" i="1"/>
  <c r="O31" i="1"/>
  <c r="F30" i="1"/>
  <c r="B23" i="1"/>
  <c r="O45" i="1"/>
  <c r="L21" i="1"/>
  <c r="S48" i="1"/>
  <c r="Q26" i="1"/>
  <c r="S39" i="1"/>
  <c r="H31" i="3"/>
  <c r="L23" i="1"/>
  <c r="H17" i="3"/>
  <c r="P25" i="1"/>
  <c r="T32" i="1"/>
  <c r="L15" i="3" l="1"/>
  <c r="M29" i="3"/>
  <c r="M17" i="3"/>
  <c r="M31" i="3"/>
  <c r="L26" i="3"/>
  <c r="C28" i="1"/>
  <c r="B57" i="3"/>
  <c r="I19" i="1"/>
  <c r="R19" i="1"/>
  <c r="M26" i="3"/>
  <c r="L17" i="3"/>
  <c r="F19" i="1"/>
  <c r="M22" i="3"/>
  <c r="C25" i="1"/>
  <c r="S19" i="1"/>
  <c r="C23" i="1"/>
  <c r="C22" i="1"/>
  <c r="B128" i="3"/>
  <c r="M19" i="1"/>
  <c r="B73" i="3"/>
  <c r="J19" i="1"/>
  <c r="K19" i="1"/>
  <c r="B89" i="3"/>
  <c r="L19" i="3"/>
  <c r="B168" i="3"/>
  <c r="O19" i="1"/>
  <c r="C21" i="1"/>
  <c r="L30" i="3"/>
  <c r="C27" i="1"/>
  <c r="C32" i="1"/>
  <c r="C29" i="1"/>
  <c r="P19" i="1"/>
  <c r="M20" i="3"/>
  <c r="C24" i="1"/>
  <c r="G19" i="1"/>
  <c r="L21" i="3"/>
  <c r="L28" i="3"/>
  <c r="L29" i="3"/>
  <c r="L18" i="3"/>
  <c r="L31" i="3"/>
  <c r="M19" i="3"/>
  <c r="C31" i="1"/>
  <c r="M18" i="3"/>
  <c r="M24" i="3"/>
  <c r="B108" i="3"/>
  <c r="L19" i="1"/>
  <c r="M21" i="3"/>
  <c r="L20" i="3"/>
  <c r="L22" i="3"/>
  <c r="N19" i="1"/>
  <c r="B148" i="3"/>
  <c r="M16" i="3"/>
  <c r="L16" i="3"/>
  <c r="L24" i="3"/>
  <c r="M28" i="3"/>
  <c r="B41" i="3"/>
  <c r="H19" i="1"/>
  <c r="L25" i="3"/>
  <c r="M25" i="3"/>
  <c r="U19" i="1"/>
  <c r="C26" i="1"/>
  <c r="C30" i="1"/>
  <c r="T19" i="1"/>
  <c r="M27" i="3"/>
  <c r="Q19" i="1"/>
  <c r="L23" i="3"/>
  <c r="M30" i="3"/>
  <c r="M23" i="3"/>
  <c r="M15" i="3"/>
  <c r="E19" i="1"/>
  <c r="L27" i="3"/>
  <c r="G32" i="3"/>
  <c r="J32" i="3"/>
  <c r="C32" i="3"/>
  <c r="D32" i="3" l="1"/>
  <c r="M32" i="3"/>
  <c r="L3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<sst xmlns="http://schemas.openxmlformats.org/spreadsheetml/2006/main" count="5599" uniqueCount="351">
  <si>
    <t>OutSegs</t>
  </si>
  <si>
    <t>bytes</t>
  </si>
  <si>
    <t>sheet name</t>
  </si>
  <si>
    <t>%re-transmit</t>
  </si>
  <si>
    <t>Delay Bandwidth Product</t>
  </si>
  <si>
    <t xml:space="preserve">RTT </t>
  </si>
  <si>
    <t>ms</t>
  </si>
  <si>
    <t>BW</t>
  </si>
  <si>
    <t>Mbit/s</t>
  </si>
  <si>
    <t>DBP</t>
  </si>
  <si>
    <t>Mbytes</t>
  </si>
  <si>
    <t>Delay BW Product</t>
  </si>
  <si>
    <t>BW vs time in flow</t>
  </si>
  <si>
    <t>Buf size value</t>
  </si>
  <si>
    <t>buffer size MB</t>
  </si>
  <si>
    <t>CPU line before test</t>
  </si>
  <si>
    <t>CPU line after test</t>
  </si>
  <si>
    <t>time in sec</t>
  </si>
  <si>
    <t>Re-Transmit</t>
  </si>
  <si>
    <t>Buf size value Gbytes</t>
  </si>
  <si>
    <t>time s</t>
  </si>
  <si>
    <t>recv_bufSize</t>
  </si>
  <si>
    <t>send_bufSize</t>
  </si>
  <si>
    <t>tcpi_rcv_rtt</t>
  </si>
  <si>
    <t>num_bytes</t>
  </si>
  <si>
    <t>CPU_load_time_us</t>
  </si>
  <si>
    <t>elapsed_time_us</t>
  </si>
  <si>
    <t>CPUload</t>
  </si>
  <si>
    <t>Tab12_</t>
  </si>
  <si>
    <t>Tab09_</t>
  </si>
  <si>
    <t>Tab08_</t>
  </si>
  <si>
    <t>Tab10_</t>
  </si>
  <si>
    <t>Tab11_</t>
  </si>
  <si>
    <t>elapsed_time</t>
  </si>
  <si>
    <t>InfoStore data first line</t>
  </si>
  <si>
    <t>InfoStore data last line</t>
  </si>
  <si>
    <t>Gbytes</t>
  </si>
  <si>
    <t>getTime</t>
  </si>
  <si>
    <t>putTime</t>
  </si>
  <si>
    <t>chunkNum</t>
  </si>
  <si>
    <t>Histograms</t>
  </si>
  <si>
    <t>Tab05_</t>
  </si>
  <si>
    <t>Tab06_</t>
  </si>
  <si>
    <t>Tab07_</t>
  </si>
  <si>
    <t>rcv_ssthresh</t>
  </si>
  <si>
    <t>rcv_space</t>
  </si>
  <si>
    <t>hist_getTime</t>
  </si>
  <si>
    <t>hist_putTime</t>
  </si>
  <si>
    <t>Histo 1 bin0 line</t>
  </si>
  <si>
    <t>Histo 1 last line</t>
  </si>
  <si>
    <t>Histo 2 bin0 line</t>
  </si>
  <si>
    <t>Histo 2 last line</t>
  </si>
  <si>
    <t>Histo1_bins</t>
  </si>
  <si>
    <t>Histo2_bins</t>
  </si>
  <si>
    <t>InfoStore:</t>
  </si>
  <si>
    <t>tcpi_snd_ssthresh</t>
  </si>
  <si>
    <t>tcpi_rtt</t>
  </si>
  <si>
    <t>tcpi_rttvar</t>
  </si>
  <si>
    <t>tcpi_total_retrans</t>
  </si>
  <si>
    <t>get time us</t>
  </si>
  <si>
    <t>put time us</t>
  </si>
  <si>
    <t>tcpi_snd_cwnd octets</t>
  </si>
  <si>
    <t>snd_ssthresh</t>
  </si>
  <si>
    <t>snd_cwnd_octets</t>
  </si>
  <si>
    <t>rtt</t>
  </si>
  <si>
    <t>rttvar</t>
  </si>
  <si>
    <t>BW Mbit/s</t>
  </si>
  <si>
    <t xml:space="preserve"> </t>
  </si>
  <si>
    <t xml:space="preserve"> 98380 bytes</t>
  </si>
  <si>
    <t xml:space="preserve"> pkt len</t>
  </si>
  <si>
    <t xml:space="preserve"> soc_buf_size</t>
  </si>
  <si>
    <t xml:space="preserve"> num_sent</t>
  </si>
  <si>
    <t xml:space="preserve"> wait_time</t>
  </si>
  <si>
    <t xml:space="preserve"> Time/frame us</t>
  </si>
  <si>
    <t xml:space="preserve"> Send_time</t>
  </si>
  <si>
    <t xml:space="preserve"> send_data_rate Mbit</t>
  </si>
  <si>
    <t xml:space="preserve"> TCPOutSegs</t>
  </si>
  <si>
    <t xml:space="preserve"> tcpi_total_retrans</t>
  </si>
  <si>
    <t xml:space="preserve"> tcp_retrans_rate%</t>
  </si>
  <si>
    <t xml:space="preserve">  </t>
  </si>
  <si>
    <t xml:space="preserve"> Recv soc_buf_size</t>
  </si>
  <si>
    <t xml:space="preserve"> num_recv</t>
  </si>
  <si>
    <t xml:space="preserve"> bytes_recv</t>
  </si>
  <si>
    <t xml:space="preserve"> Recv time/Frame</t>
  </si>
  <si>
    <t xml:space="preserve"> recv_time</t>
  </si>
  <si>
    <t xml:space="preserve"> recv_data_rate Mbit</t>
  </si>
  <si>
    <t xml:space="preserve"> &lt;L CPU&gt;</t>
  </si>
  <si>
    <t xml:space="preserve"> user cpu %</t>
  </si>
  <si>
    <t xml:space="preserve"> kernel cpu%</t>
  </si>
  <si>
    <t xml:space="preserve"> idle cpu%</t>
  </si>
  <si>
    <t xml:space="preserve"> iowait cpu %</t>
  </si>
  <si>
    <t xml:space="preserve"> irq cpu%</t>
  </si>
  <si>
    <t xml:space="preserve"> softirq cpu%</t>
  </si>
  <si>
    <t xml:space="preserve"> &lt;R CPU&gt;</t>
  </si>
  <si>
    <t xml:space="preserve"> L if</t>
  </si>
  <si>
    <t xml:space="preserve"> interface:</t>
  </si>
  <si>
    <t xml:space="preserve"> pktsin</t>
  </si>
  <si>
    <t xml:space="preserve"> bytesin</t>
  </si>
  <si>
    <t xml:space="preserve"> pktsout</t>
  </si>
  <si>
    <t xml:space="preserve"> bytesout</t>
  </si>
  <si>
    <t>L TCP</t>
  </si>
  <si>
    <t xml:space="preserve"> TCPInSegs</t>
  </si>
  <si>
    <t xml:space="preserve"> TCPInErrs</t>
  </si>
  <si>
    <t xml:space="preserve"> TCPOutRsts</t>
  </si>
  <si>
    <t xml:space="preserve"> TCPRetransSegs</t>
  </si>
  <si>
    <t xml:space="preserve"> R if</t>
  </si>
  <si>
    <t>R TCP</t>
  </si>
  <si>
    <t xml:space="preserve"> R NIC</t>
  </si>
  <si>
    <t xml:space="preserve"> rx_packets</t>
  </si>
  <si>
    <t xml:space="preserve"> tx_packets</t>
  </si>
  <si>
    <t xml:space="preserve"> rx_packets_phy</t>
  </si>
  <si>
    <t xml:space="preserve"> tx_packets_phy</t>
  </si>
  <si>
    <t xml:space="preserve"> rx_pause_ctrl_phy</t>
  </si>
  <si>
    <t xml:space="preserve"> tx_pause_ctrl_phy</t>
  </si>
  <si>
    <t xml:space="preserve"> tx_global_pause_duration</t>
  </si>
  <si>
    <t xml:space="preserve"> rx_crc_errors_phy</t>
  </si>
  <si>
    <t xml:space="preserve"> rx_out_of_buffer</t>
  </si>
  <si>
    <t xml:space="preserve">   </t>
  </si>
  <si>
    <t xml:space="preserve">L0 </t>
  </si>
  <si>
    <t xml:space="preserve">L1 </t>
  </si>
  <si>
    <t xml:space="preserve">L2 </t>
  </si>
  <si>
    <t xml:space="preserve">L3 </t>
  </si>
  <si>
    <t xml:space="preserve">R </t>
  </si>
  <si>
    <t xml:space="preserve">R0 </t>
  </si>
  <si>
    <t xml:space="preserve">R1 </t>
  </si>
  <si>
    <t xml:space="preserve">R2 </t>
  </si>
  <si>
    <t xml:space="preserve">R3 </t>
  </si>
  <si>
    <t>L if</t>
  </si>
  <si>
    <t xml:space="preserve">    lo: </t>
  </si>
  <si>
    <t>R if</t>
  </si>
  <si>
    <t xml:space="preserve"> Time/msg us</t>
  </si>
  <si>
    <t>pkts/loss</t>
  </si>
  <si>
    <t>Time</t>
  </si>
  <si>
    <t xml:space="preserve"> Bytes sent</t>
  </si>
  <si>
    <t xml:space="preserve"> Rate Gbit/s</t>
  </si>
  <si>
    <t xml:space="preserve"> Retrans</t>
  </si>
  <si>
    <t xml:space="preserve"> Cwnd MBytes</t>
  </si>
  <si>
    <t xml:space="preserve"> TCPOutSegs </t>
  </si>
  <si>
    <t>Flow last line</t>
  </si>
  <si>
    <t>flow_time</t>
  </si>
  <si>
    <t>flow_rate</t>
  </si>
  <si>
    <t>flow_retrans</t>
  </si>
  <si>
    <t>Flow start line</t>
  </si>
  <si>
    <t>Flow Time Series</t>
  </si>
  <si>
    <t>flow_cwnd</t>
  </si>
  <si>
    <t xml:space="preserve"> Initialising real-time clock.</t>
  </si>
  <si>
    <t xml:space="preserve"> low-prio cpu %</t>
  </si>
  <si>
    <t xml:space="preserve">rx_out_of_buffer column </t>
  </si>
  <si>
    <t>rx_out_of_buffer</t>
  </si>
  <si>
    <t>tcpmon BW line</t>
  </si>
  <si>
    <t xml:space="preserve">L </t>
  </si>
  <si>
    <t>msg spacing line</t>
  </si>
  <si>
    <t xml:space="preserve">Settings: RCVBUF 1000000 SNDBUF 1000000 IP_TOS 0x0 IP prec 0 IP tos 0 TCP_NODELAY 1  </t>
  </si>
  <si>
    <t xml:space="preserve">Settings: RCVBUF 2000000 SNDBUF 2000000 IP_TOS 0x0 IP prec 0 IP tos 0 TCP_NODELAY 1  </t>
  </si>
  <si>
    <t xml:space="preserve">Settings: RCVBUF 5000000 SNDBUF 5000000 IP_TOS 0x0 IP prec 0 IP tos 0 TCP_NODELAY 1  </t>
  </si>
  <si>
    <t xml:space="preserve">Settings: RCVBUF 10000000 SNDBUF 10000000 IP_TOS 0x0 IP prec 0 IP tos 0 TCP_NODELAY 1  </t>
  </si>
  <si>
    <t xml:space="preserve">Settings: RCVBUF 20000000 SNDBUF 20000000 IP_TOS 0x0 IP prec 0 IP tos 0 TCP_NODELAY 1  </t>
  </si>
  <si>
    <t xml:space="preserve">Settings: RCVBUF 30000000 SNDBUF 30000000 IP_TOS 0x0 IP prec 0 IP tos 0 TCP_NODELAY 1  </t>
  </si>
  <si>
    <t xml:space="preserve"> errin</t>
  </si>
  <si>
    <t xml:space="preserve"> dropin</t>
  </si>
  <si>
    <t xml:space="preserve"> errout</t>
  </si>
  <si>
    <t xml:space="preserve"> dropout</t>
  </si>
  <si>
    <t>a</t>
  </si>
  <si>
    <t>aabb</t>
  </si>
  <si>
    <t>padding</t>
  </si>
  <si>
    <t xml:space="preserve">Settings: RCVBUF no change SNDBUF no change IP_TOS 0x0 IP prec 0 IP tos 0 TCP_NODELAY 1  </t>
  </si>
  <si>
    <t>Default affinity: 00000fff Set affinity: 00000040</t>
  </si>
  <si>
    <t>clock ticks for 1 sec = 1000059 us</t>
  </si>
  <si>
    <t xml:space="preserve">Defaults: RCVBUF 65536 SNDBUF 65536 IP_TOS 0x0 IP prec 0 IP tos 0 TCP_NODELAY 0  </t>
  </si>
  <si>
    <t xml:space="preserve">enp1s0f1: </t>
  </si>
  <si>
    <t xml:space="preserve">enp131s0f0: </t>
  </si>
  <si>
    <t xml:space="preserve">ens1.701: </t>
  </si>
  <si>
    <t xml:space="preserve">enp131s0f1.111: </t>
  </si>
  <si>
    <t xml:space="preserve">ens1d1: </t>
  </si>
  <si>
    <t xml:space="preserve">  ens1: </t>
  </si>
  <si>
    <t xml:space="preserve">ens1.702: </t>
  </si>
  <si>
    <t xml:space="preserve">enp131s0f1: </t>
  </si>
  <si>
    <t xml:space="preserve">ens1.10: </t>
  </si>
  <si>
    <t xml:space="preserve">enp131s0f1.666: </t>
  </si>
  <si>
    <t xml:space="preserve">enp1s0f0: </t>
  </si>
  <si>
    <t xml:space="preserve">enp131s0f1.100: </t>
  </si>
  <si>
    <t xml:space="preserve">L4 </t>
  </si>
  <si>
    <t xml:space="preserve">L5 </t>
  </si>
  <si>
    <t xml:space="preserve">L6 </t>
  </si>
  <si>
    <t xml:space="preserve">L7 </t>
  </si>
  <si>
    <t xml:space="preserve">L8 </t>
  </si>
  <si>
    <t xml:space="preserve">L9 </t>
  </si>
  <si>
    <t xml:space="preserve">L10 </t>
  </si>
  <si>
    <t xml:space="preserve">L11 </t>
  </si>
  <si>
    <t>StopWatch_Stop calibrated: 0.0071 us minimum  :  StopWatch_Delay calibrated: 0.0119 us minimum</t>
  </si>
  <si>
    <t>clock ticks for 1 sec = 1000060 us</t>
  </si>
  <si>
    <t>clock ticks for 1 sec = 1000061 us</t>
  </si>
  <si>
    <t xml:space="preserve">Settings: RCVBUF 15000000 SNDBUF 15000000 IP_TOS 0x0 IP prec 0 IP tos 0 TCP_NODELAY 1  </t>
  </si>
  <si>
    <t>StopWatch_Stop calibrated: 0.0071 us minimum  :  StopWatch_Delay calibrated: 0.0118 us minimum</t>
  </si>
  <si>
    <t xml:space="preserve">Settings: RCVBUF 25000000 SNDBUF 25000000 IP_TOS 0x0 IP prec 0 IP tos 0 TCP_NODELAY 1  </t>
  </si>
  <si>
    <t xml:space="preserve">Settings: RCVBUF 35000000 SNDBUF 35000000 IP_TOS 0x0 IP prec 0 IP tos 0 TCP_NODELAY 1  </t>
  </si>
  <si>
    <t xml:space="preserve">Settings: RCVBUF 40000000 SNDBUF 40000000 IP_TOS 0x0 IP prec 0 IP tos 0 TCP_NODELAY 1  </t>
  </si>
  <si>
    <t xml:space="preserve">Settings: RCVBUF 45000000 SNDBUF 45000000 IP_TOS 0x0 IP prec 0 IP tos 0 TCP_NODELAY 1  </t>
  </si>
  <si>
    <t xml:space="preserve">Settings: RCVBUF 50000000 SNDBUF 50000000 IP_TOS 0x0 IP prec 0 IP tos 0 TCP_NODELAY 1  </t>
  </si>
  <si>
    <t xml:space="preserve"> The destination TCP port is   5201 1451</t>
  </si>
  <si>
    <t xml:space="preserve">R4 </t>
  </si>
  <si>
    <t xml:space="preserve">R5 </t>
  </si>
  <si>
    <t xml:space="preserve">R6 </t>
  </si>
  <si>
    <t xml:space="preserve">R7 </t>
  </si>
  <si>
    <t xml:space="preserve">R8 </t>
  </si>
  <si>
    <t xml:space="preserve">R9 </t>
  </si>
  <si>
    <t xml:space="preserve">R10 </t>
  </si>
  <si>
    <t xml:space="preserve">R11 </t>
  </si>
  <si>
    <t xml:space="preserve">R12 </t>
  </si>
  <si>
    <t xml:space="preserve">R13 </t>
  </si>
  <si>
    <t xml:space="preserve">R14 </t>
  </si>
  <si>
    <t xml:space="preserve">R15 </t>
  </si>
  <si>
    <t xml:space="preserve">R16 </t>
  </si>
  <si>
    <t xml:space="preserve">R17 </t>
  </si>
  <si>
    <t xml:space="preserve">R18 </t>
  </si>
  <si>
    <t xml:space="preserve">R19 </t>
  </si>
  <si>
    <t xml:space="preserve">R20 </t>
  </si>
  <si>
    <t xml:space="preserve">R21 </t>
  </si>
  <si>
    <t xml:space="preserve">R22 </t>
  </si>
  <si>
    <t xml:space="preserve">R23 </t>
  </si>
  <si>
    <t xml:space="preserve">R24 </t>
  </si>
  <si>
    <t xml:space="preserve">R25 </t>
  </si>
  <si>
    <t xml:space="preserve">R26 </t>
  </si>
  <si>
    <t xml:space="preserve">R27 </t>
  </si>
  <si>
    <t xml:space="preserve">R28 </t>
  </si>
  <si>
    <t xml:space="preserve">R29 </t>
  </si>
  <si>
    <t xml:space="preserve">R30 </t>
  </si>
  <si>
    <t xml:space="preserve">R31 </t>
  </si>
  <si>
    <t>StopWatch_Stop calibrated: 0.0071 us minimum  :  StopWatch_Delay calibrated: 0.0124 us minimum</t>
  </si>
  <si>
    <t>pause tx</t>
  </si>
  <si>
    <t>pause tim</t>
  </si>
  <si>
    <t>Tx pause column</t>
  </si>
  <si>
    <t>ko</t>
  </si>
  <si>
    <t>kp</t>
  </si>
  <si>
    <t>tx pause duration column</t>
  </si>
  <si>
    <t>total time s</t>
  </si>
  <si>
    <t xml:space="preserve"> The TCP maximum segment size is   8948</t>
  </si>
  <si>
    <t xml:space="preserve">R32 </t>
  </si>
  <si>
    <t xml:space="preserve">R33 </t>
  </si>
  <si>
    <t xml:space="preserve">R34 </t>
  </si>
  <si>
    <t xml:space="preserve">R35 </t>
  </si>
  <si>
    <t xml:space="preserve">R36 </t>
  </si>
  <si>
    <t xml:space="preserve">R37 </t>
  </si>
  <si>
    <t xml:space="preserve">R38 </t>
  </si>
  <si>
    <t xml:space="preserve">R39 </t>
  </si>
  <si>
    <t xml:space="preserve">R40 </t>
  </si>
  <si>
    <t xml:space="preserve">R41 </t>
  </si>
  <si>
    <t xml:space="preserve">R42 </t>
  </si>
  <si>
    <t xml:space="preserve">R43 </t>
  </si>
  <si>
    <t xml:space="preserve">R44 </t>
  </si>
  <si>
    <t xml:space="preserve">R45 </t>
  </si>
  <si>
    <t xml:space="preserve">R46 </t>
  </si>
  <si>
    <t xml:space="preserve">R47 </t>
  </si>
  <si>
    <t xml:space="preserve">R48 </t>
  </si>
  <si>
    <t xml:space="preserve">R49 </t>
  </si>
  <si>
    <t xml:space="preserve">R50 </t>
  </si>
  <si>
    <t xml:space="preserve">R51 </t>
  </si>
  <si>
    <t xml:space="preserve">R52 </t>
  </si>
  <si>
    <t xml:space="preserve">R53 </t>
  </si>
  <si>
    <t xml:space="preserve">R54 </t>
  </si>
  <si>
    <t xml:space="preserve">R55 </t>
  </si>
  <si>
    <t>StopWatch_Stop calibrated: 0.0071 us minimum  :  StopWatch_Delay calibrated: 0.0121 us minimum</t>
  </si>
  <si>
    <t>StopWatch_Stop calibrated: 0.0071 us minimum  :  StopWatch_Delay calibrated: 0.0125 us minimum</t>
  </si>
  <si>
    <t xml:space="preserve">Settings: RCVBUF 7000000 SNDBUF 7000000 IP_TOS 0x0 IP prec 0 IP tos 0 TCP_NODELAY 1  </t>
  </si>
  <si>
    <t>StopWatch_Stop calibrated: 0.0071 us minimum  :  StopWatch_Delay calibrated: 0.0120 us minimum</t>
  </si>
  <si>
    <t xml:space="preserve">Settings: RCVBUF 12000000 SNDBUF 12000000 IP_TOS 0x0 IP prec 0 IP tos 0 TCP_NODELAY 1  </t>
  </si>
  <si>
    <t xml:space="preserve">Settings: RCVBUF 17000000 SNDBUF 17000000 IP_TOS 0x0 IP prec 0 IP tos 0 TCP_NODELAY 1  </t>
  </si>
  <si>
    <t xml:space="preserve">Settings: RCVBUF 22000000 SNDBUF 22000000 IP_TOS 0x0 IP prec 0 IP tos 0 TCP_NODELAY 1  </t>
  </si>
  <si>
    <t xml:space="preserve">Settings: RCVBUF 27000000 SNDBUF 27000000 IP_TOS 0x0 IP prec 0 IP tos 0 TCP_NODELAY 1  </t>
  </si>
  <si>
    <t>gw</t>
  </si>
  <si>
    <t xml:space="preserve"> The destination IP name: 130.246.1.62 IP address: 130.246.1.62</t>
  </si>
  <si>
    <t xml:space="preserve">bond0.4070: </t>
  </si>
  <si>
    <t xml:space="preserve">enp23s0f0: </t>
  </si>
  <si>
    <t xml:space="preserve">bond0.3138: </t>
  </si>
  <si>
    <t xml:space="preserve"> bond0: </t>
  </si>
  <si>
    <t xml:space="preserve">  eth0: </t>
  </si>
  <si>
    <t xml:space="preserve">eno8403: </t>
  </si>
  <si>
    <t xml:space="preserve">enp23s0f1: </t>
  </si>
  <si>
    <t xml:space="preserve">bond0.4093: </t>
  </si>
  <si>
    <t xml:space="preserve"> enp23s0f0</t>
  </si>
  <si>
    <t xml:space="preserve"> enp23s0f1</t>
  </si>
  <si>
    <t xml:space="preserve">R56 </t>
  </si>
  <si>
    <t xml:space="preserve">R57 </t>
  </si>
  <si>
    <t xml:space="preserve">R58 </t>
  </si>
  <si>
    <t xml:space="preserve">R59 </t>
  </si>
  <si>
    <t xml:space="preserve">R60 </t>
  </si>
  <si>
    <t xml:space="preserve">R61 </t>
  </si>
  <si>
    <t xml:space="preserve">R62 </t>
  </si>
  <si>
    <t xml:space="preserve">R63 </t>
  </si>
  <si>
    <t>StopWatch_Stop calibrated: 0.0071 us minimum  :  StopWatch_Delay calibrated: 0.0122 us minimum</t>
  </si>
  <si>
    <t>clock ticks for 1 sec = 1000058 us</t>
  </si>
  <si>
    <t>clock ticks for 1 sec = 1000057 us</t>
  </si>
  <si>
    <t>DTNlon-RALxrootd01_tcpmon_m_01</t>
  </si>
  <si>
    <t>DTNlon-RALxrootd01_tcpmon_m_02</t>
  </si>
  <si>
    <t>DTNlon-RALxrootd01_tcpmon_m_03</t>
  </si>
  <si>
    <t>DTNlon-RALxrootd01_tcpmon_m_04</t>
  </si>
  <si>
    <t>DTNlon-RALxrootd01_tcpmon_m_05</t>
  </si>
  <si>
    <t>DTNlon-RALxrootd01_tcpmon_m_06</t>
  </si>
  <si>
    <t>DTNlon-RALxrootd01_tcpmon_m_07</t>
  </si>
  <si>
    <t>DTNlon-RALxrootd01_tcpmon_m_08</t>
  </si>
  <si>
    <t>DTNlon-RALxrootd01_tcpmon_m_09</t>
  </si>
  <si>
    <t>DTNlon-RALxrootd01_tcpmon_m_10</t>
  </si>
  <si>
    <t>DTNlon-RALxrootd01_tcpmon_m_11</t>
  </si>
  <si>
    <t>DTNlon-RALxrootd01_tcpmon_m_12</t>
  </si>
  <si>
    <t>DTNlon-RALxrootd01_tcpmon_m_13</t>
  </si>
  <si>
    <t>DTNlon-RALxrootd01_tcpmon_m_14</t>
  </si>
  <si>
    <t>DTNlon-RALxrootd01_tcpmon_m_15</t>
  </si>
  <si>
    <t>DTNlon-RALxrootd01_tcpmon_m_16</t>
  </si>
  <si>
    <t>DTNlon-RALxrootd01_tcpmon_m_17</t>
  </si>
  <si>
    <t>DTNlon-RALxrootd01_tcpmon_m_18</t>
  </si>
  <si>
    <t>DTNlon-RALxrootd01_tcpmon_m_19</t>
  </si>
  <si>
    <t xml:space="preserve"> Wed Mar 13 14:54:20 2024 :  TCPmon Version 2.2.1  CPUs Command line:  /home/richard/bin/tcpmon_mon -C -d 130.246.1.62 -u 5201 -p 98380 -t 60 -a 0x40 -i 2 -S 0 -w 0 </t>
  </si>
  <si>
    <t>CPU speed = 3399.9949505 +- 0.0352858 MHz (3399.9090101 - 3400.0770659)</t>
  </si>
  <si>
    <t xml:space="preserve"> Wed Mar 13 14:55:22 2024 :  TCPmon Version 2.2.1  CPUs Command line:  /home/richard/bin/tcpmon_mon -C -d 130.246.1.62 -u 5201 -p 98380 -t 60 -a 0x40 -i 2 -S 1000000 -w 0 </t>
  </si>
  <si>
    <t>CPU speed = 3399.9956556 +- 0.0364600 MHz (3399.9111227 - 3400.0819398)</t>
  </si>
  <si>
    <t>clock ticks for 1 sec = 1000062 us</t>
  </si>
  <si>
    <t xml:space="preserve"> Wed Mar 13 14:56:24 2024 :  TCPmon Version 2.2.1  CPUs Command line:  /home/richard/bin/tcpmon_mon -C -d 130.246.1.62 -u 5201 -p 98380 -t 60 -a 0x40 -i 2 -S 2000000 -w 0 </t>
  </si>
  <si>
    <t>CPU speed = 3399.9959312 +- 0.0361978 MHz (3399.9128843 - 3400.0828192)</t>
  </si>
  <si>
    <t xml:space="preserve"> Wed Mar 13 14:57:26 2024 :  TCPmon Version 2.2.1  CPUs Command line:  /home/richard/bin/tcpmon_mon -C -d 130.246.1.62 -u 5201 -p 98380 -t 60 -a 0x40 -i 2 -S 5000000 -w 0 </t>
  </si>
  <si>
    <t>CPU speed = 3399.9961604 +- 0.0328021 MHz (3399.9093286 - 3400.0811312)</t>
  </si>
  <si>
    <t xml:space="preserve"> Wed Mar 13 14:58:29 2024 :  TCPmon Version 2.2.1  CPUs Command line:  /home/richard/bin/tcpmon_mon -C -d 130.246.1.62 -u 5201 -p 98380 -t 60 -a 0x40 -i 2 -S 7000000 -w 0 </t>
  </si>
  <si>
    <t>CPU speed = 3399.9956988 +- 0.0374238 MHz (3399.9074909 - 3400.0829075)</t>
  </si>
  <si>
    <t xml:space="preserve"> Wed Mar 13 14:59:31 2024 :  TCPmon Version 2.2.1  CPUs Command line:  /home/richard/bin/tcpmon_mon -C -d 130.246.1.62 -u 5201 -p 98380 -t 60 -a 0x40 -i 2 -S 10000000 -w 0 </t>
  </si>
  <si>
    <t>CPU speed = 3399.9959535 +- 0.0361369 MHz (3399.9106741 - 3400.0805039)</t>
  </si>
  <si>
    <t xml:space="preserve"> Wed Mar 13 15:00:33 2024 :  TCPmon Version 2.2.1  CPUs Command line:  /home/richard/bin/tcpmon_mon -C -d 130.246.1.62 -u 5201 -p 98380 -t 60 -a 0x40 -i 2 -S 12000000 -w 0 </t>
  </si>
  <si>
    <t>CPU speed = 3399.9965548 +- 0.0355140 MHz (3399.9146555 - 3400.0823394)</t>
  </si>
  <si>
    <t xml:space="preserve"> Wed Mar 13 15:01:35 2024 :  TCPmon Version 2.2.1  CPUs Command line:  /home/richard/bin/tcpmon_mon -C -d 130.246.1.62 -u 5201 -p 98380 -t 60 -a 0x40 -i 2 -S 15000000 -w 0 </t>
  </si>
  <si>
    <t>CPU speed = 3399.9959996 +- 0.0365418 MHz (3399.9126934 - 3400.0801109)</t>
  </si>
  <si>
    <t xml:space="preserve"> Wed Mar 13 15:02:37 2024 :  TCPmon Version 2.2.1  CPUs Command line:  /home/richard/bin/tcpmon_mon -C -d 130.246.1.62 -u 5201 -p 98380 -t 60 -a 0x40 -i 2 -S 17000000 -w 0 </t>
  </si>
  <si>
    <t>CPU speed = 3399.9963683 +- 0.0361477 MHz (3399.9105351 - 3400.0837603)</t>
  </si>
  <si>
    <t xml:space="preserve"> Wed Mar 13 15:03:40 2024 :  TCPmon Version 2.2.1  CPUs Command line:  /home/richard/bin/tcpmon_mon -C -d 130.246.1.62 -u 5201 -p 98380 -t 60 -a 0x40 -i 2 -S 20000000 -w 0 </t>
  </si>
  <si>
    <t>CPU speed = 3399.9958533 +- 0.0357097 MHz (3399.9137237 - 3400.0726297)</t>
  </si>
  <si>
    <t xml:space="preserve"> Wed Mar 13 15:04:42 2024 :  TCPmon Version 2.2.1  CPUs Command line:  /home/richard/bin/tcpmon_mon -C -d 130.246.1.62 -u 5201 -p 98380 -t 60 -a 0x40 -i 2 -S 22000000 -w 0 </t>
  </si>
  <si>
    <t>CPU speed = 3399.9965824 +- 0.0352531 MHz (3399.9092549 - 3400.0798954)</t>
  </si>
  <si>
    <t xml:space="preserve"> Wed Mar 13 15:05:44 2024 :  TCPmon Version 2.2.1  CPUs Command line:  /home/richard/bin/tcpmon_mon -C -d 130.246.1.62 -u 5201 -p 98380 -t 60 -a 0x40 -i 2 -S 25000000 -w 0 </t>
  </si>
  <si>
    <t>CPU speed = 3399.9967565 +- 0.0346088 MHz (3399.9159147 - 3400.0814857)</t>
  </si>
  <si>
    <t xml:space="preserve"> Wed Mar 13 15:06:46 2024 :  TCPmon Version 2.2.1  CPUs Command line:  /home/richard/bin/tcpmon_mon -C -d 130.246.1.62 -u 5201 -p 98380 -t 60 -a 0x40 -i 2 -S 27000000 -w 0 </t>
  </si>
  <si>
    <t>CPU speed = 3399.9960749 +- 0.0350362 MHz (3399.9129162 - 3400.0768366)</t>
  </si>
  <si>
    <t xml:space="preserve"> Wed Mar 13 15:07:48 2024 :  TCPmon Version 2.2.1  CPUs Command line:  /home/richard/bin/tcpmon_mon -C -d 130.246.1.62 -u 5201 -p 98380 -t 60 -a 0x40 -i 2 -S 30000000 -w 0 </t>
  </si>
  <si>
    <t>CPU speed = 3399.9959838 +- 0.0369350 MHz (3399.9092335 - 3400.0829064)</t>
  </si>
  <si>
    <t xml:space="preserve"> Wed Mar 13 15:08:51 2024 :  TCPmon Version 2.2.1  CPUs Command line:  /home/richard/bin/tcpmon_mon -C -d 130.246.1.62 -u 5201 -p 98380 -t 60 -a 0x40 -i 2 -S 35000000 -w 0 </t>
  </si>
  <si>
    <t>CPU speed = 3399.9956316 +- 0.0381615 MHz (3399.9241082 - 3400.0806022)</t>
  </si>
  <si>
    <t xml:space="preserve"> Wed Mar 13 15:09:53 2024 :  TCPmon Version 2.2.1  CPUs Command line:  /home/richard/bin/tcpmon_mon -C -d 130.246.1.62 -u 5201 -p 98380 -t 60 -a 0x40 -i 2 -S 40000000 -w 0 </t>
  </si>
  <si>
    <t>CPU speed = 3399.9957219 +- 0.0370163 MHz (3399.9109902 - 3400.0802406)</t>
  </si>
  <si>
    <t>StopWatch_Stop calibrated: 0.0071 us minimum  :  StopWatch_Delay calibrated: 0.0134 us minimum</t>
  </si>
  <si>
    <t xml:space="preserve"> Wed Mar 13 15:10:55 2024 :  TCPmon Version 2.2.1  CPUs Command line:  /home/richard/bin/tcpmon_mon -C -d 130.246.1.62 -u 5201 -p 98380 -t 60 -a 0x40 -i 2 -S 45000000 -w 0 </t>
  </si>
  <si>
    <t>CPU speed = 3399.9953828 +- 0.0342274 MHz (3399.9093736 - 3400.0826909)</t>
  </si>
  <si>
    <t>clock ticks for 1 sec = 1000064 us</t>
  </si>
  <si>
    <t xml:space="preserve"> Wed Mar 13 15:11:57 2024 :  TCPmon Version 2.2.1  CPUs Command line:  /home/richard/bin/tcpmon_mon -C -d 130.246.1.62 -u 5201 -p 98380 -t 60 -a 0x40 -i 2 -S 50000000 -w 0 </t>
  </si>
  <si>
    <t>CPU speed = 3399.9977879 +- 0.0364321 MHz (3399.9084351 - 3400.0795937)</t>
  </si>
  <si>
    <t>DTNlon-RALxrootd01_tcpmon_mon_bufscan_13Mar24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</si>
</sst>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5" fontId="0" fillId="0" borderId="0" xfId="0" applyNumberFormat="1"/>
    <xf numFmtId="164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BE4B4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Histograms!$C$1</c:f>
          <c:strCache>
            <c:ptCount val="1"/>
            <c:pt idx="0">
              <c:v>DTNlon-RALxrootd01_tcpmon_mon_bufscan_13Mar24 Net Time TCP buffer  15000000 MBytes</c:v>
            </c:pt>
          </c:strCache>
        </c:strRef>
      </c:tx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tserites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[0]!Histo1_bins</c:f>
              <c:numCache>
                <c:formatCode>General</c:formatCode>
                <c:ptCount val="100"/>
              </c:numCache>
            </c:numRef>
          </c:xVal>
          <c:yVal>
            <c:numRef>
              <c:f>[0]!Tab08_hist_getTime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C-42D2-A08A-B650986E4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04880"/>
        <c:axId val="1"/>
      </c:scatterChart>
      <c:valAx>
        <c:axId val="1358904880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us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Number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048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Histograms!$N$1</c:f>
          <c:strCache>
            <c:ptCount val="1"/>
            <c:pt idx="0">
              <c:v>DTNlon-RALxrootd01_tcpmon_mon_bufscan_13Mar24 Net Time TCP buffer 25000000 MBytes</c:v>
            </c:pt>
          </c:strCache>
        </c:strRef>
      </c:tx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[0]!Histo2_bins</c:f>
              <c:numCache>
                <c:formatCode>General</c:formatCode>
                <c:ptCount val="100"/>
              </c:numCache>
            </c:numRef>
          </c:xVal>
          <c:yVal>
            <c:numRef>
              <c:f>[0]!Tab12_hist_putTime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61-4856-B64C-75D4FC771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899472"/>
        <c:axId val="1"/>
      </c:scatterChart>
      <c:valAx>
        <c:axId val="135889947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us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Number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8994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Histograms!$C$2</c:f>
          <c:strCache>
            <c:ptCount val="1"/>
            <c:pt idx="0">
              <c:v>DTNlon-RALxrootd01_tcpmon_mon_bufscan_13Mar24 Network Sending Time   </c:v>
            </c:pt>
          </c:strCache>
        </c:strRef>
      </c:tx>
      <c:layout>
        <c:manualLayout>
          <c:xMode val="edge"/>
          <c:yMode val="edge"/>
          <c:x val="5.9643044619422575E-2"/>
          <c:y val="2.003988959211423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view3D>
      <c:rotX val="15"/>
      <c:rotY val="20"/>
      <c:depthPercent val="2000"/>
      <c:rAngAx val="0"/>
      <c:perspective val="1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1142765476138687"/>
          <c:y val="4.8405209368868975E-2"/>
          <c:w val="0.80229821928336309"/>
          <c:h val="0.78818187556214792"/>
        </c:manualLayout>
      </c:layout>
      <c:area3DChart>
        <c:grouping val="standard"/>
        <c:varyColors val="0"/>
        <c:ser>
          <c:idx val="1"/>
          <c:order val="0"/>
          <c:tx>
            <c:strRef>
              <c:f>Plots!$D$18</c:f>
              <c:strCache>
                <c:ptCount val="1"/>
                <c:pt idx="0">
                  <c:v>7000000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cat>
            <c:numRef>
              <c:f>[0]!Histo1_bins</c:f>
              <c:numCache>
                <c:formatCode>General</c:formatCode>
                <c:ptCount val="100"/>
              </c:numCache>
            </c:numRef>
          </c:cat>
          <c:val>
            <c:numRef>
              <c:f>[0]!Tab05_hist_getTime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0-F40E-49E7-BDB2-7E4C448DFE40}"/>
            </c:ext>
          </c:extLst>
        </c:ser>
        <c:ser>
          <c:idx val="2"/>
          <c:order val="1"/>
          <c:tx>
            <c:strRef>
              <c:f>Plots!$D$19</c:f>
              <c:strCache>
                <c:ptCount val="1"/>
                <c:pt idx="0">
                  <c:v>10000000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cat>
            <c:numRef>
              <c:f>[0]!Histo1_bins</c:f>
              <c:numCache>
                <c:formatCode>General</c:formatCode>
                <c:ptCount val="100"/>
              </c:numCache>
            </c:numRef>
          </c:cat>
          <c:val>
            <c:numRef>
              <c:f>[0]!Tab06_hist_getTime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1-F40E-49E7-BDB2-7E4C448DFE40}"/>
            </c:ext>
          </c:extLst>
        </c:ser>
        <c:ser>
          <c:idx val="3"/>
          <c:order val="2"/>
          <c:tx>
            <c:strRef>
              <c:f>Plots!$D$20</c:f>
              <c:strCache>
                <c:ptCount val="1"/>
                <c:pt idx="0">
                  <c:v>12000000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cat>
            <c:numRef>
              <c:f>[0]!Histo1_bins</c:f>
              <c:numCache>
                <c:formatCode>General</c:formatCode>
                <c:ptCount val="100"/>
              </c:numCache>
            </c:numRef>
          </c:cat>
          <c:val>
            <c:numRef>
              <c:f>[0]!Tab07_hist_getTime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2-F40E-49E7-BDB2-7E4C448DFE40}"/>
            </c:ext>
          </c:extLst>
        </c:ser>
        <c:ser>
          <c:idx val="4"/>
          <c:order val="3"/>
          <c:tx>
            <c:strRef>
              <c:f>Plots!$D$21</c:f>
              <c:strCache>
                <c:ptCount val="1"/>
                <c:pt idx="0">
                  <c:v>15000000</c:v>
                </c:pt>
              </c:strCache>
            </c:strRef>
          </c:tx>
          <c:spPr>
            <a:solidFill>
              <a:srgbClr val="4BACC6"/>
            </a:solidFill>
            <a:ln w="25400">
              <a:noFill/>
            </a:ln>
          </c:spPr>
          <c:cat>
            <c:numRef>
              <c:f>[0]!Histo1_bins</c:f>
              <c:numCache>
                <c:formatCode>General</c:formatCode>
                <c:ptCount val="100"/>
              </c:numCache>
            </c:numRef>
          </c:cat>
          <c:val>
            <c:numRef>
              <c:f>[0]!Tab08_hist_getTime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3-F40E-49E7-BDB2-7E4C448DFE40}"/>
            </c:ext>
          </c:extLst>
        </c:ser>
        <c:ser>
          <c:idx val="5"/>
          <c:order val="4"/>
          <c:tx>
            <c:strRef>
              <c:f>Plots!$D$22</c:f>
              <c:strCache>
                <c:ptCount val="1"/>
                <c:pt idx="0">
                  <c:v>17000000</c:v>
                </c:pt>
              </c:strCache>
            </c:strRef>
          </c:tx>
          <c:spPr>
            <a:solidFill>
              <a:srgbClr val="F79646"/>
            </a:solidFill>
            <a:ln w="25400">
              <a:noFill/>
            </a:ln>
          </c:spPr>
          <c:cat>
            <c:numRef>
              <c:f>[0]!Histo1_bins</c:f>
              <c:numCache>
                <c:formatCode>General</c:formatCode>
                <c:ptCount val="100"/>
              </c:numCache>
            </c:numRef>
          </c:cat>
          <c:val>
            <c:numRef>
              <c:f>[0]!Tab09_hist_getTime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4-F40E-49E7-BDB2-7E4C448DFE40}"/>
            </c:ext>
          </c:extLst>
        </c:ser>
        <c:ser>
          <c:idx val="6"/>
          <c:order val="5"/>
          <c:tx>
            <c:strRef>
              <c:f>Plots!$D$23</c:f>
              <c:strCache>
                <c:ptCount val="1"/>
                <c:pt idx="0">
                  <c:v>20000000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[0]!Histo1_bins</c:f>
              <c:numCache>
                <c:formatCode>General</c:formatCode>
                <c:ptCount val="100"/>
              </c:numCache>
            </c:numRef>
          </c:cat>
          <c:val>
            <c:numRef>
              <c:f>[0]!Tab10_hist_getTime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5-F40E-49E7-BDB2-7E4C448DFE40}"/>
            </c:ext>
          </c:extLst>
        </c:ser>
        <c:ser>
          <c:idx val="7"/>
          <c:order val="6"/>
          <c:tx>
            <c:strRef>
              <c:f>Plots!$D$24</c:f>
              <c:strCache>
                <c:ptCount val="1"/>
                <c:pt idx="0">
                  <c:v>22000000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[0]!Histo1_bins</c:f>
              <c:numCache>
                <c:formatCode>General</c:formatCode>
                <c:ptCount val="100"/>
              </c:numCache>
            </c:numRef>
          </c:cat>
          <c:val>
            <c:numRef>
              <c:f>[0]!Tab11_hist_getTime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6-F40E-49E7-BDB2-7E4C448DFE40}"/>
            </c:ext>
          </c:extLst>
        </c:ser>
        <c:ser>
          <c:idx val="0"/>
          <c:order val="7"/>
          <c:tx>
            <c:strRef>
              <c:f>Plots!$D$25</c:f>
              <c:strCache>
                <c:ptCount val="1"/>
                <c:pt idx="0">
                  <c:v>25000000</c:v>
                </c:pt>
              </c:strCache>
            </c:strRef>
          </c:tx>
          <c:spPr>
            <a:ln w="25400">
              <a:noFill/>
            </a:ln>
          </c:spPr>
          <c:cat>
            <c:numRef>
              <c:f>[0]!Histo1_bins</c:f>
              <c:numCache>
                <c:formatCode>General</c:formatCode>
                <c:ptCount val="100"/>
              </c:numCache>
            </c:numRef>
          </c:cat>
          <c:val>
            <c:numRef>
              <c:f>[0]!Tab12_hist_getTime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7-F40E-49E7-BDB2-7E4C448DF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706224"/>
        <c:axId val="1"/>
        <c:axId val="2"/>
        <c:extLst>
          <c:ext xmlns:c15="http://schemas.microsoft.com/office/drawing/2012/chart" uri="{02D57815-91ED-43cb-92C2-25804820EDAC}">
            <c15:filteredArea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Plots!$D$26</c15:sqref>
                        </c15:formulaRef>
                      </c:ext>
                    </c:extLst>
                    <c:strCache>
                      <c:ptCount val="1"/>
                      <c:pt idx="0">
                        <c:v>27000000</c:v>
                      </c:pt>
                    </c:strCache>
                  </c:strRef>
                </c:tx>
                <c:spPr>
                  <a:ln w="25400">
                    <a:noFill/>
                  </a:ln>
                </c:spPr>
                <c:cat>
                  <c:numRef>
                    <c:extLst>
                      <c:ext uri="{02D57815-91ED-43cb-92C2-25804820EDAC}">
                        <c15:formulaRef>
                          <c15:sqref>[0]!Histo1_bins</c15:sqref>
                        </c15:formulaRef>
                      </c:ext>
                    </c:extLst>
                    <c:numCache>
                      <c:formatCode>General</c:formatCode>
                      <c:ptCount val="100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'Time Series'!#REF!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F40E-49E7-BDB2-7E4C448DFE40}"/>
                  </c:ext>
                </c:extLst>
              </c15:ser>
            </c15:filteredAreaSeries>
          </c:ext>
        </c:extLst>
      </c:area3DChart>
      <c:catAx>
        <c:axId val="1531706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Net send time us</a:t>
                </a:r>
              </a:p>
            </c:rich>
          </c:tx>
          <c:layout>
            <c:manualLayout>
              <c:xMode val="edge"/>
              <c:yMode val="edge"/>
              <c:x val="0.278568405511811"/>
              <c:y val="0.812150740193620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logBase val="10"/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Number</a:t>
                </a:r>
              </a:p>
            </c:rich>
          </c:tx>
          <c:layout>
            <c:manualLayout>
              <c:xMode val="edge"/>
              <c:yMode val="edge"/>
              <c:x val="7.9767060367454071E-3"/>
              <c:y val="0.325706877001820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31706224"/>
        <c:crosses val="autoZero"/>
        <c:crossBetween val="midCat"/>
      </c:valAx>
      <c:serAx>
        <c:axId val="2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TCP Buffer size MBytes</a:t>
                </a:r>
              </a:p>
            </c:rich>
          </c:tx>
          <c:layout>
            <c:manualLayout>
              <c:xMode val="edge"/>
              <c:yMode val="edge"/>
              <c:x val="0.89039583333333328"/>
              <c:y val="0.5448387475661927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813231740024112"/>
          <c:y val="0.94424456530420597"/>
          <c:w val="0.54532999159372708"/>
          <c:h val="3.719125202511095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3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Histograms!$N$1</c:f>
          <c:strCache>
            <c:ptCount val="1"/>
            <c:pt idx="0">
              <c:v>DTNlon-RALxrootd01_tcpmon_mon_bufscan_13Mar24 Net Time TCP buffer 25000000 MBytes</c:v>
            </c:pt>
          </c:strCache>
        </c:strRef>
      </c:tx>
      <c:layout>
        <c:manualLayout>
          <c:xMode val="edge"/>
          <c:yMode val="edge"/>
          <c:x val="5.9642866563790073E-2"/>
          <c:y val="2.00399563456629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view3D>
      <c:rotX val="15"/>
      <c:rotY val="20"/>
      <c:depthPercent val="2000"/>
      <c:rAngAx val="0"/>
      <c:perspective val="1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1142765476138687"/>
          <c:y val="4.8405209368868975E-2"/>
          <c:w val="0.80229821928336309"/>
          <c:h val="0.78818187556214792"/>
        </c:manualLayout>
      </c:layout>
      <c:area3DChart>
        <c:grouping val="standard"/>
        <c:varyColors val="0"/>
        <c:ser>
          <c:idx val="1"/>
          <c:order val="0"/>
          <c:tx>
            <c:strRef>
              <c:f>[0]!Histo2_bins</c:f>
              <c:strCache>
                <c:ptCount val="100"/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val>
            <c:numRef>
              <c:f>'Time Histograms'!#REF!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'Time Histograms'!#REF!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63C-4460-A634-CC3331397A07}"/>
            </c:ext>
          </c:extLst>
        </c:ser>
        <c:ser>
          <c:idx val="2"/>
          <c:order val="1"/>
          <c:tx>
            <c:strRef>
              <c:f>[0]!Histo2_bins</c:f>
              <c:strCache>
                <c:ptCount val="100"/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val>
            <c:numRef>
              <c:f>'Time Histograms'!#REF!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'Time Histograms'!#REF!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63C-4460-A634-CC3331397A07}"/>
            </c:ext>
          </c:extLst>
        </c:ser>
        <c:ser>
          <c:idx val="3"/>
          <c:order val="2"/>
          <c:tx>
            <c:strRef>
              <c:f>[0]!Histo2_bins</c:f>
              <c:strCache>
                <c:ptCount val="100"/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val>
            <c:numRef>
              <c:f>'Time Histograms'!#REF!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'Time Histograms'!#REF!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63C-4460-A634-CC3331397A07}"/>
            </c:ext>
          </c:extLst>
        </c:ser>
        <c:ser>
          <c:idx val="4"/>
          <c:order val="3"/>
          <c:tx>
            <c:strRef>
              <c:f>[0]!Histo2_bins</c:f>
              <c:strCache>
                <c:ptCount val="100"/>
              </c:strCache>
            </c:strRef>
          </c:tx>
          <c:spPr>
            <a:solidFill>
              <a:srgbClr val="4BACC6"/>
            </a:solidFill>
            <a:ln w="25400">
              <a:noFill/>
            </a:ln>
          </c:spPr>
          <c:val>
            <c:numRef>
              <c:f>'Time Histograms'!#REF!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'Time Histograms'!#REF!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A63C-4460-A634-CC3331397A07}"/>
            </c:ext>
          </c:extLst>
        </c:ser>
        <c:ser>
          <c:idx val="5"/>
          <c:order val="4"/>
          <c:tx>
            <c:strRef>
              <c:f>[0]!Histo2_bins</c:f>
              <c:strCache>
                <c:ptCount val="100"/>
              </c:strCache>
            </c:strRef>
          </c:tx>
          <c:spPr>
            <a:solidFill>
              <a:srgbClr val="F79646"/>
            </a:solidFill>
            <a:ln w="25400">
              <a:noFill/>
            </a:ln>
          </c:spPr>
          <c:val>
            <c:numRef>
              <c:f>'Time Histograms'!#REF!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'Time Histograms'!#REF!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A63C-4460-A634-CC3331397A07}"/>
            </c:ext>
          </c:extLst>
        </c:ser>
        <c:ser>
          <c:idx val="6"/>
          <c:order val="5"/>
          <c:tx>
            <c:strRef>
              <c:f>[0]!Histo2_bins</c:f>
              <c:strCache>
                <c:ptCount val="100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'Time Histograms'!#REF!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'Time Histograms'!#REF!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63C-4460-A634-CC3331397A07}"/>
            </c:ext>
          </c:extLst>
        </c:ser>
        <c:ser>
          <c:idx val="7"/>
          <c:order val="6"/>
          <c:tx>
            <c:strRef>
              <c:f>[0]!Histo2_bins</c:f>
              <c:strCache>
                <c:ptCount val="100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'Time Histograms'!#REF!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'Time Histograms'!#REF!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63C-4460-A634-CC3331397A07}"/>
            </c:ext>
          </c:extLst>
        </c:ser>
        <c:ser>
          <c:idx val="0"/>
          <c:order val="7"/>
          <c:tx>
            <c:strRef>
              <c:f>[0]!Histo2_bins</c:f>
              <c:strCache>
                <c:ptCount val="100"/>
              </c:strCache>
            </c:strRef>
          </c:tx>
          <c:spPr>
            <a:ln w="25400">
              <a:noFill/>
            </a:ln>
          </c:spPr>
          <c:val>
            <c:numRef>
              <c:f>'Time Histograms'!#REF!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'Time Histograms'!#REF!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A63C-4460-A634-CC3331397A07}"/>
            </c:ext>
          </c:extLst>
        </c:ser>
        <c:ser>
          <c:idx val="8"/>
          <c:order val="8"/>
          <c:tx>
            <c:strRef>
              <c:f>[0]!Histo2_bins</c:f>
              <c:strCache>
                <c:ptCount val="100"/>
              </c:strCache>
            </c:strRef>
          </c:tx>
          <c:spPr>
            <a:ln w="25400">
              <a:noFill/>
            </a:ln>
          </c:spPr>
          <c:val>
            <c:numRef>
              <c:f>'Time Histograms'!#REF!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'Time Histograms'!#REF!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A63C-4460-A634-CC3331397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711024"/>
        <c:axId val="1"/>
        <c:axId val="2"/>
      </c:area3DChart>
      <c:catAx>
        <c:axId val="1531711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Chunk handling time us</a:t>
                </a:r>
              </a:p>
            </c:rich>
          </c:tx>
          <c:layout>
            <c:manualLayout>
              <c:xMode val="edge"/>
              <c:yMode val="edge"/>
              <c:x val="0.27856836676822433"/>
              <c:y val="0.81215083295000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Number</a:t>
                </a:r>
              </a:p>
            </c:rich>
          </c:tx>
          <c:layout>
            <c:manualLayout>
              <c:xMode val="edge"/>
              <c:yMode val="edge"/>
              <c:x val="7.9767274693678357E-3"/>
              <c:y val="0.3257069026165543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31711024"/>
        <c:crosses val="autoZero"/>
        <c:crossBetween val="midCat"/>
      </c:valAx>
      <c:serAx>
        <c:axId val="2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File size GByte</a:t>
                </a:r>
              </a:p>
            </c:rich>
          </c:tx>
          <c:layout>
            <c:manualLayout>
              <c:xMode val="edge"/>
              <c:yMode val="edge"/>
              <c:x val="0.89039571215658342"/>
              <c:y val="0.544838821693680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763683469739532"/>
          <c:y val="0.94642339435361045"/>
          <c:w val="0.54789831247855836"/>
          <c:h val="3.71146429158278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3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Histograms!$C$2</c:f>
          <c:strCache>
            <c:ptCount val="1"/>
            <c:pt idx="0">
              <c:v>DTNlon-RALxrootd01_tcpmon_mon_bufscan_13Mar24 Network Sending Time   </c:v>
            </c:pt>
          </c:strCache>
        </c:strRef>
      </c:tx>
      <c:layout>
        <c:manualLayout>
          <c:xMode val="edge"/>
          <c:yMode val="edge"/>
          <c:x val="5.9643044619422575E-2"/>
          <c:y val="2.003988959211423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view3D>
      <c:rotX val="15"/>
      <c:rotY val="20"/>
      <c:depthPercent val="2000"/>
      <c:rAngAx val="0"/>
      <c:perspective val="1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1142765476138687"/>
          <c:y val="4.8405209368868975E-2"/>
          <c:w val="0.80229821928336309"/>
          <c:h val="0.78818187556214792"/>
        </c:manualLayout>
      </c:layout>
      <c:area3DChart>
        <c:grouping val="standard"/>
        <c:varyColors val="0"/>
        <c:ser>
          <c:idx val="1"/>
          <c:order val="0"/>
          <c:tx>
            <c:strRef>
              <c:f>Plots!$D$18</c:f>
              <c:strCache>
                <c:ptCount val="1"/>
                <c:pt idx="0">
                  <c:v>7000000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cat>
            <c:numRef>
              <c:f>[0]!Histo2_bins</c:f>
              <c:numCache>
                <c:formatCode>General</c:formatCode>
                <c:ptCount val="100"/>
              </c:numCache>
            </c:numRef>
          </c:cat>
          <c:val>
            <c:numRef>
              <c:f>[0]!Tab05_hist_putTime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0-7B45-49D9-B606-F6CBB9447E3B}"/>
            </c:ext>
          </c:extLst>
        </c:ser>
        <c:ser>
          <c:idx val="2"/>
          <c:order val="1"/>
          <c:tx>
            <c:strRef>
              <c:f>Plots!$D$19</c:f>
              <c:strCache>
                <c:ptCount val="1"/>
                <c:pt idx="0">
                  <c:v>10000000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cat>
            <c:numRef>
              <c:f>[0]!Histo2_bins</c:f>
              <c:numCache>
                <c:formatCode>General</c:formatCode>
                <c:ptCount val="100"/>
              </c:numCache>
            </c:numRef>
          </c:cat>
          <c:val>
            <c:numRef>
              <c:f>[0]!Tab06_hist_putTime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1-7B45-49D9-B606-F6CBB9447E3B}"/>
            </c:ext>
          </c:extLst>
        </c:ser>
        <c:ser>
          <c:idx val="3"/>
          <c:order val="2"/>
          <c:tx>
            <c:strRef>
              <c:f>Plots!$D$20</c:f>
              <c:strCache>
                <c:ptCount val="1"/>
                <c:pt idx="0">
                  <c:v>12000000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cat>
            <c:numRef>
              <c:f>[0]!Histo2_bins</c:f>
              <c:numCache>
                <c:formatCode>General</c:formatCode>
                <c:ptCount val="100"/>
              </c:numCache>
            </c:numRef>
          </c:cat>
          <c:val>
            <c:numRef>
              <c:f>[0]!Tab07_hist_putTime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2-7B45-49D9-B606-F6CBB9447E3B}"/>
            </c:ext>
          </c:extLst>
        </c:ser>
        <c:ser>
          <c:idx val="4"/>
          <c:order val="3"/>
          <c:tx>
            <c:strRef>
              <c:f>Plots!$D$21</c:f>
              <c:strCache>
                <c:ptCount val="1"/>
                <c:pt idx="0">
                  <c:v>15000000</c:v>
                </c:pt>
              </c:strCache>
            </c:strRef>
          </c:tx>
          <c:spPr>
            <a:solidFill>
              <a:srgbClr val="4BACC6"/>
            </a:solidFill>
            <a:ln w="25400">
              <a:noFill/>
            </a:ln>
          </c:spPr>
          <c:cat>
            <c:numRef>
              <c:f>[0]!Histo2_bins</c:f>
              <c:numCache>
                <c:formatCode>General</c:formatCode>
                <c:ptCount val="100"/>
              </c:numCache>
            </c:numRef>
          </c:cat>
          <c:val>
            <c:numRef>
              <c:f>[0]!Tab08_hist_putTime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3-7B45-49D9-B606-F6CBB9447E3B}"/>
            </c:ext>
          </c:extLst>
        </c:ser>
        <c:ser>
          <c:idx val="5"/>
          <c:order val="4"/>
          <c:tx>
            <c:strRef>
              <c:f>Plots!$D$22</c:f>
              <c:strCache>
                <c:ptCount val="1"/>
                <c:pt idx="0">
                  <c:v>17000000</c:v>
                </c:pt>
              </c:strCache>
            </c:strRef>
          </c:tx>
          <c:spPr>
            <a:solidFill>
              <a:srgbClr val="F79646"/>
            </a:solidFill>
            <a:ln w="25400">
              <a:noFill/>
            </a:ln>
          </c:spPr>
          <c:cat>
            <c:numRef>
              <c:f>[0]!Histo2_bins</c:f>
              <c:numCache>
                <c:formatCode>General</c:formatCode>
                <c:ptCount val="100"/>
              </c:numCache>
            </c:numRef>
          </c:cat>
          <c:val>
            <c:numRef>
              <c:f>[0]!Tab09_hist_putTime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4-7B45-49D9-B606-F6CBB9447E3B}"/>
            </c:ext>
          </c:extLst>
        </c:ser>
        <c:ser>
          <c:idx val="6"/>
          <c:order val="5"/>
          <c:tx>
            <c:strRef>
              <c:f>Plots!$D$23</c:f>
              <c:strCache>
                <c:ptCount val="1"/>
                <c:pt idx="0">
                  <c:v>20000000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[0]!Histo2_bins</c:f>
              <c:numCache>
                <c:formatCode>General</c:formatCode>
                <c:ptCount val="100"/>
              </c:numCache>
            </c:numRef>
          </c:cat>
          <c:val>
            <c:numRef>
              <c:f>[0]!Tab10_hist_putTime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5-7B45-49D9-B606-F6CBB9447E3B}"/>
            </c:ext>
          </c:extLst>
        </c:ser>
        <c:ser>
          <c:idx val="7"/>
          <c:order val="6"/>
          <c:tx>
            <c:strRef>
              <c:f>Plots!$D$24</c:f>
              <c:strCache>
                <c:ptCount val="1"/>
                <c:pt idx="0">
                  <c:v>22000000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cat>
            <c:numRef>
              <c:f>[0]!Histo2_bins</c:f>
              <c:numCache>
                <c:formatCode>General</c:formatCode>
                <c:ptCount val="100"/>
              </c:numCache>
            </c:numRef>
          </c:cat>
          <c:val>
            <c:numRef>
              <c:f>[0]!Tab11_hist_putTime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6-7B45-49D9-B606-F6CBB9447E3B}"/>
            </c:ext>
          </c:extLst>
        </c:ser>
        <c:ser>
          <c:idx val="0"/>
          <c:order val="7"/>
          <c:tx>
            <c:strRef>
              <c:f>Plots!$D$25</c:f>
              <c:strCache>
                <c:ptCount val="1"/>
                <c:pt idx="0">
                  <c:v>25000000</c:v>
                </c:pt>
              </c:strCache>
            </c:strRef>
          </c:tx>
          <c:spPr>
            <a:ln w="25400">
              <a:noFill/>
            </a:ln>
          </c:spPr>
          <c:cat>
            <c:numRef>
              <c:f>[0]!Histo2_bins</c:f>
              <c:numCache>
                <c:formatCode>General</c:formatCode>
                <c:ptCount val="100"/>
              </c:numCache>
            </c:numRef>
          </c:cat>
          <c:val>
            <c:numRef>
              <c:f>[0]!Tab12_hist_putTime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7-7B45-49D9-B606-F6CBB9447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706224"/>
        <c:axId val="1"/>
        <c:axId val="2"/>
        <c:extLst>
          <c:ext xmlns:c15="http://schemas.microsoft.com/office/drawing/2012/chart" uri="{02D57815-91ED-43cb-92C2-25804820EDAC}">
            <c15:filteredArea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Plots!$D$26</c15:sqref>
                        </c15:formulaRef>
                      </c:ext>
                    </c:extLst>
                    <c:strCache>
                      <c:ptCount val="1"/>
                      <c:pt idx="0">
                        <c:v>27000000</c:v>
                      </c:pt>
                    </c:strCache>
                  </c:strRef>
                </c:tx>
                <c:spPr>
                  <a:ln w="25400">
                    <a:noFill/>
                  </a:ln>
                </c:spPr>
                <c:cat>
                  <c:numRef>
                    <c:extLst>
                      <c:ext uri="{02D57815-91ED-43cb-92C2-25804820EDAC}">
                        <c15:formulaRef>
                          <c15:sqref>[0]!Histo2_bins</c15:sqref>
                        </c15:formulaRef>
                      </c:ext>
                    </c:extLst>
                    <c:numCache>
                      <c:formatCode>General</c:formatCode>
                      <c:ptCount val="100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'Time Series'!#REF!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7B45-49D9-B606-F6CBB9447E3B}"/>
                  </c:ext>
                </c:extLst>
              </c15:ser>
            </c15:filteredAreaSeries>
          </c:ext>
        </c:extLst>
      </c:area3DChart>
      <c:catAx>
        <c:axId val="1531706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Net send time us</a:t>
                </a:r>
              </a:p>
            </c:rich>
          </c:tx>
          <c:layout>
            <c:manualLayout>
              <c:xMode val="edge"/>
              <c:yMode val="edge"/>
              <c:x val="0.278568405511811"/>
              <c:y val="0.812150740193620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logBase val="10"/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Number</a:t>
                </a:r>
              </a:p>
            </c:rich>
          </c:tx>
          <c:layout>
            <c:manualLayout>
              <c:xMode val="edge"/>
              <c:yMode val="edge"/>
              <c:x val="7.9767060367454071E-3"/>
              <c:y val="0.325706877001820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31706224"/>
        <c:crosses val="autoZero"/>
        <c:crossBetween val="midCat"/>
      </c:valAx>
      <c:serAx>
        <c:axId val="2"/>
        <c:scaling>
          <c:orientation val="maxMin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TCP Buffer size MBytes</a:t>
                </a:r>
              </a:p>
            </c:rich>
          </c:tx>
          <c:layout>
            <c:manualLayout>
              <c:xMode val="edge"/>
              <c:yMode val="edge"/>
              <c:x val="0.89039583333333328"/>
              <c:y val="0.5448387475661927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813231740024112"/>
          <c:y val="0.94424456530420597"/>
          <c:w val="0.54532999159372708"/>
          <c:h val="3.719125202511095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3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'Flow Time Series'!$L$2</c:f>
          <c:strCache>
            <c:ptCount val="1"/>
            <c:pt idx="0">
              <c:v>DTNlon-RALxrootd01_tcpmon_mon_bufscan_13Mar24 TCPbuf 25000 MBytes</c:v>
            </c:pt>
          </c:strCache>
        </c:strRef>
      </c:tx>
      <c:layout>
        <c:manualLayout>
          <c:xMode val="edge"/>
          <c:yMode val="edge"/>
          <c:x val="8.8500656167978999E-3"/>
          <c:y val="2.36406904568683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98182689771742"/>
          <c:y val="0.17572652815988363"/>
          <c:w val="0.77673140966788345"/>
          <c:h val="0.61447754891729955"/>
        </c:manualLayout>
      </c:layout>
      <c:scatterChart>
        <c:scatterStyle val="lineMarker"/>
        <c:varyColors val="0"/>
        <c:ser>
          <c:idx val="0"/>
          <c:order val="0"/>
          <c:tx>
            <c:v>Rate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[0]!Tab12_flow_time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[0]!Tab12_flow_rate</c:f>
              <c:numCache>
                <c:formatCode>General</c:formatCode>
                <c:ptCount val="29"/>
                <c:pt idx="0">
                  <c:v>12.47</c:v>
                </c:pt>
                <c:pt idx="1">
                  <c:v>7.06</c:v>
                </c:pt>
                <c:pt idx="2">
                  <c:v>7.6</c:v>
                </c:pt>
                <c:pt idx="3">
                  <c:v>5.82</c:v>
                </c:pt>
                <c:pt idx="4">
                  <c:v>6.46</c:v>
                </c:pt>
                <c:pt idx="5">
                  <c:v>6.4</c:v>
                </c:pt>
                <c:pt idx="6">
                  <c:v>6.12</c:v>
                </c:pt>
                <c:pt idx="7">
                  <c:v>5.1100000000000003</c:v>
                </c:pt>
                <c:pt idx="8">
                  <c:v>6.35</c:v>
                </c:pt>
                <c:pt idx="9">
                  <c:v>6.96</c:v>
                </c:pt>
                <c:pt idx="10">
                  <c:v>9.85</c:v>
                </c:pt>
                <c:pt idx="11">
                  <c:v>6.27</c:v>
                </c:pt>
                <c:pt idx="12">
                  <c:v>6.93</c:v>
                </c:pt>
                <c:pt idx="13">
                  <c:v>6.75</c:v>
                </c:pt>
                <c:pt idx="14">
                  <c:v>5.38</c:v>
                </c:pt>
                <c:pt idx="15">
                  <c:v>6.38</c:v>
                </c:pt>
                <c:pt idx="16">
                  <c:v>9</c:v>
                </c:pt>
                <c:pt idx="17">
                  <c:v>4.66</c:v>
                </c:pt>
                <c:pt idx="18">
                  <c:v>6.95</c:v>
                </c:pt>
                <c:pt idx="19">
                  <c:v>7.24</c:v>
                </c:pt>
                <c:pt idx="20">
                  <c:v>6.4</c:v>
                </c:pt>
                <c:pt idx="21">
                  <c:v>7.54</c:v>
                </c:pt>
                <c:pt idx="22">
                  <c:v>6.71</c:v>
                </c:pt>
                <c:pt idx="23">
                  <c:v>6.3</c:v>
                </c:pt>
                <c:pt idx="24">
                  <c:v>7.28</c:v>
                </c:pt>
                <c:pt idx="25">
                  <c:v>6.44</c:v>
                </c:pt>
                <c:pt idx="26">
                  <c:v>6.53</c:v>
                </c:pt>
                <c:pt idx="27">
                  <c:v>7.24</c:v>
                </c:pt>
                <c:pt idx="28">
                  <c:v>6.22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7B-4A71-8D48-2201C50EC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09456"/>
        <c:axId val="1"/>
      </c:scatterChart>
      <c:scatterChart>
        <c:scatterStyle val="lineMarker"/>
        <c:varyColors val="0"/>
        <c:ser>
          <c:idx val="1"/>
          <c:order val="1"/>
          <c:tx>
            <c:v>retrans</c:v>
          </c:tx>
          <c:spPr>
            <a:ln w="12700"/>
          </c:spPr>
          <c:marker>
            <c:symbol val="square"/>
            <c:size val="3"/>
          </c:marker>
          <c:xVal>
            <c:numRef>
              <c:f>[0]!Tab12_flow_time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[0]!Tab12_flow_retrans</c:f>
              <c:numCache>
                <c:formatCode>General</c:formatCode>
                <c:ptCount val="29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4</c:v>
                </c:pt>
                <c:pt idx="7">
                  <c:v>8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6</c:v>
                </c:pt>
                <c:pt idx="14">
                  <c:v>6</c:v>
                </c:pt>
                <c:pt idx="15">
                  <c:v>2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5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7B-4A71-8D48-2201C50EC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163248"/>
        <c:axId val="823160752"/>
      </c:scatterChart>
      <c:valAx>
        <c:axId val="135890945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through flow s</a:t>
                </a:r>
              </a:p>
            </c:rich>
          </c:tx>
          <c:layout>
            <c:manualLayout>
              <c:xMode val="edge"/>
              <c:yMode val="edge"/>
              <c:x val="0.45804405740310905"/>
              <c:y val="0.86966021139249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Rate</a:t>
                </a:r>
                <a:r>
                  <a:rPr lang="en-GB" baseline="0"/>
                  <a:t> Gbit/s</a:t>
                </a:r>
                <a:endParaRPr lang="en-GB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09456"/>
        <c:crosses val="autoZero"/>
        <c:crossBetween val="midCat"/>
      </c:valAx>
      <c:valAx>
        <c:axId val="8231607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 re-transmit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823163248"/>
        <c:crosses val="max"/>
        <c:crossBetween val="midCat"/>
      </c:valAx>
      <c:valAx>
        <c:axId val="82316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31607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'Flow Time Series'!$L$1</c:f>
          <c:strCache>
            <c:ptCount val="1"/>
            <c:pt idx="0">
              <c:v>DTNlon-RALxrootd01_tcpmon_mon_bufscan_13Mar24 TCPbuf 22000 MBytes</c:v>
            </c:pt>
          </c:strCache>
        </c:strRef>
      </c:tx>
      <c:layout>
        <c:manualLayout>
          <c:xMode val="edge"/>
          <c:yMode val="edge"/>
          <c:x val="8.8500656167978999E-3"/>
          <c:y val="2.36406904568683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98182689771742"/>
          <c:y val="0.17572652815988363"/>
          <c:w val="0.77464742508936935"/>
          <c:h val="0.61447754891729955"/>
        </c:manualLayout>
      </c:layout>
      <c:scatterChart>
        <c:scatterStyle val="lineMarker"/>
        <c:varyColors val="0"/>
        <c:ser>
          <c:idx val="0"/>
          <c:order val="0"/>
          <c:tx>
            <c:v>Rate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[0]!Tab11_flow_time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[0]!Tab11_flow_rate</c:f>
              <c:numCache>
                <c:formatCode>General</c:formatCode>
                <c:ptCount val="29"/>
                <c:pt idx="0">
                  <c:v>27.45</c:v>
                </c:pt>
                <c:pt idx="1">
                  <c:v>29.76</c:v>
                </c:pt>
                <c:pt idx="2">
                  <c:v>29.83</c:v>
                </c:pt>
                <c:pt idx="3">
                  <c:v>29.75</c:v>
                </c:pt>
                <c:pt idx="4">
                  <c:v>29.76</c:v>
                </c:pt>
                <c:pt idx="5">
                  <c:v>29.78</c:v>
                </c:pt>
                <c:pt idx="6">
                  <c:v>29.81</c:v>
                </c:pt>
                <c:pt idx="7">
                  <c:v>29.77</c:v>
                </c:pt>
                <c:pt idx="8">
                  <c:v>29.77</c:v>
                </c:pt>
                <c:pt idx="9">
                  <c:v>29.78</c:v>
                </c:pt>
                <c:pt idx="10">
                  <c:v>29.77</c:v>
                </c:pt>
                <c:pt idx="11">
                  <c:v>29.76</c:v>
                </c:pt>
                <c:pt idx="12">
                  <c:v>29.78</c:v>
                </c:pt>
                <c:pt idx="13">
                  <c:v>29.81</c:v>
                </c:pt>
                <c:pt idx="14">
                  <c:v>29.76</c:v>
                </c:pt>
                <c:pt idx="15">
                  <c:v>29.81</c:v>
                </c:pt>
                <c:pt idx="16">
                  <c:v>29.76</c:v>
                </c:pt>
                <c:pt idx="17">
                  <c:v>29.79</c:v>
                </c:pt>
                <c:pt idx="18">
                  <c:v>29.78</c:v>
                </c:pt>
                <c:pt idx="19">
                  <c:v>29.77</c:v>
                </c:pt>
                <c:pt idx="20">
                  <c:v>29.78</c:v>
                </c:pt>
                <c:pt idx="21">
                  <c:v>29.78</c:v>
                </c:pt>
                <c:pt idx="22">
                  <c:v>29.77</c:v>
                </c:pt>
                <c:pt idx="23">
                  <c:v>29.78</c:v>
                </c:pt>
                <c:pt idx="24">
                  <c:v>29.8</c:v>
                </c:pt>
                <c:pt idx="25">
                  <c:v>29.76</c:v>
                </c:pt>
                <c:pt idx="26">
                  <c:v>29.8</c:v>
                </c:pt>
                <c:pt idx="27">
                  <c:v>29.79</c:v>
                </c:pt>
                <c:pt idx="28">
                  <c:v>29.78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5-4FF3-B8F4-50154514A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09456"/>
        <c:axId val="1"/>
      </c:scatterChart>
      <c:scatterChart>
        <c:scatterStyle val="lineMarker"/>
        <c:varyColors val="0"/>
        <c:ser>
          <c:idx val="1"/>
          <c:order val="1"/>
          <c:tx>
            <c:v>retrans</c:v>
          </c:tx>
          <c:spPr>
            <a:ln w="12700"/>
          </c:spPr>
          <c:marker>
            <c:symbol val="square"/>
            <c:size val="3"/>
          </c:marker>
          <c:xVal>
            <c:numRef>
              <c:f>[0]!Tab11_flow_time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[0]!Tab11_flow_retrans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5-4FF3-B8F4-50154514A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163248"/>
        <c:axId val="823160752"/>
      </c:scatterChart>
      <c:valAx>
        <c:axId val="135890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through flow s</a:t>
                </a:r>
              </a:p>
            </c:rich>
          </c:tx>
          <c:layout>
            <c:manualLayout>
              <c:xMode val="edge"/>
              <c:yMode val="edge"/>
              <c:x val="0.45804405740310905"/>
              <c:y val="0.86966021139249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Rate</a:t>
                </a:r>
                <a:r>
                  <a:rPr lang="en-GB" baseline="0"/>
                  <a:t> Gbit/s</a:t>
                </a:r>
                <a:endParaRPr lang="en-GB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09456"/>
        <c:crosses val="autoZero"/>
        <c:crossBetween val="midCat"/>
      </c:valAx>
      <c:valAx>
        <c:axId val="8231607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 re-transmit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823163248"/>
        <c:crosses val="max"/>
        <c:crossBetween val="midCat"/>
      </c:valAx>
      <c:valAx>
        <c:axId val="82316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31607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'Flow Time Series'!$B$3</c:f>
          <c:strCache>
            <c:ptCount val="1"/>
            <c:pt idx="0">
              <c:v>DTNlon-RALxrootd01_tcpmon_mon_bufscan_13Mar24 TCPbuf 20000 MBytes</c:v>
            </c:pt>
          </c:strCache>
        </c:strRef>
      </c:tx>
      <c:layout>
        <c:manualLayout>
          <c:xMode val="edge"/>
          <c:yMode val="edge"/>
          <c:x val="6.7660579626671394E-3"/>
          <c:y val="2.364060001855277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98182689771742"/>
          <c:y val="0.17572652815988363"/>
          <c:w val="0.77256344051085513"/>
          <c:h val="0.61447754891729955"/>
        </c:manualLayout>
      </c:layout>
      <c:scatterChart>
        <c:scatterStyle val="lineMarker"/>
        <c:varyColors val="0"/>
        <c:ser>
          <c:idx val="0"/>
          <c:order val="0"/>
          <c:tx>
            <c:v>Rate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[0]!Tab10_flow_time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[0]!Tab10_flow_rate</c:f>
              <c:numCache>
                <c:formatCode>General</c:formatCode>
                <c:ptCount val="29"/>
                <c:pt idx="0">
                  <c:v>27.29</c:v>
                </c:pt>
                <c:pt idx="1">
                  <c:v>29.77</c:v>
                </c:pt>
                <c:pt idx="2">
                  <c:v>29.78</c:v>
                </c:pt>
                <c:pt idx="3">
                  <c:v>29.79</c:v>
                </c:pt>
                <c:pt idx="4">
                  <c:v>29.75</c:v>
                </c:pt>
                <c:pt idx="5">
                  <c:v>29.82</c:v>
                </c:pt>
                <c:pt idx="6">
                  <c:v>29.76</c:v>
                </c:pt>
                <c:pt idx="7">
                  <c:v>29.78</c:v>
                </c:pt>
                <c:pt idx="8">
                  <c:v>29.76</c:v>
                </c:pt>
                <c:pt idx="9">
                  <c:v>29.79</c:v>
                </c:pt>
                <c:pt idx="10">
                  <c:v>29.81</c:v>
                </c:pt>
                <c:pt idx="11">
                  <c:v>29.75</c:v>
                </c:pt>
                <c:pt idx="12">
                  <c:v>29.79</c:v>
                </c:pt>
                <c:pt idx="13">
                  <c:v>29.78</c:v>
                </c:pt>
                <c:pt idx="14">
                  <c:v>29.78</c:v>
                </c:pt>
                <c:pt idx="15">
                  <c:v>29.79</c:v>
                </c:pt>
                <c:pt idx="16">
                  <c:v>29.77</c:v>
                </c:pt>
                <c:pt idx="17">
                  <c:v>29.76</c:v>
                </c:pt>
                <c:pt idx="18">
                  <c:v>29.78</c:v>
                </c:pt>
                <c:pt idx="19">
                  <c:v>29.81</c:v>
                </c:pt>
                <c:pt idx="20">
                  <c:v>29.75</c:v>
                </c:pt>
                <c:pt idx="21">
                  <c:v>29.8</c:v>
                </c:pt>
                <c:pt idx="22">
                  <c:v>29.79</c:v>
                </c:pt>
                <c:pt idx="23">
                  <c:v>29.76</c:v>
                </c:pt>
                <c:pt idx="24">
                  <c:v>29.78</c:v>
                </c:pt>
                <c:pt idx="25">
                  <c:v>29.78</c:v>
                </c:pt>
                <c:pt idx="26">
                  <c:v>29.78</c:v>
                </c:pt>
                <c:pt idx="27">
                  <c:v>29.8</c:v>
                </c:pt>
                <c:pt idx="28">
                  <c:v>29.79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9-4901-9755-00B6D4F4C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09456"/>
        <c:axId val="1"/>
      </c:scatterChart>
      <c:scatterChart>
        <c:scatterStyle val="lineMarker"/>
        <c:varyColors val="0"/>
        <c:ser>
          <c:idx val="1"/>
          <c:order val="1"/>
          <c:tx>
            <c:v>retrans</c:v>
          </c:tx>
          <c:spPr>
            <a:ln w="12700"/>
          </c:spPr>
          <c:marker>
            <c:symbol val="square"/>
            <c:size val="3"/>
          </c:marker>
          <c:xVal>
            <c:numRef>
              <c:f>[0]!Tab10_flow_time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[0]!Tab10_flow_retrans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E9-4901-9755-00B6D4F4C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163248"/>
        <c:axId val="823160752"/>
      </c:scatterChart>
      <c:valAx>
        <c:axId val="135890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through flow s</a:t>
                </a:r>
              </a:p>
            </c:rich>
          </c:tx>
          <c:layout>
            <c:manualLayout>
              <c:xMode val="edge"/>
              <c:yMode val="edge"/>
              <c:x val="0.45804405740310905"/>
              <c:y val="0.86966021139249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Rate</a:t>
                </a:r>
                <a:r>
                  <a:rPr lang="en-GB" baseline="0"/>
                  <a:t> Gbit/s</a:t>
                </a:r>
                <a:endParaRPr lang="en-GB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09456"/>
        <c:crosses val="autoZero"/>
        <c:crossBetween val="midCat"/>
      </c:valAx>
      <c:valAx>
        <c:axId val="8231607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 re-transmit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823163248"/>
        <c:crosses val="max"/>
        <c:crossBetween val="midCat"/>
      </c:valAx>
      <c:valAx>
        <c:axId val="82316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31607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'Flow Time Series'!$L$2</c:f>
          <c:strCache>
            <c:ptCount val="1"/>
            <c:pt idx="0">
              <c:v>DTNlon-RALxrootd01_tcpmon_mon_bufscan_13Mar24 TCPbuf 25000 MBytes</c:v>
            </c:pt>
          </c:strCache>
        </c:strRef>
      </c:tx>
      <c:layout>
        <c:manualLayout>
          <c:xMode val="edge"/>
          <c:yMode val="edge"/>
          <c:x val="8.8500656167978999E-3"/>
          <c:y val="2.36406904568683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98182689771742"/>
          <c:y val="0.17572652815988363"/>
          <c:w val="0.77673140966788345"/>
          <c:h val="0.61447754891729955"/>
        </c:manualLayout>
      </c:layout>
      <c:scatterChart>
        <c:scatterStyle val="lineMarker"/>
        <c:varyColors val="0"/>
        <c:ser>
          <c:idx val="0"/>
          <c:order val="0"/>
          <c:tx>
            <c:v>Rate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[0]!Tab12_flow_time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[0]!Tab12_flow_rate</c:f>
              <c:numCache>
                <c:formatCode>General</c:formatCode>
                <c:ptCount val="29"/>
                <c:pt idx="0">
                  <c:v>12.47</c:v>
                </c:pt>
                <c:pt idx="1">
                  <c:v>7.06</c:v>
                </c:pt>
                <c:pt idx="2">
                  <c:v>7.6</c:v>
                </c:pt>
                <c:pt idx="3">
                  <c:v>5.82</c:v>
                </c:pt>
                <c:pt idx="4">
                  <c:v>6.46</c:v>
                </c:pt>
                <c:pt idx="5">
                  <c:v>6.4</c:v>
                </c:pt>
                <c:pt idx="6">
                  <c:v>6.12</c:v>
                </c:pt>
                <c:pt idx="7">
                  <c:v>5.1100000000000003</c:v>
                </c:pt>
                <c:pt idx="8">
                  <c:v>6.35</c:v>
                </c:pt>
                <c:pt idx="9">
                  <c:v>6.96</c:v>
                </c:pt>
                <c:pt idx="10">
                  <c:v>9.85</c:v>
                </c:pt>
                <c:pt idx="11">
                  <c:v>6.27</c:v>
                </c:pt>
                <c:pt idx="12">
                  <c:v>6.93</c:v>
                </c:pt>
                <c:pt idx="13">
                  <c:v>6.75</c:v>
                </c:pt>
                <c:pt idx="14">
                  <c:v>5.38</c:v>
                </c:pt>
                <c:pt idx="15">
                  <c:v>6.38</c:v>
                </c:pt>
                <c:pt idx="16">
                  <c:v>9</c:v>
                </c:pt>
                <c:pt idx="17">
                  <c:v>4.66</c:v>
                </c:pt>
                <c:pt idx="18">
                  <c:v>6.95</c:v>
                </c:pt>
                <c:pt idx="19">
                  <c:v>7.24</c:v>
                </c:pt>
                <c:pt idx="20">
                  <c:v>6.4</c:v>
                </c:pt>
                <c:pt idx="21">
                  <c:v>7.54</c:v>
                </c:pt>
                <c:pt idx="22">
                  <c:v>6.71</c:v>
                </c:pt>
                <c:pt idx="23">
                  <c:v>6.3</c:v>
                </c:pt>
                <c:pt idx="24">
                  <c:v>7.28</c:v>
                </c:pt>
                <c:pt idx="25">
                  <c:v>6.44</c:v>
                </c:pt>
                <c:pt idx="26">
                  <c:v>6.53</c:v>
                </c:pt>
                <c:pt idx="27">
                  <c:v>7.24</c:v>
                </c:pt>
                <c:pt idx="28">
                  <c:v>6.22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0-4EC2-9062-ABB1CEF76A50}"/>
            </c:ext>
          </c:extLst>
        </c:ser>
        <c:ser>
          <c:idx val="2"/>
          <c:order val="2"/>
          <c:tx>
            <c:v>cwnd</c:v>
          </c:tx>
          <c:spPr>
            <a:ln w="12700">
              <a:solidFill>
                <a:srgbClr val="00B0F0"/>
              </a:solidFill>
            </a:ln>
          </c:spPr>
          <c:marker>
            <c:symbol val="triangle"/>
            <c:size val="2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[0]!Tab12_flow_time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[0]!Tab12_flow_cwnd</c:f>
              <c:numCache>
                <c:formatCode>General</c:formatCode>
                <c:ptCount val="29"/>
                <c:pt idx="0">
                  <c:v>4.83</c:v>
                </c:pt>
                <c:pt idx="1">
                  <c:v>3.34</c:v>
                </c:pt>
                <c:pt idx="2">
                  <c:v>1.91</c:v>
                </c:pt>
                <c:pt idx="3">
                  <c:v>2.71</c:v>
                </c:pt>
                <c:pt idx="4">
                  <c:v>2.85</c:v>
                </c:pt>
                <c:pt idx="5">
                  <c:v>2.02</c:v>
                </c:pt>
                <c:pt idx="6">
                  <c:v>3.22</c:v>
                </c:pt>
                <c:pt idx="7">
                  <c:v>1.55</c:v>
                </c:pt>
                <c:pt idx="8">
                  <c:v>2.5099999999999998</c:v>
                </c:pt>
                <c:pt idx="9">
                  <c:v>2.97</c:v>
                </c:pt>
                <c:pt idx="10">
                  <c:v>1.85</c:v>
                </c:pt>
                <c:pt idx="11">
                  <c:v>1.93</c:v>
                </c:pt>
                <c:pt idx="12">
                  <c:v>3.67</c:v>
                </c:pt>
                <c:pt idx="13">
                  <c:v>1.7</c:v>
                </c:pt>
                <c:pt idx="14">
                  <c:v>1.26</c:v>
                </c:pt>
                <c:pt idx="15">
                  <c:v>2.78</c:v>
                </c:pt>
                <c:pt idx="16">
                  <c:v>1.42</c:v>
                </c:pt>
                <c:pt idx="17">
                  <c:v>2.64</c:v>
                </c:pt>
                <c:pt idx="18">
                  <c:v>2.4</c:v>
                </c:pt>
                <c:pt idx="19">
                  <c:v>1.52</c:v>
                </c:pt>
                <c:pt idx="20">
                  <c:v>2.2799999999999998</c:v>
                </c:pt>
                <c:pt idx="21">
                  <c:v>2.5</c:v>
                </c:pt>
                <c:pt idx="22">
                  <c:v>1.82</c:v>
                </c:pt>
                <c:pt idx="23">
                  <c:v>2.74</c:v>
                </c:pt>
                <c:pt idx="24">
                  <c:v>2.33</c:v>
                </c:pt>
                <c:pt idx="25">
                  <c:v>1.66</c:v>
                </c:pt>
                <c:pt idx="26">
                  <c:v>2.56</c:v>
                </c:pt>
                <c:pt idx="27">
                  <c:v>2.1</c:v>
                </c:pt>
                <c:pt idx="28">
                  <c:v>1.71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0-4EC2-9062-ABB1CEF76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09456"/>
        <c:axId val="1"/>
      </c:scatterChart>
      <c:scatterChart>
        <c:scatterStyle val="lineMarker"/>
        <c:varyColors val="0"/>
        <c:ser>
          <c:idx val="1"/>
          <c:order val="1"/>
          <c:tx>
            <c:v>retrans</c:v>
          </c:tx>
          <c:spPr>
            <a:ln w="12700"/>
          </c:spPr>
          <c:marker>
            <c:symbol val="square"/>
            <c:size val="2"/>
          </c:marker>
          <c:xVal>
            <c:numRef>
              <c:f>[0]!Tab12_flow_time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[0]!Tab12_flow_retrans</c:f>
              <c:numCache>
                <c:formatCode>General</c:formatCode>
                <c:ptCount val="29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4</c:v>
                </c:pt>
                <c:pt idx="7">
                  <c:v>8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6</c:v>
                </c:pt>
                <c:pt idx="14">
                  <c:v>6</c:v>
                </c:pt>
                <c:pt idx="15">
                  <c:v>2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5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0-4EC2-9062-ABB1CEF76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163248"/>
        <c:axId val="823160752"/>
      </c:scatterChart>
      <c:valAx>
        <c:axId val="135890945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through flow s</a:t>
                </a:r>
              </a:p>
            </c:rich>
          </c:tx>
          <c:layout>
            <c:manualLayout>
              <c:xMode val="edge"/>
              <c:yMode val="edge"/>
              <c:x val="0.45804405740310905"/>
              <c:y val="0.86966021139249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Rate</a:t>
                </a:r>
                <a:r>
                  <a:rPr lang="en-GB" baseline="0"/>
                  <a:t> Gbit/s</a:t>
                </a:r>
                <a:endParaRPr lang="en-GB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09456"/>
        <c:crosses val="autoZero"/>
        <c:crossBetween val="midCat"/>
      </c:valAx>
      <c:valAx>
        <c:axId val="8231607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 re-transmit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823163248"/>
        <c:crosses val="max"/>
        <c:crossBetween val="midCat"/>
      </c:valAx>
      <c:valAx>
        <c:axId val="82316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31607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744083411892988"/>
          <c:y val="2.6203715716783947E-2"/>
          <c:w val="0.12347641446350935"/>
          <c:h val="0.18717224159581025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'Flow Time Series'!$L$1</c:f>
          <c:strCache>
            <c:ptCount val="1"/>
            <c:pt idx="0">
              <c:v>DTNlon-RALxrootd01_tcpmon_mon_bufscan_13Mar24 TCPbuf 22000 MBytes</c:v>
            </c:pt>
          </c:strCache>
        </c:strRef>
      </c:tx>
      <c:layout>
        <c:manualLayout>
          <c:xMode val="edge"/>
          <c:yMode val="edge"/>
          <c:x val="8.8499980959769395E-3"/>
          <c:y val="1.9099208891287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98182689771742"/>
          <c:y val="0.17572652815988363"/>
          <c:w val="0.77673140966788345"/>
          <c:h val="0.61447754891729955"/>
        </c:manualLayout>
      </c:layout>
      <c:scatterChart>
        <c:scatterStyle val="lineMarker"/>
        <c:varyColors val="0"/>
        <c:ser>
          <c:idx val="0"/>
          <c:order val="0"/>
          <c:tx>
            <c:v>Rate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[0]!Tab11_flow_time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[0]!Tab11_flow_rate</c:f>
              <c:numCache>
                <c:formatCode>General</c:formatCode>
                <c:ptCount val="29"/>
                <c:pt idx="0">
                  <c:v>27.45</c:v>
                </c:pt>
                <c:pt idx="1">
                  <c:v>29.76</c:v>
                </c:pt>
                <c:pt idx="2">
                  <c:v>29.83</c:v>
                </c:pt>
                <c:pt idx="3">
                  <c:v>29.75</c:v>
                </c:pt>
                <c:pt idx="4">
                  <c:v>29.76</c:v>
                </c:pt>
                <c:pt idx="5">
                  <c:v>29.78</c:v>
                </c:pt>
                <c:pt idx="6">
                  <c:v>29.81</c:v>
                </c:pt>
                <c:pt idx="7">
                  <c:v>29.77</c:v>
                </c:pt>
                <c:pt idx="8">
                  <c:v>29.77</c:v>
                </c:pt>
                <c:pt idx="9">
                  <c:v>29.78</c:v>
                </c:pt>
                <c:pt idx="10">
                  <c:v>29.77</c:v>
                </c:pt>
                <c:pt idx="11">
                  <c:v>29.76</c:v>
                </c:pt>
                <c:pt idx="12">
                  <c:v>29.78</c:v>
                </c:pt>
                <c:pt idx="13">
                  <c:v>29.81</c:v>
                </c:pt>
                <c:pt idx="14">
                  <c:v>29.76</c:v>
                </c:pt>
                <c:pt idx="15">
                  <c:v>29.81</c:v>
                </c:pt>
                <c:pt idx="16">
                  <c:v>29.76</c:v>
                </c:pt>
                <c:pt idx="17">
                  <c:v>29.79</c:v>
                </c:pt>
                <c:pt idx="18">
                  <c:v>29.78</c:v>
                </c:pt>
                <c:pt idx="19">
                  <c:v>29.77</c:v>
                </c:pt>
                <c:pt idx="20">
                  <c:v>29.78</c:v>
                </c:pt>
                <c:pt idx="21">
                  <c:v>29.78</c:v>
                </c:pt>
                <c:pt idx="22">
                  <c:v>29.77</c:v>
                </c:pt>
                <c:pt idx="23">
                  <c:v>29.78</c:v>
                </c:pt>
                <c:pt idx="24">
                  <c:v>29.8</c:v>
                </c:pt>
                <c:pt idx="25">
                  <c:v>29.76</c:v>
                </c:pt>
                <c:pt idx="26">
                  <c:v>29.8</c:v>
                </c:pt>
                <c:pt idx="27">
                  <c:v>29.79</c:v>
                </c:pt>
                <c:pt idx="28">
                  <c:v>29.78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76-4424-91EE-CDED72AE4290}"/>
            </c:ext>
          </c:extLst>
        </c:ser>
        <c:ser>
          <c:idx val="2"/>
          <c:order val="2"/>
          <c:tx>
            <c:v>cwnd</c:v>
          </c:tx>
          <c:spPr>
            <a:ln w="12700">
              <a:solidFill>
                <a:srgbClr val="00B0F0"/>
              </a:solidFill>
            </a:ln>
          </c:spPr>
          <c:marker>
            <c:symbol val="triangl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[0]!Tab11_flow_time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[0]!Tab11_flow_cwnd</c:f>
              <c:numCache>
                <c:formatCode>General</c:formatCode>
                <c:ptCount val="29"/>
                <c:pt idx="0">
                  <c:v>10.41</c:v>
                </c:pt>
                <c:pt idx="1">
                  <c:v>10.41</c:v>
                </c:pt>
                <c:pt idx="2">
                  <c:v>10.41</c:v>
                </c:pt>
                <c:pt idx="3">
                  <c:v>10.41</c:v>
                </c:pt>
                <c:pt idx="4">
                  <c:v>10.41</c:v>
                </c:pt>
                <c:pt idx="5">
                  <c:v>10.41</c:v>
                </c:pt>
                <c:pt idx="6">
                  <c:v>10.41</c:v>
                </c:pt>
                <c:pt idx="7">
                  <c:v>10.41</c:v>
                </c:pt>
                <c:pt idx="8">
                  <c:v>10.41</c:v>
                </c:pt>
                <c:pt idx="9">
                  <c:v>10.41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10.6</c:v>
                </c:pt>
                <c:pt idx="24">
                  <c:v>10.6</c:v>
                </c:pt>
                <c:pt idx="25">
                  <c:v>10.6</c:v>
                </c:pt>
                <c:pt idx="26">
                  <c:v>10.6</c:v>
                </c:pt>
                <c:pt idx="27">
                  <c:v>10.6</c:v>
                </c:pt>
                <c:pt idx="28">
                  <c:v>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76-4424-91EE-CDED72AE4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09456"/>
        <c:axId val="1"/>
      </c:scatterChart>
      <c:scatterChart>
        <c:scatterStyle val="lineMarker"/>
        <c:varyColors val="0"/>
        <c:ser>
          <c:idx val="1"/>
          <c:order val="1"/>
          <c:tx>
            <c:v>retrans</c:v>
          </c:tx>
          <c:spPr>
            <a:ln w="12700"/>
          </c:spPr>
          <c:marker>
            <c:symbol val="square"/>
            <c:size val="2"/>
          </c:marker>
          <c:xVal>
            <c:numRef>
              <c:f>[0]!Tab11_flow_time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[0]!Tab11_flow_retrans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76-4424-91EE-CDED72AE4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163248"/>
        <c:axId val="823160752"/>
      </c:scatterChart>
      <c:valAx>
        <c:axId val="135890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through flow s</a:t>
                </a:r>
              </a:p>
            </c:rich>
          </c:tx>
          <c:layout>
            <c:manualLayout>
              <c:xMode val="edge"/>
              <c:yMode val="edge"/>
              <c:x val="0.45804405740310905"/>
              <c:y val="0.86966021139249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Rate</a:t>
                </a:r>
                <a:r>
                  <a:rPr lang="en-GB" baseline="0"/>
                  <a:t> Gbit/s</a:t>
                </a:r>
                <a:endParaRPr lang="en-GB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09456"/>
        <c:crosses val="autoZero"/>
        <c:crossBetween val="midCat"/>
      </c:valAx>
      <c:valAx>
        <c:axId val="8231607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 re-transmit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823163248"/>
        <c:crosses val="max"/>
        <c:crossBetween val="midCat"/>
      </c:valAx>
      <c:valAx>
        <c:axId val="82316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31607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744083411892988"/>
          <c:y val="2.1587850791672043E-2"/>
          <c:w val="0.12347641446350935"/>
          <c:h val="0.15024632421755035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'Flow Time Series'!$B$3</c:f>
          <c:strCache>
            <c:ptCount val="1"/>
            <c:pt idx="0">
              <c:v>DTNlon-RALxrootd01_tcpmon_mon_bufscan_13Mar24 TCPbuf 20000 MBytes</c:v>
            </c:pt>
          </c:strCache>
        </c:strRef>
      </c:tx>
      <c:layout>
        <c:manualLayout>
          <c:xMode val="edge"/>
          <c:yMode val="edge"/>
          <c:x val="6.7660579626671394E-3"/>
          <c:y val="2.364060001855277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98182689771742"/>
          <c:y val="0.17572652815988363"/>
          <c:w val="0.77256344051085513"/>
          <c:h val="0.61447754891729955"/>
        </c:manualLayout>
      </c:layout>
      <c:scatterChart>
        <c:scatterStyle val="lineMarker"/>
        <c:varyColors val="0"/>
        <c:ser>
          <c:idx val="0"/>
          <c:order val="0"/>
          <c:tx>
            <c:v>Rate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[0]!Tab10_flow_time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[0]!Tab10_flow_rate</c:f>
              <c:numCache>
                <c:formatCode>General</c:formatCode>
                <c:ptCount val="29"/>
                <c:pt idx="0">
                  <c:v>27.29</c:v>
                </c:pt>
                <c:pt idx="1">
                  <c:v>29.77</c:v>
                </c:pt>
                <c:pt idx="2">
                  <c:v>29.78</c:v>
                </c:pt>
                <c:pt idx="3">
                  <c:v>29.79</c:v>
                </c:pt>
                <c:pt idx="4">
                  <c:v>29.75</c:v>
                </c:pt>
                <c:pt idx="5">
                  <c:v>29.82</c:v>
                </c:pt>
                <c:pt idx="6">
                  <c:v>29.76</c:v>
                </c:pt>
                <c:pt idx="7">
                  <c:v>29.78</c:v>
                </c:pt>
                <c:pt idx="8">
                  <c:v>29.76</c:v>
                </c:pt>
                <c:pt idx="9">
                  <c:v>29.79</c:v>
                </c:pt>
                <c:pt idx="10">
                  <c:v>29.81</c:v>
                </c:pt>
                <c:pt idx="11">
                  <c:v>29.75</c:v>
                </c:pt>
                <c:pt idx="12">
                  <c:v>29.79</c:v>
                </c:pt>
                <c:pt idx="13">
                  <c:v>29.78</c:v>
                </c:pt>
                <c:pt idx="14">
                  <c:v>29.78</c:v>
                </c:pt>
                <c:pt idx="15">
                  <c:v>29.79</c:v>
                </c:pt>
                <c:pt idx="16">
                  <c:v>29.77</c:v>
                </c:pt>
                <c:pt idx="17">
                  <c:v>29.76</c:v>
                </c:pt>
                <c:pt idx="18">
                  <c:v>29.78</c:v>
                </c:pt>
                <c:pt idx="19">
                  <c:v>29.81</c:v>
                </c:pt>
                <c:pt idx="20">
                  <c:v>29.75</c:v>
                </c:pt>
                <c:pt idx="21">
                  <c:v>29.8</c:v>
                </c:pt>
                <c:pt idx="22">
                  <c:v>29.79</c:v>
                </c:pt>
                <c:pt idx="23">
                  <c:v>29.76</c:v>
                </c:pt>
                <c:pt idx="24">
                  <c:v>29.78</c:v>
                </c:pt>
                <c:pt idx="25">
                  <c:v>29.78</c:v>
                </c:pt>
                <c:pt idx="26">
                  <c:v>29.78</c:v>
                </c:pt>
                <c:pt idx="27">
                  <c:v>29.8</c:v>
                </c:pt>
                <c:pt idx="28">
                  <c:v>29.79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1B-4DCD-B724-4C14C949C200}"/>
            </c:ext>
          </c:extLst>
        </c:ser>
        <c:ser>
          <c:idx val="2"/>
          <c:order val="2"/>
          <c:tx>
            <c:v>cwnd</c:v>
          </c:tx>
          <c:spPr>
            <a:ln w="12700">
              <a:solidFill>
                <a:srgbClr val="00B0F0"/>
              </a:solidFill>
            </a:ln>
          </c:spPr>
          <c:marker>
            <c:symbol val="triangl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[0]!Tab10_flow_time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[0]!tab10_flow_cwnd</c:f>
              <c:numCache>
                <c:formatCode>General</c:formatCode>
                <c:ptCount val="29"/>
                <c:pt idx="0">
                  <c:v>10.59</c:v>
                </c:pt>
                <c:pt idx="1">
                  <c:v>10.59</c:v>
                </c:pt>
                <c:pt idx="2">
                  <c:v>10.59</c:v>
                </c:pt>
                <c:pt idx="3">
                  <c:v>10.59</c:v>
                </c:pt>
                <c:pt idx="4">
                  <c:v>10.59</c:v>
                </c:pt>
                <c:pt idx="5">
                  <c:v>10.59</c:v>
                </c:pt>
                <c:pt idx="6">
                  <c:v>10.59</c:v>
                </c:pt>
                <c:pt idx="7">
                  <c:v>10.59</c:v>
                </c:pt>
                <c:pt idx="8">
                  <c:v>10.59</c:v>
                </c:pt>
                <c:pt idx="9">
                  <c:v>10.59</c:v>
                </c:pt>
                <c:pt idx="10">
                  <c:v>10.59</c:v>
                </c:pt>
                <c:pt idx="11">
                  <c:v>10.59</c:v>
                </c:pt>
                <c:pt idx="12">
                  <c:v>10.59</c:v>
                </c:pt>
                <c:pt idx="13">
                  <c:v>10.59</c:v>
                </c:pt>
                <c:pt idx="14">
                  <c:v>10.59</c:v>
                </c:pt>
                <c:pt idx="15">
                  <c:v>10.59</c:v>
                </c:pt>
                <c:pt idx="16">
                  <c:v>10.59</c:v>
                </c:pt>
                <c:pt idx="17">
                  <c:v>10.59</c:v>
                </c:pt>
                <c:pt idx="18">
                  <c:v>10.59</c:v>
                </c:pt>
                <c:pt idx="19">
                  <c:v>10.59</c:v>
                </c:pt>
                <c:pt idx="20">
                  <c:v>10.59</c:v>
                </c:pt>
                <c:pt idx="21">
                  <c:v>10.59</c:v>
                </c:pt>
                <c:pt idx="22">
                  <c:v>10.59</c:v>
                </c:pt>
                <c:pt idx="23">
                  <c:v>10.59</c:v>
                </c:pt>
                <c:pt idx="24">
                  <c:v>10.59</c:v>
                </c:pt>
                <c:pt idx="25">
                  <c:v>10.59</c:v>
                </c:pt>
                <c:pt idx="26">
                  <c:v>10.59</c:v>
                </c:pt>
                <c:pt idx="27">
                  <c:v>10.59</c:v>
                </c:pt>
                <c:pt idx="28">
                  <c:v>10.59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1B-4DCD-B724-4C14C949C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09456"/>
        <c:axId val="1"/>
      </c:scatterChart>
      <c:scatterChart>
        <c:scatterStyle val="lineMarker"/>
        <c:varyColors val="0"/>
        <c:ser>
          <c:idx val="1"/>
          <c:order val="1"/>
          <c:tx>
            <c:v>retrans</c:v>
          </c:tx>
          <c:spPr>
            <a:ln w="12700"/>
          </c:spPr>
          <c:marker>
            <c:symbol val="square"/>
            <c:size val="3"/>
          </c:marker>
          <c:xVal>
            <c:numRef>
              <c:f>[0]!Tab10_flow_time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[0]!Tab10_flow_retrans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1B-4DCD-B724-4C14C949C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163248"/>
        <c:axId val="823160752"/>
      </c:scatterChart>
      <c:valAx>
        <c:axId val="135890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through flow s</a:t>
                </a:r>
              </a:p>
            </c:rich>
          </c:tx>
          <c:layout>
            <c:manualLayout>
              <c:xMode val="edge"/>
              <c:yMode val="edge"/>
              <c:x val="0.45804405740310905"/>
              <c:y val="0.86966021139249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Rate</a:t>
                </a:r>
                <a:r>
                  <a:rPr lang="en-GB" baseline="0"/>
                  <a:t> Gbit/s</a:t>
                </a:r>
                <a:endParaRPr lang="en-GB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09456"/>
        <c:crosses val="autoZero"/>
        <c:crossBetween val="midCat"/>
      </c:valAx>
      <c:valAx>
        <c:axId val="8231607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 re-transmit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823163248"/>
        <c:crosses val="max"/>
        <c:crossBetween val="midCat"/>
      </c:valAx>
      <c:valAx>
        <c:axId val="82316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31607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7336734968067633"/>
          <c:y val="1.1142638685864639E-3"/>
          <c:w val="0.12404619572071229"/>
          <c:h val="0.17876242474146353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'Flow Time Series'!$W$1</c:f>
          <c:strCache>
            <c:ptCount val="1"/>
            <c:pt idx="0">
              <c:v>DTNlon-RALxrootd01_tcpmon_mon_bufscan_13Mar24 TCPbuf 0 MBytes</c:v>
            </c:pt>
          </c:strCache>
        </c:strRef>
      </c:tx>
      <c:layout>
        <c:manualLayout>
          <c:xMode val="edge"/>
          <c:yMode val="edge"/>
          <c:x val="8.8500656167978999E-3"/>
          <c:y val="2.36406904568683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98182689771742"/>
          <c:y val="0.17572652815988363"/>
          <c:w val="0.77673140966788345"/>
          <c:h val="0.61447754891729955"/>
        </c:manualLayout>
      </c:layout>
      <c:scatterChart>
        <c:scatterStyle val="lineMarker"/>
        <c:varyColors val="0"/>
        <c:ser>
          <c:idx val="0"/>
          <c:order val="0"/>
          <c:tx>
            <c:v>Rate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'DTNlon-RALxrootd01_tcpmon_m_01'!$A$13:$A$41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'DTNlon-RALxrootd01_tcpmon_m_01'!$C$13:$C$41</c:f>
              <c:numCache>
                <c:formatCode>General</c:formatCode>
                <c:ptCount val="29"/>
                <c:pt idx="0">
                  <c:v>27.41</c:v>
                </c:pt>
                <c:pt idx="1">
                  <c:v>29.82</c:v>
                </c:pt>
                <c:pt idx="2">
                  <c:v>29.75</c:v>
                </c:pt>
                <c:pt idx="3">
                  <c:v>29.78</c:v>
                </c:pt>
                <c:pt idx="4">
                  <c:v>29.81</c:v>
                </c:pt>
                <c:pt idx="5">
                  <c:v>29.78</c:v>
                </c:pt>
                <c:pt idx="6">
                  <c:v>29.77</c:v>
                </c:pt>
                <c:pt idx="7">
                  <c:v>29.79</c:v>
                </c:pt>
                <c:pt idx="8">
                  <c:v>29.77</c:v>
                </c:pt>
                <c:pt idx="9">
                  <c:v>29.78</c:v>
                </c:pt>
                <c:pt idx="10">
                  <c:v>29.8</c:v>
                </c:pt>
                <c:pt idx="11">
                  <c:v>29.83</c:v>
                </c:pt>
                <c:pt idx="12">
                  <c:v>29.75</c:v>
                </c:pt>
                <c:pt idx="13">
                  <c:v>29.84</c:v>
                </c:pt>
                <c:pt idx="14">
                  <c:v>29.76</c:v>
                </c:pt>
                <c:pt idx="15">
                  <c:v>29.75</c:v>
                </c:pt>
                <c:pt idx="16">
                  <c:v>29.77</c:v>
                </c:pt>
                <c:pt idx="17">
                  <c:v>29.77</c:v>
                </c:pt>
                <c:pt idx="18">
                  <c:v>29.84</c:v>
                </c:pt>
                <c:pt idx="19">
                  <c:v>29.76</c:v>
                </c:pt>
                <c:pt idx="20">
                  <c:v>29.78</c:v>
                </c:pt>
                <c:pt idx="21">
                  <c:v>29.78</c:v>
                </c:pt>
                <c:pt idx="22">
                  <c:v>29.79</c:v>
                </c:pt>
                <c:pt idx="23">
                  <c:v>29.79</c:v>
                </c:pt>
                <c:pt idx="24">
                  <c:v>29.76</c:v>
                </c:pt>
                <c:pt idx="25">
                  <c:v>29.8</c:v>
                </c:pt>
                <c:pt idx="26">
                  <c:v>29.77</c:v>
                </c:pt>
                <c:pt idx="27">
                  <c:v>29.77</c:v>
                </c:pt>
                <c:pt idx="28">
                  <c:v>29.75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B9-4472-B63C-CDFBC6BD14B6}"/>
            </c:ext>
          </c:extLst>
        </c:ser>
        <c:ser>
          <c:idx val="2"/>
          <c:order val="2"/>
          <c:tx>
            <c:v>cwnd</c:v>
          </c:tx>
          <c:spPr>
            <a:ln w="12700">
              <a:solidFill>
                <a:srgbClr val="00B0F0"/>
              </a:solidFill>
            </a:ln>
          </c:spPr>
          <c:marker>
            <c:symbol val="triangle"/>
            <c:size val="2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'DTNlon-RALxrootd01_tcpmon_m_01'!$A$13:$A$41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'DTNlon-RALxrootd01_tcpmon_m_01'!$E$13:$E$41</c:f>
              <c:numCache>
                <c:formatCode>General</c:formatCode>
                <c:ptCount val="29"/>
                <c:pt idx="0">
                  <c:v>10.67</c:v>
                </c:pt>
                <c:pt idx="1">
                  <c:v>10.67</c:v>
                </c:pt>
                <c:pt idx="2">
                  <c:v>10.67</c:v>
                </c:pt>
                <c:pt idx="3">
                  <c:v>10.67</c:v>
                </c:pt>
                <c:pt idx="4">
                  <c:v>10.67</c:v>
                </c:pt>
                <c:pt idx="5">
                  <c:v>10.67</c:v>
                </c:pt>
                <c:pt idx="6">
                  <c:v>10.67</c:v>
                </c:pt>
                <c:pt idx="7">
                  <c:v>10.67</c:v>
                </c:pt>
                <c:pt idx="8">
                  <c:v>11.06</c:v>
                </c:pt>
                <c:pt idx="9">
                  <c:v>11.06</c:v>
                </c:pt>
                <c:pt idx="10">
                  <c:v>11.06</c:v>
                </c:pt>
                <c:pt idx="11">
                  <c:v>16.57</c:v>
                </c:pt>
                <c:pt idx="12">
                  <c:v>16.57</c:v>
                </c:pt>
                <c:pt idx="13">
                  <c:v>16.57</c:v>
                </c:pt>
                <c:pt idx="14">
                  <c:v>16.57</c:v>
                </c:pt>
                <c:pt idx="15">
                  <c:v>16.57</c:v>
                </c:pt>
                <c:pt idx="16">
                  <c:v>16.57</c:v>
                </c:pt>
                <c:pt idx="17">
                  <c:v>16.57</c:v>
                </c:pt>
                <c:pt idx="18">
                  <c:v>16.57</c:v>
                </c:pt>
                <c:pt idx="19">
                  <c:v>16.57</c:v>
                </c:pt>
                <c:pt idx="20">
                  <c:v>16.57</c:v>
                </c:pt>
                <c:pt idx="21">
                  <c:v>16.57</c:v>
                </c:pt>
                <c:pt idx="22">
                  <c:v>16.57</c:v>
                </c:pt>
                <c:pt idx="23">
                  <c:v>16.57</c:v>
                </c:pt>
                <c:pt idx="24">
                  <c:v>16.57</c:v>
                </c:pt>
                <c:pt idx="25">
                  <c:v>16.57</c:v>
                </c:pt>
                <c:pt idx="26">
                  <c:v>16.57</c:v>
                </c:pt>
                <c:pt idx="27">
                  <c:v>16.57</c:v>
                </c:pt>
                <c:pt idx="28">
                  <c:v>16.57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B9-4472-B63C-CDFBC6BD1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09456"/>
        <c:axId val="1"/>
      </c:scatterChart>
      <c:scatterChart>
        <c:scatterStyle val="lineMarker"/>
        <c:varyColors val="0"/>
        <c:ser>
          <c:idx val="1"/>
          <c:order val="1"/>
          <c:tx>
            <c:v>retrans</c:v>
          </c:tx>
          <c:spPr>
            <a:ln w="12700"/>
          </c:spPr>
          <c:marker>
            <c:symbol val="square"/>
            <c:size val="2"/>
          </c:marker>
          <c:xVal>
            <c:numRef>
              <c:f>'DTNlon-RALxrootd01_tcpmon_m_01'!$A$13:$A$41</c:f>
              <c:numCache>
                <c:formatCode>General</c:formatCode>
                <c:ptCount val="29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</c:numCache>
            </c:numRef>
          </c:xVal>
          <c:yVal>
            <c:numRef>
              <c:f>'DTNlon-RALxrootd01_tcpmon_m_01'!$D$13:$D$41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B9-4472-B63C-CDFBC6BD1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163248"/>
        <c:axId val="823160752"/>
      </c:scatterChart>
      <c:valAx>
        <c:axId val="135890945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through flow s</a:t>
                </a:r>
              </a:p>
            </c:rich>
          </c:tx>
          <c:layout>
            <c:manualLayout>
              <c:xMode val="edge"/>
              <c:yMode val="edge"/>
              <c:x val="0.45804405740310905"/>
              <c:y val="0.86966021139249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Rate</a:t>
                </a:r>
                <a:r>
                  <a:rPr lang="en-GB" baseline="0"/>
                  <a:t> Gbit/s</a:t>
                </a:r>
                <a:endParaRPr lang="en-GB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09456"/>
        <c:crosses val="autoZero"/>
        <c:crossBetween val="midCat"/>
      </c:valAx>
      <c:valAx>
        <c:axId val="8231607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 re-transmit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823163248"/>
        <c:crosses val="max"/>
        <c:crossBetween val="midCat"/>
      </c:valAx>
      <c:valAx>
        <c:axId val="82316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31607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274427950335534"/>
          <c:y val="7.7322071060674088E-3"/>
          <c:w val="0.12347641446350935"/>
          <c:h val="0.18717224159581025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Plots!$A$1</c:f>
          <c:strCache>
            <c:ptCount val="1"/>
            <c:pt idx="0">
              <c:v>DTNlon-RALxrootd01_tcpmon_mon_bufscan_13Mar24</c:v>
            </c:pt>
          </c:strCache>
        </c:strRef>
      </c:tx>
      <c:layout>
        <c:manualLayout>
          <c:xMode val="edge"/>
          <c:yMode val="edge"/>
          <c:x val="0.12373468997736337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672506108240818"/>
          <c:y val="0.13010425780110818"/>
          <c:w val="0.78270858299807433"/>
          <c:h val="0.71394247594050742"/>
        </c:manualLayout>
      </c:layout>
      <c:scatterChart>
        <c:scatterStyle val="lineMarker"/>
        <c:varyColors val="0"/>
        <c:ser>
          <c:idx val="0"/>
          <c:order val="0"/>
          <c:tx>
            <c:strRef>
              <c:f>Plots!$A$1</c:f>
              <c:strCache>
                <c:ptCount val="1"/>
                <c:pt idx="0">
                  <c:v>DTNlon-RALxrootd01_tcpmon_mon_bufscan_13Mar24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triangle"/>
            <c:size val="4"/>
            <c:spPr>
              <a:solidFill>
                <a:srgbClr val="00B050"/>
              </a:solidFill>
            </c:spPr>
          </c:marker>
          <c:xVal>
            <c:numRef>
              <c:f>Plots!$D$15:$D$31</c:f>
              <c:numCache>
                <c:formatCode>General</c:formatCode>
                <c:ptCount val="17"/>
                <c:pt idx="0">
                  <c:v>1000000</c:v>
                </c:pt>
                <c:pt idx="1">
                  <c:v>2000000</c:v>
                </c:pt>
                <c:pt idx="2">
                  <c:v>5000000</c:v>
                </c:pt>
                <c:pt idx="3">
                  <c:v>7000000</c:v>
                </c:pt>
                <c:pt idx="4">
                  <c:v>10000000</c:v>
                </c:pt>
                <c:pt idx="5">
                  <c:v>12000000</c:v>
                </c:pt>
                <c:pt idx="6">
                  <c:v>15000000</c:v>
                </c:pt>
                <c:pt idx="7">
                  <c:v>17000000</c:v>
                </c:pt>
                <c:pt idx="8">
                  <c:v>20000000</c:v>
                </c:pt>
                <c:pt idx="9">
                  <c:v>22000000</c:v>
                </c:pt>
                <c:pt idx="10">
                  <c:v>25000000</c:v>
                </c:pt>
                <c:pt idx="11">
                  <c:v>27000000</c:v>
                </c:pt>
                <c:pt idx="12">
                  <c:v>30000000</c:v>
                </c:pt>
                <c:pt idx="13">
                  <c:v>35000000</c:v>
                </c:pt>
                <c:pt idx="14">
                  <c:v>40000000</c:v>
                </c:pt>
                <c:pt idx="15">
                  <c:v>45000000</c:v>
                </c:pt>
                <c:pt idx="16">
                  <c:v>50000000</c:v>
                </c:pt>
              </c:numCache>
            </c:numRef>
          </c:xVal>
          <c:yVal>
            <c:numRef>
              <c:f>Plots!$E$15:$E$32</c:f>
              <c:numCache>
                <c:formatCode>General</c:formatCode>
                <c:ptCount val="18"/>
                <c:pt idx="0">
                  <c:v>4534.1099999999997</c:v>
                </c:pt>
                <c:pt idx="1">
                  <c:v>8722.4599999999991</c:v>
                </c:pt>
                <c:pt idx="2">
                  <c:v>6658.74</c:v>
                </c:pt>
                <c:pt idx="3">
                  <c:v>28835.7</c:v>
                </c:pt>
                <c:pt idx="4">
                  <c:v>29690.7</c:v>
                </c:pt>
                <c:pt idx="5">
                  <c:v>29701</c:v>
                </c:pt>
                <c:pt idx="6">
                  <c:v>29694.5</c:v>
                </c:pt>
                <c:pt idx="7">
                  <c:v>29705.599999999999</c:v>
                </c:pt>
                <c:pt idx="8">
                  <c:v>29696.400000000001</c:v>
                </c:pt>
                <c:pt idx="9">
                  <c:v>29701.1</c:v>
                </c:pt>
                <c:pt idx="10">
                  <c:v>6893.76</c:v>
                </c:pt>
                <c:pt idx="11">
                  <c:v>6701.47</c:v>
                </c:pt>
                <c:pt idx="12">
                  <c:v>29697.9</c:v>
                </c:pt>
                <c:pt idx="13">
                  <c:v>29706.5</c:v>
                </c:pt>
                <c:pt idx="14">
                  <c:v>29704.3</c:v>
                </c:pt>
                <c:pt idx="15">
                  <c:v>29710.3</c:v>
                </c:pt>
                <c:pt idx="16">
                  <c:v>7445.78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1-45D7-A2AF-3F80CF1F174A}"/>
            </c:ext>
          </c:extLst>
        </c:ser>
        <c:ser>
          <c:idx val="1"/>
          <c:order val="1"/>
          <c:marker>
            <c:symbol val="circle"/>
            <c:size val="6"/>
          </c:marker>
          <c:xVal>
            <c:numRef>
              <c:f>Plots!$D$14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Plots!$E$14</c:f>
              <c:numCache>
                <c:formatCode>General</c:formatCode>
                <c:ptCount val="1"/>
                <c:pt idx="0">
                  <c:v>29702.7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B-4C83-A512-FFD340882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899888"/>
        <c:axId val="1"/>
      </c:scatterChart>
      <c:valAx>
        <c:axId val="1358899888"/>
        <c:scaling>
          <c:orientation val="minMax"/>
          <c:max val="70000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TCP Buffer size MBytes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dispUnits>
          <c:builtInUnit val="millions"/>
        </c:dispUnits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BW Gbit/s</a:t>
                </a:r>
              </a:p>
            </c:rich>
          </c:tx>
          <c:layout>
            <c:manualLayout>
              <c:xMode val="edge"/>
              <c:yMode val="edge"/>
              <c:x val="2.1472718215793218E-2"/>
              <c:y val="0.380172361228954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899888"/>
        <c:crosses val="autoZero"/>
        <c:crossBetween val="midCat"/>
        <c:dispUnits>
          <c:builtInUnit val="thousands"/>
        </c:dispUnits>
      </c:valAx>
      <c:spPr>
        <a:ln w="12700">
          <a:solidFill>
            <a:srgbClr val="808080"/>
          </a:solidFill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079615048119"/>
          <c:y val="5.1400554097404488E-2"/>
          <c:w val="0.82567125984251999"/>
          <c:h val="0.75097951297754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Plots!$A$1</c:f>
              <c:strCache>
                <c:ptCount val="1"/>
                <c:pt idx="0">
                  <c:v>DTNlon-RALxrootd01_tcpmon_mon_bufscan_13Mar24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triangle"/>
            <c:size val="4"/>
            <c:spPr>
              <a:solidFill>
                <a:srgbClr val="00B050"/>
              </a:solidFill>
            </c:spPr>
          </c:marker>
          <c:xVal>
            <c:numRef>
              <c:f>Plots!$D$15:$D$32</c:f>
              <c:numCache>
                <c:formatCode>General</c:formatCode>
                <c:ptCount val="18"/>
                <c:pt idx="0">
                  <c:v>1000000</c:v>
                </c:pt>
                <c:pt idx="1">
                  <c:v>2000000</c:v>
                </c:pt>
                <c:pt idx="2">
                  <c:v>5000000</c:v>
                </c:pt>
                <c:pt idx="3">
                  <c:v>7000000</c:v>
                </c:pt>
                <c:pt idx="4">
                  <c:v>10000000</c:v>
                </c:pt>
                <c:pt idx="5">
                  <c:v>12000000</c:v>
                </c:pt>
                <c:pt idx="6">
                  <c:v>15000000</c:v>
                </c:pt>
                <c:pt idx="7">
                  <c:v>17000000</c:v>
                </c:pt>
                <c:pt idx="8">
                  <c:v>20000000</c:v>
                </c:pt>
                <c:pt idx="9">
                  <c:v>22000000</c:v>
                </c:pt>
                <c:pt idx="10">
                  <c:v>25000000</c:v>
                </c:pt>
                <c:pt idx="11">
                  <c:v>27000000</c:v>
                </c:pt>
                <c:pt idx="12">
                  <c:v>30000000</c:v>
                </c:pt>
                <c:pt idx="13">
                  <c:v>35000000</c:v>
                </c:pt>
                <c:pt idx="14">
                  <c:v>40000000</c:v>
                </c:pt>
                <c:pt idx="15">
                  <c:v>45000000</c:v>
                </c:pt>
                <c:pt idx="16">
                  <c:v>50000000</c:v>
                </c:pt>
                <c:pt idx="17">
                  <c:v>0</c:v>
                </c:pt>
              </c:numCache>
            </c:numRef>
          </c:xVal>
          <c:yVal>
            <c:numRef>
              <c:f>Plots!$M$15:$M$32</c:f>
              <c:numCache>
                <c:formatCode>0.0000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2.383020139386969E-3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2.1979421723145125E-3</c:v>
                </c:pt>
                <c:pt idx="11">
                  <c:v>2.2253979144995001E-3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1.9388717016547549E-3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AE-4B06-A226-59A90058E02B}"/>
            </c:ext>
          </c:extLst>
        </c:ser>
        <c:ser>
          <c:idx val="1"/>
          <c:order val="1"/>
          <c:marker>
            <c:symbol val="circle"/>
            <c:size val="6"/>
          </c:marker>
          <c:xVal>
            <c:numRef>
              <c:f>Plots!$D$14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Plots!$M$14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0D-49F4-9E06-0021A3776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11952"/>
        <c:axId val="1"/>
      </c:scatterChart>
      <c:valAx>
        <c:axId val="13589119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TCP Buffer size MBytes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dispUnits>
          <c:builtInUnit val="millions"/>
        </c:dispUnits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% re-transmit</a:t>
                </a:r>
              </a:p>
            </c:rich>
          </c:tx>
          <c:overlay val="0"/>
        </c:title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11952"/>
        <c:crosses val="autoZero"/>
        <c:crossBetween val="midCat"/>
      </c:valAx>
      <c:spPr>
        <a:ln w="12700">
          <a:solidFill>
            <a:srgbClr val="808080"/>
          </a:solidFill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079615048119"/>
          <c:y val="5.1400554097404488E-2"/>
          <c:w val="0.82567125984251999"/>
          <c:h val="0.75097951297754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Plots!$A$1</c:f>
              <c:strCache>
                <c:ptCount val="1"/>
                <c:pt idx="0">
                  <c:v>DTNlon-RALxrootd01_tcpmon_mon_bufscan_13Mar24</c:v>
                </c:pt>
              </c:strCache>
            </c:strRef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rgbClr val="00B050"/>
              </a:solidFill>
            </c:spPr>
          </c:marker>
          <c:xVal>
            <c:numRef>
              <c:f>Plots!$G$14:$G$25</c:f>
              <c:numCache>
                <c:formatCode>General</c:formatCode>
                <c:ptCount val="12"/>
                <c:pt idx="0">
                  <c:v>59.999600000000001</c:v>
                </c:pt>
                <c:pt idx="1">
                  <c:v>59.999899999999997</c:v>
                </c:pt>
                <c:pt idx="2">
                  <c:v>59.9998</c:v>
                </c:pt>
                <c:pt idx="3">
                  <c:v>59.999499999999998</c:v>
                </c:pt>
                <c:pt idx="4">
                  <c:v>59.999499999999998</c:v>
                </c:pt>
                <c:pt idx="5">
                  <c:v>59.999299999999998</c:v>
                </c:pt>
                <c:pt idx="6">
                  <c:v>59.999899999999997</c:v>
                </c:pt>
                <c:pt idx="7">
                  <c:v>59.998699999999999</c:v>
                </c:pt>
                <c:pt idx="8">
                  <c:v>59.999600000000001</c:v>
                </c:pt>
                <c:pt idx="9">
                  <c:v>59.998100000000001</c:v>
                </c:pt>
                <c:pt idx="10">
                  <c:v>59.999600000000001</c:v>
                </c:pt>
                <c:pt idx="11">
                  <c:v>59.999499999999998</c:v>
                </c:pt>
              </c:numCache>
            </c:numRef>
          </c:xVal>
          <c:yVal>
            <c:numRef>
              <c:f>Plots!$M$14:$M$25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2.383020139386969E-3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2.1979421723145125E-3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EF-463A-9E5E-486226CE2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892400"/>
        <c:axId val="1"/>
      </c:scatterChart>
      <c:valAx>
        <c:axId val="1358892400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BW Mbit/s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% re-transmit</a:t>
                </a:r>
              </a:p>
            </c:rich>
          </c:tx>
          <c:overlay val="0"/>
        </c:title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892400"/>
        <c:crosses val="autoZero"/>
        <c:crossBetween val="midCat"/>
      </c:valAx>
      <c:spPr>
        <a:ln w="12700">
          <a:solidFill>
            <a:srgbClr val="808080"/>
          </a:solidFill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00177126733425"/>
          <c:y val="5.1400554097404488E-2"/>
          <c:w val="0.77221882594580493"/>
          <c:h val="0.75097951297754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Plots!$A$1</c:f>
              <c:strCache>
                <c:ptCount val="1"/>
                <c:pt idx="0">
                  <c:v>DTNlon-RALxrootd01_tcpmon_mon_bufscan_13Mar24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triangle"/>
            <c:size val="4"/>
            <c:spPr>
              <a:solidFill>
                <a:srgbClr val="00B050"/>
              </a:solidFill>
            </c:spPr>
          </c:marker>
          <c:xVal>
            <c:numRef>
              <c:f>Plots!$D$15:$D$32</c:f>
              <c:numCache>
                <c:formatCode>General</c:formatCode>
                <c:ptCount val="18"/>
                <c:pt idx="0">
                  <c:v>1000000</c:v>
                </c:pt>
                <c:pt idx="1">
                  <c:v>2000000</c:v>
                </c:pt>
                <c:pt idx="2">
                  <c:v>5000000</c:v>
                </c:pt>
                <c:pt idx="3">
                  <c:v>7000000</c:v>
                </c:pt>
                <c:pt idx="4">
                  <c:v>10000000</c:v>
                </c:pt>
                <c:pt idx="5">
                  <c:v>12000000</c:v>
                </c:pt>
                <c:pt idx="6">
                  <c:v>15000000</c:v>
                </c:pt>
                <c:pt idx="7">
                  <c:v>17000000</c:v>
                </c:pt>
                <c:pt idx="8">
                  <c:v>20000000</c:v>
                </c:pt>
                <c:pt idx="9">
                  <c:v>22000000</c:v>
                </c:pt>
                <c:pt idx="10">
                  <c:v>25000000</c:v>
                </c:pt>
                <c:pt idx="11">
                  <c:v>27000000</c:v>
                </c:pt>
                <c:pt idx="12">
                  <c:v>30000000</c:v>
                </c:pt>
                <c:pt idx="13">
                  <c:v>35000000</c:v>
                </c:pt>
                <c:pt idx="14">
                  <c:v>40000000</c:v>
                </c:pt>
                <c:pt idx="15">
                  <c:v>45000000</c:v>
                </c:pt>
                <c:pt idx="16">
                  <c:v>50000000</c:v>
                </c:pt>
                <c:pt idx="17">
                  <c:v>0</c:v>
                </c:pt>
              </c:numCache>
            </c:numRef>
          </c:xVal>
          <c:yVal>
            <c:numRef>
              <c:f>Plots!$M$15:$M$32</c:f>
              <c:numCache>
                <c:formatCode>0.0000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2.383020139386969E-3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2.1979421723145125E-3</c:v>
                </c:pt>
                <c:pt idx="11">
                  <c:v>2.2253979144995001E-3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1.9388717016547549E-3</c:v>
                </c:pt>
                <c:pt idx="1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AD-43A4-B9B6-EE56CAF12AEE}"/>
            </c:ext>
          </c:extLst>
        </c:ser>
        <c:ser>
          <c:idx val="1"/>
          <c:order val="1"/>
          <c:marker>
            <c:symbol val="circle"/>
            <c:size val="6"/>
          </c:marker>
          <c:xVal>
            <c:numRef>
              <c:f>Plots!$D$14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Plots!$M$14</c:f>
              <c:numCache>
                <c:formatCode>0.0000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AD-43A4-B9B6-EE56CAF12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11952"/>
        <c:axId val="1"/>
      </c:scatterChart>
      <c:valAx>
        <c:axId val="1358911952"/>
        <c:scaling>
          <c:orientation val="minMax"/>
          <c:max val="70000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TCP Buffer size MBytes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At val="1.0000000000000004E-5"/>
        <c:crossBetween val="midCat"/>
        <c:dispUnits>
          <c:builtInUnit val="millions"/>
        </c:dispUnits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% re-transmit</a:t>
                </a:r>
              </a:p>
            </c:rich>
          </c:tx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11952"/>
        <c:crossesAt val="0"/>
        <c:crossBetween val="midCat"/>
      </c:valAx>
      <c:spPr>
        <a:ln w="12700">
          <a:solidFill>
            <a:srgbClr val="808080"/>
          </a:solidFill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Plots!$A$1</c:f>
          <c:strCache>
            <c:ptCount val="1"/>
            <c:pt idx="0">
              <c:v>DTNlon-RALxrootd01_tcpmon_mon_bufscan_13Mar24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01852379293389"/>
          <c:y val="0.13872377815341602"/>
          <c:w val="0.81239514983851191"/>
          <c:h val="0.7188076417410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Plots!$J$9</c:f>
              <c:strCache>
                <c:ptCount val="1"/>
                <c:pt idx="0">
                  <c:v> tcpi_total_retrans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triangle"/>
            <c:size val="4"/>
            <c:spPr>
              <a:solidFill>
                <a:srgbClr val="00B050"/>
              </a:solidFill>
            </c:spPr>
          </c:marker>
          <c:xVal>
            <c:numRef>
              <c:f>Plots!$D$15:$D$31</c:f>
              <c:numCache>
                <c:formatCode>General</c:formatCode>
                <c:ptCount val="17"/>
                <c:pt idx="0">
                  <c:v>1000000</c:v>
                </c:pt>
                <c:pt idx="1">
                  <c:v>2000000</c:v>
                </c:pt>
                <c:pt idx="2">
                  <c:v>5000000</c:v>
                </c:pt>
                <c:pt idx="3">
                  <c:v>7000000</c:v>
                </c:pt>
                <c:pt idx="4">
                  <c:v>10000000</c:v>
                </c:pt>
                <c:pt idx="5">
                  <c:v>12000000</c:v>
                </c:pt>
                <c:pt idx="6">
                  <c:v>15000000</c:v>
                </c:pt>
                <c:pt idx="7">
                  <c:v>17000000</c:v>
                </c:pt>
                <c:pt idx="8">
                  <c:v>20000000</c:v>
                </c:pt>
                <c:pt idx="9">
                  <c:v>22000000</c:v>
                </c:pt>
                <c:pt idx="10">
                  <c:v>25000000</c:v>
                </c:pt>
                <c:pt idx="11">
                  <c:v>27000000</c:v>
                </c:pt>
                <c:pt idx="12">
                  <c:v>30000000</c:v>
                </c:pt>
                <c:pt idx="13">
                  <c:v>35000000</c:v>
                </c:pt>
                <c:pt idx="14">
                  <c:v>40000000</c:v>
                </c:pt>
                <c:pt idx="15">
                  <c:v>45000000</c:v>
                </c:pt>
                <c:pt idx="16">
                  <c:v>50000000</c:v>
                </c:pt>
              </c:numCache>
            </c:numRef>
          </c:xVal>
          <c:yVal>
            <c:numRef>
              <c:f>Plots!$J$15:$J$31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133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127</c:v>
                </c:pt>
                <c:pt idx="11">
                  <c:v>125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F1-402E-8AE7-122E17AFBBB2}"/>
            </c:ext>
          </c:extLst>
        </c:ser>
        <c:ser>
          <c:idx val="1"/>
          <c:order val="1"/>
          <c:tx>
            <c:v>Autotune retrans</c:v>
          </c:tx>
          <c:spPr>
            <a:ln>
              <a:noFill/>
            </a:ln>
          </c:spPr>
          <c:marker>
            <c:symbol val="circle"/>
            <c:size val="6"/>
          </c:marker>
          <c:xVal>
            <c:numRef>
              <c:f>Plots!$D$14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Plots!$J$14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F1-402E-8AE7-122E17AFBBB2}"/>
            </c:ext>
          </c:extLst>
        </c:ser>
        <c:ser>
          <c:idx val="2"/>
          <c:order val="2"/>
          <c:tx>
            <c:strRef>
              <c:f>Plots!$N$9</c:f>
              <c:strCache>
                <c:ptCount val="1"/>
                <c:pt idx="0">
                  <c:v>rx_out_of_buffer</c:v>
                </c:pt>
              </c:strCache>
            </c:strRef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Plots!$D$15:$D$31</c:f>
              <c:numCache>
                <c:formatCode>General</c:formatCode>
                <c:ptCount val="17"/>
                <c:pt idx="0">
                  <c:v>1000000</c:v>
                </c:pt>
                <c:pt idx="1">
                  <c:v>2000000</c:v>
                </c:pt>
                <c:pt idx="2">
                  <c:v>5000000</c:v>
                </c:pt>
                <c:pt idx="3">
                  <c:v>7000000</c:v>
                </c:pt>
                <c:pt idx="4">
                  <c:v>10000000</c:v>
                </c:pt>
                <c:pt idx="5">
                  <c:v>12000000</c:v>
                </c:pt>
                <c:pt idx="6">
                  <c:v>15000000</c:v>
                </c:pt>
                <c:pt idx="7">
                  <c:v>17000000</c:v>
                </c:pt>
                <c:pt idx="8">
                  <c:v>20000000</c:v>
                </c:pt>
                <c:pt idx="9">
                  <c:v>22000000</c:v>
                </c:pt>
                <c:pt idx="10">
                  <c:v>25000000</c:v>
                </c:pt>
                <c:pt idx="11">
                  <c:v>27000000</c:v>
                </c:pt>
                <c:pt idx="12">
                  <c:v>30000000</c:v>
                </c:pt>
                <c:pt idx="13">
                  <c:v>35000000</c:v>
                </c:pt>
                <c:pt idx="14">
                  <c:v>40000000</c:v>
                </c:pt>
                <c:pt idx="15">
                  <c:v>45000000</c:v>
                </c:pt>
                <c:pt idx="16">
                  <c:v>50000000</c:v>
                </c:pt>
              </c:numCache>
            </c:numRef>
          </c:xVal>
          <c:yVal>
            <c:numRef>
              <c:f>Plots!$N$15:$N$31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F1-402E-8AE7-122E17AFBBB2}"/>
            </c:ext>
          </c:extLst>
        </c:ser>
        <c:ser>
          <c:idx val="3"/>
          <c:order val="3"/>
          <c:tx>
            <c:v>Autotune rx_out_of_buffer</c:v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xVal>
            <c:numRef>
              <c:f>Plots!$D$14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Plots!$N$14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F1-402E-8AE7-122E17AFB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11952"/>
        <c:axId val="1"/>
      </c:scatterChart>
      <c:valAx>
        <c:axId val="13589119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TCP Buffer size MBytes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dispUnits>
          <c:builtInUnit val="millions"/>
        </c:dispUnits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 rx_out_of_buffer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11952"/>
        <c:crosses val="autoZero"/>
        <c:crossBetween val="midCat"/>
      </c:valAx>
      <c:spPr>
        <a:ln w="12700">
          <a:solidFill>
            <a:srgbClr val="808080"/>
          </a:solidFill>
        </a:ln>
      </c:spPr>
    </c:plotArea>
    <c:legend>
      <c:legendPos val="r"/>
      <c:layout>
        <c:manualLayout>
          <c:xMode val="edge"/>
          <c:yMode val="edge"/>
          <c:x val="0.53907652765823788"/>
          <c:y val="0.40655637088593805"/>
          <c:w val="0.38704509235976053"/>
          <c:h val="0.20986669185397008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Plots!$A$1</c:f>
          <c:strCache>
            <c:ptCount val="1"/>
            <c:pt idx="0">
              <c:v>DTNlon-RALxrootd01_tcpmon_mon_bufscan_13Mar24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01852379293389"/>
          <c:y val="0.13872377815341602"/>
          <c:w val="0.81239514983851191"/>
          <c:h val="0.7188076417410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Plots!$J$9</c:f>
              <c:strCache>
                <c:ptCount val="1"/>
                <c:pt idx="0">
                  <c:v> tcpi_total_retrans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triangle"/>
            <c:size val="4"/>
            <c:spPr>
              <a:solidFill>
                <a:srgbClr val="00B050"/>
              </a:solidFill>
            </c:spPr>
          </c:marker>
          <c:xVal>
            <c:numRef>
              <c:f>Plots!$D$15:$D$28</c:f>
              <c:numCache>
                <c:formatCode>General</c:formatCode>
                <c:ptCount val="14"/>
                <c:pt idx="0">
                  <c:v>1000000</c:v>
                </c:pt>
                <c:pt idx="1">
                  <c:v>2000000</c:v>
                </c:pt>
                <c:pt idx="2">
                  <c:v>5000000</c:v>
                </c:pt>
                <c:pt idx="3">
                  <c:v>7000000</c:v>
                </c:pt>
                <c:pt idx="4">
                  <c:v>10000000</c:v>
                </c:pt>
                <c:pt idx="5">
                  <c:v>12000000</c:v>
                </c:pt>
                <c:pt idx="6">
                  <c:v>15000000</c:v>
                </c:pt>
                <c:pt idx="7">
                  <c:v>17000000</c:v>
                </c:pt>
                <c:pt idx="8">
                  <c:v>20000000</c:v>
                </c:pt>
                <c:pt idx="9">
                  <c:v>22000000</c:v>
                </c:pt>
                <c:pt idx="10">
                  <c:v>25000000</c:v>
                </c:pt>
                <c:pt idx="11">
                  <c:v>27000000</c:v>
                </c:pt>
                <c:pt idx="12">
                  <c:v>30000000</c:v>
                </c:pt>
                <c:pt idx="13">
                  <c:v>35000000</c:v>
                </c:pt>
              </c:numCache>
            </c:numRef>
          </c:xVal>
          <c:yVal>
            <c:numRef>
              <c:f>Plots!$J$15:$J$28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127</c:v>
                </c:pt>
                <c:pt idx="11">
                  <c:v>125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0-45CF-8548-AC13BB1153A5}"/>
            </c:ext>
          </c:extLst>
        </c:ser>
        <c:ser>
          <c:idx val="1"/>
          <c:order val="1"/>
          <c:tx>
            <c:v>Autotune retrans</c:v>
          </c:tx>
          <c:spPr>
            <a:ln>
              <a:noFill/>
            </a:ln>
          </c:spPr>
          <c:marker>
            <c:symbol val="circle"/>
            <c:size val="6"/>
          </c:marker>
          <c:xVal>
            <c:numRef>
              <c:f>Plots!$D$14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Plots!$J$14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70-45CF-8548-AC13BB1153A5}"/>
            </c:ext>
          </c:extLst>
        </c:ser>
        <c:ser>
          <c:idx val="2"/>
          <c:order val="2"/>
          <c:tx>
            <c:strRef>
              <c:f>Plots!$O$9</c:f>
              <c:strCache>
                <c:ptCount val="1"/>
                <c:pt idx="0">
                  <c:v>pause tx</c:v>
                </c:pt>
              </c:strCache>
            </c:strRef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Plots!$D$15:$D$28</c:f>
              <c:numCache>
                <c:formatCode>General</c:formatCode>
                <c:ptCount val="14"/>
                <c:pt idx="0">
                  <c:v>1000000</c:v>
                </c:pt>
                <c:pt idx="1">
                  <c:v>2000000</c:v>
                </c:pt>
                <c:pt idx="2">
                  <c:v>5000000</c:v>
                </c:pt>
                <c:pt idx="3">
                  <c:v>7000000</c:v>
                </c:pt>
                <c:pt idx="4">
                  <c:v>10000000</c:v>
                </c:pt>
                <c:pt idx="5">
                  <c:v>12000000</c:v>
                </c:pt>
                <c:pt idx="6">
                  <c:v>15000000</c:v>
                </c:pt>
                <c:pt idx="7">
                  <c:v>17000000</c:v>
                </c:pt>
                <c:pt idx="8">
                  <c:v>20000000</c:v>
                </c:pt>
                <c:pt idx="9">
                  <c:v>22000000</c:v>
                </c:pt>
                <c:pt idx="10">
                  <c:v>25000000</c:v>
                </c:pt>
                <c:pt idx="11">
                  <c:v>27000000</c:v>
                </c:pt>
                <c:pt idx="12">
                  <c:v>30000000</c:v>
                </c:pt>
                <c:pt idx="13">
                  <c:v>35000000</c:v>
                </c:pt>
              </c:numCache>
            </c:numRef>
          </c:xVal>
          <c:yVal>
            <c:numRef>
              <c:f>Plots!$O$15:$O$28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70-45CF-8548-AC13BB1153A5}"/>
            </c:ext>
          </c:extLst>
        </c:ser>
        <c:ser>
          <c:idx val="3"/>
          <c:order val="3"/>
          <c:tx>
            <c:v>Autotune tx pause</c:v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xVal>
            <c:numRef>
              <c:f>Plots!$D$14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Plots!$O$14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70-45CF-8548-AC13BB115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11952"/>
        <c:axId val="1"/>
      </c:scatterChart>
      <c:valAx>
        <c:axId val="13589119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TCP Buffer size MBytes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dispUnits>
          <c:builtInUnit val="millions"/>
        </c:dispUnits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 rx_out_of_buffer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11952"/>
        <c:crosses val="autoZero"/>
        <c:crossBetween val="midCat"/>
      </c:valAx>
      <c:spPr>
        <a:ln w="12700">
          <a:solidFill>
            <a:srgbClr val="808080"/>
          </a:solidFill>
        </a:ln>
      </c:spPr>
    </c:plotArea>
    <c:legend>
      <c:legendPos val="r"/>
      <c:layout>
        <c:manualLayout>
          <c:xMode val="edge"/>
          <c:yMode val="edge"/>
          <c:x val="0.13804553064623454"/>
          <c:y val="0.15377862024965105"/>
          <c:w val="0.38704509235976053"/>
          <c:h val="0.20986669185397008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'BW vs time in flow'!$A$1</c:f>
          <c:strCache>
            <c:ptCount val="1"/>
            <c:pt idx="0">
              <c:v>DTNlon-RALxrootd01_tcpmon_mon_bufscan_13Mar24</c:v>
            </c:pt>
          </c:strCache>
        </c:strRef>
      </c:tx>
      <c:overlay val="0"/>
      <c:spPr>
        <a:solidFill>
          <a:schemeClr val="bg1"/>
        </a:solidFill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079615048119"/>
          <c:y val="8.8437591134441523E-2"/>
          <c:w val="0.82567125984251977"/>
          <c:h val="0.71394247594050742"/>
        </c:manualLayout>
      </c:layout>
      <c:scatterChart>
        <c:scatterStyle val="lineMarker"/>
        <c:varyColors val="0"/>
        <c:ser>
          <c:idx val="0"/>
          <c:order val="0"/>
          <c:tx>
            <c:strRef>
              <c:f>'BW vs time in flow'!$F$19</c:f>
              <c:strCache>
                <c:ptCount val="1"/>
                <c:pt idx="0">
                  <c:v>2000000</c:v>
                </c:pt>
              </c:strCache>
            </c:strRef>
          </c:tx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flow'!$F$21:$F$32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86-4FAF-8F5D-AB7559CEEED3}"/>
            </c:ext>
          </c:extLst>
        </c:ser>
        <c:ser>
          <c:idx val="1"/>
          <c:order val="1"/>
          <c:tx>
            <c:strRef>
              <c:f>'BW vs time in flow'!$K$19</c:f>
              <c:strCache>
                <c:ptCount val="1"/>
                <c:pt idx="0">
                  <c:v>15000000</c:v>
                </c:pt>
              </c:strCache>
            </c:strRef>
          </c:tx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flow'!$K$21:$K$32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86-4FAF-8F5D-AB7559CEEED3}"/>
            </c:ext>
          </c:extLst>
        </c:ser>
        <c:ser>
          <c:idx val="2"/>
          <c:order val="2"/>
          <c:tx>
            <c:strRef>
              <c:f>'BW vs time in flow'!$N$19</c:f>
              <c:strCache>
                <c:ptCount val="1"/>
                <c:pt idx="0">
                  <c:v>22000000</c:v>
                </c:pt>
              </c:strCache>
            </c:strRef>
          </c:tx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flow'!$N$21:$N$32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86-4FAF-8F5D-AB7559CEEED3}"/>
            </c:ext>
          </c:extLst>
        </c:ser>
        <c:ser>
          <c:idx val="3"/>
          <c:order val="3"/>
          <c:tx>
            <c:strRef>
              <c:f>'BW vs time in flow'!$Q$19</c:f>
              <c:strCache>
                <c:ptCount val="1"/>
                <c:pt idx="0">
                  <c:v>30000000</c:v>
                </c:pt>
              </c:strCache>
            </c:strRef>
          </c:tx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flow'!$Q$21:$Q$32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86-4FAF-8F5D-AB7559CEEED3}"/>
            </c:ext>
          </c:extLst>
        </c:ser>
        <c:ser>
          <c:idx val="4"/>
          <c:order val="4"/>
          <c:tx>
            <c:strRef>
              <c:f>'BW vs time in flow'!$T$19</c:f>
              <c:strCache>
                <c:ptCount val="1"/>
                <c:pt idx="0">
                  <c:v>45000000</c:v>
                </c:pt>
              </c:strCache>
            </c:strRef>
          </c:tx>
          <c:marker>
            <c:symbol val="circle"/>
            <c:size val="7"/>
          </c:marker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flow'!$T$21:$T$32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86-4FAF-8F5D-AB7559CEE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03632"/>
        <c:axId val="1"/>
      </c:scatterChart>
      <c:valAx>
        <c:axId val="135890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the flow sec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5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BW Gbit/s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903632"/>
        <c:crosses val="autoZero"/>
        <c:crossBetween val="midCat"/>
      </c:valAx>
      <c:spPr>
        <a:ln w="12700">
          <a:solidFill>
            <a:srgbClr val="808080"/>
          </a:solidFill>
        </a:ln>
      </c:spPr>
    </c:plotArea>
    <c:legend>
      <c:legendPos val="r"/>
      <c:layout>
        <c:manualLayout>
          <c:xMode val="edge"/>
          <c:yMode val="edge"/>
          <c:x val="0.82781396202183288"/>
          <c:y val="5.3335105672321199E-2"/>
          <c:w val="0.15068953918600739"/>
          <c:h val="0.306676857615846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'BW vs time in flow'!$A$1</c:f>
          <c:strCache>
            <c:ptCount val="1"/>
            <c:pt idx="0">
              <c:v>DTNlon-RALxrootd01_tcpmon_mon_bufscan_13Mar24</c:v>
            </c:pt>
          </c:strCache>
        </c:strRef>
      </c:tx>
      <c:overlay val="0"/>
      <c:spPr>
        <a:solidFill>
          <a:schemeClr val="bg1"/>
        </a:solidFill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079615048119"/>
          <c:y val="8.8437591134441523E-2"/>
          <c:w val="0.82567125984251977"/>
          <c:h val="0.71394247594050742"/>
        </c:manualLayout>
      </c:layout>
      <c:scatterChart>
        <c:scatterStyle val="lineMarker"/>
        <c:varyColors val="0"/>
        <c:ser>
          <c:idx val="0"/>
          <c:order val="0"/>
          <c:tx>
            <c:strRef>
              <c:f>'BW vs time in flow'!$F$19</c:f>
              <c:strCache>
                <c:ptCount val="1"/>
                <c:pt idx="0">
                  <c:v>2000000</c:v>
                </c:pt>
              </c:strCache>
            </c:strRef>
          </c:tx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flow'!$F$39:$F$50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20-4A0C-817C-76B5769F1026}"/>
            </c:ext>
          </c:extLst>
        </c:ser>
        <c:ser>
          <c:idx val="1"/>
          <c:order val="1"/>
          <c:tx>
            <c:strRef>
              <c:f>'BW vs time in flow'!$K$19</c:f>
              <c:strCache>
                <c:ptCount val="1"/>
                <c:pt idx="0">
                  <c:v>15000000</c:v>
                </c:pt>
              </c:strCache>
            </c:strRef>
          </c:tx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flow'!$K$39:$K$50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20-4A0C-817C-76B5769F1026}"/>
            </c:ext>
          </c:extLst>
        </c:ser>
        <c:ser>
          <c:idx val="2"/>
          <c:order val="2"/>
          <c:tx>
            <c:strRef>
              <c:f>'BW vs time in flow'!$P$19</c:f>
              <c:strCache>
                <c:ptCount val="1"/>
                <c:pt idx="0">
                  <c:v>27000000</c:v>
                </c:pt>
              </c:strCache>
            </c:strRef>
          </c:tx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flow'!$N$39:$N$50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20-4A0C-817C-76B5769F1026}"/>
            </c:ext>
          </c:extLst>
        </c:ser>
        <c:ser>
          <c:idx val="3"/>
          <c:order val="3"/>
          <c:tx>
            <c:strRef>
              <c:f>'BW vs time in flow'!$Q$19</c:f>
              <c:strCache>
                <c:ptCount val="1"/>
                <c:pt idx="0">
                  <c:v>30000000</c:v>
                </c:pt>
              </c:strCache>
            </c:strRef>
          </c:tx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flow'!$Q$39:$Q$50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20-4A0C-817C-76B5769F1026}"/>
            </c:ext>
          </c:extLst>
        </c:ser>
        <c:ser>
          <c:idx val="4"/>
          <c:order val="4"/>
          <c:tx>
            <c:strRef>
              <c:f>'BW vs time in flow'!$T$19</c:f>
              <c:strCache>
                <c:ptCount val="1"/>
                <c:pt idx="0">
                  <c:v>45000000</c:v>
                </c:pt>
              </c:strCache>
            </c:strRef>
          </c:tx>
          <c:marker>
            <c:symbol val="circle"/>
            <c:size val="7"/>
          </c:marker>
          <c:xVal>
            <c:numRef>
              <c:f>'BW vs time in flow'!$C$21:$C$32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'BW vs time in flow'!$T$39:$T$50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20-4A0C-817C-76B5769F1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897392"/>
        <c:axId val="1"/>
      </c:scatterChart>
      <c:valAx>
        <c:axId val="1358897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the flow sec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Re-Transmits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58897392"/>
        <c:crosses val="autoZero"/>
        <c:crossBetween val="midCat"/>
      </c:valAx>
      <c:spPr>
        <a:ln w="12700">
          <a:solidFill>
            <a:srgbClr val="808080"/>
          </a:solidFill>
        </a:ln>
      </c:spPr>
    </c:plotArea>
    <c:legend>
      <c:legendPos val="r"/>
      <c:layout>
        <c:manualLayout>
          <c:xMode val="edge"/>
          <c:yMode val="edge"/>
          <c:x val="0.84738403204598967"/>
          <c:y val="0.32334407813844723"/>
          <c:w val="0.13894749717151331"/>
          <c:h val="0.306676857615846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531495</xdr:colOff>
      <xdr:row>17</xdr:row>
      <xdr:rowOff>1905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22860</xdr:colOff>
      <xdr:row>2</xdr:row>
      <xdr:rowOff>0</xdr:rowOff>
    </xdr:from>
    <xdr:to>
      <xdr:col>23</xdr:col>
      <xdr:colOff>20955</xdr:colOff>
      <xdr:row>17</xdr:row>
      <xdr:rowOff>1905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19</xdr:row>
      <xdr:rowOff>0</xdr:rowOff>
    </xdr:from>
    <xdr:to>
      <xdr:col>12</xdr:col>
      <xdr:colOff>1905</xdr:colOff>
      <xdr:row>43</xdr:row>
      <xdr:rowOff>38100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18</xdr:row>
      <xdr:rowOff>160020</xdr:rowOff>
    </xdr:from>
    <xdr:to>
      <xdr:col>22</xdr:col>
      <xdr:colOff>579120</xdr:colOff>
      <xdr:row>43</xdr:row>
      <xdr:rowOff>24765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23</xdr:col>
      <xdr:colOff>1905</xdr:colOff>
      <xdr:row>42</xdr:row>
      <xdr:rowOff>38100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30480</xdr:colOff>
      <xdr:row>34</xdr:row>
      <xdr:rowOff>167640</xdr:rowOff>
    </xdr:from>
    <xdr:to>
      <xdr:col>32</xdr:col>
      <xdr:colOff>28575</xdr:colOff>
      <xdr:row>49</xdr:row>
      <xdr:rowOff>159385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583008</xdr:colOff>
      <xdr:row>36</xdr:row>
      <xdr:rowOff>7620</xdr:rowOff>
    </xdr:from>
    <xdr:to>
      <xdr:col>20</xdr:col>
      <xdr:colOff>581103</xdr:colOff>
      <xdr:row>50</xdr:row>
      <xdr:rowOff>174625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31750</xdr:rowOff>
    </xdr:from>
    <xdr:to>
      <xdr:col>9</xdr:col>
      <xdr:colOff>607695</xdr:colOff>
      <xdr:row>50</xdr:row>
      <xdr:rowOff>18415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17625</xdr:colOff>
      <xdr:row>9</xdr:row>
      <xdr:rowOff>24934</xdr:rowOff>
    </xdr:from>
    <xdr:to>
      <xdr:col>32</xdr:col>
      <xdr:colOff>15720</xdr:colOff>
      <xdr:row>24</xdr:row>
      <xdr:rowOff>12869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7775</xdr:colOff>
      <xdr:row>9</xdr:row>
      <xdr:rowOff>45875</xdr:rowOff>
    </xdr:from>
    <xdr:to>
      <xdr:col>21</xdr:col>
      <xdr:colOff>8980</xdr:colOff>
      <xdr:row>24</xdr:row>
      <xdr:rowOff>32540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</xdr:row>
      <xdr:rowOff>183916</xdr:rowOff>
    </xdr:from>
    <xdr:to>
      <xdr:col>10</xdr:col>
      <xdr:colOff>2475</xdr:colOff>
      <xdr:row>23</xdr:row>
      <xdr:rowOff>174390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0</xdr:colOff>
      <xdr:row>9</xdr:row>
      <xdr:rowOff>0</xdr:rowOff>
    </xdr:from>
    <xdr:to>
      <xdr:col>42</xdr:col>
      <xdr:colOff>607695</xdr:colOff>
      <xdr:row>23</xdr:row>
      <xdr:rowOff>172085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63242</xdr:colOff>
      <xdr:row>2</xdr:row>
      <xdr:rowOff>21590</xdr:rowOff>
    </xdr:from>
    <xdr:to>
      <xdr:col>24</xdr:col>
      <xdr:colOff>543302</xdr:colOff>
      <xdr:row>18</xdr:row>
      <xdr:rowOff>21590</xdr:rowOff>
    </xdr:to>
    <xdr:graphicFrame macro="">
      <xdr:nvGraphicFramePr>
        <xdr:cNvPr id="1293221" name="Chart 1">
          <a:extLst>
            <a:ext uri="{FF2B5EF4-FFF2-40B4-BE49-F238E27FC236}">
              <a16:creationId xmlns:a16="http://schemas.microsoft.com/office/drawing/2014/main" id="{00000000-0008-0000-0400-0000A5BB1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6419</xdr:colOff>
      <xdr:row>19</xdr:row>
      <xdr:rowOff>2547</xdr:rowOff>
    </xdr:from>
    <xdr:to>
      <xdr:col>24</xdr:col>
      <xdr:colOff>539819</xdr:colOff>
      <xdr:row>34</xdr:row>
      <xdr:rowOff>2547</xdr:rowOff>
    </xdr:to>
    <xdr:graphicFrame macro="">
      <xdr:nvGraphicFramePr>
        <xdr:cNvPr id="1293222" name="Chart 1">
          <a:extLst>
            <a:ext uri="{FF2B5EF4-FFF2-40B4-BE49-F238E27FC236}">
              <a16:creationId xmlns:a16="http://schemas.microsoft.com/office/drawing/2014/main" id="{00000000-0008-0000-0400-0000A6BB1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20041</xdr:colOff>
      <xdr:row>51</xdr:row>
      <xdr:rowOff>14682</xdr:rowOff>
    </xdr:from>
    <xdr:to>
      <xdr:col>25</xdr:col>
      <xdr:colOff>17865</xdr:colOff>
      <xdr:row>68</xdr:row>
      <xdr:rowOff>14682</xdr:rowOff>
    </xdr:to>
    <xdr:graphicFrame macro="">
      <xdr:nvGraphicFramePr>
        <xdr:cNvPr id="1293223" name="Chart 1">
          <a:extLst>
            <a:ext uri="{FF2B5EF4-FFF2-40B4-BE49-F238E27FC236}">
              <a16:creationId xmlns:a16="http://schemas.microsoft.com/office/drawing/2014/main" id="{00000000-0008-0000-0400-0000A7BB1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4</xdr:row>
          <xdr:rowOff>6350</xdr:rowOff>
        </xdr:from>
        <xdr:to>
          <xdr:col>1</xdr:col>
          <xdr:colOff>1111250</xdr:colOff>
          <xdr:row>6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4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Sheet Names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32378</xdr:colOff>
      <xdr:row>34</xdr:row>
      <xdr:rowOff>179531</xdr:rowOff>
    </xdr:from>
    <xdr:to>
      <xdr:col>24</xdr:col>
      <xdr:colOff>565778</xdr:colOff>
      <xdr:row>49</xdr:row>
      <xdr:rowOff>179531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62803</xdr:colOff>
      <xdr:row>18</xdr:row>
      <xdr:rowOff>174451</xdr:rowOff>
    </xdr:from>
    <xdr:to>
      <xdr:col>32</xdr:col>
      <xdr:colOff>396505</xdr:colOff>
      <xdr:row>34</xdr:row>
      <xdr:rowOff>34891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563977</xdr:colOff>
      <xdr:row>34</xdr:row>
      <xdr:rowOff>41869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247650</xdr:rowOff>
    </xdr:from>
    <xdr:to>
      <xdr:col>10</xdr:col>
      <xdr:colOff>600075</xdr:colOff>
      <xdr:row>15</xdr:row>
      <xdr:rowOff>247650</xdr:rowOff>
    </xdr:to>
    <xdr:graphicFrame macro="">
      <xdr:nvGraphicFramePr>
        <xdr:cNvPr id="139817" name="Chart 1">
          <a:extLst>
            <a:ext uri="{FF2B5EF4-FFF2-40B4-BE49-F238E27FC236}">
              <a16:creationId xmlns:a16="http://schemas.microsoft.com/office/drawing/2014/main" id="{00000000-0008-0000-1800-00002922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19</xdr:col>
      <xdr:colOff>600075</xdr:colOff>
      <xdr:row>16</xdr:row>
      <xdr:rowOff>0</xdr:rowOff>
    </xdr:to>
    <xdr:graphicFrame macro="">
      <xdr:nvGraphicFramePr>
        <xdr:cNvPr id="139818" name="Chart 1">
          <a:extLst>
            <a:ext uri="{FF2B5EF4-FFF2-40B4-BE49-F238E27FC236}">
              <a16:creationId xmlns:a16="http://schemas.microsoft.com/office/drawing/2014/main" id="{00000000-0008-0000-1800-00002A22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B1:H8"/>
  <sheetViews>
    <sheetView workbookViewId="0">
      <selection sqref="A1:B1048576"/>
    </sheetView>
  </sheetViews>
  <sheetFormatPr defaultRowHeight="14.5" x14ac:dyDescent="0.35"/>
  <sheetData>
    <row r="1" spans="2:8" x14ac:dyDescent="0.35">
      <c r="B1" t="s">
        <v>4</v>
      </c>
    </row>
    <row r="3" spans="2:8" x14ac:dyDescent="0.35">
      <c r="B3" t="s">
        <v>5</v>
      </c>
      <c r="C3">
        <v>7.5</v>
      </c>
      <c r="D3" t="s">
        <v>6</v>
      </c>
      <c r="F3" t="s">
        <v>5</v>
      </c>
      <c r="G3">
        <v>0.13500000000000001</v>
      </c>
      <c r="H3" t="s">
        <v>6</v>
      </c>
    </row>
    <row r="5" spans="2:8" x14ac:dyDescent="0.35">
      <c r="B5" t="s">
        <v>7</v>
      </c>
      <c r="C5">
        <v>10000</v>
      </c>
      <c r="D5" t="s">
        <v>8</v>
      </c>
      <c r="F5" t="s">
        <v>7</v>
      </c>
      <c r="G5">
        <v>100000</v>
      </c>
      <c r="H5" t="s">
        <v>8</v>
      </c>
    </row>
    <row r="7" spans="2:8" x14ac:dyDescent="0.35">
      <c r="B7" t="s">
        <v>9</v>
      </c>
      <c r="C7">
        <f>C3*0.001*C5*1000000/8</f>
        <v>9375000</v>
      </c>
      <c r="D7" t="s">
        <v>1</v>
      </c>
      <c r="F7" t="s">
        <v>9</v>
      </c>
      <c r="G7">
        <f>G3*0.001*G5*1000000/8</f>
        <v>1687500</v>
      </c>
      <c r="H7" t="s">
        <v>1</v>
      </c>
    </row>
    <row r="8" spans="2:8" x14ac:dyDescent="0.35">
      <c r="C8">
        <f>C7/1000000</f>
        <v>9.375</v>
      </c>
      <c r="D8" t="s">
        <v>10</v>
      </c>
      <c r="G8">
        <f>G7/1000000</f>
        <v>1.6875</v>
      </c>
      <c r="H8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0EE6-DF28-4C53-AB35-41F6F0D25C00}">
  <sheetPr codeName="Sheet25"/>
  <dimension ref="C1:N2"/>
  <sheetViews>
    <sheetView workbookViewId="0">
      <selection activeCell="C1" sqref="C1:C2"/>
    </sheetView>
  </sheetViews>
  <sheetFormatPr defaultRowHeight="14.5" x14ac:dyDescent="0.35"/>
  <sheetData>
    <row r="1" spans="3:14" x14ac:dyDescent="0.35">
      <c r="C1" t="str">
        <f ca="1">_xlfn.CONCAT(Plots!$A$1, " Net Time TCP buffer  ",Plots!D21, " MBytes")</f>
        <v>DTNlon-RALxrootd01_tcpmon_mon_bufscan_13Mar24 Net Time TCP buffer  15000000 MBytes</v>
      </c>
      <c r="N1" t="str">
        <f ca="1">_xlfn.CONCAT(Plots!$A$1, " Net Time TCP buffer ", Plots!D25, " MBytes")</f>
        <v>DTNlon-RALxrootd01_tcpmon_mon_bufscan_13Mar24 Net Time TCP buffer 25000000 MBytes</v>
      </c>
    </row>
    <row r="2" spans="3:14" x14ac:dyDescent="0.35">
      <c r="C2" t="str">
        <f>_xlfn.CONCAT(Plots!$A$1, " Network Sending Time   ")</f>
        <v xml:space="preserve">DTNlon-RALxrootd01_tcpmon_mon_bufscan_13Mar24 Network Sending Time   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10E7-CC64-4ECB-B806-6BCC7E057C5E}">
  <dimension ref="A1:B6"/>
  <sheetViews>
    <sheetView workbookViewId="0">
      <selection activeCell="F17" sqref="F17"/>
    </sheetView>
  </sheetViews>
  <sheetFormatPr defaultRowHeight="14.5" x14ac:dyDescent="0.35"/>
  <sheetData>
    <row r="1" spans="1:2" x14ac:dyDescent="0.35">
      <c r="A1" t="s">
        <v>162</v>
      </c>
    </row>
    <row r="6" spans="1:2" x14ac:dyDescent="0.35">
      <c r="B6" t="s">
        <v>163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260EF-B40B-4C0A-BFFA-9843E24B0F0D}">
  <dimension ref="B1:W3"/>
  <sheetViews>
    <sheetView topLeftCell="V10" zoomScaleNormal="100" workbookViewId="0">
      <selection activeCell="AS8" sqref="AS8"/>
    </sheetView>
  </sheetViews>
  <sheetFormatPr defaultRowHeight="14.5" x14ac:dyDescent="0.35"/>
  <sheetData>
    <row r="1" spans="2:23" x14ac:dyDescent="0.35">
      <c r="B1" t="str">
        <f ca="1">_xlfn.CONCAT(Plots!$A$1, " TCPbuf ", Plots!D21/1000, " MBytes")</f>
        <v>DTNlon-RALxrootd01_tcpmon_mon_bufscan_13Mar24 TCPbuf 15000 MBytes</v>
      </c>
      <c r="L1" t="str">
        <f ca="1">_xlfn.CONCAT(Plots!$A$1, " TCPbuf ", Plots!D24/1000, " MBytes")</f>
        <v>DTNlon-RALxrootd01_tcpmon_mon_bufscan_13Mar24 TCPbuf 22000 MBytes</v>
      </c>
      <c r="W1" t="str">
        <f ca="1">_xlfn.CONCAT(Plots!$A$1, " TCPbuf ", Plots!D14, " MBytes")</f>
        <v>DTNlon-RALxrootd01_tcpmon_mon_bufscan_13Mar24 TCPbuf 0 MBytes</v>
      </c>
    </row>
    <row r="2" spans="2:23" x14ac:dyDescent="0.35">
      <c r="B2" t="str">
        <f ca="1">_xlfn.CONCAT(Plots!$A$1, " TCPbuf ", Plots!D22/1000, " MBytes")</f>
        <v>DTNlon-RALxrootd01_tcpmon_mon_bufscan_13Mar24 TCPbuf 17000 MBytes</v>
      </c>
      <c r="L2" t="str">
        <f ca="1">_xlfn.CONCAT(Plots!$A$1, " TCPbuf ", Plots!D25/1000, " MBytes")</f>
        <v>DTNlon-RALxrootd01_tcpmon_mon_bufscan_13Mar24 TCPbuf 25000 MBytes</v>
      </c>
    </row>
    <row r="3" spans="2:23" x14ac:dyDescent="0.35">
      <c r="B3" t="str">
        <f ca="1">_xlfn.CONCAT(Plots!$A$1, " TCPbuf ", Plots!D23/1000, " MBytes")</f>
        <v>DTNlon-RALxrootd01_tcpmon_mon_bufscan_13Mar24 TCPbuf 20000 MBytes</v>
      </c>
      <c r="L3" t="str">
        <f ca="1">_xlfn.CONCAT(Plots!$A$1, " TCPbuf ", Plots!D26/1000, " MBytes")</f>
        <v>DTNlon-RALxrootd01_tcpmon_mon_bufscan_13Mar24 TCPbuf 27000 MBytes</v>
      </c>
      <c r="U3" t="s">
        <v>67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186"/>
  <sheetViews>
    <sheetView tabSelected="1" topLeftCell="N1" zoomScale="91" zoomScaleNormal="91" workbookViewId="0">
      <selection activeCell="O42" sqref="O42:P47"/>
    </sheetView>
  </sheetViews>
  <sheetFormatPr defaultRowHeight="14.5" x14ac:dyDescent="0.35"/>
  <cols>
    <col min="1" max="1" width="9.90625" bestFit="1" customWidth="1"/>
    <col min="2" max="2" width="22.90625" customWidth="1"/>
    <col min="4" max="4" width="11.6328125" bestFit="1" customWidth="1"/>
    <col min="5" max="6" width="11.6328125" customWidth="1"/>
    <col min="7" max="7" width="12.08984375" customWidth="1"/>
    <col min="8" max="9" width="12" bestFit="1" customWidth="1"/>
    <col min="11" max="11" width="12" bestFit="1" customWidth="1"/>
    <col min="13" max="13" width="12" bestFit="1" customWidth="1"/>
    <col min="14" max="14" width="12" customWidth="1"/>
    <col min="28" max="28" width="12" bestFit="1" customWidth="1"/>
  </cols>
  <sheetData>
    <row r="1" spans="1:17" x14ac:dyDescent="0.35">
      <c r="A1" t="s">
        <v>350</v>
      </c>
    </row>
    <row r="2" spans="1:17" x14ac:dyDescent="0.35">
      <c r="A2" t="s">
        <v>151</v>
      </c>
      <c r="C2">
        <v>44</v>
      </c>
      <c r="D2" t="s">
        <v>142</v>
      </c>
      <c r="F2">
        <v>13</v>
      </c>
      <c r="I2" t="s">
        <v>48</v>
      </c>
      <c r="K2">
        <v>324</v>
      </c>
    </row>
    <row r="3" spans="1:17" x14ac:dyDescent="0.35">
      <c r="A3" t="s">
        <v>149</v>
      </c>
      <c r="C3">
        <v>44</v>
      </c>
      <c r="D3" t="s">
        <v>138</v>
      </c>
      <c r="F3">
        <v>41</v>
      </c>
      <c r="I3" t="s">
        <v>49</v>
      </c>
      <c r="K3">
        <v>423</v>
      </c>
    </row>
    <row r="4" spans="1:17" x14ac:dyDescent="0.35">
      <c r="D4" t="s">
        <v>15</v>
      </c>
      <c r="I4" t="s">
        <v>50</v>
      </c>
      <c r="K4">
        <v>426</v>
      </c>
    </row>
    <row r="5" spans="1:17" x14ac:dyDescent="0.35">
      <c r="D5" t="s">
        <v>16</v>
      </c>
      <c r="I5" t="s">
        <v>51</v>
      </c>
      <c r="K5">
        <v>525</v>
      </c>
    </row>
    <row r="6" spans="1:17" x14ac:dyDescent="0.35">
      <c r="D6" t="s">
        <v>34</v>
      </c>
      <c r="F6">
        <v>470</v>
      </c>
      <c r="I6" t="s">
        <v>147</v>
      </c>
      <c r="L6" t="s">
        <v>269</v>
      </c>
      <c r="M6" cm="1">
        <f t="array" aca="1" ref="M6" ca="1">COLUMN(INDIRECT(L6&amp;"1"))</f>
        <v>205</v>
      </c>
    </row>
    <row r="7" spans="1:17" x14ac:dyDescent="0.35">
      <c r="D7" t="s">
        <v>35</v>
      </c>
      <c r="F7">
        <v>2468</v>
      </c>
      <c r="I7" t="s">
        <v>231</v>
      </c>
      <c r="L7" t="s">
        <v>232</v>
      </c>
      <c r="M7" cm="1">
        <f t="array" aca="1" ref="M7" ca="1">COLUMN(INDIRECT(L7&amp;"1"))</f>
        <v>301</v>
      </c>
    </row>
    <row r="8" spans="1:17" x14ac:dyDescent="0.35">
      <c r="I8" t="s">
        <v>234</v>
      </c>
      <c r="L8" t="s">
        <v>233</v>
      </c>
      <c r="M8" cm="1">
        <f t="array" aca="1" ref="M8" ca="1">COLUMN(INDIRECT(L8&amp;"1"))</f>
        <v>302</v>
      </c>
    </row>
    <row r="9" spans="1:17" x14ac:dyDescent="0.35">
      <c r="A9" t="s">
        <v>2</v>
      </c>
      <c r="C9" t="s">
        <v>14</v>
      </c>
      <c r="D9" t="s">
        <v>19</v>
      </c>
      <c r="E9" t="s">
        <v>66</v>
      </c>
      <c r="F9" t="s">
        <v>130</v>
      </c>
      <c r="G9" t="s">
        <v>20</v>
      </c>
      <c r="I9" t="s">
        <v>0</v>
      </c>
      <c r="J9" t="s">
        <v>77</v>
      </c>
      <c r="K9" t="s">
        <v>78</v>
      </c>
      <c r="L9" t="s">
        <v>131</v>
      </c>
      <c r="M9" t="s">
        <v>3</v>
      </c>
      <c r="N9" t="s">
        <v>148</v>
      </c>
      <c r="O9" t="s">
        <v>229</v>
      </c>
      <c r="P9" t="s">
        <v>230</v>
      </c>
      <c r="Q9" t="s">
        <v>235</v>
      </c>
    </row>
    <row r="10" spans="1:17" x14ac:dyDescent="0.35">
      <c r="A10" t="s">
        <v>11</v>
      </c>
      <c r="M10" s="2"/>
      <c r="N10" s="2"/>
    </row>
    <row r="11" spans="1:17" x14ac:dyDescent="0.35">
      <c r="A11" t="s">
        <v>40</v>
      </c>
      <c r="M11" s="2"/>
      <c r="N11" s="2"/>
    </row>
    <row r="12" spans="1:17" x14ac:dyDescent="0.35">
      <c r="A12" t="s">
        <v>164</v>
      </c>
      <c r="M12" s="2"/>
      <c r="N12" s="2"/>
    </row>
    <row r="13" spans="1:17" x14ac:dyDescent="0.35">
      <c r="A13" t="s">
        <v>143</v>
      </c>
      <c r="M13" s="2"/>
      <c r="N13" s="2"/>
    </row>
    <row r="14" spans="1:17" x14ac:dyDescent="0.35">
      <c r="A14" t="s">
        <v>292</v>
      </c>
      <c r="C14">
        <f ca="1">INDIRECT(ADDRESS($C$2,2,,,A14))</f>
        <v>0</v>
      </c>
      <c r="D14">
        <f ca="1">IF(NOT(ISERR(SUBSTITUTE(C14,"K","")*1)),SUBSTITUTE(C14,"K","")*1, IF(NOT(ISERR(SUBSTITUTE(C14,"M","")*1)),SUBSTITUTE(C14,"M","")*1, 0))</f>
        <v>0</v>
      </c>
      <c r="E14">
        <f t="shared" ref="E14" ca="1" si="0">INDIRECT(ADDRESS($C$3,7,,,A14))</f>
        <v>29702.7</v>
      </c>
      <c r="F14">
        <f t="shared" ref="F14" ca="1" si="1">INDIRECT(ADDRESS($C$3,5,,,A14))</f>
        <v>26.497199999999999</v>
      </c>
      <c r="G14">
        <f t="shared" ref="G14" ca="1" si="2">INDIRECT(ADDRESS($C$3,6,,,A14))/1000000</f>
        <v>59.999600000000001</v>
      </c>
      <c r="H14">
        <f t="shared" ref="H14" ca="1" si="3">INDIRECT(ADDRESS($F$3,11,,,A14))-INDIRECT(ADDRESS($F$2,11,,,A14))</f>
        <v>0</v>
      </c>
      <c r="I14">
        <f t="shared" ref="I14" ca="1" si="4">INDIRECT(ADDRESS($C$3,8,,,A14))</f>
        <v>24895968</v>
      </c>
      <c r="J14">
        <f t="shared" ref="J14" ca="1" si="5">INDIRECT(ADDRESS($C$3,9,,,A14))</f>
        <v>0</v>
      </c>
      <c r="K14">
        <f t="shared" ref="K14" ca="1" si="6">INDIRECT(ADDRESS($C$3,10,,,A14))</f>
        <v>0</v>
      </c>
      <c r="L14" t="e">
        <f t="shared" ref="L14" ca="1" si="7">IF(J14&gt;0,I14/J14,NA())</f>
        <v>#N/A</v>
      </c>
      <c r="M14" s="2">
        <f t="shared" ref="M14" ca="1" si="8">IF(I14&gt;0,J14*100/I14, NA())</f>
        <v>0</v>
      </c>
      <c r="N14">
        <f ca="1">INDIRECT(ADDRESS($C$3,$M$6,,,A14))</f>
        <v>0</v>
      </c>
      <c r="O14">
        <f ca="1">INDIRECT(ADDRESS($C$3,$M$7,,,A14))</f>
        <v>0</v>
      </c>
      <c r="P14">
        <f ca="1">INDIRECT(ADDRESS($C$3,$M$8,,,A14))</f>
        <v>0</v>
      </c>
      <c r="Q14">
        <f ca="1">O14*P14/1000000</f>
        <v>0</v>
      </c>
    </row>
    <row r="15" spans="1:17" x14ac:dyDescent="0.35">
      <c r="A15" t="s">
        <v>293</v>
      </c>
      <c r="C15">
        <f t="shared" ref="C15:C32" ca="1" si="9">INDIRECT(ADDRESS($C$2,2,,,A15))</f>
        <v>1000000</v>
      </c>
      <c r="D15">
        <f t="shared" ref="D15:D32" ca="1" si="10">IF(NOT(ISERR(SUBSTITUTE(C15,"K","")*1)),SUBSTITUTE(C15,"K","")*1, IF(NOT(ISERR(SUBSTITUTE(C15,"M","")*1)),SUBSTITUTE(C15,"M","")*1, 0))</f>
        <v>1000000</v>
      </c>
      <c r="E15">
        <f t="shared" ref="E15:E32" ca="1" si="11">INDIRECT(ADDRESS($C$3,7,,,A15))</f>
        <v>4534.1099999999997</v>
      </c>
      <c r="F15">
        <f t="shared" ref="F15:F32" ca="1" si="12">INDIRECT(ADDRESS($C$3,5,,,A15))</f>
        <v>173.58199999999999</v>
      </c>
      <c r="G15">
        <f t="shared" ref="G15:G32" ca="1" si="13">INDIRECT(ADDRESS($C$3,6,,,A15))/1000000</f>
        <v>59.999899999999997</v>
      </c>
      <c r="H15">
        <f t="shared" ref="H15:H31" ca="1" si="14">INDIRECT(ADDRESS($F$3,11,,,A15))-INDIRECT(ADDRESS($F$2,11,,,A15))</f>
        <v>0</v>
      </c>
      <c r="I15">
        <f t="shared" ref="I15:I32" ca="1" si="15">INDIRECT(ADDRESS($C$3,8,,,A15))</f>
        <v>3802226</v>
      </c>
      <c r="J15">
        <f t="shared" ref="J15:J32" ca="1" si="16">INDIRECT(ADDRESS($C$3,9,,,A15))</f>
        <v>0</v>
      </c>
      <c r="K15">
        <f t="shared" ref="K15:K32" ca="1" si="17">INDIRECT(ADDRESS($C$3,10,,,A15))</f>
        <v>0</v>
      </c>
      <c r="L15" t="e">
        <f t="shared" ref="L15:L31" ca="1" si="18">IF(J15&gt;0,I15/J15,NA())</f>
        <v>#N/A</v>
      </c>
      <c r="M15" s="2">
        <f t="shared" ref="M15:M31" ca="1" si="19">IF(I15&gt;0,J15*100/I15, NA())</f>
        <v>0</v>
      </c>
      <c r="N15">
        <f t="shared" ref="N15:N31" ca="1" si="20">INDIRECT(ADDRESS($C$3,$M$6,,,A15))</f>
        <v>0</v>
      </c>
      <c r="O15">
        <f t="shared" ref="O15:O31" ca="1" si="21">INDIRECT(ADDRESS($C$3,$M$7,,,A15))</f>
        <v>0</v>
      </c>
      <c r="P15">
        <f t="shared" ref="P15:P31" ca="1" si="22">INDIRECT(ADDRESS($C$3,$M$8,,,A15))</f>
        <v>0</v>
      </c>
      <c r="Q15">
        <f t="shared" ref="Q15:Q31" ca="1" si="23">O15*P15/1000000</f>
        <v>0</v>
      </c>
    </row>
    <row r="16" spans="1:17" x14ac:dyDescent="0.35">
      <c r="A16" t="s">
        <v>294</v>
      </c>
      <c r="C16">
        <f t="shared" ca="1" si="9"/>
        <v>2000000</v>
      </c>
      <c r="D16">
        <f t="shared" ca="1" si="10"/>
        <v>2000000</v>
      </c>
      <c r="E16">
        <f t="shared" ca="1" si="11"/>
        <v>8722.4599999999991</v>
      </c>
      <c r="F16">
        <f t="shared" ca="1" si="12"/>
        <v>90.231399999999994</v>
      </c>
      <c r="G16">
        <f t="shared" ca="1" si="13"/>
        <v>59.9998</v>
      </c>
      <c r="H16">
        <f t="shared" ca="1" si="14"/>
        <v>0</v>
      </c>
      <c r="I16">
        <f t="shared" ca="1" si="15"/>
        <v>7314492</v>
      </c>
      <c r="J16">
        <f t="shared" ca="1" si="16"/>
        <v>0</v>
      </c>
      <c r="K16">
        <f t="shared" ca="1" si="17"/>
        <v>0</v>
      </c>
      <c r="L16" t="e">
        <f t="shared" ca="1" si="18"/>
        <v>#N/A</v>
      </c>
      <c r="M16" s="2">
        <f t="shared" ca="1" si="19"/>
        <v>0</v>
      </c>
      <c r="N16">
        <f t="shared" ca="1" si="20"/>
        <v>0</v>
      </c>
      <c r="O16">
        <f t="shared" ca="1" si="21"/>
        <v>0</v>
      </c>
      <c r="P16">
        <f t="shared" ca="1" si="22"/>
        <v>0</v>
      </c>
      <c r="Q16">
        <f t="shared" ca="1" si="23"/>
        <v>0</v>
      </c>
    </row>
    <row r="17" spans="1:17" x14ac:dyDescent="0.35">
      <c r="A17" t="s">
        <v>295</v>
      </c>
      <c r="C17">
        <f t="shared" ca="1" si="9"/>
        <v>5000000</v>
      </c>
      <c r="D17">
        <f t="shared" ca="1" si="10"/>
        <v>5000000</v>
      </c>
      <c r="E17">
        <f t="shared" ca="1" si="11"/>
        <v>6658.74</v>
      </c>
      <c r="F17">
        <f t="shared" ca="1" si="12"/>
        <v>118.196</v>
      </c>
      <c r="G17">
        <f t="shared" ca="1" si="13"/>
        <v>59.999499999999998</v>
      </c>
      <c r="H17">
        <f t="shared" ca="1" si="14"/>
        <v>0</v>
      </c>
      <c r="I17">
        <f t="shared" ca="1" si="15"/>
        <v>5581153</v>
      </c>
      <c r="J17">
        <f t="shared" ca="1" si="16"/>
        <v>133</v>
      </c>
      <c r="K17">
        <f t="shared" ca="1" si="17"/>
        <v>2.38302E-3</v>
      </c>
      <c r="L17">
        <f t="shared" ca="1" si="18"/>
        <v>41963.556390977443</v>
      </c>
      <c r="M17" s="2">
        <f t="shared" ca="1" si="19"/>
        <v>2.383020139386969E-3</v>
      </c>
      <c r="N17">
        <f t="shared" ca="1" si="20"/>
        <v>0</v>
      </c>
      <c r="O17">
        <f t="shared" ca="1" si="21"/>
        <v>0</v>
      </c>
      <c r="P17">
        <f t="shared" ca="1" si="22"/>
        <v>0</v>
      </c>
      <c r="Q17">
        <f t="shared" ca="1" si="23"/>
        <v>0</v>
      </c>
    </row>
    <row r="18" spans="1:17" x14ac:dyDescent="0.35">
      <c r="A18" t="s">
        <v>296</v>
      </c>
      <c r="C18">
        <f t="shared" ca="1" si="9"/>
        <v>7000000</v>
      </c>
      <c r="D18">
        <f t="shared" ca="1" si="10"/>
        <v>7000000</v>
      </c>
      <c r="E18">
        <f t="shared" ca="1" si="11"/>
        <v>28835.7</v>
      </c>
      <c r="F18">
        <f t="shared" ca="1" si="12"/>
        <v>27.294</v>
      </c>
      <c r="G18">
        <f t="shared" ca="1" si="13"/>
        <v>59.999499999999998</v>
      </c>
      <c r="H18">
        <f t="shared" ca="1" si="14"/>
        <v>0</v>
      </c>
      <c r="I18">
        <f t="shared" ca="1" si="15"/>
        <v>24180890</v>
      </c>
      <c r="J18">
        <f t="shared" ca="1" si="16"/>
        <v>0</v>
      </c>
      <c r="K18">
        <f t="shared" ca="1" si="17"/>
        <v>0</v>
      </c>
      <c r="L18" t="e">
        <f t="shared" ca="1" si="18"/>
        <v>#N/A</v>
      </c>
      <c r="M18" s="2">
        <f t="shared" ca="1" si="19"/>
        <v>0</v>
      </c>
      <c r="N18">
        <f t="shared" ca="1" si="20"/>
        <v>0</v>
      </c>
      <c r="O18">
        <f t="shared" ca="1" si="21"/>
        <v>0</v>
      </c>
      <c r="P18">
        <f t="shared" ca="1" si="22"/>
        <v>0</v>
      </c>
      <c r="Q18">
        <f t="shared" ca="1" si="23"/>
        <v>0</v>
      </c>
    </row>
    <row r="19" spans="1:17" x14ac:dyDescent="0.35">
      <c r="A19" t="s">
        <v>297</v>
      </c>
      <c r="C19">
        <f t="shared" ca="1" si="9"/>
        <v>10000000</v>
      </c>
      <c r="D19">
        <f t="shared" ca="1" si="10"/>
        <v>10000000</v>
      </c>
      <c r="E19">
        <f t="shared" ca="1" si="11"/>
        <v>29690.7</v>
      </c>
      <c r="F19">
        <f t="shared" ca="1" si="12"/>
        <v>26.507999999999999</v>
      </c>
      <c r="G19">
        <f t="shared" ca="1" si="13"/>
        <v>59.999299999999998</v>
      </c>
      <c r="H19">
        <f t="shared" ca="1" si="14"/>
        <v>0</v>
      </c>
      <c r="I19">
        <f t="shared" ca="1" si="15"/>
        <v>24885732</v>
      </c>
      <c r="J19">
        <f t="shared" ca="1" si="16"/>
        <v>0</v>
      </c>
      <c r="K19">
        <f t="shared" ca="1" si="17"/>
        <v>0</v>
      </c>
      <c r="L19" t="e">
        <f t="shared" ca="1" si="18"/>
        <v>#N/A</v>
      </c>
      <c r="M19" s="2">
        <f t="shared" ca="1" si="19"/>
        <v>0</v>
      </c>
      <c r="N19">
        <f t="shared" ca="1" si="20"/>
        <v>0</v>
      </c>
      <c r="O19">
        <f t="shared" ca="1" si="21"/>
        <v>0</v>
      </c>
      <c r="P19">
        <f t="shared" ca="1" si="22"/>
        <v>0</v>
      </c>
      <c r="Q19">
        <f t="shared" ca="1" si="23"/>
        <v>0</v>
      </c>
    </row>
    <row r="20" spans="1:17" x14ac:dyDescent="0.35">
      <c r="A20" t="s">
        <v>298</v>
      </c>
      <c r="C20">
        <f t="shared" ca="1" si="9"/>
        <v>12000000</v>
      </c>
      <c r="D20">
        <f t="shared" ca="1" si="10"/>
        <v>12000000</v>
      </c>
      <c r="E20">
        <f t="shared" ca="1" si="11"/>
        <v>29701</v>
      </c>
      <c r="F20">
        <f t="shared" ca="1" si="12"/>
        <v>26.498799999999999</v>
      </c>
      <c r="G20">
        <f t="shared" ca="1" si="13"/>
        <v>59.999899999999997</v>
      </c>
      <c r="H20">
        <f t="shared" ca="1" si="14"/>
        <v>0</v>
      </c>
      <c r="I20">
        <f t="shared" ca="1" si="15"/>
        <v>24894615</v>
      </c>
      <c r="J20">
        <f t="shared" ca="1" si="16"/>
        <v>0</v>
      </c>
      <c r="K20">
        <f t="shared" ca="1" si="17"/>
        <v>0</v>
      </c>
      <c r="L20" t="e">
        <f t="shared" ca="1" si="18"/>
        <v>#N/A</v>
      </c>
      <c r="M20" s="2">
        <f t="shared" ca="1" si="19"/>
        <v>0</v>
      </c>
      <c r="N20">
        <f t="shared" ca="1" si="20"/>
        <v>0</v>
      </c>
      <c r="O20">
        <f t="shared" ca="1" si="21"/>
        <v>0</v>
      </c>
      <c r="P20">
        <f t="shared" ca="1" si="22"/>
        <v>0</v>
      </c>
      <c r="Q20">
        <f t="shared" ca="1" si="23"/>
        <v>0</v>
      </c>
    </row>
    <row r="21" spans="1:17" x14ac:dyDescent="0.35">
      <c r="A21" t="s">
        <v>299</v>
      </c>
      <c r="C21">
        <f t="shared" ca="1" si="9"/>
        <v>15000000</v>
      </c>
      <c r="D21">
        <f t="shared" ca="1" si="10"/>
        <v>15000000</v>
      </c>
      <c r="E21">
        <f t="shared" ca="1" si="11"/>
        <v>29694.5</v>
      </c>
      <c r="F21">
        <f t="shared" ca="1" si="12"/>
        <v>26.5045</v>
      </c>
      <c r="G21">
        <f t="shared" ca="1" si="13"/>
        <v>59.998699999999999</v>
      </c>
      <c r="H21">
        <f t="shared" ca="1" si="14"/>
        <v>0</v>
      </c>
      <c r="I21">
        <f t="shared" ca="1" si="15"/>
        <v>24888700</v>
      </c>
      <c r="J21">
        <f t="shared" ca="1" si="16"/>
        <v>0</v>
      </c>
      <c r="K21">
        <f t="shared" ca="1" si="17"/>
        <v>0</v>
      </c>
      <c r="L21" t="e">
        <f t="shared" ca="1" si="18"/>
        <v>#N/A</v>
      </c>
      <c r="M21" s="2">
        <f t="shared" ca="1" si="19"/>
        <v>0</v>
      </c>
      <c r="N21">
        <f t="shared" ca="1" si="20"/>
        <v>0</v>
      </c>
      <c r="O21">
        <f t="shared" ca="1" si="21"/>
        <v>0</v>
      </c>
      <c r="P21">
        <f t="shared" ca="1" si="22"/>
        <v>0</v>
      </c>
      <c r="Q21">
        <f t="shared" ca="1" si="23"/>
        <v>0</v>
      </c>
    </row>
    <row r="22" spans="1:17" x14ac:dyDescent="0.35">
      <c r="A22" t="s">
        <v>300</v>
      </c>
      <c r="C22">
        <f t="shared" ca="1" si="9"/>
        <v>17000000</v>
      </c>
      <c r="D22">
        <f t="shared" ca="1" si="10"/>
        <v>17000000</v>
      </c>
      <c r="E22">
        <f t="shared" ca="1" si="11"/>
        <v>29705.599999999999</v>
      </c>
      <c r="F22">
        <f t="shared" ca="1" si="12"/>
        <v>26.494700000000002</v>
      </c>
      <c r="G22">
        <f t="shared" ca="1" si="13"/>
        <v>59.999600000000001</v>
      </c>
      <c r="H22">
        <f t="shared" ca="1" si="14"/>
        <v>0</v>
      </c>
      <c r="I22">
        <f t="shared" ca="1" si="15"/>
        <v>24898353</v>
      </c>
      <c r="J22">
        <f t="shared" ca="1" si="16"/>
        <v>0</v>
      </c>
      <c r="K22">
        <f t="shared" ca="1" si="17"/>
        <v>0</v>
      </c>
      <c r="L22" t="e">
        <f t="shared" ca="1" si="18"/>
        <v>#N/A</v>
      </c>
      <c r="M22" s="2">
        <f t="shared" ca="1" si="19"/>
        <v>0</v>
      </c>
      <c r="N22">
        <f t="shared" ca="1" si="20"/>
        <v>0</v>
      </c>
      <c r="O22">
        <f t="shared" ca="1" si="21"/>
        <v>0</v>
      </c>
      <c r="P22">
        <f t="shared" ca="1" si="22"/>
        <v>0</v>
      </c>
      <c r="Q22">
        <f t="shared" ca="1" si="23"/>
        <v>0</v>
      </c>
    </row>
    <row r="23" spans="1:17" x14ac:dyDescent="0.35">
      <c r="A23" t="s">
        <v>301</v>
      </c>
      <c r="C23">
        <f t="shared" ca="1" si="9"/>
        <v>20000000</v>
      </c>
      <c r="D23">
        <f t="shared" ca="1" si="10"/>
        <v>20000000</v>
      </c>
      <c r="E23">
        <f t="shared" ca="1" si="11"/>
        <v>29696.400000000001</v>
      </c>
      <c r="F23">
        <f t="shared" ca="1" si="12"/>
        <v>26.5029</v>
      </c>
      <c r="G23">
        <f t="shared" ca="1" si="13"/>
        <v>59.998100000000001</v>
      </c>
      <c r="H23">
        <f t="shared" ca="1" si="14"/>
        <v>0</v>
      </c>
      <c r="I23">
        <f t="shared" ca="1" si="15"/>
        <v>24890042</v>
      </c>
      <c r="J23">
        <f t="shared" ca="1" si="16"/>
        <v>0</v>
      </c>
      <c r="K23">
        <f t="shared" ca="1" si="17"/>
        <v>0</v>
      </c>
      <c r="L23" t="e">
        <f t="shared" ca="1" si="18"/>
        <v>#N/A</v>
      </c>
      <c r="M23" s="2">
        <f t="shared" ca="1" si="19"/>
        <v>0</v>
      </c>
      <c r="N23">
        <f t="shared" ca="1" si="20"/>
        <v>0</v>
      </c>
      <c r="O23">
        <f t="shared" ca="1" si="21"/>
        <v>0</v>
      </c>
      <c r="P23">
        <f t="shared" ca="1" si="22"/>
        <v>0</v>
      </c>
      <c r="Q23">
        <f t="shared" ca="1" si="23"/>
        <v>0</v>
      </c>
    </row>
    <row r="24" spans="1:17" x14ac:dyDescent="0.35">
      <c r="A24" t="s">
        <v>302</v>
      </c>
      <c r="C24">
        <f t="shared" ca="1" si="9"/>
        <v>22000000</v>
      </c>
      <c r="D24">
        <f t="shared" ca="1" si="10"/>
        <v>22000000</v>
      </c>
      <c r="E24">
        <f t="shared" ca="1" si="11"/>
        <v>29701.1</v>
      </c>
      <c r="F24">
        <f t="shared" ca="1" si="12"/>
        <v>26.498699999999999</v>
      </c>
      <c r="G24">
        <f t="shared" ca="1" si="13"/>
        <v>59.999600000000001</v>
      </c>
      <c r="H24">
        <f t="shared" ca="1" si="14"/>
        <v>0</v>
      </c>
      <c r="I24">
        <f t="shared" ca="1" si="15"/>
        <v>24894560</v>
      </c>
      <c r="J24">
        <f t="shared" ca="1" si="16"/>
        <v>0</v>
      </c>
      <c r="K24">
        <f t="shared" ca="1" si="17"/>
        <v>0</v>
      </c>
      <c r="L24" t="e">
        <f t="shared" ca="1" si="18"/>
        <v>#N/A</v>
      </c>
      <c r="M24" s="2">
        <f t="shared" ca="1" si="19"/>
        <v>0</v>
      </c>
      <c r="N24">
        <f t="shared" ca="1" si="20"/>
        <v>0</v>
      </c>
      <c r="O24">
        <f t="shared" ca="1" si="21"/>
        <v>0</v>
      </c>
      <c r="P24">
        <f t="shared" ca="1" si="22"/>
        <v>0</v>
      </c>
      <c r="Q24">
        <f t="shared" ca="1" si="23"/>
        <v>0</v>
      </c>
    </row>
    <row r="25" spans="1:17" x14ac:dyDescent="0.35">
      <c r="A25" t="s">
        <v>303</v>
      </c>
      <c r="C25">
        <f t="shared" ca="1" si="9"/>
        <v>25000000</v>
      </c>
      <c r="D25">
        <f t="shared" ca="1" si="10"/>
        <v>25000000</v>
      </c>
      <c r="E25">
        <f t="shared" ca="1" si="11"/>
        <v>6893.76</v>
      </c>
      <c r="F25">
        <f t="shared" ca="1" si="12"/>
        <v>114.167</v>
      </c>
      <c r="G25">
        <f t="shared" ca="1" si="13"/>
        <v>59.999499999999998</v>
      </c>
      <c r="H25">
        <f t="shared" ca="1" si="14"/>
        <v>0</v>
      </c>
      <c r="I25">
        <f t="shared" ca="1" si="15"/>
        <v>5778132</v>
      </c>
      <c r="J25">
        <f t="shared" ca="1" si="16"/>
        <v>127</v>
      </c>
      <c r="K25">
        <f t="shared" ca="1" si="17"/>
        <v>2.1979399999999998E-3</v>
      </c>
      <c r="L25">
        <f t="shared" ca="1" si="18"/>
        <v>45497.102362204721</v>
      </c>
      <c r="M25" s="2">
        <f t="shared" ca="1" si="19"/>
        <v>2.1979421723145125E-3</v>
      </c>
      <c r="N25">
        <f t="shared" ca="1" si="20"/>
        <v>0</v>
      </c>
      <c r="O25">
        <f t="shared" ca="1" si="21"/>
        <v>0</v>
      </c>
      <c r="P25">
        <f t="shared" ca="1" si="22"/>
        <v>0</v>
      </c>
      <c r="Q25">
        <f t="shared" ca="1" si="23"/>
        <v>0</v>
      </c>
    </row>
    <row r="26" spans="1:17" x14ac:dyDescent="0.35">
      <c r="A26" t="s">
        <v>304</v>
      </c>
      <c r="C26">
        <f t="shared" ca="1" si="9"/>
        <v>27000000</v>
      </c>
      <c r="D26">
        <f t="shared" ca="1" si="10"/>
        <v>27000000</v>
      </c>
      <c r="E26">
        <f t="shared" ca="1" si="11"/>
        <v>6701.47</v>
      </c>
      <c r="F26">
        <f t="shared" ca="1" si="12"/>
        <v>117.443</v>
      </c>
      <c r="G26">
        <f t="shared" ca="1" si="13"/>
        <v>59.999499999999998</v>
      </c>
      <c r="H26">
        <f t="shared" ca="1" si="14"/>
        <v>0</v>
      </c>
      <c r="I26">
        <f t="shared" ca="1" si="15"/>
        <v>5616973</v>
      </c>
      <c r="J26">
        <f t="shared" ca="1" si="16"/>
        <v>125</v>
      </c>
      <c r="K26">
        <f t="shared" ca="1" si="17"/>
        <v>2.2254000000000002E-3</v>
      </c>
      <c r="L26">
        <f t="shared" ca="1" si="18"/>
        <v>44935.784</v>
      </c>
      <c r="M26" s="2">
        <f t="shared" ca="1" si="19"/>
        <v>2.2253979144995001E-3</v>
      </c>
      <c r="N26">
        <f t="shared" ca="1" si="20"/>
        <v>0</v>
      </c>
      <c r="O26">
        <f t="shared" ca="1" si="21"/>
        <v>0</v>
      </c>
      <c r="P26">
        <f t="shared" ca="1" si="22"/>
        <v>0</v>
      </c>
      <c r="Q26">
        <f t="shared" ca="1" si="23"/>
        <v>0</v>
      </c>
    </row>
    <row r="27" spans="1:17" x14ac:dyDescent="0.35">
      <c r="A27" t="s">
        <v>305</v>
      </c>
      <c r="C27">
        <f t="shared" ca="1" si="9"/>
        <v>30000000</v>
      </c>
      <c r="D27">
        <f t="shared" ca="1" si="10"/>
        <v>30000000</v>
      </c>
      <c r="E27">
        <f t="shared" ca="1" si="11"/>
        <v>29697.9</v>
      </c>
      <c r="F27">
        <f t="shared" ca="1" si="12"/>
        <v>26.5015</v>
      </c>
      <c r="G27">
        <f t="shared" ca="1" si="13"/>
        <v>59.998399999999997</v>
      </c>
      <c r="H27">
        <f t="shared" ca="1" si="14"/>
        <v>0</v>
      </c>
      <c r="I27">
        <f t="shared" ca="1" si="15"/>
        <v>24891438</v>
      </c>
      <c r="J27">
        <f t="shared" ca="1" si="16"/>
        <v>0</v>
      </c>
      <c r="K27">
        <f t="shared" ca="1" si="17"/>
        <v>0</v>
      </c>
      <c r="L27" t="e">
        <f t="shared" ca="1" si="18"/>
        <v>#N/A</v>
      </c>
      <c r="M27" s="2">
        <f t="shared" ca="1" si="19"/>
        <v>0</v>
      </c>
      <c r="N27">
        <f t="shared" ca="1" si="20"/>
        <v>0</v>
      </c>
      <c r="O27">
        <f t="shared" ca="1" si="21"/>
        <v>0</v>
      </c>
      <c r="P27">
        <f t="shared" ca="1" si="22"/>
        <v>0</v>
      </c>
      <c r="Q27">
        <f t="shared" ca="1" si="23"/>
        <v>0</v>
      </c>
    </row>
    <row r="28" spans="1:17" x14ac:dyDescent="0.35">
      <c r="A28" t="s">
        <v>306</v>
      </c>
      <c r="C28">
        <f t="shared" ca="1" si="9"/>
        <v>35000000</v>
      </c>
      <c r="D28">
        <f t="shared" ca="1" si="10"/>
        <v>35000000</v>
      </c>
      <c r="E28">
        <f t="shared" ca="1" si="11"/>
        <v>29706.5</v>
      </c>
      <c r="F28">
        <f t="shared" ca="1" si="12"/>
        <v>26.4939</v>
      </c>
      <c r="G28">
        <f t="shared" ca="1" si="13"/>
        <v>59.999699999999997</v>
      </c>
      <c r="H28">
        <f t="shared" ca="1" si="14"/>
        <v>0</v>
      </c>
      <c r="I28">
        <f t="shared" ca="1" si="15"/>
        <v>24899145</v>
      </c>
      <c r="J28">
        <f t="shared" ca="1" si="16"/>
        <v>0</v>
      </c>
      <c r="K28">
        <f t="shared" ca="1" si="17"/>
        <v>0</v>
      </c>
      <c r="L28" t="e">
        <f t="shared" ca="1" si="18"/>
        <v>#N/A</v>
      </c>
      <c r="M28" s="2">
        <f t="shared" ca="1" si="19"/>
        <v>0</v>
      </c>
      <c r="N28">
        <f t="shared" ca="1" si="20"/>
        <v>0</v>
      </c>
      <c r="O28">
        <f t="shared" ca="1" si="21"/>
        <v>0</v>
      </c>
      <c r="P28">
        <f t="shared" ca="1" si="22"/>
        <v>0</v>
      </c>
      <c r="Q28">
        <f t="shared" ca="1" si="23"/>
        <v>0</v>
      </c>
    </row>
    <row r="29" spans="1:17" x14ac:dyDescent="0.35">
      <c r="A29" t="s">
        <v>307</v>
      </c>
      <c r="C29">
        <f t="shared" ca="1" si="9"/>
        <v>40000000</v>
      </c>
      <c r="D29">
        <f t="shared" ca="1" si="10"/>
        <v>40000000</v>
      </c>
      <c r="E29">
        <f t="shared" ca="1" si="11"/>
        <v>29704.3</v>
      </c>
      <c r="F29">
        <f t="shared" ca="1" si="12"/>
        <v>26.495899999999999</v>
      </c>
      <c r="G29">
        <f t="shared" ca="1" si="13"/>
        <v>59.999499999999998</v>
      </c>
      <c r="H29">
        <f t="shared" ca="1" si="14"/>
        <v>0</v>
      </c>
      <c r="I29">
        <f t="shared" ca="1" si="15"/>
        <v>24897188</v>
      </c>
      <c r="J29">
        <f t="shared" ca="1" si="16"/>
        <v>0</v>
      </c>
      <c r="K29">
        <f t="shared" ca="1" si="17"/>
        <v>0</v>
      </c>
      <c r="L29" t="e">
        <f t="shared" ca="1" si="18"/>
        <v>#N/A</v>
      </c>
      <c r="M29" s="2">
        <f t="shared" ca="1" si="19"/>
        <v>0</v>
      </c>
      <c r="N29">
        <f t="shared" ca="1" si="20"/>
        <v>0</v>
      </c>
      <c r="O29">
        <f t="shared" ca="1" si="21"/>
        <v>0</v>
      </c>
      <c r="P29">
        <f t="shared" ca="1" si="22"/>
        <v>0</v>
      </c>
      <c r="Q29">
        <f t="shared" ca="1" si="23"/>
        <v>0</v>
      </c>
    </row>
    <row r="30" spans="1:17" x14ac:dyDescent="0.35">
      <c r="A30" t="s">
        <v>308</v>
      </c>
      <c r="C30">
        <f t="shared" ca="1" si="9"/>
        <v>45000000</v>
      </c>
      <c r="D30">
        <f t="shared" ca="1" si="10"/>
        <v>45000000</v>
      </c>
      <c r="E30">
        <f t="shared" ca="1" si="11"/>
        <v>29710.3</v>
      </c>
      <c r="F30">
        <f t="shared" ca="1" si="12"/>
        <v>26.490500000000001</v>
      </c>
      <c r="G30">
        <f t="shared" ca="1" si="13"/>
        <v>59.999899999999997</v>
      </c>
      <c r="H30">
        <f t="shared" ca="1" si="14"/>
        <v>0</v>
      </c>
      <c r="I30">
        <f t="shared" ca="1" si="15"/>
        <v>24902400</v>
      </c>
      <c r="J30">
        <f t="shared" ca="1" si="16"/>
        <v>0</v>
      </c>
      <c r="K30">
        <f t="shared" ca="1" si="17"/>
        <v>0</v>
      </c>
      <c r="L30" t="e">
        <f t="shared" ca="1" si="18"/>
        <v>#N/A</v>
      </c>
      <c r="M30" s="2">
        <f t="shared" ca="1" si="19"/>
        <v>0</v>
      </c>
      <c r="N30">
        <f t="shared" ca="1" si="20"/>
        <v>0</v>
      </c>
      <c r="O30">
        <f t="shared" ca="1" si="21"/>
        <v>0</v>
      </c>
      <c r="P30">
        <f t="shared" ca="1" si="22"/>
        <v>0</v>
      </c>
      <c r="Q30">
        <f t="shared" ca="1" si="23"/>
        <v>0</v>
      </c>
    </row>
    <row r="31" spans="1:17" x14ac:dyDescent="0.35">
      <c r="A31" t="s">
        <v>309</v>
      </c>
      <c r="C31">
        <f t="shared" ca="1" si="9"/>
        <v>50000000</v>
      </c>
      <c r="D31">
        <f t="shared" ca="1" si="10"/>
        <v>50000000</v>
      </c>
      <c r="E31">
        <f t="shared" ca="1" si="11"/>
        <v>7445.78</v>
      </c>
      <c r="F31">
        <f t="shared" ca="1" si="12"/>
        <v>105.703</v>
      </c>
      <c r="G31">
        <f t="shared" ca="1" si="13"/>
        <v>59.998800000000003</v>
      </c>
      <c r="H31">
        <f t="shared" ca="1" si="14"/>
        <v>0</v>
      </c>
      <c r="I31">
        <f t="shared" ca="1" si="15"/>
        <v>6240743</v>
      </c>
      <c r="J31">
        <f t="shared" ca="1" si="16"/>
        <v>121</v>
      </c>
      <c r="K31">
        <f t="shared" ca="1" si="17"/>
        <v>1.9388700000000001E-3</v>
      </c>
      <c r="L31">
        <f t="shared" ca="1" si="18"/>
        <v>51576.388429752064</v>
      </c>
      <c r="M31" s="2">
        <f t="shared" ca="1" si="19"/>
        <v>1.9388717016547549E-3</v>
      </c>
      <c r="N31">
        <f t="shared" ca="1" si="20"/>
        <v>0</v>
      </c>
      <c r="O31">
        <f t="shared" ca="1" si="21"/>
        <v>0</v>
      </c>
      <c r="P31">
        <f t="shared" ca="1" si="22"/>
        <v>0</v>
      </c>
      <c r="Q31">
        <f t="shared" ca="1" si="23"/>
        <v>0</v>
      </c>
    </row>
    <row r="32" spans="1:17" x14ac:dyDescent="0.35">
      <c r="A32" t="s">
        <v>310</v>
      </c>
      <c r="C32">
        <f t="shared" ca="1" si="9"/>
        <v>0</v>
      </c>
      <c r="D32">
        <f t="shared" ca="1" si="10"/>
        <v>0</v>
      </c>
      <c r="E32">
        <f t="shared" ca="1" si="11"/>
        <v>0</v>
      </c>
      <c r="F32">
        <f t="shared" ca="1" si="12"/>
        <v>0</v>
      </c>
      <c r="G32">
        <f t="shared" ca="1" si="13"/>
        <v>0</v>
      </c>
      <c r="I32">
        <f t="shared" ca="1" si="15"/>
        <v>0</v>
      </c>
      <c r="J32">
        <f t="shared" ca="1" si="16"/>
        <v>0</v>
      </c>
      <c r="K32">
        <f t="shared" ca="1" si="17"/>
        <v>0</v>
      </c>
      <c r="L32" t="e">
        <f t="shared" ref="L32" ca="1" si="24">IF(J32&gt;0,I32/J32,NA())</f>
        <v>#N/A</v>
      </c>
      <c r="M32" s="2" t="e">
        <f t="shared" ref="M32" ca="1" si="25">IF(I32&gt;0,J32*100/I32, NA())</f>
        <v>#N/A</v>
      </c>
      <c r="N32" s="2"/>
    </row>
    <row r="33" spans="1:13" x14ac:dyDescent="0.35">
      <c r="A33" t="s">
        <v>12</v>
      </c>
    </row>
    <row r="34" spans="1:13" x14ac:dyDescent="0.35">
      <c r="A34" t="s">
        <v>12</v>
      </c>
    </row>
    <row r="35" spans="1:13" x14ac:dyDescent="0.35">
      <c r="A35" t="s">
        <v>54</v>
      </c>
      <c r="B35" t="s">
        <v>59</v>
      </c>
      <c r="C35" t="s">
        <v>60</v>
      </c>
      <c r="D35" t="s">
        <v>1</v>
      </c>
      <c r="E35" t="s">
        <v>25</v>
      </c>
      <c r="F35" t="s">
        <v>26</v>
      </c>
      <c r="G35" t="s">
        <v>21</v>
      </c>
      <c r="H35" t="s">
        <v>22</v>
      </c>
      <c r="I35" t="s">
        <v>55</v>
      </c>
      <c r="J35" t="s">
        <v>61</v>
      </c>
      <c r="K35" t="s">
        <v>56</v>
      </c>
      <c r="L35" t="s">
        <v>57</v>
      </c>
      <c r="M35" t="s">
        <v>58</v>
      </c>
    </row>
    <row r="37" spans="1:13" x14ac:dyDescent="0.35">
      <c r="B37" t="s">
        <v>39</v>
      </c>
      <c r="C37" t="str">
        <f xml:space="preserve"> "'" &amp; $A$21 &amp; "'!$a" &amp; "$" &amp; InfoStore_fromRow &amp; ":$a" &amp; "$" &amp; InfoStore_toRow</f>
        <v>'DTNlon-RALxrootd01_tcpmon_m_08'!$a$470:$a$2468</v>
      </c>
    </row>
    <row r="38" spans="1:13" x14ac:dyDescent="0.35">
      <c r="B38" t="s">
        <v>52</v>
      </c>
      <c r="C38" t="str">
        <f xml:space="preserve"> "'" &amp; $A$21 &amp; "'!$a" &amp; "$" &amp; Histo_1_bin0 &amp; ":$a" &amp; "$" &amp; Histo_1_lastbin</f>
        <v>'DTNlon-RALxrootd01_tcpmon_m_08'!$a$324:$a$423</v>
      </c>
    </row>
    <row r="39" spans="1:13" x14ac:dyDescent="0.35">
      <c r="B39" t="s">
        <v>53</v>
      </c>
      <c r="C39" t="str">
        <f xml:space="preserve"> "'" &amp; $A$21 &amp; "'!$a" &amp; "$" &amp; Histo_2_bin0 &amp; ":$a" &amp; "$" &amp; Histo_2_lastbin</f>
        <v>'DTNlon-RALxrootd01_tcpmon_m_08'!$a$426:$a$525</v>
      </c>
    </row>
    <row r="41" spans="1:13" x14ac:dyDescent="0.35">
      <c r="A41" t="s">
        <v>41</v>
      </c>
      <c r="B41">
        <f ca="1">D18</f>
        <v>7000000</v>
      </c>
      <c r="C41" t="s">
        <v>36</v>
      </c>
    </row>
    <row r="42" spans="1:13" x14ac:dyDescent="0.35">
      <c r="B42" s="1" t="s">
        <v>37</v>
      </c>
      <c r="C42" t="str">
        <f xml:space="preserve"> "'" &amp; $A$18 &amp; "'!$b" &amp; "$" &amp; InfoStore_fromRow &amp; ":$b" &amp; "$" &amp; InfoStore_toRow</f>
        <v>'DTNlon-RALxrootd01_tcpmon_m_05'!$b$470:$b$2468</v>
      </c>
    </row>
    <row r="43" spans="1:13" x14ac:dyDescent="0.35">
      <c r="B43" t="s">
        <v>38</v>
      </c>
      <c r="C43" t="str">
        <f xml:space="preserve"> "'" &amp; $A$18 &amp; "'!$c" &amp; "$" &amp; InfoStore_fromRow &amp; ":$c" &amp; "$" &amp; InfoStore_toRow</f>
        <v>'DTNlon-RALxrootd01_tcpmon_m_05'!$c$470:$c$2468</v>
      </c>
    </row>
    <row r="44" spans="1:13" x14ac:dyDescent="0.35">
      <c r="B44" t="s">
        <v>24</v>
      </c>
    </row>
    <row r="45" spans="1:13" x14ac:dyDescent="0.35">
      <c r="B45" t="s">
        <v>27</v>
      </c>
    </row>
    <row r="46" spans="1:13" x14ac:dyDescent="0.35">
      <c r="B46" t="s">
        <v>33</v>
      </c>
    </row>
    <row r="47" spans="1:13" x14ac:dyDescent="0.35">
      <c r="B47" t="s">
        <v>21</v>
      </c>
    </row>
    <row r="48" spans="1:13" x14ac:dyDescent="0.35">
      <c r="B48" t="s">
        <v>22</v>
      </c>
    </row>
    <row r="49" spans="1:3" x14ac:dyDescent="0.35">
      <c r="B49" t="s">
        <v>44</v>
      </c>
    </row>
    <row r="50" spans="1:3" x14ac:dyDescent="0.35">
      <c r="B50" t="s">
        <v>23</v>
      </c>
    </row>
    <row r="51" spans="1:3" x14ac:dyDescent="0.35">
      <c r="B51" t="s">
        <v>45</v>
      </c>
    </row>
    <row r="54" spans="1:3" x14ac:dyDescent="0.35">
      <c r="B54" s="1" t="s">
        <v>46</v>
      </c>
      <c r="C54" t="str">
        <f xml:space="preserve"> "'" &amp; $A$18 &amp; "'!$b" &amp; "$" &amp; Histo_1_bin0 &amp; ":$b" &amp; "$" &amp; Histo_1_lastbin</f>
        <v>'DTNlon-RALxrootd01_tcpmon_m_05'!$b$324:$b$423</v>
      </c>
    </row>
    <row r="55" spans="1:3" x14ac:dyDescent="0.35">
      <c r="B55" t="s">
        <v>47</v>
      </c>
      <c r="C55" t="str">
        <f xml:space="preserve"> "'" &amp; $A$18 &amp; "'!$b" &amp; "$" &amp; Histo_2_bin0 &amp; ":$b" &amp; "$" &amp; Histo_2_lastbin</f>
        <v>'DTNlon-RALxrootd01_tcpmon_m_05'!$b$426:$b$525</v>
      </c>
    </row>
    <row r="57" spans="1:3" x14ac:dyDescent="0.35">
      <c r="A57" t="s">
        <v>42</v>
      </c>
      <c r="B57">
        <f ca="1">D19</f>
        <v>10000000</v>
      </c>
      <c r="C57" t="s">
        <v>36</v>
      </c>
    </row>
    <row r="58" spans="1:3" x14ac:dyDescent="0.35">
      <c r="B58" s="1" t="s">
        <v>37</v>
      </c>
      <c r="C58" t="str">
        <f xml:space="preserve"> "'" &amp; $A$19 &amp; "'!$b" &amp; "$" &amp; InfoStore_fromRow &amp; ":$b" &amp; "$" &amp; InfoStore_toRow</f>
        <v>'DTNlon-RALxrootd01_tcpmon_m_06'!$b$470:$b$2468</v>
      </c>
    </row>
    <row r="59" spans="1:3" x14ac:dyDescent="0.35">
      <c r="B59" t="s">
        <v>38</v>
      </c>
      <c r="C59" t="str">
        <f xml:space="preserve"> "'" &amp; $A$19 &amp; "'!$c" &amp; "$" &amp; InfoStore_fromRow &amp; ":$c" &amp; "$" &amp; InfoStore_toRow</f>
        <v>'DTNlon-RALxrootd01_tcpmon_m_06'!$c$470:$c$2468</v>
      </c>
    </row>
    <row r="60" spans="1:3" x14ac:dyDescent="0.35">
      <c r="B60" t="s">
        <v>24</v>
      </c>
    </row>
    <row r="61" spans="1:3" x14ac:dyDescent="0.35">
      <c r="B61" t="s">
        <v>27</v>
      </c>
    </row>
    <row r="62" spans="1:3" x14ac:dyDescent="0.35">
      <c r="B62" t="s">
        <v>33</v>
      </c>
    </row>
    <row r="63" spans="1:3" x14ac:dyDescent="0.35">
      <c r="B63" t="s">
        <v>21</v>
      </c>
    </row>
    <row r="64" spans="1:3" x14ac:dyDescent="0.35">
      <c r="B64" t="s">
        <v>22</v>
      </c>
    </row>
    <row r="65" spans="1:3" x14ac:dyDescent="0.35">
      <c r="B65" t="s">
        <v>44</v>
      </c>
    </row>
    <row r="66" spans="1:3" x14ac:dyDescent="0.35">
      <c r="B66" t="s">
        <v>23</v>
      </c>
    </row>
    <row r="67" spans="1:3" x14ac:dyDescent="0.35">
      <c r="B67" t="s">
        <v>45</v>
      </c>
    </row>
    <row r="70" spans="1:3" x14ac:dyDescent="0.35">
      <c r="B70" s="1" t="s">
        <v>46</v>
      </c>
      <c r="C70" t="str">
        <f xml:space="preserve"> "'" &amp; $A$19 &amp; "'!$b" &amp; "$" &amp; Histo_1_bin0 &amp; ":$b" &amp; "$" &amp; Histo_1_lastbin</f>
        <v>'DTNlon-RALxrootd01_tcpmon_m_06'!$b$324:$b$423</v>
      </c>
    </row>
    <row r="71" spans="1:3" x14ac:dyDescent="0.35">
      <c r="B71" t="s">
        <v>47</v>
      </c>
      <c r="C71" t="str">
        <f xml:space="preserve"> "'" &amp; $A$19 &amp; "'!$b" &amp; "$" &amp; Histo_2_bin0 &amp; ":$b" &amp; "$" &amp; Histo_2_lastbin</f>
        <v>'DTNlon-RALxrootd01_tcpmon_m_06'!$b$426:$b$525</v>
      </c>
    </row>
    <row r="73" spans="1:3" x14ac:dyDescent="0.35">
      <c r="A73" t="s">
        <v>43</v>
      </c>
      <c r="B73">
        <f ca="1">D20</f>
        <v>12000000</v>
      </c>
      <c r="C73" t="s">
        <v>36</v>
      </c>
    </row>
    <row r="74" spans="1:3" x14ac:dyDescent="0.35">
      <c r="B74" s="1" t="s">
        <v>37</v>
      </c>
      <c r="C74" t="str">
        <f xml:space="preserve"> "'" &amp; $A$20 &amp; "'!$b" &amp; "$" &amp; InfoStore_fromRow &amp; ":$b" &amp; "$" &amp; InfoStore_toRow</f>
        <v>'DTNlon-RALxrootd01_tcpmon_m_07'!$b$470:$b$2468</v>
      </c>
    </row>
    <row r="75" spans="1:3" x14ac:dyDescent="0.35">
      <c r="B75" t="s">
        <v>38</v>
      </c>
      <c r="C75" t="str">
        <f xml:space="preserve"> "'" &amp; $A$20 &amp; "'!$c" &amp; "$" &amp; InfoStore_fromRow &amp; ":$c" &amp; "$" &amp; InfoStore_toRow</f>
        <v>'DTNlon-RALxrootd01_tcpmon_m_07'!$c$470:$c$2468</v>
      </c>
    </row>
    <row r="76" spans="1:3" x14ac:dyDescent="0.35">
      <c r="B76" t="s">
        <v>24</v>
      </c>
    </row>
    <row r="77" spans="1:3" x14ac:dyDescent="0.35">
      <c r="B77" t="s">
        <v>27</v>
      </c>
    </row>
    <row r="78" spans="1:3" x14ac:dyDescent="0.35">
      <c r="B78" t="s">
        <v>33</v>
      </c>
    </row>
    <row r="79" spans="1:3" x14ac:dyDescent="0.35">
      <c r="B79" t="s">
        <v>21</v>
      </c>
    </row>
    <row r="80" spans="1:3" x14ac:dyDescent="0.35">
      <c r="B80" t="s">
        <v>22</v>
      </c>
    </row>
    <row r="81" spans="1:8" x14ac:dyDescent="0.35">
      <c r="B81" t="s">
        <v>44</v>
      </c>
    </row>
    <row r="82" spans="1:8" x14ac:dyDescent="0.35">
      <c r="B82" t="s">
        <v>23</v>
      </c>
    </row>
    <row r="83" spans="1:8" x14ac:dyDescent="0.35">
      <c r="B83" t="s">
        <v>45</v>
      </c>
    </row>
    <row r="86" spans="1:8" x14ac:dyDescent="0.35">
      <c r="B86" s="1" t="s">
        <v>46</v>
      </c>
      <c r="C86" t="str">
        <f xml:space="preserve"> "'" &amp; $A$20 &amp; "'!$b" &amp; "$" &amp; Histo_1_bin0 &amp; ":$b" &amp; "$" &amp; Histo_1_lastbin</f>
        <v>'DTNlon-RALxrootd01_tcpmon_m_07'!$b$324:$b$423</v>
      </c>
    </row>
    <row r="87" spans="1:8" x14ac:dyDescent="0.35">
      <c r="B87" t="s">
        <v>47</v>
      </c>
      <c r="C87" t="str">
        <f xml:space="preserve"> "'" &amp; $A$20 &amp; "'!$b" &amp; "$" &amp; Histo_2_bin0 &amp; ":$b" &amp; "$" &amp; Histo_2_lastbin</f>
        <v>'DTNlon-RALxrootd01_tcpmon_m_07'!$b$426:$b$525</v>
      </c>
    </row>
    <row r="89" spans="1:8" x14ac:dyDescent="0.35">
      <c r="A89" t="s">
        <v>30</v>
      </c>
      <c r="B89">
        <f ca="1">D21</f>
        <v>15000000</v>
      </c>
      <c r="C89" t="s">
        <v>36</v>
      </c>
      <c r="H89" t="s">
        <v>54</v>
      </c>
    </row>
    <row r="90" spans="1:8" x14ac:dyDescent="0.35">
      <c r="B90" s="1" t="s">
        <v>37</v>
      </c>
      <c r="C90" t="str">
        <f xml:space="preserve"> "'" &amp; $A$21 &amp; "'!$b" &amp; "$" &amp; InfoStore_fromRow &amp; ":$b" &amp; "$" &amp; InfoStore_toRow</f>
        <v>'DTNlon-RALxrootd01_tcpmon_m_08'!$b$470:$b$2468</v>
      </c>
      <c r="H90" t="s">
        <v>59</v>
      </c>
    </row>
    <row r="91" spans="1:8" x14ac:dyDescent="0.35">
      <c r="B91" t="s">
        <v>38</v>
      </c>
      <c r="C91" t="str">
        <f xml:space="preserve"> "'" &amp; $A$21 &amp; "'!$c" &amp; "$" &amp; InfoStore_fromRow &amp; ":$c" &amp; "$" &amp; InfoStore_toRow</f>
        <v>'DTNlon-RALxrootd01_tcpmon_m_08'!$c$470:$c$2468</v>
      </c>
      <c r="H91" t="s">
        <v>60</v>
      </c>
    </row>
    <row r="92" spans="1:8" x14ac:dyDescent="0.35">
      <c r="B92" t="s">
        <v>24</v>
      </c>
      <c r="C92" t="str">
        <f xml:space="preserve"> "'" &amp; $A$21 &amp; "'!$d" &amp; "$" &amp; InfoStore_fromRow &amp; ":$d" &amp; "$" &amp; InfoStore_toRow</f>
        <v>'DTNlon-RALxrootd01_tcpmon_m_08'!$d$470:$d$2468</v>
      </c>
      <c r="H92" t="s">
        <v>1</v>
      </c>
    </row>
    <row r="93" spans="1:8" x14ac:dyDescent="0.35">
      <c r="B93" t="s">
        <v>27</v>
      </c>
      <c r="C93" t="str">
        <f xml:space="preserve"> "'" &amp; $A$21 &amp; "'!$e" &amp; "$" &amp; InfoStore_fromRow &amp; ":$e" &amp; "$" &amp; InfoStore_toRow</f>
        <v>'DTNlon-RALxrootd01_tcpmon_m_08'!$e$470:$e$2468</v>
      </c>
      <c r="H93" t="s">
        <v>25</v>
      </c>
    </row>
    <row r="94" spans="1:8" x14ac:dyDescent="0.35">
      <c r="B94" t="s">
        <v>33</v>
      </c>
      <c r="C94" t="str">
        <f xml:space="preserve"> "'" &amp; $A$21 &amp; "'!$f" &amp; "$" &amp; InfoStore_fromRow &amp; ":$f" &amp; "$" &amp; InfoStore_toRow</f>
        <v>'DTNlon-RALxrootd01_tcpmon_m_08'!$f$470:$f$2468</v>
      </c>
      <c r="H94" t="s">
        <v>26</v>
      </c>
    </row>
    <row r="95" spans="1:8" x14ac:dyDescent="0.35">
      <c r="B95" t="s">
        <v>21</v>
      </c>
      <c r="C95" t="str">
        <f xml:space="preserve"> "'" &amp; $A$21 &amp; "'!$g" &amp; "$" &amp; InfoStore_fromRow &amp; ":$g" &amp; "$" &amp; InfoStore_toRow</f>
        <v>'DTNlon-RALxrootd01_tcpmon_m_08'!$g$470:$g$2468</v>
      </c>
      <c r="H95" t="s">
        <v>21</v>
      </c>
    </row>
    <row r="96" spans="1:8" x14ac:dyDescent="0.35">
      <c r="B96" t="s">
        <v>22</v>
      </c>
      <c r="C96" t="str">
        <f xml:space="preserve"> "'" &amp; $A$21 &amp; "'!$h" &amp; "$" &amp; InfoStore_fromRow &amp; ":$h" &amp; "$" &amp; InfoStore_toRow</f>
        <v>'DTNlon-RALxrootd01_tcpmon_m_08'!$h$470:$h$2468</v>
      </c>
      <c r="H96" t="s">
        <v>22</v>
      </c>
    </row>
    <row r="97" spans="1:8" x14ac:dyDescent="0.35">
      <c r="B97" t="s">
        <v>62</v>
      </c>
      <c r="C97" t="str">
        <f xml:space="preserve"> "'" &amp; $A$21 &amp; "'!$i" &amp; "$" &amp; InfoStore_fromRow &amp; ":$i" &amp; "$" &amp; InfoStore_toRow</f>
        <v>'DTNlon-RALxrootd01_tcpmon_m_08'!$i$470:$i$2468</v>
      </c>
      <c r="H97" t="s">
        <v>55</v>
      </c>
    </row>
    <row r="98" spans="1:8" x14ac:dyDescent="0.35">
      <c r="B98" t="s">
        <v>63</v>
      </c>
      <c r="C98" t="str">
        <f xml:space="preserve"> "'" &amp; $A$21 &amp; "'!$j" &amp; "$" &amp; InfoStore_fromRow &amp; ":$j" &amp; "$" &amp; InfoStore_toRow</f>
        <v>'DTNlon-RALxrootd01_tcpmon_m_08'!$j$470:$j$2468</v>
      </c>
      <c r="H98" t="s">
        <v>61</v>
      </c>
    </row>
    <row r="99" spans="1:8" x14ac:dyDescent="0.35">
      <c r="B99" t="s">
        <v>64</v>
      </c>
      <c r="C99" t="str">
        <f xml:space="preserve"> "'" &amp; $A$21 &amp; "'!$k" &amp; "$" &amp; InfoStore_fromRow &amp; ":$k" &amp; "$" &amp; InfoStore_toRow</f>
        <v>'DTNlon-RALxrootd01_tcpmon_m_08'!$k$470:$k$2468</v>
      </c>
      <c r="H99" t="s">
        <v>56</v>
      </c>
    </row>
    <row r="100" spans="1:8" x14ac:dyDescent="0.35">
      <c r="B100" t="s">
        <v>65</v>
      </c>
      <c r="C100" t="str">
        <f xml:space="preserve"> "'" &amp; $A$21 &amp; "'!$l" &amp; "$" &amp; InfoStore_fromRow &amp; ":$l" &amp; "$" &amp; InfoStore_toRow</f>
        <v>'DTNlon-RALxrootd01_tcpmon_m_08'!$l$470:$l$2468</v>
      </c>
      <c r="H100" t="s">
        <v>57</v>
      </c>
    </row>
    <row r="101" spans="1:8" x14ac:dyDescent="0.35">
      <c r="B101" t="s">
        <v>58</v>
      </c>
      <c r="C101" t="str">
        <f xml:space="preserve"> "'" &amp; $A$21 &amp; "'!$m" &amp; "$" &amp; InfoStore_fromRow &amp; ":$m" &amp; "$" &amp; InfoStore_toRow</f>
        <v>'DTNlon-RALxrootd01_tcpmon_m_08'!$m$470:$m$2468</v>
      </c>
      <c r="H101" t="s">
        <v>58</v>
      </c>
    </row>
    <row r="102" spans="1:8" x14ac:dyDescent="0.35">
      <c r="B102" s="1" t="s">
        <v>46</v>
      </c>
      <c r="C102" t="str">
        <f xml:space="preserve"> "'" &amp; $A$21 &amp; "'!$b" &amp; "$" &amp; Histo_1_bin0 &amp; ":$b" &amp; "$" &amp; Histo_1_lastbin</f>
        <v>'DTNlon-RALxrootd01_tcpmon_m_08'!$b$324:$b$423</v>
      </c>
    </row>
    <row r="103" spans="1:8" x14ac:dyDescent="0.35">
      <c r="B103" t="s">
        <v>47</v>
      </c>
      <c r="C103" t="str">
        <f xml:space="preserve"> "'" &amp; $A$21 &amp; "'!$b" &amp; "$" &amp; Histo_2_bin0 &amp; ":$b" &amp; "$" &amp; Histo_2_lastbin</f>
        <v>'DTNlon-RALxrootd01_tcpmon_m_08'!$b$426:$b$525</v>
      </c>
    </row>
    <row r="104" spans="1:8" x14ac:dyDescent="0.35">
      <c r="B104" t="s">
        <v>139</v>
      </c>
      <c r="C104" t="str">
        <f xml:space="preserve"> "'" &amp; $A$21 &amp; "'!$a" &amp; "$" &amp; Flow_start &amp; ":$a" &amp; "$" &amp; Flow_end</f>
        <v>'DTNlon-RALxrootd01_tcpmon_m_08'!$a$13:$a$41</v>
      </c>
      <c r="H104" t="s">
        <v>139</v>
      </c>
    </row>
    <row r="105" spans="1:8" x14ac:dyDescent="0.35">
      <c r="B105" t="s">
        <v>140</v>
      </c>
      <c r="C105" t="str">
        <f xml:space="preserve"> "'" &amp; $A$21 &amp; "'!$c" &amp; "$" &amp; Flow_start &amp; ":$c" &amp; "$" &amp; Flow_end</f>
        <v>'DTNlon-RALxrootd01_tcpmon_m_08'!$c$13:$c$41</v>
      </c>
      <c r="H105" t="s">
        <v>140</v>
      </c>
    </row>
    <row r="106" spans="1:8" x14ac:dyDescent="0.35">
      <c r="B106" t="s">
        <v>141</v>
      </c>
      <c r="C106" t="str">
        <f xml:space="preserve"> "'" &amp; $A$21 &amp; "'!$d" &amp; "$" &amp; Flow_start &amp; ":$d" &amp; "$" &amp; Flow_end</f>
        <v>'DTNlon-RALxrootd01_tcpmon_m_08'!$d$13:$d$41</v>
      </c>
      <c r="H106" t="s">
        <v>141</v>
      </c>
    </row>
    <row r="108" spans="1:8" x14ac:dyDescent="0.35">
      <c r="A108" t="s">
        <v>29</v>
      </c>
      <c r="B108">
        <f ca="1">D22</f>
        <v>17000000</v>
      </c>
      <c r="C108" t="s">
        <v>36</v>
      </c>
    </row>
    <row r="109" spans="1:8" x14ac:dyDescent="0.35">
      <c r="B109" s="1" t="s">
        <v>37</v>
      </c>
      <c r="C109" t="str">
        <f xml:space="preserve"> "'" &amp; $A$22 &amp; "'!$b" &amp; "$" &amp; InfoStore_fromRow &amp; ":$b" &amp; "$" &amp; InfoStore_toRow</f>
        <v>'DTNlon-RALxrootd01_tcpmon_m_09'!$b$470:$b$2468</v>
      </c>
    </row>
    <row r="110" spans="1:8" x14ac:dyDescent="0.35">
      <c r="B110" t="s">
        <v>38</v>
      </c>
      <c r="C110" t="str">
        <f xml:space="preserve"> "'" &amp; $A$22 &amp; "'!$c" &amp; "$" &amp; InfoStore_fromRow &amp; ":$c" &amp; "$" &amp; InfoStore_toRow</f>
        <v>'DTNlon-RALxrootd01_tcpmon_m_09'!$c$470:$c$2468</v>
      </c>
    </row>
    <row r="111" spans="1:8" x14ac:dyDescent="0.35">
      <c r="B111" t="s">
        <v>24</v>
      </c>
      <c r="C111" t="str">
        <f xml:space="preserve"> "'" &amp; $A$22 &amp; "'!$d" &amp; "$" &amp; InfoStore_fromRow &amp; ":$d" &amp; "$" &amp; InfoStore_toRow</f>
        <v>'DTNlon-RALxrootd01_tcpmon_m_09'!$d$470:$d$2468</v>
      </c>
    </row>
    <row r="112" spans="1:8" x14ac:dyDescent="0.35">
      <c r="B112" t="s">
        <v>27</v>
      </c>
      <c r="C112" t="str">
        <f xml:space="preserve"> "'" &amp; $A$22 &amp; "'!$e" &amp; "$" &amp; InfoStore_fromRow &amp; ":$e" &amp; "$" &amp; InfoStore_toRow</f>
        <v>'DTNlon-RALxrootd01_tcpmon_m_09'!$e$470:$e$2468</v>
      </c>
    </row>
    <row r="113" spans="1:3" x14ac:dyDescent="0.35">
      <c r="B113" t="s">
        <v>33</v>
      </c>
      <c r="C113" t="str">
        <f xml:space="preserve"> "'" &amp; $A$22 &amp; "'!$f" &amp; "$" &amp; InfoStore_fromRow &amp; ":$f" &amp; "$" &amp; InfoStore_toRow</f>
        <v>'DTNlon-RALxrootd01_tcpmon_m_09'!$f$470:$f$2468</v>
      </c>
    </row>
    <row r="114" spans="1:3" x14ac:dyDescent="0.35">
      <c r="B114" t="s">
        <v>21</v>
      </c>
      <c r="C114" t="str">
        <f xml:space="preserve"> "'" &amp; $A$22 &amp; "'!$g" &amp; "$" &amp; InfoStore_fromRow &amp; ":$g" &amp; "$" &amp; InfoStore_toRow</f>
        <v>'DTNlon-RALxrootd01_tcpmon_m_09'!$g$470:$g$2468</v>
      </c>
    </row>
    <row r="115" spans="1:3" x14ac:dyDescent="0.35">
      <c r="B115" t="s">
        <v>22</v>
      </c>
      <c r="C115" t="str">
        <f xml:space="preserve"> "'" &amp; $A$22 &amp; "'!$h" &amp; "$" &amp; InfoStore_fromRow &amp; ":$h" &amp; "$" &amp; InfoStore_toRow</f>
        <v>'DTNlon-RALxrootd01_tcpmon_m_09'!$h$470:$h$2468</v>
      </c>
    </row>
    <row r="116" spans="1:3" x14ac:dyDescent="0.35">
      <c r="B116" t="s">
        <v>62</v>
      </c>
      <c r="C116" t="str">
        <f xml:space="preserve"> "'" &amp; $A$22 &amp; "'!$i" &amp; "$" &amp; InfoStore_fromRow &amp; ":$i" &amp; "$" &amp; InfoStore_toRow</f>
        <v>'DTNlon-RALxrootd01_tcpmon_m_09'!$i$470:$i$2468</v>
      </c>
    </row>
    <row r="117" spans="1:3" x14ac:dyDescent="0.35">
      <c r="B117" t="s">
        <v>63</v>
      </c>
      <c r="C117" t="str">
        <f xml:space="preserve"> "'" &amp; $A$22 &amp; "'!$j" &amp; "$" &amp; InfoStore_fromRow &amp; ":$j" &amp; "$" &amp; InfoStore_toRow</f>
        <v>'DTNlon-RALxrootd01_tcpmon_m_09'!$j$470:$j$2468</v>
      </c>
    </row>
    <row r="118" spans="1:3" x14ac:dyDescent="0.35">
      <c r="B118" t="s">
        <v>64</v>
      </c>
      <c r="C118" t="str">
        <f xml:space="preserve"> "'" &amp; $A$22 &amp; "'!$k" &amp; "$" &amp; InfoStore_fromRow &amp; ":$k" &amp; "$" &amp; InfoStore_toRow</f>
        <v>'DTNlon-RALxrootd01_tcpmon_m_09'!$k$470:$k$2468</v>
      </c>
    </row>
    <row r="119" spans="1:3" x14ac:dyDescent="0.35">
      <c r="B119" t="s">
        <v>65</v>
      </c>
      <c r="C119" t="str">
        <f xml:space="preserve"> "'" &amp; $A$22 &amp; "'!$l" &amp; "$" &amp; InfoStore_fromRow &amp; ":$l" &amp; "$" &amp; InfoStore_toRow</f>
        <v>'DTNlon-RALxrootd01_tcpmon_m_09'!$l$470:$l$2468</v>
      </c>
    </row>
    <row r="120" spans="1:3" x14ac:dyDescent="0.35">
      <c r="B120" t="s">
        <v>58</v>
      </c>
      <c r="C120" t="str">
        <f xml:space="preserve"> "'" &amp; $A$22 &amp; "'!$m" &amp; "$" &amp; InfoStore_fromRow &amp; ":$m" &amp; "$" &amp; InfoStore_toRow</f>
        <v>'DTNlon-RALxrootd01_tcpmon_m_09'!$m$470:$m$2468</v>
      </c>
    </row>
    <row r="121" spans="1:3" x14ac:dyDescent="0.35">
      <c r="B121" s="1" t="s">
        <v>46</v>
      </c>
      <c r="C121" t="str">
        <f xml:space="preserve"> "'" &amp; $A$22 &amp; "'!$b" &amp; "$" &amp; Histo_1_bin0 &amp; ":$b" &amp; "$" &amp; Histo_1_lastbin</f>
        <v>'DTNlon-RALxrootd01_tcpmon_m_09'!$b$324:$b$423</v>
      </c>
    </row>
    <row r="122" spans="1:3" x14ac:dyDescent="0.35">
      <c r="B122" t="s">
        <v>47</v>
      </c>
      <c r="C122" t="str">
        <f xml:space="preserve"> "'" &amp; $A$22 &amp; "'!$b" &amp; "$" &amp; Histo_2_bin0 &amp; ":$b" &amp; "$" &amp; Histo_2_lastbin</f>
        <v>'DTNlon-RALxrootd01_tcpmon_m_09'!$b$426:$b$525</v>
      </c>
    </row>
    <row r="123" spans="1:3" x14ac:dyDescent="0.35">
      <c r="B123" t="s">
        <v>139</v>
      </c>
      <c r="C123" t="str">
        <f xml:space="preserve"> "'" &amp; $A$22 &amp; "'!$a" &amp; "$" &amp; Flow_start &amp; ":$a" &amp; "$" &amp; Flow_end</f>
        <v>'DTNlon-RALxrootd01_tcpmon_m_09'!$a$13:$a$41</v>
      </c>
    </row>
    <row r="124" spans="1:3" x14ac:dyDescent="0.35">
      <c r="B124" t="s">
        <v>140</v>
      </c>
      <c r="C124" t="str">
        <f xml:space="preserve"> "'" &amp; $A$22 &amp; "'!$c" &amp; "$" &amp; Flow_start &amp; ":$c" &amp; "$" &amp; Flow_end</f>
        <v>'DTNlon-RALxrootd01_tcpmon_m_09'!$c$13:$c$41</v>
      </c>
    </row>
    <row r="125" spans="1:3" x14ac:dyDescent="0.35">
      <c r="B125" t="s">
        <v>141</v>
      </c>
      <c r="C125" t="str">
        <f xml:space="preserve"> "'" &amp; $A$22 &amp; "'!$d" &amp; "$" &amp; Flow_start &amp; ":$d" &amp; "$" &amp; Flow_end</f>
        <v>'DTNlon-RALxrootd01_tcpmon_m_09'!$d$13:$d$41</v>
      </c>
    </row>
    <row r="128" spans="1:3" x14ac:dyDescent="0.35">
      <c r="A128" t="s">
        <v>31</v>
      </c>
      <c r="B128">
        <f ca="1">D23</f>
        <v>20000000</v>
      </c>
      <c r="C128" t="s">
        <v>36</v>
      </c>
    </row>
    <row r="129" spans="2:3" x14ac:dyDescent="0.35">
      <c r="B129" s="1" t="s">
        <v>37</v>
      </c>
      <c r="C129" t="str">
        <f xml:space="preserve"> "'" &amp; $A$23 &amp; "'!$b" &amp; "$" &amp; InfoStore_fromRow &amp; ":$b" &amp; "$" &amp; InfoStore_toRow</f>
        <v>'DTNlon-RALxrootd01_tcpmon_m_10'!$b$470:$b$2468</v>
      </c>
    </row>
    <row r="130" spans="2:3" x14ac:dyDescent="0.35">
      <c r="B130" t="s">
        <v>38</v>
      </c>
      <c r="C130" t="str">
        <f xml:space="preserve"> "'" &amp; $A$23 &amp; "'!$c" &amp; "$" &amp; InfoStore_fromRow &amp; ":$c" &amp; "$" &amp; InfoStore_toRow</f>
        <v>'DTNlon-RALxrootd01_tcpmon_m_10'!$c$470:$c$2468</v>
      </c>
    </row>
    <row r="131" spans="2:3" x14ac:dyDescent="0.35">
      <c r="B131" t="s">
        <v>24</v>
      </c>
      <c r="C131" t="str">
        <f xml:space="preserve"> "'" &amp; $A$23 &amp; "'!$d" &amp; "$" &amp; InfoStore_fromRow &amp; ":$d" &amp; "$" &amp; InfoStore_toRow</f>
        <v>'DTNlon-RALxrootd01_tcpmon_m_10'!$d$470:$d$2468</v>
      </c>
    </row>
    <row r="132" spans="2:3" x14ac:dyDescent="0.35">
      <c r="B132" t="s">
        <v>27</v>
      </c>
      <c r="C132" t="str">
        <f xml:space="preserve"> "'" &amp; $A$23 &amp; "'!$e" &amp; "$" &amp; InfoStore_fromRow &amp; ":$e" &amp; "$" &amp; InfoStore_toRow</f>
        <v>'DTNlon-RALxrootd01_tcpmon_m_10'!$e$470:$e$2468</v>
      </c>
    </row>
    <row r="133" spans="2:3" x14ac:dyDescent="0.35">
      <c r="B133" t="s">
        <v>33</v>
      </c>
      <c r="C133" t="str">
        <f xml:space="preserve"> "'" &amp; $A$23 &amp; "'!$f" &amp; "$" &amp; InfoStore_fromRow &amp; ":$f" &amp; "$" &amp; InfoStore_toRow</f>
        <v>'DTNlon-RALxrootd01_tcpmon_m_10'!$f$470:$f$2468</v>
      </c>
    </row>
    <row r="134" spans="2:3" x14ac:dyDescent="0.35">
      <c r="B134" t="s">
        <v>21</v>
      </c>
      <c r="C134" t="str">
        <f xml:space="preserve"> "'" &amp; $A$23 &amp; "'!$g" &amp; "$" &amp; InfoStore_fromRow &amp; ":$g" &amp; "$" &amp; InfoStore_toRow</f>
        <v>'DTNlon-RALxrootd01_tcpmon_m_10'!$g$470:$g$2468</v>
      </c>
    </row>
    <row r="135" spans="2:3" x14ac:dyDescent="0.35">
      <c r="B135" t="s">
        <v>22</v>
      </c>
      <c r="C135" t="str">
        <f xml:space="preserve"> "'" &amp; $A$23 &amp; "'!$h" &amp; "$" &amp; InfoStore_fromRow &amp; ":$h" &amp; "$" &amp; InfoStore_toRow</f>
        <v>'DTNlon-RALxrootd01_tcpmon_m_10'!$h$470:$h$2468</v>
      </c>
    </row>
    <row r="136" spans="2:3" x14ac:dyDescent="0.35">
      <c r="B136" t="s">
        <v>62</v>
      </c>
      <c r="C136" t="str">
        <f xml:space="preserve"> "'" &amp; $A$23 &amp; "'!$i" &amp; "$" &amp; InfoStore_fromRow &amp; ":$i" &amp; "$" &amp; InfoStore_toRow</f>
        <v>'DTNlon-RALxrootd01_tcpmon_m_10'!$i$470:$i$2468</v>
      </c>
    </row>
    <row r="137" spans="2:3" x14ac:dyDescent="0.35">
      <c r="B137" t="s">
        <v>63</v>
      </c>
      <c r="C137" t="str">
        <f xml:space="preserve"> "'" &amp; $A$23 &amp; "'!$j" &amp; "$" &amp; InfoStore_fromRow &amp; ":$j" &amp; "$" &amp; InfoStore_toRow</f>
        <v>'DTNlon-RALxrootd01_tcpmon_m_10'!$j$470:$j$2468</v>
      </c>
    </row>
    <row r="138" spans="2:3" x14ac:dyDescent="0.35">
      <c r="B138" t="s">
        <v>64</v>
      </c>
      <c r="C138" t="str">
        <f xml:space="preserve"> "'" &amp; $A$23 &amp; "'!$k" &amp; "$" &amp; InfoStore_fromRow &amp; ":$k" &amp; "$" &amp; InfoStore_toRow</f>
        <v>'DTNlon-RALxrootd01_tcpmon_m_10'!$k$470:$k$2468</v>
      </c>
    </row>
    <row r="139" spans="2:3" x14ac:dyDescent="0.35">
      <c r="B139" t="s">
        <v>65</v>
      </c>
      <c r="C139" t="str">
        <f xml:space="preserve"> "'" &amp; $A$23 &amp; "'!$l" &amp; "$" &amp; InfoStore_fromRow &amp; ":$l" &amp; "$" &amp; InfoStore_toRow</f>
        <v>'DTNlon-RALxrootd01_tcpmon_m_10'!$l$470:$l$2468</v>
      </c>
    </row>
    <row r="140" spans="2:3" x14ac:dyDescent="0.35">
      <c r="B140" t="s">
        <v>58</v>
      </c>
      <c r="C140" t="str">
        <f xml:space="preserve"> "'" &amp; $A$23 &amp; "'!$m" &amp; "$" &amp; InfoStore_fromRow &amp; ":$m" &amp; "$" &amp; InfoStore_toRow</f>
        <v>'DTNlon-RALxrootd01_tcpmon_m_10'!$m$470:$m$2468</v>
      </c>
    </row>
    <row r="141" spans="2:3" x14ac:dyDescent="0.35">
      <c r="B141" s="1" t="s">
        <v>46</v>
      </c>
      <c r="C141" t="str">
        <f xml:space="preserve"> "'" &amp; $A$23 &amp; "'!$b" &amp; "$" &amp; Histo_1_bin0 &amp; ":$b" &amp; "$" &amp; Histo_1_lastbin</f>
        <v>'DTNlon-RALxrootd01_tcpmon_m_10'!$b$324:$b$423</v>
      </c>
    </row>
    <row r="142" spans="2:3" x14ac:dyDescent="0.35">
      <c r="B142" t="s">
        <v>47</v>
      </c>
      <c r="C142" t="str">
        <f xml:space="preserve"> "'" &amp; $A$23 &amp; "'!$b" &amp; "$" &amp; Histo_2_bin0 &amp; ":$b" &amp; "$" &amp; Histo_2_lastbin</f>
        <v>'DTNlon-RALxrootd01_tcpmon_m_10'!$b$426:$b$525</v>
      </c>
    </row>
    <row r="143" spans="2:3" x14ac:dyDescent="0.35">
      <c r="B143" t="s">
        <v>139</v>
      </c>
      <c r="C143" t="str">
        <f xml:space="preserve"> "'" &amp; $A$23 &amp; "'!$a" &amp; "$" &amp; Flow_start &amp; ":$a" &amp; "$" &amp; Flow_end</f>
        <v>'DTNlon-RALxrootd01_tcpmon_m_10'!$a$13:$a$41</v>
      </c>
    </row>
    <row r="144" spans="2:3" x14ac:dyDescent="0.35">
      <c r="B144" t="s">
        <v>140</v>
      </c>
      <c r="C144" t="str">
        <f xml:space="preserve"> "'" &amp; $A$23 &amp; "'!$c" &amp; "$" &amp; Flow_start &amp; ":$c" &amp; "$" &amp; Flow_end</f>
        <v>'DTNlon-RALxrootd01_tcpmon_m_10'!$c$13:$c$41</v>
      </c>
    </row>
    <row r="145" spans="1:3" x14ac:dyDescent="0.35">
      <c r="B145" t="s">
        <v>141</v>
      </c>
      <c r="C145" t="str">
        <f xml:space="preserve"> "'" &amp; $A$23 &amp; "'!$d" &amp; "$" &amp; Flow_start &amp; ":$d" &amp; "$" &amp; Flow_end</f>
        <v>'DTNlon-RALxrootd01_tcpmon_m_10'!$d$13:$d$41</v>
      </c>
    </row>
    <row r="146" spans="1:3" x14ac:dyDescent="0.35">
      <c r="B146" t="s">
        <v>144</v>
      </c>
      <c r="C146" t="str">
        <f xml:space="preserve"> "'" &amp; $A$23 &amp; "'!$e" &amp; "$" &amp; Flow_start &amp; ":$e" &amp; "$" &amp; Flow_end</f>
        <v>'DTNlon-RALxrootd01_tcpmon_m_10'!$e$13:$e$41</v>
      </c>
    </row>
    <row r="148" spans="1:3" x14ac:dyDescent="0.35">
      <c r="A148" t="s">
        <v>32</v>
      </c>
      <c r="B148">
        <f ca="1">D24</f>
        <v>22000000</v>
      </c>
      <c r="C148" t="s">
        <v>36</v>
      </c>
    </row>
    <row r="149" spans="1:3" x14ac:dyDescent="0.35">
      <c r="B149" s="1" t="s">
        <v>37</v>
      </c>
      <c r="C149" t="str">
        <f xml:space="preserve"> "'" &amp; $A$24 &amp; "'!$b" &amp; "$" &amp; InfoStore_fromRow &amp; ":$b" &amp; "$" &amp; InfoStore_toRow</f>
        <v>'DTNlon-RALxrootd01_tcpmon_m_11'!$b$470:$b$2468</v>
      </c>
    </row>
    <row r="150" spans="1:3" x14ac:dyDescent="0.35">
      <c r="B150" t="s">
        <v>38</v>
      </c>
      <c r="C150" t="str">
        <f xml:space="preserve"> "'" &amp; $A$24 &amp; "'!$c" &amp; "$" &amp; InfoStore_fromRow &amp; ":$c" &amp; "$" &amp; InfoStore_toRow</f>
        <v>'DTNlon-RALxrootd01_tcpmon_m_11'!$c$470:$c$2468</v>
      </c>
    </row>
    <row r="151" spans="1:3" x14ac:dyDescent="0.35">
      <c r="B151" t="s">
        <v>24</v>
      </c>
      <c r="C151" t="str">
        <f xml:space="preserve"> "'" &amp; $A$24 &amp; "'!$d" &amp; "$" &amp; InfoStore_fromRow &amp; ":$d" &amp; "$" &amp; InfoStore_toRow</f>
        <v>'DTNlon-RALxrootd01_tcpmon_m_11'!$d$470:$d$2468</v>
      </c>
    </row>
    <row r="152" spans="1:3" x14ac:dyDescent="0.35">
      <c r="B152" t="s">
        <v>27</v>
      </c>
      <c r="C152" t="str">
        <f xml:space="preserve"> "'" &amp; $A$24 &amp; "'!$e" &amp; "$" &amp; InfoStore_fromRow &amp; ":$e" &amp; "$" &amp; InfoStore_toRow</f>
        <v>'DTNlon-RALxrootd01_tcpmon_m_11'!$e$470:$e$2468</v>
      </c>
    </row>
    <row r="153" spans="1:3" x14ac:dyDescent="0.35">
      <c r="B153" t="s">
        <v>33</v>
      </c>
      <c r="C153" t="str">
        <f xml:space="preserve"> "'" &amp; $A$24 &amp; "'!$f" &amp; "$" &amp; InfoStore_fromRow &amp; ":$f" &amp; "$" &amp; InfoStore_toRow</f>
        <v>'DTNlon-RALxrootd01_tcpmon_m_11'!$f$470:$f$2468</v>
      </c>
    </row>
    <row r="154" spans="1:3" x14ac:dyDescent="0.35">
      <c r="B154" t="s">
        <v>21</v>
      </c>
      <c r="C154" t="str">
        <f xml:space="preserve"> "'" &amp; $A$24 &amp; "'!$g" &amp; "$" &amp; InfoStore_fromRow &amp; ":$g" &amp; "$" &amp; InfoStore_toRow</f>
        <v>'DTNlon-RALxrootd01_tcpmon_m_11'!$g$470:$g$2468</v>
      </c>
    </row>
    <row r="155" spans="1:3" x14ac:dyDescent="0.35">
      <c r="B155" t="s">
        <v>22</v>
      </c>
      <c r="C155" t="str">
        <f xml:space="preserve"> "'" &amp; $A$24 &amp; "'!$h" &amp; "$" &amp; InfoStore_fromRow &amp; ":$h" &amp; "$" &amp; InfoStore_toRow</f>
        <v>'DTNlon-RALxrootd01_tcpmon_m_11'!$h$470:$h$2468</v>
      </c>
    </row>
    <row r="156" spans="1:3" x14ac:dyDescent="0.35">
      <c r="B156" t="s">
        <v>62</v>
      </c>
      <c r="C156" t="str">
        <f xml:space="preserve"> "'" &amp; $A$24 &amp; "'!$i" &amp; "$" &amp; InfoStore_fromRow &amp; ":$i" &amp; "$" &amp; InfoStore_toRow</f>
        <v>'DTNlon-RALxrootd01_tcpmon_m_11'!$i$470:$i$2468</v>
      </c>
    </row>
    <row r="157" spans="1:3" x14ac:dyDescent="0.35">
      <c r="B157" t="s">
        <v>63</v>
      </c>
      <c r="C157" t="str">
        <f xml:space="preserve"> "'" &amp; $A$24 &amp; "'!$j" &amp; "$" &amp; InfoStore_fromRow &amp; ":$j" &amp; "$" &amp; InfoStore_toRow</f>
        <v>'DTNlon-RALxrootd01_tcpmon_m_11'!$j$470:$j$2468</v>
      </c>
    </row>
    <row r="158" spans="1:3" x14ac:dyDescent="0.35">
      <c r="B158" t="s">
        <v>64</v>
      </c>
      <c r="C158" t="str">
        <f xml:space="preserve"> "'" &amp; $A$24 &amp; "'!$k" &amp; "$" &amp; InfoStore_fromRow &amp; ":$k" &amp; "$" &amp; InfoStore_toRow</f>
        <v>'DTNlon-RALxrootd01_tcpmon_m_11'!$k$470:$k$2468</v>
      </c>
    </row>
    <row r="159" spans="1:3" x14ac:dyDescent="0.35">
      <c r="B159" t="s">
        <v>65</v>
      </c>
      <c r="C159" t="str">
        <f xml:space="preserve"> "'" &amp; $A$24 &amp; "'!$l" &amp; "$" &amp; InfoStore_fromRow &amp; ":$l" &amp; "$" &amp; InfoStore_toRow</f>
        <v>'DTNlon-RALxrootd01_tcpmon_m_11'!$l$470:$l$2468</v>
      </c>
    </row>
    <row r="160" spans="1:3" x14ac:dyDescent="0.35">
      <c r="B160" t="s">
        <v>58</v>
      </c>
      <c r="C160" t="str">
        <f xml:space="preserve"> "'" &amp; $A$24 &amp; "'!$m" &amp; "$" &amp; InfoStore_fromRow &amp; ":$m" &amp; "$" &amp; InfoStore_toRow</f>
        <v>'DTNlon-RALxrootd01_tcpmon_m_11'!$m$470:$m$2468</v>
      </c>
    </row>
    <row r="161" spans="1:3" x14ac:dyDescent="0.35">
      <c r="B161" s="1" t="s">
        <v>46</v>
      </c>
      <c r="C161" t="str">
        <f xml:space="preserve"> "'" &amp; $A$24 &amp; "'!$b" &amp; "$" &amp; Histo_1_bin0 &amp; ":$b" &amp; "$" &amp; Histo_1_lastbin</f>
        <v>'DTNlon-RALxrootd01_tcpmon_m_11'!$b$324:$b$423</v>
      </c>
    </row>
    <row r="162" spans="1:3" x14ac:dyDescent="0.35">
      <c r="B162" t="s">
        <v>47</v>
      </c>
      <c r="C162" t="str">
        <f xml:space="preserve"> "'" &amp; $A$24 &amp; "'!$b" &amp; "$" &amp; Histo_2_bin0 &amp; ":$b" &amp; "$" &amp; Histo_2_lastbin</f>
        <v>'DTNlon-RALxrootd01_tcpmon_m_11'!$b$426:$b$525</v>
      </c>
    </row>
    <row r="163" spans="1:3" x14ac:dyDescent="0.35">
      <c r="B163" t="s">
        <v>139</v>
      </c>
      <c r="C163" t="str">
        <f xml:space="preserve"> "'" &amp; $A$24 &amp; "'!$a" &amp; "$" &amp; Flow_start &amp; ":$a" &amp; "$" &amp; Flow_end</f>
        <v>'DTNlon-RALxrootd01_tcpmon_m_11'!$a$13:$a$41</v>
      </c>
    </row>
    <row r="164" spans="1:3" x14ac:dyDescent="0.35">
      <c r="B164" t="s">
        <v>140</v>
      </c>
      <c r="C164" t="str">
        <f xml:space="preserve"> "'" &amp; $A$24 &amp; "'!$c" &amp; "$" &amp; Flow_start &amp; ":$c" &amp; "$" &amp; Flow_end</f>
        <v>'DTNlon-RALxrootd01_tcpmon_m_11'!$c$13:$c$41</v>
      </c>
    </row>
    <row r="165" spans="1:3" x14ac:dyDescent="0.35">
      <c r="B165" t="s">
        <v>141</v>
      </c>
      <c r="C165" t="str">
        <f xml:space="preserve"> "'" &amp; $A$24 &amp; "'!$d" &amp; "$" &amp; Flow_start &amp; ":$d" &amp; "$" &amp; Flow_end</f>
        <v>'DTNlon-RALxrootd01_tcpmon_m_11'!$d$13:$d$41</v>
      </c>
    </row>
    <row r="166" spans="1:3" x14ac:dyDescent="0.35">
      <c r="B166" t="s">
        <v>144</v>
      </c>
      <c r="C166" t="str">
        <f xml:space="preserve"> "'" &amp; $A$24 &amp; "'!$e" &amp; "$" &amp; Flow_start &amp; ":$e" &amp; "$" &amp; Flow_end</f>
        <v>'DTNlon-RALxrootd01_tcpmon_m_11'!$e$13:$e$41</v>
      </c>
    </row>
    <row r="168" spans="1:3" x14ac:dyDescent="0.35">
      <c r="A168" t="s">
        <v>28</v>
      </c>
      <c r="B168">
        <f ca="1">D25</f>
        <v>25000000</v>
      </c>
      <c r="C168" t="s">
        <v>36</v>
      </c>
    </row>
    <row r="169" spans="1:3" x14ac:dyDescent="0.35">
      <c r="B169" s="1" t="s">
        <v>37</v>
      </c>
      <c r="C169" t="str">
        <f xml:space="preserve"> "'" &amp; $A$25 &amp; "'!$b" &amp; "$" &amp; InfoStore_fromRow &amp; ":$b" &amp; "$" &amp; InfoStore_toRow</f>
        <v>'DTNlon-RALxrootd01_tcpmon_m_12'!$b$470:$b$2468</v>
      </c>
    </row>
    <row r="170" spans="1:3" x14ac:dyDescent="0.35">
      <c r="B170" t="s">
        <v>38</v>
      </c>
      <c r="C170" t="str">
        <f xml:space="preserve"> "'" &amp; $A$25 &amp; "'!$c" &amp; "$" &amp; InfoStore_fromRow &amp; ":$c" &amp; "$" &amp; InfoStore_toRow</f>
        <v>'DTNlon-RALxrootd01_tcpmon_m_12'!$c$470:$c$2468</v>
      </c>
    </row>
    <row r="171" spans="1:3" x14ac:dyDescent="0.35">
      <c r="B171" t="s">
        <v>24</v>
      </c>
      <c r="C171" t="str">
        <f xml:space="preserve"> "'" &amp; $A$25 &amp; "'!$d" &amp; "$" &amp; InfoStore_fromRow &amp; ":$d" &amp; "$" &amp; InfoStore_toRow</f>
        <v>'DTNlon-RALxrootd01_tcpmon_m_12'!$d$470:$d$2468</v>
      </c>
    </row>
    <row r="172" spans="1:3" x14ac:dyDescent="0.35">
      <c r="B172" t="s">
        <v>27</v>
      </c>
      <c r="C172" t="str">
        <f xml:space="preserve"> "'" &amp; $A$25 &amp; "'!$e" &amp; "$" &amp; InfoStore_fromRow &amp; ":$e" &amp; "$" &amp; InfoStore_toRow</f>
        <v>'DTNlon-RALxrootd01_tcpmon_m_12'!$e$470:$e$2468</v>
      </c>
    </row>
    <row r="173" spans="1:3" x14ac:dyDescent="0.35">
      <c r="B173" t="s">
        <v>33</v>
      </c>
      <c r="C173" t="str">
        <f xml:space="preserve"> "'" &amp; $A$25 &amp; "'!$f" &amp; "$" &amp; InfoStore_fromRow &amp; ":$f" &amp; "$" &amp; InfoStore_toRow</f>
        <v>'DTNlon-RALxrootd01_tcpmon_m_12'!$f$470:$f$2468</v>
      </c>
    </row>
    <row r="174" spans="1:3" x14ac:dyDescent="0.35">
      <c r="B174" t="s">
        <v>21</v>
      </c>
      <c r="C174" t="str">
        <f xml:space="preserve"> "'" &amp; $A$25 &amp; "'!$g" &amp; "$" &amp; InfoStore_fromRow &amp; ":$g" &amp; "$" &amp; InfoStore_toRow</f>
        <v>'DTNlon-RALxrootd01_tcpmon_m_12'!$g$470:$g$2468</v>
      </c>
    </row>
    <row r="175" spans="1:3" x14ac:dyDescent="0.35">
      <c r="B175" t="s">
        <v>22</v>
      </c>
      <c r="C175" t="str">
        <f xml:space="preserve"> "'" &amp; $A$25 &amp; "'!$h" &amp; "$" &amp; InfoStore_fromRow &amp; ":$h" &amp; "$" &amp; InfoStore_toRow</f>
        <v>'DTNlon-RALxrootd01_tcpmon_m_12'!$h$470:$h$2468</v>
      </c>
    </row>
    <row r="176" spans="1:3" x14ac:dyDescent="0.35">
      <c r="B176" t="s">
        <v>62</v>
      </c>
      <c r="C176" t="str">
        <f xml:space="preserve"> "'" &amp; $A$25 &amp; "'!$i" &amp; "$" &amp; InfoStore_fromRow &amp; ":$i" &amp; "$" &amp; InfoStore_toRow</f>
        <v>'DTNlon-RALxrootd01_tcpmon_m_12'!$i$470:$i$2468</v>
      </c>
    </row>
    <row r="177" spans="2:3" x14ac:dyDescent="0.35">
      <c r="B177" t="s">
        <v>63</v>
      </c>
      <c r="C177" t="str">
        <f xml:space="preserve"> "'" &amp; $A$25 &amp; "'!$j" &amp; "$" &amp; InfoStore_fromRow &amp; ":$j" &amp; "$" &amp; InfoStore_toRow</f>
        <v>'DTNlon-RALxrootd01_tcpmon_m_12'!$j$470:$j$2468</v>
      </c>
    </row>
    <row r="178" spans="2:3" x14ac:dyDescent="0.35">
      <c r="B178" t="s">
        <v>64</v>
      </c>
      <c r="C178" t="str">
        <f xml:space="preserve"> "'" &amp; $A$25 &amp; "'!$k" &amp; "$" &amp; InfoStore_fromRow &amp; ":$k" &amp; "$" &amp; InfoStore_toRow</f>
        <v>'DTNlon-RALxrootd01_tcpmon_m_12'!$k$470:$k$2468</v>
      </c>
    </row>
    <row r="179" spans="2:3" x14ac:dyDescent="0.35">
      <c r="B179" t="s">
        <v>65</v>
      </c>
      <c r="C179" t="str">
        <f xml:space="preserve"> "'" &amp; $A$25 &amp; "'!$l" &amp; "$" &amp; InfoStore_fromRow &amp; ":$l" &amp; "$" &amp; InfoStore_toRow</f>
        <v>'DTNlon-RALxrootd01_tcpmon_m_12'!$l$470:$l$2468</v>
      </c>
    </row>
    <row r="180" spans="2:3" x14ac:dyDescent="0.35">
      <c r="B180" t="s">
        <v>58</v>
      </c>
      <c r="C180" t="str">
        <f xml:space="preserve"> "'" &amp; $A$25 &amp; "'!$m" &amp; "$" &amp; InfoStore_fromRow &amp; ":$m" &amp; "$" &amp; InfoStore_toRow</f>
        <v>'DTNlon-RALxrootd01_tcpmon_m_12'!$m$470:$m$2468</v>
      </c>
    </row>
    <row r="181" spans="2:3" x14ac:dyDescent="0.35">
      <c r="B181" s="1" t="s">
        <v>46</v>
      </c>
      <c r="C181" t="str">
        <f xml:space="preserve"> "'" &amp; $A$25 &amp; "'!$b" &amp; "$" &amp; Histo_1_bin0 &amp; ":$b" &amp; "$" &amp; Histo_1_lastbin</f>
        <v>'DTNlon-RALxrootd01_tcpmon_m_12'!$b$324:$b$423</v>
      </c>
    </row>
    <row r="182" spans="2:3" x14ac:dyDescent="0.35">
      <c r="B182" t="s">
        <v>47</v>
      </c>
      <c r="C182" t="str">
        <f xml:space="preserve"> "'" &amp; $A$25 &amp; "'!$b" &amp; "$" &amp; Histo_2_bin0 &amp; ":$b" &amp; "$" &amp; Histo_2_lastbin</f>
        <v>'DTNlon-RALxrootd01_tcpmon_m_12'!$b$426:$b$525</v>
      </c>
    </row>
    <row r="183" spans="2:3" x14ac:dyDescent="0.35">
      <c r="B183" t="s">
        <v>139</v>
      </c>
      <c r="C183" t="str">
        <f xml:space="preserve"> "'" &amp; $A$25 &amp; "'!$a" &amp; "$" &amp; Flow_start &amp; ":$a" &amp; "$" &amp; Flow_end</f>
        <v>'DTNlon-RALxrootd01_tcpmon_m_12'!$a$13:$a$41</v>
      </c>
    </row>
    <row r="184" spans="2:3" x14ac:dyDescent="0.35">
      <c r="B184" t="s">
        <v>140</v>
      </c>
      <c r="C184" t="str">
        <f xml:space="preserve"> "'" &amp; $A$25 &amp; "'!$c" &amp; "$" &amp; Flow_start &amp; ":$c" &amp; "$" &amp; Flow_end</f>
        <v>'DTNlon-RALxrootd01_tcpmon_m_12'!$c$13:$c$41</v>
      </c>
    </row>
    <row r="185" spans="2:3" x14ac:dyDescent="0.35">
      <c r="B185" t="s">
        <v>141</v>
      </c>
      <c r="C185" t="str">
        <f xml:space="preserve"> "'" &amp; $A$25 &amp; "'!$d" &amp; "$" &amp; Flow_start &amp; ":$d" &amp; "$" &amp; Flow_end</f>
        <v>'DTNlon-RALxrootd01_tcpmon_m_12'!$d$13:$d$41</v>
      </c>
    </row>
    <row r="186" spans="2:3" x14ac:dyDescent="0.35">
      <c r="B186" t="s">
        <v>144</v>
      </c>
      <c r="C186" t="str">
        <f xml:space="preserve"> "'" &amp; $A$25 &amp; "'!$e" &amp; "$" &amp; Flow_start &amp; ":$e" &amp; "$" &amp; Flow_end</f>
        <v>'DTNlon-RALxrootd01_tcpmon_m_12'!$e$13:$e$41</v>
      </c>
    </row>
  </sheetData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0" r:id="rId4" name="Button 46">
              <controlPr defaultSize="0" print="0" autoFill="0" autoPict="0" macro="[0]!sheet_names">
                <anchor moveWithCells="1" sizeWithCells="1">
                  <from>
                    <xdr:col>0</xdr:col>
                    <xdr:colOff>139700</xdr:colOff>
                    <xdr:row>4</xdr:row>
                    <xdr:rowOff>6350</xdr:rowOff>
                  </from>
                  <to>
                    <xdr:col>1</xdr:col>
                    <xdr:colOff>1111250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IS124"/>
  <sheetViews>
    <sheetView topLeftCell="GM38" workbookViewId="0"/>
  </sheetViews>
  <sheetFormatPr defaultRowHeight="14.5" x14ac:dyDescent="0.35"/>
  <cols>
    <col min="9" max="9" width="14" customWidth="1"/>
    <col min="10" max="10" width="10.81640625" bestFit="1" customWidth="1"/>
  </cols>
  <sheetData>
    <row r="1" spans="1:7" x14ac:dyDescent="0.35">
      <c r="A1" t="s">
        <v>311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312</v>
      </c>
    </row>
    <row r="5" spans="1:7" x14ac:dyDescent="0.35">
      <c r="A5" t="s">
        <v>262</v>
      </c>
    </row>
    <row r="6" spans="1:7" x14ac:dyDescent="0.35">
      <c r="A6" t="s">
        <v>190</v>
      </c>
    </row>
    <row r="7" spans="1:7" x14ac:dyDescent="0.35">
      <c r="A7" t="s">
        <v>168</v>
      </c>
    </row>
    <row r="8" spans="1:7" x14ac:dyDescent="0.35">
      <c r="A8" t="s">
        <v>165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6850888060</v>
      </c>
      <c r="C13">
        <v>27.41</v>
      </c>
      <c r="D13">
        <v>0</v>
      </c>
      <c r="E13">
        <v>10.67</v>
      </c>
      <c r="F13">
        <v>57443</v>
      </c>
      <c r="G13">
        <v>763713</v>
      </c>
    </row>
    <row r="14" spans="1:7" x14ac:dyDescent="0.35">
      <c r="A14">
        <v>4</v>
      </c>
      <c r="B14">
        <v>7454842880</v>
      </c>
      <c r="C14">
        <v>29.82</v>
      </c>
      <c r="D14">
        <v>0</v>
      </c>
      <c r="E14">
        <v>10.67</v>
      </c>
      <c r="F14">
        <v>118134</v>
      </c>
      <c r="G14">
        <v>1595747</v>
      </c>
    </row>
    <row r="15" spans="1:7" x14ac:dyDescent="0.35">
      <c r="A15">
        <v>6</v>
      </c>
      <c r="B15">
        <v>7437823140</v>
      </c>
      <c r="C15">
        <v>29.75</v>
      </c>
      <c r="D15">
        <v>0</v>
      </c>
      <c r="E15">
        <v>10.67</v>
      </c>
      <c r="F15">
        <v>178762</v>
      </c>
      <c r="G15">
        <v>2427774</v>
      </c>
    </row>
    <row r="16" spans="1:7" x14ac:dyDescent="0.35">
      <c r="A16">
        <v>8</v>
      </c>
      <c r="B16">
        <v>7444316220</v>
      </c>
      <c r="C16">
        <v>29.78</v>
      </c>
      <c r="D16">
        <v>0</v>
      </c>
      <c r="E16">
        <v>10.67</v>
      </c>
      <c r="F16">
        <v>239374</v>
      </c>
      <c r="G16">
        <v>3259787</v>
      </c>
    </row>
    <row r="17" spans="1:7" x14ac:dyDescent="0.35">
      <c r="A17">
        <v>10</v>
      </c>
      <c r="B17">
        <v>7452285000</v>
      </c>
      <c r="C17">
        <v>29.81</v>
      </c>
      <c r="D17">
        <v>0</v>
      </c>
      <c r="E17">
        <v>10.67</v>
      </c>
      <c r="F17">
        <v>300275</v>
      </c>
      <c r="G17">
        <v>4091800</v>
      </c>
    </row>
    <row r="18" spans="1:7" x14ac:dyDescent="0.35">
      <c r="A18">
        <v>12</v>
      </c>
      <c r="B18">
        <v>7444414600</v>
      </c>
      <c r="C18">
        <v>29.78</v>
      </c>
      <c r="D18">
        <v>0</v>
      </c>
      <c r="E18">
        <v>10.67</v>
      </c>
      <c r="F18">
        <v>360932</v>
      </c>
      <c r="G18">
        <v>4923820</v>
      </c>
    </row>
    <row r="19" spans="1:7" x14ac:dyDescent="0.35">
      <c r="A19">
        <v>14</v>
      </c>
      <c r="B19">
        <v>7443725940</v>
      </c>
      <c r="C19">
        <v>29.77</v>
      </c>
      <c r="D19">
        <v>0</v>
      </c>
      <c r="E19">
        <v>10.67</v>
      </c>
      <c r="F19">
        <v>421995</v>
      </c>
      <c r="G19">
        <v>5755854</v>
      </c>
    </row>
    <row r="20" spans="1:7" x14ac:dyDescent="0.35">
      <c r="A20">
        <v>16</v>
      </c>
      <c r="B20">
        <v>7448054660</v>
      </c>
      <c r="C20">
        <v>29.79</v>
      </c>
      <c r="D20">
        <v>0</v>
      </c>
      <c r="E20">
        <v>10.67</v>
      </c>
      <c r="F20">
        <v>483091</v>
      </c>
      <c r="G20">
        <v>6587874</v>
      </c>
    </row>
    <row r="21" spans="1:7" x14ac:dyDescent="0.35">
      <c r="A21">
        <v>18</v>
      </c>
      <c r="B21">
        <v>7441364820</v>
      </c>
      <c r="C21">
        <v>29.77</v>
      </c>
      <c r="D21">
        <v>0</v>
      </c>
      <c r="E21">
        <v>11.06</v>
      </c>
      <c r="F21">
        <v>544166</v>
      </c>
      <c r="G21">
        <v>7419887</v>
      </c>
    </row>
    <row r="22" spans="1:7" x14ac:dyDescent="0.35">
      <c r="A22">
        <v>20</v>
      </c>
      <c r="B22">
        <v>7443824320</v>
      </c>
      <c r="C22">
        <v>29.78</v>
      </c>
      <c r="D22">
        <v>0</v>
      </c>
      <c r="E22">
        <v>11.06</v>
      </c>
      <c r="F22">
        <v>605344</v>
      </c>
      <c r="G22">
        <v>8251886</v>
      </c>
    </row>
    <row r="23" spans="1:7" x14ac:dyDescent="0.35">
      <c r="A23">
        <v>22</v>
      </c>
      <c r="B23">
        <v>7450022260</v>
      </c>
      <c r="C23">
        <v>29.8</v>
      </c>
      <c r="D23">
        <v>0</v>
      </c>
      <c r="E23">
        <v>11.06</v>
      </c>
      <c r="F23">
        <v>666469</v>
      </c>
      <c r="G23">
        <v>9083913</v>
      </c>
    </row>
    <row r="24" spans="1:7" x14ac:dyDescent="0.35">
      <c r="A24">
        <v>24</v>
      </c>
      <c r="B24">
        <v>7457991040</v>
      </c>
      <c r="C24">
        <v>29.83</v>
      </c>
      <c r="D24">
        <v>0</v>
      </c>
      <c r="E24">
        <v>16.57</v>
      </c>
      <c r="F24">
        <v>727646</v>
      </c>
      <c r="G24">
        <v>9915947</v>
      </c>
    </row>
    <row r="25" spans="1:7" x14ac:dyDescent="0.35">
      <c r="A25">
        <v>26</v>
      </c>
      <c r="B25">
        <v>7438708560</v>
      </c>
      <c r="C25">
        <v>29.75</v>
      </c>
      <c r="D25">
        <v>0</v>
      </c>
      <c r="E25">
        <v>16.57</v>
      </c>
      <c r="F25">
        <v>788804</v>
      </c>
      <c r="G25">
        <v>10747967</v>
      </c>
    </row>
    <row r="26" spans="1:7" x14ac:dyDescent="0.35">
      <c r="A26">
        <v>28</v>
      </c>
      <c r="B26">
        <v>7458974840</v>
      </c>
      <c r="C26">
        <v>29.84</v>
      </c>
      <c r="D26">
        <v>0</v>
      </c>
      <c r="E26">
        <v>16.57</v>
      </c>
      <c r="F26">
        <v>850031</v>
      </c>
      <c r="G26">
        <v>11579966</v>
      </c>
    </row>
    <row r="27" spans="1:7" x14ac:dyDescent="0.35">
      <c r="A27">
        <v>30</v>
      </c>
      <c r="B27">
        <v>7439692360</v>
      </c>
      <c r="C27">
        <v>29.76</v>
      </c>
      <c r="D27">
        <v>0</v>
      </c>
      <c r="E27">
        <v>16.57</v>
      </c>
      <c r="F27">
        <v>911098</v>
      </c>
      <c r="G27">
        <v>12412007</v>
      </c>
    </row>
    <row r="28" spans="1:7" x14ac:dyDescent="0.35">
      <c r="A28">
        <v>32</v>
      </c>
      <c r="B28">
        <v>7438708560</v>
      </c>
      <c r="C28">
        <v>29.75</v>
      </c>
      <c r="D28">
        <v>0</v>
      </c>
      <c r="E28">
        <v>16.57</v>
      </c>
      <c r="F28">
        <v>972316</v>
      </c>
      <c r="G28">
        <v>13244048</v>
      </c>
    </row>
    <row r="29" spans="1:7" x14ac:dyDescent="0.35">
      <c r="A29">
        <v>34</v>
      </c>
      <c r="B29">
        <v>7442348620</v>
      </c>
      <c r="C29">
        <v>29.77</v>
      </c>
      <c r="D29">
        <v>0</v>
      </c>
      <c r="E29">
        <v>16.57</v>
      </c>
      <c r="F29">
        <v>1033562</v>
      </c>
      <c r="G29">
        <v>14076075</v>
      </c>
    </row>
    <row r="30" spans="1:7" x14ac:dyDescent="0.35">
      <c r="A30">
        <v>36</v>
      </c>
      <c r="B30">
        <v>7442250240</v>
      </c>
      <c r="C30">
        <v>29.77</v>
      </c>
      <c r="D30">
        <v>0</v>
      </c>
      <c r="E30">
        <v>16.57</v>
      </c>
      <c r="F30">
        <v>1094726</v>
      </c>
      <c r="G30">
        <v>14908116</v>
      </c>
    </row>
    <row r="31" spans="1:7" x14ac:dyDescent="0.35">
      <c r="A31">
        <v>38</v>
      </c>
      <c r="B31">
        <v>7460352160</v>
      </c>
      <c r="C31">
        <v>29.84</v>
      </c>
      <c r="D31">
        <v>0</v>
      </c>
      <c r="E31">
        <v>16.57</v>
      </c>
      <c r="F31">
        <v>1156087</v>
      </c>
      <c r="G31">
        <v>15740164</v>
      </c>
    </row>
    <row r="32" spans="1:7" x14ac:dyDescent="0.35">
      <c r="A32">
        <v>40</v>
      </c>
      <c r="B32">
        <v>7439102080</v>
      </c>
      <c r="C32">
        <v>29.76</v>
      </c>
      <c r="D32">
        <v>0</v>
      </c>
      <c r="E32">
        <v>16.57</v>
      </c>
      <c r="F32">
        <v>1217341</v>
      </c>
      <c r="G32">
        <v>16572198</v>
      </c>
    </row>
    <row r="33" spans="1:253" x14ac:dyDescent="0.35">
      <c r="A33">
        <v>42</v>
      </c>
      <c r="B33">
        <v>7444414600</v>
      </c>
      <c r="C33">
        <v>29.78</v>
      </c>
      <c r="D33">
        <v>0</v>
      </c>
      <c r="E33">
        <v>16.57</v>
      </c>
      <c r="F33">
        <v>1277803</v>
      </c>
      <c r="G33">
        <v>17404225</v>
      </c>
    </row>
    <row r="34" spans="1:253" x14ac:dyDescent="0.35">
      <c r="A34">
        <v>44</v>
      </c>
      <c r="B34">
        <v>7445398400</v>
      </c>
      <c r="C34">
        <v>29.78</v>
      </c>
      <c r="D34">
        <v>0</v>
      </c>
      <c r="E34">
        <v>16.57</v>
      </c>
      <c r="F34">
        <v>1338242</v>
      </c>
      <c r="G34">
        <v>18236217</v>
      </c>
    </row>
    <row r="35" spans="1:253" x14ac:dyDescent="0.35">
      <c r="A35">
        <v>46</v>
      </c>
      <c r="B35">
        <v>7446874100</v>
      </c>
      <c r="C35">
        <v>29.79</v>
      </c>
      <c r="D35">
        <v>0</v>
      </c>
      <c r="E35">
        <v>16.57</v>
      </c>
      <c r="F35">
        <v>1398522</v>
      </c>
      <c r="G35">
        <v>19068223</v>
      </c>
    </row>
    <row r="36" spans="1:253" x14ac:dyDescent="0.35">
      <c r="A36">
        <v>48</v>
      </c>
      <c r="B36">
        <v>7446775720</v>
      </c>
      <c r="C36">
        <v>29.79</v>
      </c>
      <c r="D36">
        <v>0</v>
      </c>
      <c r="E36">
        <v>16.57</v>
      </c>
      <c r="F36">
        <v>1459092</v>
      </c>
      <c r="G36">
        <v>19900257</v>
      </c>
    </row>
    <row r="37" spans="1:253" x14ac:dyDescent="0.35">
      <c r="A37">
        <v>50</v>
      </c>
      <c r="B37">
        <v>7441168060</v>
      </c>
      <c r="C37">
        <v>29.76</v>
      </c>
      <c r="D37">
        <v>0</v>
      </c>
      <c r="E37">
        <v>16.57</v>
      </c>
      <c r="F37">
        <v>1519813</v>
      </c>
      <c r="G37">
        <v>20732256</v>
      </c>
    </row>
    <row r="38" spans="1:253" x14ac:dyDescent="0.35">
      <c r="A38">
        <v>52</v>
      </c>
      <c r="B38">
        <v>7450415780</v>
      </c>
      <c r="C38">
        <v>29.8</v>
      </c>
      <c r="D38">
        <v>0</v>
      </c>
      <c r="E38">
        <v>16.57</v>
      </c>
      <c r="F38">
        <v>1580314</v>
      </c>
      <c r="G38">
        <v>21564297</v>
      </c>
    </row>
    <row r="39" spans="1:253" x14ac:dyDescent="0.35">
      <c r="A39">
        <v>54</v>
      </c>
      <c r="B39">
        <v>7442938900</v>
      </c>
      <c r="C39">
        <v>29.77</v>
      </c>
      <c r="D39">
        <v>0</v>
      </c>
      <c r="E39">
        <v>16.57</v>
      </c>
      <c r="F39">
        <v>1641029</v>
      </c>
      <c r="G39">
        <v>22396317</v>
      </c>
    </row>
    <row r="40" spans="1:253" x14ac:dyDescent="0.35">
      <c r="A40">
        <v>56</v>
      </c>
      <c r="B40">
        <v>7442742140</v>
      </c>
      <c r="C40">
        <v>29.77</v>
      </c>
      <c r="D40">
        <v>0</v>
      </c>
      <c r="E40">
        <v>16.57</v>
      </c>
      <c r="F40">
        <v>1701846</v>
      </c>
      <c r="G40">
        <v>23228358</v>
      </c>
    </row>
    <row r="41" spans="1:253" x14ac:dyDescent="0.35">
      <c r="A41">
        <v>58</v>
      </c>
      <c r="B41">
        <v>7438708560</v>
      </c>
      <c r="C41">
        <v>29.75</v>
      </c>
      <c r="D41">
        <v>0</v>
      </c>
      <c r="E41">
        <v>16.57</v>
      </c>
      <c r="F41">
        <v>1762563</v>
      </c>
      <c r="G41">
        <v>24060364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0</v>
      </c>
      <c r="C44">
        <v>2264374</v>
      </c>
      <c r="D44">
        <v>0</v>
      </c>
      <c r="E44">
        <v>26.497199999999999</v>
      </c>
      <c r="F44" s="3">
        <v>59999600</v>
      </c>
      <c r="G44">
        <v>29702.7</v>
      </c>
      <c r="H44">
        <v>24895968</v>
      </c>
      <c r="I44">
        <v>0</v>
      </c>
      <c r="J44">
        <v>0</v>
      </c>
      <c r="K44" t="s">
        <v>117</v>
      </c>
      <c r="L44">
        <v>0</v>
      </c>
      <c r="M44">
        <v>2264374</v>
      </c>
      <c r="N44">
        <v>222769114120</v>
      </c>
      <c r="O44">
        <v>26.5001</v>
      </c>
      <c r="P44">
        <v>60006099</v>
      </c>
      <c r="Q44">
        <v>29699.5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1</v>
      </c>
      <c r="AW44">
        <v>42</v>
      </c>
      <c r="AX44">
        <v>0</v>
      </c>
      <c r="AY44">
        <v>0</v>
      </c>
      <c r="AZ44">
        <v>1</v>
      </c>
      <c r="BA44">
        <v>42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96</v>
      </c>
      <c r="BO44">
        <v>5428</v>
      </c>
      <c r="BP44">
        <v>0</v>
      </c>
      <c r="BQ44">
        <v>0</v>
      </c>
      <c r="BR44">
        <v>2</v>
      </c>
      <c r="BS44">
        <v>164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1823870</v>
      </c>
      <c r="CG44">
        <v>120374650</v>
      </c>
      <c r="CH44">
        <v>0</v>
      </c>
      <c r="CI44">
        <v>0</v>
      </c>
      <c r="CJ44">
        <v>24895969</v>
      </c>
      <c r="CK44">
        <v>224412248068</v>
      </c>
      <c r="CL44">
        <v>0</v>
      </c>
      <c r="CM44">
        <v>0</v>
      </c>
      <c r="CN44" t="s">
        <v>177</v>
      </c>
      <c r="CO44">
        <v>96</v>
      </c>
      <c r="CP44">
        <v>4084</v>
      </c>
      <c r="CQ44">
        <v>0</v>
      </c>
      <c r="CR44">
        <v>0</v>
      </c>
      <c r="CS44">
        <v>2</v>
      </c>
      <c r="CT44">
        <v>164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121</v>
      </c>
      <c r="DH44">
        <v>7504</v>
      </c>
      <c r="DI44">
        <v>0</v>
      </c>
      <c r="DJ44">
        <v>2</v>
      </c>
      <c r="DK44">
        <v>61</v>
      </c>
      <c r="DL44">
        <v>3042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1823869</v>
      </c>
      <c r="DZ44">
        <v>94840428</v>
      </c>
      <c r="EA44">
        <v>0</v>
      </c>
      <c r="EB44">
        <v>0</v>
      </c>
      <c r="EC44">
        <v>3556686</v>
      </c>
      <c r="ED44">
        <v>223003855396</v>
      </c>
      <c r="EE44">
        <v>0</v>
      </c>
      <c r="EF44">
        <v>0</v>
      </c>
      <c r="EG44" t="s">
        <v>100</v>
      </c>
      <c r="EH44">
        <v>1823793</v>
      </c>
      <c r="EI44">
        <v>0</v>
      </c>
      <c r="EJ44">
        <v>24895968</v>
      </c>
      <c r="EK44">
        <v>0</v>
      </c>
      <c r="EL44">
        <v>0</v>
      </c>
      <c r="EM44" t="s">
        <v>129</v>
      </c>
      <c r="EN44" t="s">
        <v>271</v>
      </c>
      <c r="EO44">
        <v>548</v>
      </c>
      <c r="EP44">
        <v>132763</v>
      </c>
      <c r="EQ44">
        <v>0</v>
      </c>
      <c r="ER44">
        <v>0</v>
      </c>
      <c r="ES44">
        <v>509</v>
      </c>
      <c r="ET44">
        <v>2228980</v>
      </c>
      <c r="EU44">
        <v>0</v>
      </c>
      <c r="EV44">
        <v>0</v>
      </c>
      <c r="EW44" t="s">
        <v>272</v>
      </c>
      <c r="EX44">
        <v>2026</v>
      </c>
      <c r="EY44">
        <v>289444</v>
      </c>
      <c r="EZ44">
        <v>0</v>
      </c>
      <c r="FA44">
        <v>2</v>
      </c>
      <c r="FB44">
        <v>3725</v>
      </c>
      <c r="FC44">
        <v>5496401</v>
      </c>
      <c r="FD44">
        <v>0</v>
      </c>
      <c r="FE44">
        <v>0</v>
      </c>
      <c r="FF44" t="s">
        <v>273</v>
      </c>
      <c r="FG44">
        <v>311</v>
      </c>
      <c r="FH44">
        <v>50200</v>
      </c>
      <c r="FI44">
        <v>0</v>
      </c>
      <c r="FJ44">
        <v>0</v>
      </c>
      <c r="FK44">
        <v>425</v>
      </c>
      <c r="FL44">
        <v>5069686</v>
      </c>
      <c r="FM44">
        <v>0</v>
      </c>
      <c r="FN44">
        <v>0</v>
      </c>
      <c r="FO44" t="s">
        <v>274</v>
      </c>
      <c r="FP44">
        <v>24901325</v>
      </c>
      <c r="FQ44">
        <v>224415906056</v>
      </c>
      <c r="FR44">
        <v>0</v>
      </c>
      <c r="FS44">
        <v>8</v>
      </c>
      <c r="FT44">
        <v>1834516</v>
      </c>
      <c r="FU44">
        <v>135625274</v>
      </c>
      <c r="FV44">
        <v>0</v>
      </c>
      <c r="FW44">
        <v>0</v>
      </c>
      <c r="FX44" t="s">
        <v>275</v>
      </c>
      <c r="FY44">
        <v>150</v>
      </c>
      <c r="FZ44">
        <v>16826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440</v>
      </c>
      <c r="GI44">
        <v>27632</v>
      </c>
      <c r="GJ44">
        <v>0</v>
      </c>
      <c r="GK44">
        <v>0</v>
      </c>
      <c r="GL44">
        <v>440</v>
      </c>
      <c r="GM44">
        <v>27632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24899299</v>
      </c>
      <c r="HA44">
        <v>224415616612</v>
      </c>
      <c r="HB44">
        <v>0</v>
      </c>
      <c r="HC44">
        <v>2</v>
      </c>
      <c r="HD44">
        <v>1830791</v>
      </c>
      <c r="HE44">
        <v>130128873</v>
      </c>
      <c r="HF44">
        <v>0</v>
      </c>
      <c r="HG44">
        <v>0</v>
      </c>
      <c r="HH44" t="s">
        <v>278</v>
      </c>
      <c r="HI44">
        <v>3876422</v>
      </c>
      <c r="HJ44">
        <v>222973846639</v>
      </c>
      <c r="HK44">
        <v>0</v>
      </c>
      <c r="HL44">
        <v>0</v>
      </c>
      <c r="HM44">
        <v>1825827</v>
      </c>
      <c r="HN44">
        <v>127790568</v>
      </c>
      <c r="HO44">
        <v>0</v>
      </c>
      <c r="HP44">
        <v>0</v>
      </c>
      <c r="HQ44" t="s">
        <v>106</v>
      </c>
      <c r="HR44">
        <v>3875942</v>
      </c>
      <c r="HS44">
        <v>0</v>
      </c>
      <c r="HT44">
        <v>1834776</v>
      </c>
      <c r="HU44">
        <v>36</v>
      </c>
      <c r="HV44">
        <v>10</v>
      </c>
      <c r="HW44" t="s">
        <v>107</v>
      </c>
      <c r="HX44" t="s">
        <v>279</v>
      </c>
      <c r="HY44">
        <v>2026</v>
      </c>
      <c r="HZ44">
        <v>3725</v>
      </c>
      <c r="IA44">
        <v>2034</v>
      </c>
      <c r="IB44">
        <v>3726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24899299</v>
      </c>
      <c r="IK44">
        <v>1830791</v>
      </c>
      <c r="IL44">
        <v>24899307</v>
      </c>
      <c r="IM44">
        <v>1830792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9</v>
      </c>
      <c r="E46">
        <v>90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100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100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88</v>
      </c>
      <c r="E53">
        <v>10</v>
      </c>
      <c r="F53">
        <v>0</v>
      </c>
      <c r="G53">
        <v>5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15</v>
      </c>
      <c r="E55">
        <v>84</v>
      </c>
      <c r="F55">
        <v>0</v>
      </c>
      <c r="G55">
        <v>2</v>
      </c>
      <c r="H55">
        <v>8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0</v>
      </c>
      <c r="E56">
        <v>99</v>
      </c>
      <c r="F56">
        <v>0</v>
      </c>
      <c r="G56">
        <v>0</v>
      </c>
      <c r="H56">
        <v>0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8</v>
      </c>
      <c r="E58">
        <v>91</v>
      </c>
      <c r="F58">
        <v>0</v>
      </c>
      <c r="G58">
        <v>0</v>
      </c>
      <c r="H58">
        <v>6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1</v>
      </c>
      <c r="E60">
        <v>98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77</v>
      </c>
      <c r="E67">
        <v>21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99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99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99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99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99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99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99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99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99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99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99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99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99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99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99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99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IS124"/>
  <sheetViews>
    <sheetView topLeftCell="A45" zoomScaleNormal="100" workbookViewId="0"/>
  </sheetViews>
  <sheetFormatPr defaultColWidth="2" defaultRowHeight="14.5" x14ac:dyDescent="0.35"/>
  <cols>
    <col min="1" max="822" width="8.6328125" customWidth="1"/>
  </cols>
  <sheetData>
    <row r="1" spans="1:7" x14ac:dyDescent="0.35">
      <c r="A1" t="s">
        <v>313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314</v>
      </c>
    </row>
    <row r="5" spans="1:7" x14ac:dyDescent="0.35">
      <c r="A5" t="s">
        <v>261</v>
      </c>
    </row>
    <row r="6" spans="1:7" x14ac:dyDescent="0.35">
      <c r="A6" t="s">
        <v>315</v>
      </c>
    </row>
    <row r="7" spans="1:7" x14ac:dyDescent="0.35">
      <c r="A7" t="s">
        <v>168</v>
      </c>
    </row>
    <row r="8" spans="1:7" x14ac:dyDescent="0.35">
      <c r="A8" t="s">
        <v>152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1084245980</v>
      </c>
      <c r="C13">
        <v>4.34</v>
      </c>
      <c r="D13">
        <v>0</v>
      </c>
      <c r="E13">
        <v>2.02</v>
      </c>
      <c r="F13">
        <v>31576</v>
      </c>
      <c r="G13">
        <v>121237</v>
      </c>
    </row>
    <row r="14" spans="1:7" x14ac:dyDescent="0.35">
      <c r="A14">
        <v>4</v>
      </c>
      <c r="B14">
        <v>1135403580</v>
      </c>
      <c r="C14">
        <v>4.54</v>
      </c>
      <c r="D14">
        <v>0</v>
      </c>
      <c r="E14">
        <v>2.02</v>
      </c>
      <c r="F14">
        <v>64631</v>
      </c>
      <c r="G14">
        <v>248181</v>
      </c>
    </row>
    <row r="15" spans="1:7" x14ac:dyDescent="0.35">
      <c r="A15">
        <v>6</v>
      </c>
      <c r="B15">
        <v>1132353800</v>
      </c>
      <c r="C15">
        <v>4.53</v>
      </c>
      <c r="D15">
        <v>0</v>
      </c>
      <c r="E15">
        <v>2.14</v>
      </c>
      <c r="F15">
        <v>95322</v>
      </c>
      <c r="G15">
        <v>374792</v>
      </c>
    </row>
    <row r="16" spans="1:7" x14ac:dyDescent="0.35">
      <c r="A16">
        <v>8</v>
      </c>
      <c r="B16">
        <v>1138551740</v>
      </c>
      <c r="C16">
        <v>4.55</v>
      </c>
      <c r="D16">
        <v>0</v>
      </c>
      <c r="E16">
        <v>2.14</v>
      </c>
      <c r="F16">
        <v>126853</v>
      </c>
      <c r="G16">
        <v>502105</v>
      </c>
    </row>
    <row r="17" spans="1:7" x14ac:dyDescent="0.35">
      <c r="A17">
        <v>10</v>
      </c>
      <c r="B17">
        <v>1133632740</v>
      </c>
      <c r="C17">
        <v>4.53</v>
      </c>
      <c r="D17">
        <v>0</v>
      </c>
      <c r="E17">
        <v>2.14</v>
      </c>
      <c r="F17">
        <v>154132</v>
      </c>
      <c r="G17">
        <v>628854</v>
      </c>
    </row>
    <row r="18" spans="1:7" x14ac:dyDescent="0.35">
      <c r="A18">
        <v>12</v>
      </c>
      <c r="B18">
        <v>1136879280</v>
      </c>
      <c r="C18">
        <v>4.55</v>
      </c>
      <c r="D18">
        <v>0</v>
      </c>
      <c r="E18">
        <v>2.14</v>
      </c>
      <c r="F18">
        <v>185057</v>
      </c>
      <c r="G18">
        <v>755966</v>
      </c>
    </row>
    <row r="19" spans="1:7" x14ac:dyDescent="0.35">
      <c r="A19">
        <v>14</v>
      </c>
      <c r="B19">
        <v>1140224200</v>
      </c>
      <c r="C19">
        <v>4.5599999999999996</v>
      </c>
      <c r="D19">
        <v>0</v>
      </c>
      <c r="E19">
        <v>2.14</v>
      </c>
      <c r="F19">
        <v>216671</v>
      </c>
      <c r="G19">
        <v>883454</v>
      </c>
    </row>
    <row r="20" spans="1:7" x14ac:dyDescent="0.35">
      <c r="A20">
        <v>16</v>
      </c>
      <c r="B20">
        <v>1137371180</v>
      </c>
      <c r="C20">
        <v>4.55</v>
      </c>
      <c r="D20">
        <v>0</v>
      </c>
      <c r="E20">
        <v>2.14</v>
      </c>
      <c r="F20">
        <v>246922</v>
      </c>
      <c r="G20">
        <v>1010634</v>
      </c>
    </row>
    <row r="21" spans="1:7" x14ac:dyDescent="0.35">
      <c r="A21">
        <v>18</v>
      </c>
      <c r="B21">
        <v>1140125820</v>
      </c>
      <c r="C21">
        <v>4.5599999999999996</v>
      </c>
      <c r="D21">
        <v>0</v>
      </c>
      <c r="E21">
        <v>2.14</v>
      </c>
      <c r="F21">
        <v>279050</v>
      </c>
      <c r="G21">
        <v>1138103</v>
      </c>
    </row>
    <row r="22" spans="1:7" x14ac:dyDescent="0.35">
      <c r="A22">
        <v>20</v>
      </c>
      <c r="B22">
        <v>1135403580</v>
      </c>
      <c r="C22">
        <v>4.54</v>
      </c>
      <c r="D22">
        <v>0</v>
      </c>
      <c r="E22">
        <v>2.14</v>
      </c>
      <c r="F22">
        <v>308335</v>
      </c>
      <c r="G22">
        <v>1265045</v>
      </c>
    </row>
    <row r="23" spans="1:7" x14ac:dyDescent="0.35">
      <c r="A23">
        <v>22</v>
      </c>
      <c r="B23">
        <v>1140814480</v>
      </c>
      <c r="C23">
        <v>4.5599999999999996</v>
      </c>
      <c r="D23">
        <v>0</v>
      </c>
      <c r="E23">
        <v>2.14</v>
      </c>
      <c r="F23">
        <v>341261</v>
      </c>
      <c r="G23">
        <v>1392610</v>
      </c>
    </row>
    <row r="24" spans="1:7" x14ac:dyDescent="0.35">
      <c r="A24">
        <v>24</v>
      </c>
      <c r="B24">
        <v>1131173240</v>
      </c>
      <c r="C24">
        <v>4.5199999999999996</v>
      </c>
      <c r="D24">
        <v>0</v>
      </c>
      <c r="E24">
        <v>2.14</v>
      </c>
      <c r="F24">
        <v>366572</v>
      </c>
      <c r="G24">
        <v>1519075</v>
      </c>
    </row>
    <row r="25" spans="1:7" x14ac:dyDescent="0.35">
      <c r="A25">
        <v>26</v>
      </c>
      <c r="B25">
        <v>1125368820</v>
      </c>
      <c r="C25">
        <v>4.5</v>
      </c>
      <c r="D25">
        <v>0</v>
      </c>
      <c r="E25">
        <v>2.14</v>
      </c>
      <c r="F25">
        <v>389243</v>
      </c>
      <c r="G25">
        <v>1644917</v>
      </c>
    </row>
    <row r="26" spans="1:7" x14ac:dyDescent="0.35">
      <c r="A26">
        <v>28</v>
      </c>
      <c r="B26">
        <v>1132648940</v>
      </c>
      <c r="C26">
        <v>4.53</v>
      </c>
      <c r="D26">
        <v>0</v>
      </c>
      <c r="E26">
        <v>2.14</v>
      </c>
      <c r="F26">
        <v>416771</v>
      </c>
      <c r="G26">
        <v>1771560</v>
      </c>
    </row>
    <row r="27" spans="1:7" x14ac:dyDescent="0.35">
      <c r="A27">
        <v>30</v>
      </c>
      <c r="B27">
        <v>1132845700</v>
      </c>
      <c r="C27">
        <v>4.53</v>
      </c>
      <c r="D27">
        <v>0</v>
      </c>
      <c r="E27">
        <v>2.14</v>
      </c>
      <c r="F27">
        <v>444337</v>
      </c>
      <c r="G27">
        <v>1898197</v>
      </c>
    </row>
    <row r="28" spans="1:7" x14ac:dyDescent="0.35">
      <c r="A28">
        <v>32</v>
      </c>
      <c r="B28">
        <v>1141011240</v>
      </c>
      <c r="C28">
        <v>4.5599999999999996</v>
      </c>
      <c r="D28">
        <v>0</v>
      </c>
      <c r="E28">
        <v>2.14</v>
      </c>
      <c r="F28">
        <v>477863</v>
      </c>
      <c r="G28">
        <v>2025803</v>
      </c>
    </row>
    <row r="29" spans="1:7" x14ac:dyDescent="0.35">
      <c r="A29">
        <v>34</v>
      </c>
      <c r="B29">
        <v>1130091060</v>
      </c>
      <c r="C29">
        <v>4.5199999999999996</v>
      </c>
      <c r="D29">
        <v>0</v>
      </c>
      <c r="E29">
        <v>2.14</v>
      </c>
      <c r="F29">
        <v>504303</v>
      </c>
      <c r="G29">
        <v>2152167</v>
      </c>
    </row>
    <row r="30" spans="1:7" x14ac:dyDescent="0.35">
      <c r="A30">
        <v>36</v>
      </c>
      <c r="B30">
        <v>1127238040</v>
      </c>
      <c r="C30">
        <v>4.51</v>
      </c>
      <c r="D30">
        <v>0</v>
      </c>
      <c r="E30">
        <v>2.14</v>
      </c>
      <c r="F30">
        <v>528175</v>
      </c>
      <c r="G30">
        <v>2278203</v>
      </c>
    </row>
    <row r="31" spans="1:7" x14ac:dyDescent="0.35">
      <c r="A31">
        <v>38</v>
      </c>
      <c r="B31">
        <v>1132058660</v>
      </c>
      <c r="C31">
        <v>4.53</v>
      </c>
      <c r="D31">
        <v>0</v>
      </c>
      <c r="E31">
        <v>2.14</v>
      </c>
      <c r="F31">
        <v>555595</v>
      </c>
      <c r="G31">
        <v>2404775</v>
      </c>
    </row>
    <row r="32" spans="1:7" x14ac:dyDescent="0.35">
      <c r="A32">
        <v>40</v>
      </c>
      <c r="B32">
        <v>1132944080</v>
      </c>
      <c r="C32">
        <v>4.53</v>
      </c>
      <c r="D32">
        <v>0</v>
      </c>
      <c r="E32">
        <v>2.14</v>
      </c>
      <c r="F32">
        <v>583996</v>
      </c>
      <c r="G32">
        <v>2531431</v>
      </c>
    </row>
    <row r="33" spans="1:253" x14ac:dyDescent="0.35">
      <c r="A33">
        <v>42</v>
      </c>
      <c r="B33">
        <v>1133829500</v>
      </c>
      <c r="C33">
        <v>4.54</v>
      </c>
      <c r="D33">
        <v>0</v>
      </c>
      <c r="E33">
        <v>2.14</v>
      </c>
      <c r="F33">
        <v>611521</v>
      </c>
      <c r="G33">
        <v>2658212</v>
      </c>
    </row>
    <row r="34" spans="1:253" x14ac:dyDescent="0.35">
      <c r="A34">
        <v>44</v>
      </c>
      <c r="B34">
        <v>1128812120</v>
      </c>
      <c r="C34">
        <v>4.5199999999999996</v>
      </c>
      <c r="D34">
        <v>0</v>
      </c>
      <c r="E34">
        <v>2.14</v>
      </c>
      <c r="F34">
        <v>636549</v>
      </c>
      <c r="G34">
        <v>2784447</v>
      </c>
    </row>
    <row r="35" spans="1:253" x14ac:dyDescent="0.35">
      <c r="A35">
        <v>46</v>
      </c>
      <c r="B35">
        <v>1138945260</v>
      </c>
      <c r="C35">
        <v>4.5599999999999996</v>
      </c>
      <c r="D35">
        <v>0</v>
      </c>
      <c r="E35">
        <v>2.14</v>
      </c>
      <c r="F35">
        <v>668415</v>
      </c>
      <c r="G35">
        <v>2911792</v>
      </c>
    </row>
    <row r="36" spans="1:253" x14ac:dyDescent="0.35">
      <c r="A36">
        <v>48</v>
      </c>
      <c r="B36">
        <v>1141208000</v>
      </c>
      <c r="C36">
        <v>4.5599999999999996</v>
      </c>
      <c r="D36">
        <v>0</v>
      </c>
      <c r="E36">
        <v>2.14</v>
      </c>
      <c r="F36">
        <v>701586</v>
      </c>
      <c r="G36">
        <v>3039388</v>
      </c>
    </row>
    <row r="37" spans="1:253" x14ac:dyDescent="0.35">
      <c r="A37">
        <v>50</v>
      </c>
      <c r="B37">
        <v>1141699900</v>
      </c>
      <c r="C37">
        <v>4.57</v>
      </c>
      <c r="D37">
        <v>0</v>
      </c>
      <c r="E37">
        <v>2.14</v>
      </c>
      <c r="F37">
        <v>734965</v>
      </c>
      <c r="G37">
        <v>3167049</v>
      </c>
    </row>
    <row r="38" spans="1:253" x14ac:dyDescent="0.35">
      <c r="A38">
        <v>52</v>
      </c>
      <c r="B38">
        <v>1136485760</v>
      </c>
      <c r="C38">
        <v>4.55</v>
      </c>
      <c r="D38">
        <v>0</v>
      </c>
      <c r="E38">
        <v>2.14</v>
      </c>
      <c r="F38">
        <v>764809</v>
      </c>
      <c r="G38">
        <v>3294100</v>
      </c>
    </row>
    <row r="39" spans="1:253" x14ac:dyDescent="0.35">
      <c r="A39">
        <v>54</v>
      </c>
      <c r="B39">
        <v>1138256600</v>
      </c>
      <c r="C39">
        <v>4.55</v>
      </c>
      <c r="D39">
        <v>0</v>
      </c>
      <c r="E39">
        <v>2.14</v>
      </c>
      <c r="F39">
        <v>796397</v>
      </c>
      <c r="G39">
        <v>3421387</v>
      </c>
    </row>
    <row r="40" spans="1:253" x14ac:dyDescent="0.35">
      <c r="A40">
        <v>56</v>
      </c>
      <c r="B40">
        <v>1135108440</v>
      </c>
      <c r="C40">
        <v>4.54</v>
      </c>
      <c r="D40">
        <v>0</v>
      </c>
      <c r="E40">
        <v>2.14</v>
      </c>
      <c r="F40">
        <v>825025</v>
      </c>
      <c r="G40">
        <v>3548288</v>
      </c>
    </row>
    <row r="41" spans="1:253" x14ac:dyDescent="0.35">
      <c r="A41">
        <v>58</v>
      </c>
      <c r="B41">
        <v>1133632740</v>
      </c>
      <c r="C41">
        <v>4.53</v>
      </c>
      <c r="D41">
        <v>0</v>
      </c>
      <c r="E41">
        <v>2.14</v>
      </c>
      <c r="F41">
        <v>853100</v>
      </c>
      <c r="G41">
        <v>3675041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1000000</v>
      </c>
      <c r="C44">
        <v>345657</v>
      </c>
      <c r="D44">
        <v>0</v>
      </c>
      <c r="E44">
        <v>173.58199999999999</v>
      </c>
      <c r="F44" s="3">
        <v>59999900</v>
      </c>
      <c r="G44">
        <v>4534.1099999999997</v>
      </c>
      <c r="H44">
        <v>3802226</v>
      </c>
      <c r="I44">
        <v>0</v>
      </c>
      <c r="J44">
        <v>0</v>
      </c>
      <c r="K44" t="s">
        <v>117</v>
      </c>
      <c r="L44">
        <v>0</v>
      </c>
      <c r="M44">
        <v>345657</v>
      </c>
      <c r="N44">
        <v>34005735660</v>
      </c>
      <c r="O44">
        <v>173.57599999999999</v>
      </c>
      <c r="P44">
        <v>59997878</v>
      </c>
      <c r="Q44">
        <v>4534.26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103</v>
      </c>
      <c r="BO44">
        <v>5768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883844</v>
      </c>
      <c r="CG44">
        <v>58332964</v>
      </c>
      <c r="CH44">
        <v>0</v>
      </c>
      <c r="CI44">
        <v>0</v>
      </c>
      <c r="CJ44">
        <v>3802226</v>
      </c>
      <c r="CK44">
        <v>34256682576</v>
      </c>
      <c r="CL44">
        <v>0</v>
      </c>
      <c r="CM44">
        <v>0</v>
      </c>
      <c r="CN44" t="s">
        <v>177</v>
      </c>
      <c r="CO44">
        <v>103</v>
      </c>
      <c r="CP44">
        <v>4326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111</v>
      </c>
      <c r="DH44">
        <v>6890</v>
      </c>
      <c r="DI44">
        <v>0</v>
      </c>
      <c r="DJ44">
        <v>2</v>
      </c>
      <c r="DK44">
        <v>57</v>
      </c>
      <c r="DL44">
        <v>2842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883844</v>
      </c>
      <c r="DZ44">
        <v>45959148</v>
      </c>
      <c r="EA44">
        <v>0</v>
      </c>
      <c r="EB44">
        <v>0</v>
      </c>
      <c r="EC44">
        <v>557636</v>
      </c>
      <c r="ED44">
        <v>34042539636</v>
      </c>
      <c r="EE44">
        <v>0</v>
      </c>
      <c r="EF44">
        <v>0</v>
      </c>
      <c r="EG44" t="s">
        <v>100</v>
      </c>
      <c r="EH44">
        <v>883770</v>
      </c>
      <c r="EI44">
        <v>0</v>
      </c>
      <c r="EJ44">
        <v>3802226</v>
      </c>
      <c r="EK44">
        <v>0</v>
      </c>
      <c r="EL44">
        <v>0</v>
      </c>
      <c r="EM44" t="s">
        <v>129</v>
      </c>
      <c r="EN44" t="s">
        <v>271</v>
      </c>
      <c r="EO44">
        <v>27</v>
      </c>
      <c r="EP44">
        <v>5991</v>
      </c>
      <c r="EQ44">
        <v>0</v>
      </c>
      <c r="ER44">
        <v>0</v>
      </c>
      <c r="ES44">
        <v>25</v>
      </c>
      <c r="ET44">
        <v>10308</v>
      </c>
      <c r="EU44">
        <v>0</v>
      </c>
      <c r="EV44">
        <v>0</v>
      </c>
      <c r="EW44" t="s">
        <v>272</v>
      </c>
      <c r="EX44">
        <v>3803188</v>
      </c>
      <c r="EY44">
        <v>34256751067</v>
      </c>
      <c r="EZ44">
        <v>0</v>
      </c>
      <c r="FA44">
        <v>2</v>
      </c>
      <c r="FB44">
        <v>883928</v>
      </c>
      <c r="FC44">
        <v>58348447</v>
      </c>
      <c r="FD44">
        <v>0</v>
      </c>
      <c r="FE44">
        <v>0</v>
      </c>
      <c r="FF44" t="s">
        <v>273</v>
      </c>
      <c r="FG44">
        <v>67</v>
      </c>
      <c r="FH44">
        <v>4470</v>
      </c>
      <c r="FI44">
        <v>0</v>
      </c>
      <c r="FJ44">
        <v>0</v>
      </c>
      <c r="FK44">
        <v>104</v>
      </c>
      <c r="FL44">
        <v>12136</v>
      </c>
      <c r="FM44">
        <v>0</v>
      </c>
      <c r="FN44">
        <v>0</v>
      </c>
      <c r="FO44" t="s">
        <v>274</v>
      </c>
      <c r="FP44">
        <v>3804367</v>
      </c>
      <c r="FQ44">
        <v>34256827030</v>
      </c>
      <c r="FR44">
        <v>0</v>
      </c>
      <c r="FS44">
        <v>8</v>
      </c>
      <c r="FT44">
        <v>884089</v>
      </c>
      <c r="FU44">
        <v>58374400</v>
      </c>
      <c r="FV44">
        <v>0</v>
      </c>
      <c r="FW44">
        <v>0</v>
      </c>
      <c r="FX44" t="s">
        <v>275</v>
      </c>
      <c r="FY44">
        <v>139</v>
      </c>
      <c r="FZ44">
        <v>17975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520</v>
      </c>
      <c r="GI44">
        <v>32656</v>
      </c>
      <c r="GJ44">
        <v>0</v>
      </c>
      <c r="GK44">
        <v>0</v>
      </c>
      <c r="GL44">
        <v>520</v>
      </c>
      <c r="GM44">
        <v>32656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1179</v>
      </c>
      <c r="HA44">
        <v>75963</v>
      </c>
      <c r="HB44">
        <v>0</v>
      </c>
      <c r="HC44">
        <v>2</v>
      </c>
      <c r="HD44">
        <v>161</v>
      </c>
      <c r="HE44">
        <v>25953</v>
      </c>
      <c r="HF44">
        <v>0</v>
      </c>
      <c r="HG44">
        <v>0</v>
      </c>
      <c r="HH44" t="s">
        <v>278</v>
      </c>
      <c r="HI44">
        <v>993042</v>
      </c>
      <c r="HJ44">
        <v>34057363901</v>
      </c>
      <c r="HK44">
        <v>0</v>
      </c>
      <c r="HL44">
        <v>0</v>
      </c>
      <c r="HM44">
        <v>883832</v>
      </c>
      <c r="HN44">
        <v>58335354</v>
      </c>
      <c r="HO44">
        <v>0</v>
      </c>
      <c r="HP44">
        <v>0</v>
      </c>
      <c r="HQ44" t="s">
        <v>106</v>
      </c>
      <c r="HR44">
        <v>991760</v>
      </c>
      <c r="HS44">
        <v>0</v>
      </c>
      <c r="HT44">
        <v>884422</v>
      </c>
      <c r="HU44">
        <v>0</v>
      </c>
      <c r="HV44">
        <v>6</v>
      </c>
      <c r="HW44" t="s">
        <v>107</v>
      </c>
      <c r="HX44" t="s">
        <v>279</v>
      </c>
      <c r="HY44">
        <v>3803188</v>
      </c>
      <c r="HZ44">
        <v>883928</v>
      </c>
      <c r="IA44">
        <v>3803193</v>
      </c>
      <c r="IB44">
        <v>883929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1178</v>
      </c>
      <c r="IK44">
        <v>160</v>
      </c>
      <c r="IL44">
        <v>1186</v>
      </c>
      <c r="IM44">
        <v>161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1</v>
      </c>
      <c r="E46">
        <v>98</v>
      </c>
      <c r="F46">
        <v>0</v>
      </c>
      <c r="G46">
        <v>0</v>
      </c>
      <c r="H46">
        <v>0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100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100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6</v>
      </c>
      <c r="E53">
        <v>93</v>
      </c>
      <c r="F53">
        <v>0</v>
      </c>
      <c r="G53">
        <v>1</v>
      </c>
      <c r="H53">
        <v>0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2</v>
      </c>
      <c r="E55">
        <v>97</v>
      </c>
      <c r="F55">
        <v>0</v>
      </c>
      <c r="G55">
        <v>0</v>
      </c>
      <c r="H55">
        <v>1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5</v>
      </c>
      <c r="E56">
        <v>94</v>
      </c>
      <c r="F56">
        <v>0</v>
      </c>
      <c r="G56">
        <v>0</v>
      </c>
      <c r="H56">
        <v>3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0</v>
      </c>
      <c r="E58">
        <v>99</v>
      </c>
      <c r="F58">
        <v>0</v>
      </c>
      <c r="G58">
        <v>0</v>
      </c>
      <c r="H58">
        <v>0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100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100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99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0</v>
      </c>
      <c r="C67">
        <v>0</v>
      </c>
      <c r="D67">
        <v>13</v>
      </c>
      <c r="E67">
        <v>86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99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99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100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100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99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100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99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S124"/>
  <sheetViews>
    <sheetView topLeftCell="A190" workbookViewId="0"/>
  </sheetViews>
  <sheetFormatPr defaultRowHeight="14.5" x14ac:dyDescent="0.35"/>
  <sheetData>
    <row r="1" spans="1:7" x14ac:dyDescent="0.35">
      <c r="A1" t="s">
        <v>316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317</v>
      </c>
    </row>
    <row r="5" spans="1:7" x14ac:dyDescent="0.35">
      <c r="A5" t="s">
        <v>193</v>
      </c>
    </row>
    <row r="6" spans="1:7" x14ac:dyDescent="0.35">
      <c r="A6" t="s">
        <v>190</v>
      </c>
    </row>
    <row r="7" spans="1:7" x14ac:dyDescent="0.35">
      <c r="A7" t="s">
        <v>168</v>
      </c>
    </row>
    <row r="8" spans="1:7" x14ac:dyDescent="0.35">
      <c r="A8" t="s">
        <v>153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2071095760</v>
      </c>
      <c r="C13">
        <v>8.2899999999999991</v>
      </c>
      <c r="D13">
        <v>0</v>
      </c>
      <c r="E13">
        <v>4.03</v>
      </c>
      <c r="F13">
        <v>19064</v>
      </c>
      <c r="G13">
        <v>231572</v>
      </c>
    </row>
    <row r="14" spans="1:7" x14ac:dyDescent="0.35">
      <c r="A14">
        <v>4</v>
      </c>
      <c r="B14">
        <v>2187774440</v>
      </c>
      <c r="C14">
        <v>8.75</v>
      </c>
      <c r="D14">
        <v>0</v>
      </c>
      <c r="E14">
        <v>4.03</v>
      </c>
      <c r="F14">
        <v>37316</v>
      </c>
      <c r="G14">
        <v>476122</v>
      </c>
    </row>
    <row r="15" spans="1:7" x14ac:dyDescent="0.35">
      <c r="A15">
        <v>6</v>
      </c>
      <c r="B15">
        <v>2180002420</v>
      </c>
      <c r="C15">
        <v>8.7200000000000006</v>
      </c>
      <c r="D15">
        <v>0</v>
      </c>
      <c r="E15">
        <v>4.03</v>
      </c>
      <c r="F15">
        <v>55575</v>
      </c>
      <c r="G15">
        <v>719944</v>
      </c>
    </row>
    <row r="16" spans="1:7" x14ac:dyDescent="0.35">
      <c r="A16">
        <v>8</v>
      </c>
      <c r="B16">
        <v>2184724660</v>
      </c>
      <c r="C16">
        <v>8.74</v>
      </c>
      <c r="D16">
        <v>0</v>
      </c>
      <c r="E16">
        <v>4.03</v>
      </c>
      <c r="F16">
        <v>73871</v>
      </c>
      <c r="G16">
        <v>964224</v>
      </c>
    </row>
    <row r="17" spans="1:7" x14ac:dyDescent="0.35">
      <c r="A17">
        <v>10</v>
      </c>
      <c r="B17">
        <v>2183937620</v>
      </c>
      <c r="C17">
        <v>8.74</v>
      </c>
      <c r="D17">
        <v>0</v>
      </c>
      <c r="E17">
        <v>4.03</v>
      </c>
      <c r="F17">
        <v>92189</v>
      </c>
      <c r="G17">
        <v>1208412</v>
      </c>
    </row>
    <row r="18" spans="1:7" x14ac:dyDescent="0.35">
      <c r="A18">
        <v>12</v>
      </c>
      <c r="B18">
        <v>2186790640</v>
      </c>
      <c r="C18">
        <v>8.75</v>
      </c>
      <c r="D18">
        <v>0</v>
      </c>
      <c r="E18">
        <v>4.03</v>
      </c>
      <c r="F18">
        <v>110401</v>
      </c>
      <c r="G18">
        <v>1452809</v>
      </c>
    </row>
    <row r="19" spans="1:7" x14ac:dyDescent="0.35">
      <c r="A19">
        <v>14</v>
      </c>
      <c r="B19">
        <v>2185314940</v>
      </c>
      <c r="C19">
        <v>8.74</v>
      </c>
      <c r="D19">
        <v>0</v>
      </c>
      <c r="E19">
        <v>4.03</v>
      </c>
      <c r="F19">
        <v>128552</v>
      </c>
      <c r="G19">
        <v>1697255</v>
      </c>
    </row>
    <row r="20" spans="1:7" x14ac:dyDescent="0.35">
      <c r="A20">
        <v>16</v>
      </c>
      <c r="B20">
        <v>2185610080</v>
      </c>
      <c r="C20">
        <v>8.74</v>
      </c>
      <c r="D20">
        <v>0</v>
      </c>
      <c r="E20">
        <v>4.03</v>
      </c>
      <c r="F20">
        <v>146794</v>
      </c>
      <c r="G20">
        <v>1941638</v>
      </c>
    </row>
    <row r="21" spans="1:7" x14ac:dyDescent="0.35">
      <c r="A21">
        <v>18</v>
      </c>
      <c r="B21">
        <v>2182757060</v>
      </c>
      <c r="C21">
        <v>8.73</v>
      </c>
      <c r="D21">
        <v>0</v>
      </c>
      <c r="E21">
        <v>4.03</v>
      </c>
      <c r="F21">
        <v>165048</v>
      </c>
      <c r="G21">
        <v>2185694</v>
      </c>
    </row>
    <row r="22" spans="1:7" x14ac:dyDescent="0.35">
      <c r="A22">
        <v>20</v>
      </c>
      <c r="B22">
        <v>2183642480</v>
      </c>
      <c r="C22">
        <v>8.73</v>
      </c>
      <c r="D22">
        <v>0</v>
      </c>
      <c r="E22">
        <v>4.03</v>
      </c>
      <c r="F22">
        <v>183233</v>
      </c>
      <c r="G22">
        <v>2429851</v>
      </c>
    </row>
    <row r="23" spans="1:7" x14ac:dyDescent="0.35">
      <c r="A23">
        <v>22</v>
      </c>
      <c r="B23">
        <v>2183347340</v>
      </c>
      <c r="C23">
        <v>8.73</v>
      </c>
      <c r="D23">
        <v>0</v>
      </c>
      <c r="E23">
        <v>4.03</v>
      </c>
      <c r="F23">
        <v>201531</v>
      </c>
      <c r="G23">
        <v>2673968</v>
      </c>
    </row>
    <row r="24" spans="1:7" x14ac:dyDescent="0.35">
      <c r="A24">
        <v>24</v>
      </c>
      <c r="B24">
        <v>2180986220</v>
      </c>
      <c r="C24">
        <v>8.7200000000000006</v>
      </c>
      <c r="D24">
        <v>0</v>
      </c>
      <c r="E24">
        <v>4.03</v>
      </c>
      <c r="F24">
        <v>219840</v>
      </c>
      <c r="G24">
        <v>2917833</v>
      </c>
    </row>
    <row r="25" spans="1:7" x14ac:dyDescent="0.35">
      <c r="A25">
        <v>26</v>
      </c>
      <c r="B25">
        <v>2187184160</v>
      </c>
      <c r="C25">
        <v>8.75</v>
      </c>
      <c r="D25">
        <v>0</v>
      </c>
      <c r="E25">
        <v>4.03</v>
      </c>
      <c r="F25">
        <v>237973</v>
      </c>
      <c r="G25">
        <v>3162308</v>
      </c>
    </row>
    <row r="26" spans="1:7" x14ac:dyDescent="0.35">
      <c r="A26">
        <v>28</v>
      </c>
      <c r="B26">
        <v>2184823040</v>
      </c>
      <c r="C26">
        <v>8.74</v>
      </c>
      <c r="D26">
        <v>0</v>
      </c>
      <c r="E26">
        <v>4.03</v>
      </c>
      <c r="F26">
        <v>256104</v>
      </c>
      <c r="G26">
        <v>3406623</v>
      </c>
    </row>
    <row r="27" spans="1:7" x14ac:dyDescent="0.35">
      <c r="A27">
        <v>30</v>
      </c>
      <c r="B27">
        <v>2181674880</v>
      </c>
      <c r="C27">
        <v>8.73</v>
      </c>
      <c r="D27">
        <v>0</v>
      </c>
      <c r="E27">
        <v>4.03</v>
      </c>
      <c r="F27">
        <v>274365</v>
      </c>
      <c r="G27">
        <v>3650605</v>
      </c>
    </row>
    <row r="28" spans="1:7" x14ac:dyDescent="0.35">
      <c r="A28">
        <v>32</v>
      </c>
      <c r="B28">
        <v>2187479300</v>
      </c>
      <c r="C28">
        <v>8.75</v>
      </c>
      <c r="D28">
        <v>0</v>
      </c>
      <c r="E28">
        <v>4.03</v>
      </c>
      <c r="F28">
        <v>292552</v>
      </c>
      <c r="G28">
        <v>3895091</v>
      </c>
    </row>
    <row r="29" spans="1:7" x14ac:dyDescent="0.35">
      <c r="A29">
        <v>34</v>
      </c>
      <c r="B29">
        <v>2183839240</v>
      </c>
      <c r="C29">
        <v>8.74</v>
      </c>
      <c r="D29">
        <v>0</v>
      </c>
      <c r="E29">
        <v>4.03</v>
      </c>
      <c r="F29">
        <v>310683</v>
      </c>
      <c r="G29">
        <v>4139246</v>
      </c>
    </row>
    <row r="30" spans="1:7" x14ac:dyDescent="0.35">
      <c r="A30">
        <v>36</v>
      </c>
      <c r="B30">
        <v>2181478120</v>
      </c>
      <c r="C30">
        <v>8.73</v>
      </c>
      <c r="D30">
        <v>0</v>
      </c>
      <c r="E30">
        <v>4.03</v>
      </c>
      <c r="F30">
        <v>328882</v>
      </c>
      <c r="G30">
        <v>4383284</v>
      </c>
    </row>
    <row r="31" spans="1:7" x14ac:dyDescent="0.35">
      <c r="A31">
        <v>38</v>
      </c>
      <c r="B31">
        <v>2183150580</v>
      </c>
      <c r="C31">
        <v>8.73</v>
      </c>
      <c r="D31">
        <v>0</v>
      </c>
      <c r="E31">
        <v>4.03</v>
      </c>
      <c r="F31">
        <v>347148</v>
      </c>
      <c r="G31">
        <v>4627383</v>
      </c>
    </row>
    <row r="32" spans="1:7" x14ac:dyDescent="0.35">
      <c r="A32">
        <v>40</v>
      </c>
      <c r="B32">
        <v>2184823040</v>
      </c>
      <c r="C32">
        <v>8.74</v>
      </c>
      <c r="D32">
        <v>0</v>
      </c>
      <c r="E32">
        <v>4.03</v>
      </c>
      <c r="F32">
        <v>365161</v>
      </c>
      <c r="G32">
        <v>4871667</v>
      </c>
    </row>
    <row r="33" spans="1:253" x14ac:dyDescent="0.35">
      <c r="A33">
        <v>42</v>
      </c>
      <c r="B33">
        <v>2185314940</v>
      </c>
      <c r="C33">
        <v>8.74</v>
      </c>
      <c r="D33">
        <v>0</v>
      </c>
      <c r="E33">
        <v>4.03</v>
      </c>
      <c r="F33">
        <v>383232</v>
      </c>
      <c r="G33">
        <v>5116013</v>
      </c>
    </row>
    <row r="34" spans="1:253" x14ac:dyDescent="0.35">
      <c r="A34">
        <v>44</v>
      </c>
      <c r="B34">
        <v>2183445720</v>
      </c>
      <c r="C34">
        <v>8.73</v>
      </c>
      <c r="D34">
        <v>0</v>
      </c>
      <c r="E34">
        <v>4.03</v>
      </c>
      <c r="F34">
        <v>401488</v>
      </c>
      <c r="G34">
        <v>5360153</v>
      </c>
    </row>
    <row r="35" spans="1:253" x14ac:dyDescent="0.35">
      <c r="A35">
        <v>46</v>
      </c>
      <c r="B35">
        <v>2184724660</v>
      </c>
      <c r="C35">
        <v>8.74</v>
      </c>
      <c r="D35">
        <v>0</v>
      </c>
      <c r="E35">
        <v>4.03</v>
      </c>
      <c r="F35">
        <v>419476</v>
      </c>
      <c r="G35">
        <v>5604422</v>
      </c>
    </row>
    <row r="36" spans="1:253" x14ac:dyDescent="0.35">
      <c r="A36">
        <v>48</v>
      </c>
      <c r="B36">
        <v>2185610080</v>
      </c>
      <c r="C36">
        <v>8.74</v>
      </c>
      <c r="D36">
        <v>0</v>
      </c>
      <c r="E36">
        <v>4.03</v>
      </c>
      <c r="F36">
        <v>437687</v>
      </c>
      <c r="G36">
        <v>5848801</v>
      </c>
    </row>
    <row r="37" spans="1:253" x14ac:dyDescent="0.35">
      <c r="A37">
        <v>50</v>
      </c>
      <c r="B37">
        <v>2185118180</v>
      </c>
      <c r="C37">
        <v>8.74</v>
      </c>
      <c r="D37">
        <v>0</v>
      </c>
      <c r="E37">
        <v>4.03</v>
      </c>
      <c r="F37">
        <v>455914</v>
      </c>
      <c r="G37">
        <v>6093119</v>
      </c>
    </row>
    <row r="38" spans="1:253" x14ac:dyDescent="0.35">
      <c r="A38">
        <v>52</v>
      </c>
      <c r="B38">
        <v>2183642480</v>
      </c>
      <c r="C38">
        <v>8.73</v>
      </c>
      <c r="D38">
        <v>0</v>
      </c>
      <c r="E38">
        <v>4.03</v>
      </c>
      <c r="F38">
        <v>474136</v>
      </c>
      <c r="G38">
        <v>6337220</v>
      </c>
    </row>
    <row r="39" spans="1:253" x14ac:dyDescent="0.35">
      <c r="A39">
        <v>54</v>
      </c>
      <c r="B39">
        <v>2183445720</v>
      </c>
      <c r="C39">
        <v>8.73</v>
      </c>
      <c r="D39">
        <v>0</v>
      </c>
      <c r="E39">
        <v>4.03</v>
      </c>
      <c r="F39">
        <v>492327</v>
      </c>
      <c r="G39">
        <v>6581419</v>
      </c>
    </row>
    <row r="40" spans="1:253" x14ac:dyDescent="0.35">
      <c r="A40">
        <v>56</v>
      </c>
      <c r="B40">
        <v>2185610080</v>
      </c>
      <c r="C40">
        <v>8.74</v>
      </c>
      <c r="D40">
        <v>0</v>
      </c>
      <c r="E40">
        <v>4.03</v>
      </c>
      <c r="F40">
        <v>510483</v>
      </c>
      <c r="G40">
        <v>6825790</v>
      </c>
    </row>
    <row r="41" spans="1:253" x14ac:dyDescent="0.35">
      <c r="A41">
        <v>58</v>
      </c>
      <c r="B41">
        <v>2184724660</v>
      </c>
      <c r="C41">
        <v>8.74</v>
      </c>
      <c r="D41">
        <v>0</v>
      </c>
      <c r="E41">
        <v>4.03</v>
      </c>
      <c r="F41">
        <v>528673</v>
      </c>
      <c r="G41">
        <v>7070064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2000000</v>
      </c>
      <c r="C44">
        <v>664954</v>
      </c>
      <c r="D44">
        <v>0</v>
      </c>
      <c r="E44">
        <v>90.231399999999994</v>
      </c>
      <c r="F44" s="3">
        <v>59999800</v>
      </c>
      <c r="G44">
        <v>8722.4599999999991</v>
      </c>
      <c r="H44">
        <v>7314492</v>
      </c>
      <c r="I44">
        <v>0</v>
      </c>
      <c r="J44">
        <v>0</v>
      </c>
      <c r="K44" t="s">
        <v>117</v>
      </c>
      <c r="L44">
        <v>0</v>
      </c>
      <c r="M44">
        <v>664954</v>
      </c>
      <c r="N44">
        <v>65418174520</v>
      </c>
      <c r="O44">
        <v>90.228200000000001</v>
      </c>
      <c r="P44">
        <v>59997578</v>
      </c>
      <c r="Q44">
        <v>8722.7800000000007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119</v>
      </c>
      <c r="BO44">
        <v>6682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546908</v>
      </c>
      <c r="CG44">
        <v>36095340</v>
      </c>
      <c r="CH44">
        <v>0</v>
      </c>
      <c r="CI44">
        <v>0</v>
      </c>
      <c r="CJ44">
        <v>7314493</v>
      </c>
      <c r="CK44">
        <v>65900931078</v>
      </c>
      <c r="CL44">
        <v>0</v>
      </c>
      <c r="CM44">
        <v>0</v>
      </c>
      <c r="CN44" t="s">
        <v>177</v>
      </c>
      <c r="CO44">
        <v>119</v>
      </c>
      <c r="CP44">
        <v>5016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98</v>
      </c>
      <c r="DH44">
        <v>6110</v>
      </c>
      <c r="DI44">
        <v>0</v>
      </c>
      <c r="DJ44">
        <v>2</v>
      </c>
      <c r="DK44">
        <v>55</v>
      </c>
      <c r="DL44">
        <v>2742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546907</v>
      </c>
      <c r="DZ44">
        <v>28438586</v>
      </c>
      <c r="EA44">
        <v>0</v>
      </c>
      <c r="EB44">
        <v>0</v>
      </c>
      <c r="EC44">
        <v>1062340</v>
      </c>
      <c r="ED44">
        <v>65488288980</v>
      </c>
      <c r="EE44">
        <v>0</v>
      </c>
      <c r="EF44">
        <v>0</v>
      </c>
      <c r="EG44" t="s">
        <v>100</v>
      </c>
      <c r="EH44">
        <v>546847</v>
      </c>
      <c r="EI44">
        <v>0</v>
      </c>
      <c r="EJ44">
        <v>7314492</v>
      </c>
      <c r="EK44">
        <v>0</v>
      </c>
      <c r="EL44">
        <v>0</v>
      </c>
      <c r="EM44" t="s">
        <v>129</v>
      </c>
      <c r="EN44" t="s">
        <v>271</v>
      </c>
      <c r="EO44">
        <v>63</v>
      </c>
      <c r="EP44">
        <v>16590</v>
      </c>
      <c r="EQ44">
        <v>0</v>
      </c>
      <c r="ER44">
        <v>0</v>
      </c>
      <c r="ES44">
        <v>61</v>
      </c>
      <c r="ET44">
        <v>29610</v>
      </c>
      <c r="EU44">
        <v>0</v>
      </c>
      <c r="EV44">
        <v>0</v>
      </c>
      <c r="EW44" t="s">
        <v>272</v>
      </c>
      <c r="EX44">
        <v>7315618</v>
      </c>
      <c r="EY44">
        <v>65901027665</v>
      </c>
      <c r="EZ44">
        <v>0</v>
      </c>
      <c r="FA44">
        <v>2</v>
      </c>
      <c r="FB44">
        <v>224</v>
      </c>
      <c r="FC44">
        <v>58827</v>
      </c>
      <c r="FD44">
        <v>0</v>
      </c>
      <c r="FE44">
        <v>0</v>
      </c>
      <c r="FF44" t="s">
        <v>273</v>
      </c>
      <c r="FG44">
        <v>87</v>
      </c>
      <c r="FH44">
        <v>10165</v>
      </c>
      <c r="FI44">
        <v>0</v>
      </c>
      <c r="FJ44">
        <v>0</v>
      </c>
      <c r="FK44">
        <v>119</v>
      </c>
      <c r="FL44">
        <v>21612</v>
      </c>
      <c r="FM44">
        <v>0</v>
      </c>
      <c r="FN44">
        <v>0</v>
      </c>
      <c r="FO44" t="s">
        <v>274</v>
      </c>
      <c r="FP44">
        <v>7316736</v>
      </c>
      <c r="FQ44">
        <v>65901122919</v>
      </c>
      <c r="FR44">
        <v>0</v>
      </c>
      <c r="FS44">
        <v>8</v>
      </c>
      <c r="FT44">
        <v>547335</v>
      </c>
      <c r="FU44">
        <v>36223107</v>
      </c>
      <c r="FV44">
        <v>0</v>
      </c>
      <c r="FW44">
        <v>0</v>
      </c>
      <c r="FX44" t="s">
        <v>275</v>
      </c>
      <c r="FY44">
        <v>139</v>
      </c>
      <c r="FZ44">
        <v>16838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280</v>
      </c>
      <c r="GI44">
        <v>17584</v>
      </c>
      <c r="GJ44">
        <v>0</v>
      </c>
      <c r="GK44">
        <v>0</v>
      </c>
      <c r="GL44">
        <v>280</v>
      </c>
      <c r="GM44">
        <v>17584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1118</v>
      </c>
      <c r="HA44">
        <v>95254</v>
      </c>
      <c r="HB44">
        <v>0</v>
      </c>
      <c r="HC44">
        <v>2</v>
      </c>
      <c r="HD44">
        <v>547110</v>
      </c>
      <c r="HE44">
        <v>36164130</v>
      </c>
      <c r="HF44">
        <v>0</v>
      </c>
      <c r="HG44">
        <v>0</v>
      </c>
      <c r="HH44" t="s">
        <v>278</v>
      </c>
      <c r="HI44">
        <v>1110239</v>
      </c>
      <c r="HJ44">
        <v>65475924304</v>
      </c>
      <c r="HK44">
        <v>0</v>
      </c>
      <c r="HL44">
        <v>0</v>
      </c>
      <c r="HM44">
        <v>546990</v>
      </c>
      <c r="HN44">
        <v>36152689</v>
      </c>
      <c r="HO44">
        <v>0</v>
      </c>
      <c r="HP44">
        <v>0</v>
      </c>
      <c r="HQ44" t="s">
        <v>106</v>
      </c>
      <c r="HR44">
        <v>1108837</v>
      </c>
      <c r="HS44">
        <v>0</v>
      </c>
      <c r="HT44">
        <v>547437</v>
      </c>
      <c r="HU44">
        <v>5</v>
      </c>
      <c r="HV44">
        <v>8</v>
      </c>
      <c r="HW44" t="s">
        <v>107</v>
      </c>
      <c r="HX44" t="s">
        <v>279</v>
      </c>
      <c r="HY44">
        <v>7315618</v>
      </c>
      <c r="HZ44">
        <v>224</v>
      </c>
      <c r="IA44">
        <v>7315627</v>
      </c>
      <c r="IB44">
        <v>225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1118</v>
      </c>
      <c r="IK44">
        <v>547110</v>
      </c>
      <c r="IL44">
        <v>1124</v>
      </c>
      <c r="IM44">
        <v>547111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1</v>
      </c>
      <c r="E46">
        <v>98</v>
      </c>
      <c r="F46">
        <v>0</v>
      </c>
      <c r="G46">
        <v>0</v>
      </c>
      <c r="H46">
        <v>0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100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100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100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11</v>
      </c>
      <c r="E53">
        <v>88</v>
      </c>
      <c r="F53">
        <v>0</v>
      </c>
      <c r="G53">
        <v>1</v>
      </c>
      <c r="H53">
        <v>1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6</v>
      </c>
      <c r="E55">
        <v>93</v>
      </c>
      <c r="F55">
        <v>0</v>
      </c>
      <c r="G55">
        <v>0</v>
      </c>
      <c r="H55">
        <v>3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0</v>
      </c>
      <c r="E56">
        <v>99</v>
      </c>
      <c r="F56">
        <v>0</v>
      </c>
      <c r="G56">
        <v>0</v>
      </c>
      <c r="H56">
        <v>0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3</v>
      </c>
      <c r="E58">
        <v>96</v>
      </c>
      <c r="F58">
        <v>0</v>
      </c>
      <c r="G58">
        <v>0</v>
      </c>
      <c r="H58">
        <v>2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100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100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99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0</v>
      </c>
      <c r="C67">
        <v>0</v>
      </c>
      <c r="D67">
        <v>21</v>
      </c>
      <c r="E67">
        <v>78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100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99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100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99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100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99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100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99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99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99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99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99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100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99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99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S124"/>
  <sheetViews>
    <sheetView zoomScale="75" zoomScaleNormal="75" workbookViewId="0"/>
  </sheetViews>
  <sheetFormatPr defaultRowHeight="14.5" x14ac:dyDescent="0.35"/>
  <cols>
    <col min="11" max="11" width="12.453125" bestFit="1" customWidth="1"/>
    <col min="12" max="12" width="10.36328125" bestFit="1" customWidth="1"/>
  </cols>
  <sheetData>
    <row r="1" spans="1:7" x14ac:dyDescent="0.35">
      <c r="A1" t="s">
        <v>318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319</v>
      </c>
    </row>
    <row r="5" spans="1:7" x14ac:dyDescent="0.35">
      <c r="A5" t="s">
        <v>193</v>
      </c>
    </row>
    <row r="6" spans="1:7" x14ac:dyDescent="0.35">
      <c r="A6" t="s">
        <v>190</v>
      </c>
    </row>
    <row r="7" spans="1:7" x14ac:dyDescent="0.35">
      <c r="A7" t="s">
        <v>168</v>
      </c>
    </row>
    <row r="8" spans="1:7" x14ac:dyDescent="0.35">
      <c r="A8" t="s">
        <v>154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1356561820</v>
      </c>
      <c r="C13">
        <v>5.43</v>
      </c>
      <c r="D13">
        <v>3</v>
      </c>
      <c r="E13">
        <v>2.7</v>
      </c>
      <c r="F13">
        <v>23300</v>
      </c>
      <c r="G13">
        <v>150898</v>
      </c>
    </row>
    <row r="14" spans="1:7" x14ac:dyDescent="0.35">
      <c r="A14">
        <v>4</v>
      </c>
      <c r="B14">
        <v>1663802560</v>
      </c>
      <c r="C14">
        <v>6.66</v>
      </c>
      <c r="D14">
        <v>6</v>
      </c>
      <c r="E14">
        <v>1.41</v>
      </c>
      <c r="F14">
        <v>49300</v>
      </c>
      <c r="G14">
        <v>336944</v>
      </c>
    </row>
    <row r="15" spans="1:7" x14ac:dyDescent="0.35">
      <c r="A15">
        <v>6</v>
      </c>
      <c r="B15">
        <v>1704728640</v>
      </c>
      <c r="C15">
        <v>6.82</v>
      </c>
      <c r="D15">
        <v>2</v>
      </c>
      <c r="E15">
        <v>3.34</v>
      </c>
      <c r="F15">
        <v>83237</v>
      </c>
      <c r="G15">
        <v>527575</v>
      </c>
    </row>
    <row r="16" spans="1:7" x14ac:dyDescent="0.35">
      <c r="A16">
        <v>8</v>
      </c>
      <c r="B16">
        <v>1845018520</v>
      </c>
      <c r="C16">
        <v>7.38</v>
      </c>
      <c r="D16">
        <v>5</v>
      </c>
      <c r="E16">
        <v>1.91</v>
      </c>
      <c r="F16">
        <v>106238</v>
      </c>
      <c r="G16">
        <v>733592</v>
      </c>
    </row>
    <row r="17" spans="1:7" x14ac:dyDescent="0.35">
      <c r="A17">
        <v>10</v>
      </c>
      <c r="B17">
        <v>1605659980</v>
      </c>
      <c r="C17">
        <v>6.42</v>
      </c>
      <c r="D17">
        <v>3</v>
      </c>
      <c r="E17">
        <v>3.88</v>
      </c>
      <c r="F17">
        <v>129544</v>
      </c>
      <c r="G17">
        <v>913163</v>
      </c>
    </row>
    <row r="18" spans="1:7" x14ac:dyDescent="0.35">
      <c r="A18">
        <v>12</v>
      </c>
      <c r="B18">
        <v>1858693340</v>
      </c>
      <c r="C18">
        <v>7.43</v>
      </c>
      <c r="D18">
        <v>5</v>
      </c>
      <c r="E18">
        <v>2.52</v>
      </c>
      <c r="F18">
        <v>155049</v>
      </c>
      <c r="G18">
        <v>1120610</v>
      </c>
    </row>
    <row r="19" spans="1:7" x14ac:dyDescent="0.35">
      <c r="A19">
        <v>14</v>
      </c>
      <c r="B19">
        <v>1628779280</v>
      </c>
      <c r="C19">
        <v>6.52</v>
      </c>
      <c r="D19">
        <v>5</v>
      </c>
      <c r="E19">
        <v>1.57</v>
      </c>
      <c r="F19">
        <v>177530</v>
      </c>
      <c r="G19">
        <v>1302755</v>
      </c>
    </row>
    <row r="20" spans="1:7" x14ac:dyDescent="0.35">
      <c r="A20">
        <v>16</v>
      </c>
      <c r="B20">
        <v>1804190820</v>
      </c>
      <c r="C20">
        <v>7.22</v>
      </c>
      <c r="D20">
        <v>2</v>
      </c>
      <c r="E20">
        <v>2.92</v>
      </c>
      <c r="F20">
        <v>200280</v>
      </c>
      <c r="G20">
        <v>1504376</v>
      </c>
    </row>
    <row r="21" spans="1:7" x14ac:dyDescent="0.35">
      <c r="A21">
        <v>18</v>
      </c>
      <c r="B21">
        <v>1703646460</v>
      </c>
      <c r="C21">
        <v>6.81</v>
      </c>
      <c r="D21">
        <v>5</v>
      </c>
      <c r="E21">
        <v>2.04</v>
      </c>
      <c r="F21">
        <v>236738</v>
      </c>
      <c r="G21">
        <v>1694762</v>
      </c>
    </row>
    <row r="22" spans="1:7" x14ac:dyDescent="0.35">
      <c r="A22">
        <v>20</v>
      </c>
      <c r="B22">
        <v>1292024540</v>
      </c>
      <c r="C22">
        <v>5.17</v>
      </c>
      <c r="D22">
        <v>6</v>
      </c>
      <c r="E22">
        <v>1.84</v>
      </c>
      <c r="F22">
        <v>261049</v>
      </c>
      <c r="G22">
        <v>1839112</v>
      </c>
    </row>
    <row r="23" spans="1:7" x14ac:dyDescent="0.35">
      <c r="A23">
        <v>22</v>
      </c>
      <c r="B23">
        <v>1552829920</v>
      </c>
      <c r="C23">
        <v>6.21</v>
      </c>
      <c r="D23">
        <v>3</v>
      </c>
      <c r="E23">
        <v>2.87</v>
      </c>
      <c r="F23">
        <v>286839</v>
      </c>
      <c r="G23">
        <v>2012635</v>
      </c>
    </row>
    <row r="24" spans="1:7" x14ac:dyDescent="0.35">
      <c r="A24">
        <v>24</v>
      </c>
      <c r="B24">
        <v>1118088700</v>
      </c>
      <c r="C24">
        <v>4.47</v>
      </c>
      <c r="D24">
        <v>9</v>
      </c>
      <c r="E24">
        <v>1.29</v>
      </c>
      <c r="F24">
        <v>316972</v>
      </c>
      <c r="G24">
        <v>2137421</v>
      </c>
    </row>
    <row r="25" spans="1:7" x14ac:dyDescent="0.35">
      <c r="A25">
        <v>26</v>
      </c>
      <c r="B25">
        <v>757329240</v>
      </c>
      <c r="C25">
        <v>3.03</v>
      </c>
      <c r="D25">
        <v>10</v>
      </c>
      <c r="E25">
        <v>1.03</v>
      </c>
      <c r="F25">
        <v>339441</v>
      </c>
      <c r="G25">
        <v>2222352</v>
      </c>
    </row>
    <row r="26" spans="1:7" x14ac:dyDescent="0.35">
      <c r="A26">
        <v>28</v>
      </c>
      <c r="B26">
        <v>1373384800</v>
      </c>
      <c r="C26">
        <v>5.49</v>
      </c>
      <c r="D26">
        <v>5</v>
      </c>
      <c r="E26">
        <v>1.67</v>
      </c>
      <c r="F26">
        <v>368496</v>
      </c>
      <c r="G26">
        <v>2375890</v>
      </c>
    </row>
    <row r="27" spans="1:7" x14ac:dyDescent="0.35">
      <c r="A27">
        <v>30</v>
      </c>
      <c r="B27">
        <v>1594936560</v>
      </c>
      <c r="C27">
        <v>6.38</v>
      </c>
      <c r="D27">
        <v>3</v>
      </c>
      <c r="E27">
        <v>2.36</v>
      </c>
      <c r="F27">
        <v>391554</v>
      </c>
      <c r="G27">
        <v>2553965</v>
      </c>
    </row>
    <row r="28" spans="1:7" x14ac:dyDescent="0.35">
      <c r="A28">
        <v>32</v>
      </c>
      <c r="B28">
        <v>1385879060</v>
      </c>
      <c r="C28">
        <v>5.54</v>
      </c>
      <c r="D28">
        <v>8</v>
      </c>
      <c r="E28">
        <v>1.68</v>
      </c>
      <c r="F28">
        <v>420113</v>
      </c>
      <c r="G28">
        <v>2709013</v>
      </c>
    </row>
    <row r="29" spans="1:7" x14ac:dyDescent="0.35">
      <c r="A29">
        <v>34</v>
      </c>
      <c r="B29">
        <v>1493998680</v>
      </c>
      <c r="C29">
        <v>5.98</v>
      </c>
      <c r="D29">
        <v>3</v>
      </c>
      <c r="E29">
        <v>2.95</v>
      </c>
      <c r="F29">
        <v>445684</v>
      </c>
      <c r="G29">
        <v>2875851</v>
      </c>
    </row>
    <row r="30" spans="1:7" x14ac:dyDescent="0.35">
      <c r="A30">
        <v>36</v>
      </c>
      <c r="B30">
        <v>1886731640</v>
      </c>
      <c r="C30">
        <v>7.55</v>
      </c>
      <c r="D30">
        <v>4</v>
      </c>
      <c r="E30">
        <v>2.42</v>
      </c>
      <c r="F30">
        <v>468904</v>
      </c>
      <c r="G30">
        <v>3086920</v>
      </c>
    </row>
    <row r="31" spans="1:7" x14ac:dyDescent="0.35">
      <c r="A31">
        <v>38</v>
      </c>
      <c r="B31">
        <v>1387551520</v>
      </c>
      <c r="C31">
        <v>5.55</v>
      </c>
      <c r="D31">
        <v>5</v>
      </c>
      <c r="E31">
        <v>2.41</v>
      </c>
      <c r="F31">
        <v>496419</v>
      </c>
      <c r="G31">
        <v>3241979</v>
      </c>
    </row>
    <row r="32" spans="1:7" x14ac:dyDescent="0.35">
      <c r="A32">
        <v>40</v>
      </c>
      <c r="B32">
        <v>1499311200</v>
      </c>
      <c r="C32">
        <v>6</v>
      </c>
      <c r="D32">
        <v>4</v>
      </c>
      <c r="E32">
        <v>2.78</v>
      </c>
      <c r="F32">
        <v>521290</v>
      </c>
      <c r="G32">
        <v>3409397</v>
      </c>
    </row>
    <row r="33" spans="1:253" x14ac:dyDescent="0.35">
      <c r="A33">
        <v>42</v>
      </c>
      <c r="B33">
        <v>2204892560</v>
      </c>
      <c r="C33">
        <v>8.82</v>
      </c>
      <c r="D33">
        <v>3</v>
      </c>
      <c r="E33">
        <v>2.76</v>
      </c>
      <c r="F33">
        <v>545234</v>
      </c>
      <c r="G33">
        <v>3655791</v>
      </c>
    </row>
    <row r="34" spans="1:253" x14ac:dyDescent="0.35">
      <c r="A34">
        <v>44</v>
      </c>
      <c r="B34">
        <v>1558240820</v>
      </c>
      <c r="C34">
        <v>6.23</v>
      </c>
      <c r="D34">
        <v>5</v>
      </c>
      <c r="E34">
        <v>2.17</v>
      </c>
      <c r="F34">
        <v>569975</v>
      </c>
      <c r="G34">
        <v>3829818</v>
      </c>
    </row>
    <row r="35" spans="1:253" x14ac:dyDescent="0.35">
      <c r="A35">
        <v>46</v>
      </c>
      <c r="B35">
        <v>1586771020</v>
      </c>
      <c r="C35">
        <v>6.35</v>
      </c>
      <c r="D35">
        <v>4</v>
      </c>
      <c r="E35">
        <v>2.11</v>
      </c>
      <c r="F35">
        <v>592654</v>
      </c>
      <c r="G35">
        <v>4007357</v>
      </c>
    </row>
    <row r="36" spans="1:253" x14ac:dyDescent="0.35">
      <c r="A36">
        <v>48</v>
      </c>
      <c r="B36">
        <v>2520987500</v>
      </c>
      <c r="C36">
        <v>10.08</v>
      </c>
      <c r="D36">
        <v>1</v>
      </c>
      <c r="E36">
        <v>3.98</v>
      </c>
      <c r="F36">
        <v>619333</v>
      </c>
      <c r="G36">
        <v>4289163</v>
      </c>
    </row>
    <row r="37" spans="1:253" x14ac:dyDescent="0.35">
      <c r="A37">
        <v>50</v>
      </c>
      <c r="B37">
        <v>2020823580</v>
      </c>
      <c r="C37">
        <v>8.08</v>
      </c>
      <c r="D37">
        <v>4</v>
      </c>
      <c r="E37">
        <v>2.96</v>
      </c>
      <c r="F37">
        <v>642034</v>
      </c>
      <c r="G37">
        <v>4514817</v>
      </c>
    </row>
    <row r="38" spans="1:253" x14ac:dyDescent="0.35">
      <c r="A38">
        <v>52</v>
      </c>
      <c r="B38">
        <v>2187872820</v>
      </c>
      <c r="C38">
        <v>8.75</v>
      </c>
      <c r="D38">
        <v>2</v>
      </c>
      <c r="E38">
        <v>4.47</v>
      </c>
      <c r="F38">
        <v>666389</v>
      </c>
      <c r="G38">
        <v>4759577</v>
      </c>
    </row>
    <row r="39" spans="1:253" x14ac:dyDescent="0.35">
      <c r="A39">
        <v>54</v>
      </c>
      <c r="B39">
        <v>2678100360</v>
      </c>
      <c r="C39">
        <v>10.71</v>
      </c>
      <c r="D39">
        <v>4</v>
      </c>
      <c r="E39">
        <v>2.67</v>
      </c>
      <c r="F39">
        <v>692821</v>
      </c>
      <c r="G39">
        <v>5058761</v>
      </c>
    </row>
    <row r="40" spans="1:253" x14ac:dyDescent="0.35">
      <c r="A40">
        <v>56</v>
      </c>
      <c r="B40">
        <v>1620908880</v>
      </c>
      <c r="C40">
        <v>6.48</v>
      </c>
      <c r="D40">
        <v>6</v>
      </c>
      <c r="E40">
        <v>1.56</v>
      </c>
      <c r="F40">
        <v>725136</v>
      </c>
      <c r="G40">
        <v>5239558</v>
      </c>
    </row>
    <row r="41" spans="1:253" x14ac:dyDescent="0.35">
      <c r="A41">
        <v>58</v>
      </c>
      <c r="B41">
        <v>1225224520</v>
      </c>
      <c r="C41">
        <v>4.9000000000000004</v>
      </c>
      <c r="D41">
        <v>5</v>
      </c>
      <c r="E41">
        <v>2.2599999999999998</v>
      </c>
      <c r="F41">
        <v>753396</v>
      </c>
      <c r="G41">
        <v>5376589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5000000</v>
      </c>
      <c r="C44">
        <v>507625</v>
      </c>
      <c r="D44">
        <v>0</v>
      </c>
      <c r="E44">
        <v>118.196</v>
      </c>
      <c r="F44" s="3">
        <v>59999500</v>
      </c>
      <c r="G44">
        <v>6658.74</v>
      </c>
      <c r="H44">
        <v>5581153</v>
      </c>
      <c r="I44">
        <v>133</v>
      </c>
      <c r="J44">
        <v>2.38302E-3</v>
      </c>
      <c r="K44" t="s">
        <v>117</v>
      </c>
      <c r="L44">
        <v>0</v>
      </c>
      <c r="M44">
        <v>507625</v>
      </c>
      <c r="N44">
        <v>49940147500</v>
      </c>
      <c r="O44">
        <v>118.206</v>
      </c>
      <c r="P44">
        <v>60004143</v>
      </c>
      <c r="Q44">
        <v>6658.23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93</v>
      </c>
      <c r="BO44">
        <v>5208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774969</v>
      </c>
      <c r="CG44">
        <v>51224728</v>
      </c>
      <c r="CH44">
        <v>0</v>
      </c>
      <c r="CI44">
        <v>0</v>
      </c>
      <c r="CJ44">
        <v>5581286</v>
      </c>
      <c r="CK44">
        <v>50309702460</v>
      </c>
      <c r="CL44">
        <v>0</v>
      </c>
      <c r="CM44">
        <v>0</v>
      </c>
      <c r="CN44" t="s">
        <v>177</v>
      </c>
      <c r="CO44">
        <v>93</v>
      </c>
      <c r="CP44">
        <v>3906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129</v>
      </c>
      <c r="DH44">
        <v>7970</v>
      </c>
      <c r="DI44">
        <v>0</v>
      </c>
      <c r="DJ44">
        <v>2</v>
      </c>
      <c r="DK44">
        <v>59</v>
      </c>
      <c r="DL44">
        <v>2942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774970</v>
      </c>
      <c r="DZ44">
        <v>40375204</v>
      </c>
      <c r="EA44">
        <v>0</v>
      </c>
      <c r="EB44">
        <v>0</v>
      </c>
      <c r="EC44">
        <v>816829</v>
      </c>
      <c r="ED44">
        <v>49995248298</v>
      </c>
      <c r="EE44">
        <v>0</v>
      </c>
      <c r="EF44">
        <v>0</v>
      </c>
      <c r="EG44" t="s">
        <v>100</v>
      </c>
      <c r="EH44">
        <v>774878</v>
      </c>
      <c r="EI44">
        <v>0</v>
      </c>
      <c r="EJ44">
        <v>5581153</v>
      </c>
      <c r="EK44">
        <v>0</v>
      </c>
      <c r="EL44">
        <v>133</v>
      </c>
      <c r="EM44" t="s">
        <v>129</v>
      </c>
      <c r="EN44" t="s">
        <v>271</v>
      </c>
      <c r="EO44">
        <v>103</v>
      </c>
      <c r="EP44">
        <v>28636</v>
      </c>
      <c r="EQ44">
        <v>0</v>
      </c>
      <c r="ER44">
        <v>0</v>
      </c>
      <c r="ES44">
        <v>104</v>
      </c>
      <c r="ET44">
        <v>48804</v>
      </c>
      <c r="EU44">
        <v>0</v>
      </c>
      <c r="EV44">
        <v>0</v>
      </c>
      <c r="EW44" t="s">
        <v>272</v>
      </c>
      <c r="EX44">
        <v>1094</v>
      </c>
      <c r="EY44">
        <v>100106</v>
      </c>
      <c r="EZ44">
        <v>0</v>
      </c>
      <c r="FA44">
        <v>2</v>
      </c>
      <c r="FB44">
        <v>775136</v>
      </c>
      <c r="FC44">
        <v>51287671</v>
      </c>
      <c r="FD44">
        <v>0</v>
      </c>
      <c r="FE44">
        <v>0</v>
      </c>
      <c r="FF44" t="s">
        <v>273</v>
      </c>
      <c r="FG44">
        <v>97</v>
      </c>
      <c r="FH44">
        <v>10653</v>
      </c>
      <c r="FI44">
        <v>0</v>
      </c>
      <c r="FJ44">
        <v>0</v>
      </c>
      <c r="FK44">
        <v>133</v>
      </c>
      <c r="FL44">
        <v>23657</v>
      </c>
      <c r="FM44">
        <v>0</v>
      </c>
      <c r="FN44">
        <v>0</v>
      </c>
      <c r="FO44" t="s">
        <v>274</v>
      </c>
      <c r="FP44">
        <v>5583446</v>
      </c>
      <c r="FQ44">
        <v>50308696377</v>
      </c>
      <c r="FR44">
        <v>0</v>
      </c>
      <c r="FS44">
        <v>8</v>
      </c>
      <c r="FT44">
        <v>775365</v>
      </c>
      <c r="FU44">
        <v>51334501</v>
      </c>
      <c r="FV44">
        <v>0</v>
      </c>
      <c r="FW44">
        <v>0</v>
      </c>
      <c r="FX44" t="s">
        <v>275</v>
      </c>
      <c r="FY44">
        <v>149</v>
      </c>
      <c r="FZ44">
        <v>15167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440</v>
      </c>
      <c r="GI44">
        <v>27632</v>
      </c>
      <c r="GJ44">
        <v>0</v>
      </c>
      <c r="GK44">
        <v>0</v>
      </c>
      <c r="GL44">
        <v>440</v>
      </c>
      <c r="GM44">
        <v>27632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5582352</v>
      </c>
      <c r="HA44">
        <v>50308596271</v>
      </c>
      <c r="HB44">
        <v>0</v>
      </c>
      <c r="HC44">
        <v>2</v>
      </c>
      <c r="HD44">
        <v>229</v>
      </c>
      <c r="HE44">
        <v>46830</v>
      </c>
      <c r="HF44">
        <v>0</v>
      </c>
      <c r="HG44">
        <v>0</v>
      </c>
      <c r="HH44" t="s">
        <v>278</v>
      </c>
      <c r="HI44">
        <v>1060717</v>
      </c>
      <c r="HJ44">
        <v>49995309766</v>
      </c>
      <c r="HK44">
        <v>0</v>
      </c>
      <c r="HL44">
        <v>0</v>
      </c>
      <c r="HM44">
        <v>774980</v>
      </c>
      <c r="HN44">
        <v>51243988</v>
      </c>
      <c r="HO44">
        <v>0</v>
      </c>
      <c r="HP44">
        <v>0</v>
      </c>
      <c r="HQ44" t="s">
        <v>106</v>
      </c>
      <c r="HR44">
        <v>1059480</v>
      </c>
      <c r="HS44">
        <v>0</v>
      </c>
      <c r="HT44">
        <v>775631</v>
      </c>
      <c r="HU44">
        <v>6</v>
      </c>
      <c r="HV44">
        <v>6</v>
      </c>
      <c r="HW44" t="s">
        <v>107</v>
      </c>
      <c r="HX44" t="s">
        <v>279</v>
      </c>
      <c r="HY44">
        <v>1094</v>
      </c>
      <c r="HZ44">
        <v>775136</v>
      </c>
      <c r="IA44">
        <v>1103</v>
      </c>
      <c r="IB44">
        <v>775138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5582352</v>
      </c>
      <c r="IK44">
        <v>229</v>
      </c>
      <c r="IL44">
        <v>5582361</v>
      </c>
      <c r="IM44">
        <v>231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1</v>
      </c>
      <c r="E46">
        <v>98</v>
      </c>
      <c r="F46">
        <v>0</v>
      </c>
      <c r="G46">
        <v>0</v>
      </c>
      <c r="H46">
        <v>0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100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100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7</v>
      </c>
      <c r="E53">
        <v>92</v>
      </c>
      <c r="F53">
        <v>0</v>
      </c>
      <c r="G53">
        <v>1</v>
      </c>
      <c r="H53">
        <v>0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0</v>
      </c>
      <c r="E55">
        <v>99</v>
      </c>
      <c r="F55">
        <v>0</v>
      </c>
      <c r="G55">
        <v>0</v>
      </c>
      <c r="H55">
        <v>0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6</v>
      </c>
      <c r="E56">
        <v>93</v>
      </c>
      <c r="F56">
        <v>0</v>
      </c>
      <c r="G56">
        <v>0</v>
      </c>
      <c r="H56">
        <v>5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3</v>
      </c>
      <c r="E58">
        <v>96</v>
      </c>
      <c r="F58">
        <v>0</v>
      </c>
      <c r="G58">
        <v>0</v>
      </c>
      <c r="H58">
        <v>1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100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100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100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0</v>
      </c>
      <c r="C67">
        <v>0</v>
      </c>
      <c r="D67">
        <v>13</v>
      </c>
      <c r="E67">
        <v>85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99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99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99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99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99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99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100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99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99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99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S124"/>
  <sheetViews>
    <sheetView topLeftCell="A113" zoomScale="75" zoomScaleNormal="75" workbookViewId="0"/>
  </sheetViews>
  <sheetFormatPr defaultRowHeight="14.5" x14ac:dyDescent="0.35"/>
  <cols>
    <col min="4" max="4" width="10.36328125" bestFit="1" customWidth="1"/>
    <col min="11" max="11" width="11.36328125" bestFit="1" customWidth="1"/>
    <col min="12" max="12" width="10.453125" bestFit="1" customWidth="1"/>
    <col min="13" max="13" width="9" bestFit="1" customWidth="1"/>
  </cols>
  <sheetData>
    <row r="1" spans="1:7" x14ac:dyDescent="0.35">
      <c r="A1" t="s">
        <v>320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321</v>
      </c>
    </row>
    <row r="5" spans="1:7" x14ac:dyDescent="0.35">
      <c r="A5" t="s">
        <v>261</v>
      </c>
    </row>
    <row r="6" spans="1:7" x14ac:dyDescent="0.35">
      <c r="A6" t="s">
        <v>190</v>
      </c>
    </row>
    <row r="7" spans="1:7" x14ac:dyDescent="0.35">
      <c r="A7" t="s">
        <v>168</v>
      </c>
    </row>
    <row r="8" spans="1:7" x14ac:dyDescent="0.35">
      <c r="A8" t="s">
        <v>263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6662293600</v>
      </c>
      <c r="C13">
        <v>26.66</v>
      </c>
      <c r="D13">
        <v>0</v>
      </c>
      <c r="E13">
        <v>10.59</v>
      </c>
      <c r="F13">
        <v>57022</v>
      </c>
      <c r="G13">
        <v>744888</v>
      </c>
    </row>
    <row r="14" spans="1:7" x14ac:dyDescent="0.35">
      <c r="A14">
        <v>4</v>
      </c>
      <c r="B14">
        <v>7221583900</v>
      </c>
      <c r="C14">
        <v>28.89</v>
      </c>
      <c r="D14">
        <v>0</v>
      </c>
      <c r="E14">
        <v>10.59</v>
      </c>
      <c r="F14">
        <v>116459</v>
      </c>
      <c r="G14">
        <v>1552353</v>
      </c>
    </row>
    <row r="15" spans="1:7" x14ac:dyDescent="0.35">
      <c r="A15">
        <v>6</v>
      </c>
      <c r="B15">
        <v>7230438100</v>
      </c>
      <c r="C15">
        <v>28.92</v>
      </c>
      <c r="D15">
        <v>0</v>
      </c>
      <c r="E15">
        <v>10.59</v>
      </c>
      <c r="F15">
        <v>175998</v>
      </c>
      <c r="G15">
        <v>2360468</v>
      </c>
    </row>
    <row r="16" spans="1:7" x14ac:dyDescent="0.35">
      <c r="A16">
        <v>8</v>
      </c>
      <c r="B16">
        <v>7227880220</v>
      </c>
      <c r="C16">
        <v>28.91</v>
      </c>
      <c r="D16">
        <v>0</v>
      </c>
      <c r="E16">
        <v>10.59</v>
      </c>
      <c r="F16">
        <v>235337</v>
      </c>
      <c r="G16">
        <v>3168873</v>
      </c>
    </row>
    <row r="17" spans="1:7" x14ac:dyDescent="0.35">
      <c r="A17">
        <v>10</v>
      </c>
      <c r="B17">
        <v>7228273740</v>
      </c>
      <c r="C17">
        <v>28.91</v>
      </c>
      <c r="D17">
        <v>0</v>
      </c>
      <c r="E17">
        <v>10.59</v>
      </c>
      <c r="F17">
        <v>294811</v>
      </c>
      <c r="G17">
        <v>3977173</v>
      </c>
    </row>
    <row r="18" spans="1:7" x14ac:dyDescent="0.35">
      <c r="A18">
        <v>12</v>
      </c>
      <c r="B18">
        <v>7232307320</v>
      </c>
      <c r="C18">
        <v>28.93</v>
      </c>
      <c r="D18">
        <v>0</v>
      </c>
      <c r="E18">
        <v>10.59</v>
      </c>
      <c r="F18">
        <v>354409</v>
      </c>
      <c r="G18">
        <v>4785672</v>
      </c>
    </row>
    <row r="19" spans="1:7" x14ac:dyDescent="0.35">
      <c r="A19">
        <v>14</v>
      </c>
      <c r="B19">
        <v>7228667260</v>
      </c>
      <c r="C19">
        <v>28.91</v>
      </c>
      <c r="D19">
        <v>0</v>
      </c>
      <c r="E19">
        <v>10.59</v>
      </c>
      <c r="F19">
        <v>413911</v>
      </c>
      <c r="G19">
        <v>5594050</v>
      </c>
    </row>
    <row r="20" spans="1:7" x14ac:dyDescent="0.35">
      <c r="A20">
        <v>16</v>
      </c>
      <c r="B20">
        <v>7229355920</v>
      </c>
      <c r="C20">
        <v>28.92</v>
      </c>
      <c r="D20">
        <v>0</v>
      </c>
      <c r="E20">
        <v>10.59</v>
      </c>
      <c r="F20">
        <v>473361</v>
      </c>
      <c r="G20">
        <v>6402380</v>
      </c>
    </row>
    <row r="21" spans="1:7" x14ac:dyDescent="0.35">
      <c r="A21">
        <v>18</v>
      </c>
      <c r="B21">
        <v>7228372120</v>
      </c>
      <c r="C21">
        <v>28.91</v>
      </c>
      <c r="D21">
        <v>0</v>
      </c>
      <c r="E21">
        <v>10.59</v>
      </c>
      <c r="F21">
        <v>533048</v>
      </c>
      <c r="G21">
        <v>7210536</v>
      </c>
    </row>
    <row r="22" spans="1:7" x14ac:dyDescent="0.35">
      <c r="A22">
        <v>20</v>
      </c>
      <c r="B22">
        <v>7229060780</v>
      </c>
      <c r="C22">
        <v>28.92</v>
      </c>
      <c r="D22">
        <v>0</v>
      </c>
      <c r="E22">
        <v>10.59</v>
      </c>
      <c r="F22">
        <v>592626</v>
      </c>
      <c r="G22">
        <v>8018845</v>
      </c>
    </row>
    <row r="23" spans="1:7" x14ac:dyDescent="0.35">
      <c r="A23">
        <v>22</v>
      </c>
      <c r="B23">
        <v>7226109380</v>
      </c>
      <c r="C23">
        <v>28.9</v>
      </c>
      <c r="D23">
        <v>0</v>
      </c>
      <c r="E23">
        <v>10.59</v>
      </c>
      <c r="F23">
        <v>652348</v>
      </c>
      <c r="G23">
        <v>8826848</v>
      </c>
    </row>
    <row r="24" spans="1:7" x14ac:dyDescent="0.35">
      <c r="A24">
        <v>24</v>
      </c>
      <c r="B24">
        <v>7228864020</v>
      </c>
      <c r="C24">
        <v>28.92</v>
      </c>
      <c r="D24">
        <v>0</v>
      </c>
      <c r="E24">
        <v>10.59</v>
      </c>
      <c r="F24">
        <v>712038</v>
      </c>
      <c r="G24">
        <v>9634867</v>
      </c>
    </row>
    <row r="25" spans="1:7" x14ac:dyDescent="0.35">
      <c r="A25">
        <v>26</v>
      </c>
      <c r="B25">
        <v>7228076980</v>
      </c>
      <c r="C25">
        <v>28.91</v>
      </c>
      <c r="D25">
        <v>0</v>
      </c>
      <c r="E25">
        <v>10.59</v>
      </c>
      <c r="F25">
        <v>771528</v>
      </c>
      <c r="G25">
        <v>10443128</v>
      </c>
    </row>
    <row r="26" spans="1:7" x14ac:dyDescent="0.35">
      <c r="A26">
        <v>28</v>
      </c>
      <c r="B26">
        <v>7230044580</v>
      </c>
      <c r="C26">
        <v>28.92</v>
      </c>
      <c r="D26">
        <v>0</v>
      </c>
      <c r="E26">
        <v>10.59</v>
      </c>
      <c r="F26">
        <v>831200</v>
      </c>
      <c r="G26">
        <v>11251410</v>
      </c>
    </row>
    <row r="27" spans="1:7" x14ac:dyDescent="0.35">
      <c r="A27">
        <v>30</v>
      </c>
      <c r="B27">
        <v>7227191560</v>
      </c>
      <c r="C27">
        <v>28.91</v>
      </c>
      <c r="D27">
        <v>0</v>
      </c>
      <c r="E27">
        <v>10.59</v>
      </c>
      <c r="F27">
        <v>890679</v>
      </c>
      <c r="G27">
        <v>12059631</v>
      </c>
    </row>
    <row r="28" spans="1:7" x14ac:dyDescent="0.35">
      <c r="A28">
        <v>32</v>
      </c>
      <c r="B28">
        <v>7228568880</v>
      </c>
      <c r="C28">
        <v>28.91</v>
      </c>
      <c r="D28">
        <v>0</v>
      </c>
      <c r="E28">
        <v>10.59</v>
      </c>
      <c r="F28">
        <v>950228</v>
      </c>
      <c r="G28">
        <v>12867618</v>
      </c>
    </row>
    <row r="29" spans="1:7" x14ac:dyDescent="0.35">
      <c r="A29">
        <v>34</v>
      </c>
      <c r="B29">
        <v>7226502900</v>
      </c>
      <c r="C29">
        <v>28.91</v>
      </c>
      <c r="D29">
        <v>0</v>
      </c>
      <c r="E29">
        <v>10.59</v>
      </c>
      <c r="F29">
        <v>1009645</v>
      </c>
      <c r="G29">
        <v>13675596</v>
      </c>
    </row>
    <row r="30" spans="1:7" x14ac:dyDescent="0.35">
      <c r="A30">
        <v>36</v>
      </c>
      <c r="B30">
        <v>7225420720</v>
      </c>
      <c r="C30">
        <v>28.9</v>
      </c>
      <c r="D30">
        <v>0</v>
      </c>
      <c r="E30">
        <v>10.59</v>
      </c>
      <c r="F30">
        <v>1068905</v>
      </c>
      <c r="G30">
        <v>14483485</v>
      </c>
    </row>
    <row r="31" spans="1:7" x14ac:dyDescent="0.35">
      <c r="A31">
        <v>38</v>
      </c>
      <c r="B31">
        <v>7226699660</v>
      </c>
      <c r="C31">
        <v>28.91</v>
      </c>
      <c r="D31">
        <v>0</v>
      </c>
      <c r="E31">
        <v>10.59</v>
      </c>
      <c r="F31">
        <v>1128210</v>
      </c>
      <c r="G31">
        <v>15291464</v>
      </c>
    </row>
    <row r="32" spans="1:7" x14ac:dyDescent="0.35">
      <c r="A32">
        <v>40</v>
      </c>
      <c r="B32">
        <v>7226109380</v>
      </c>
      <c r="C32">
        <v>28.9</v>
      </c>
      <c r="D32">
        <v>0</v>
      </c>
      <c r="E32">
        <v>10.59</v>
      </c>
      <c r="F32">
        <v>1187335</v>
      </c>
      <c r="G32">
        <v>16099811</v>
      </c>
    </row>
    <row r="33" spans="1:253" x14ac:dyDescent="0.35">
      <c r="A33">
        <v>42</v>
      </c>
      <c r="B33">
        <v>7228568880</v>
      </c>
      <c r="C33">
        <v>28.91</v>
      </c>
      <c r="D33">
        <v>0</v>
      </c>
      <c r="E33">
        <v>10.59</v>
      </c>
      <c r="F33">
        <v>1246377</v>
      </c>
      <c r="G33">
        <v>16907933</v>
      </c>
    </row>
    <row r="34" spans="1:253" x14ac:dyDescent="0.35">
      <c r="A34">
        <v>44</v>
      </c>
      <c r="B34">
        <v>7228864020</v>
      </c>
      <c r="C34">
        <v>28.92</v>
      </c>
      <c r="D34">
        <v>0</v>
      </c>
      <c r="E34">
        <v>10.59</v>
      </c>
      <c r="F34">
        <v>1305720</v>
      </c>
      <c r="G34">
        <v>17715965</v>
      </c>
    </row>
    <row r="35" spans="1:253" x14ac:dyDescent="0.35">
      <c r="A35">
        <v>46</v>
      </c>
      <c r="B35">
        <v>7222764460</v>
      </c>
      <c r="C35">
        <v>28.89</v>
      </c>
      <c r="D35">
        <v>0</v>
      </c>
      <c r="E35">
        <v>10.59</v>
      </c>
      <c r="F35">
        <v>1364868</v>
      </c>
      <c r="G35">
        <v>18523945</v>
      </c>
    </row>
    <row r="36" spans="1:253" x14ac:dyDescent="0.35">
      <c r="A36">
        <v>48</v>
      </c>
      <c r="B36">
        <v>7226601280</v>
      </c>
      <c r="C36">
        <v>28.91</v>
      </c>
      <c r="D36">
        <v>0</v>
      </c>
      <c r="E36">
        <v>10.59</v>
      </c>
      <c r="F36">
        <v>1424181</v>
      </c>
      <c r="G36">
        <v>19331965</v>
      </c>
    </row>
    <row r="37" spans="1:253" x14ac:dyDescent="0.35">
      <c r="A37">
        <v>50</v>
      </c>
      <c r="B37">
        <v>7226798040</v>
      </c>
      <c r="C37">
        <v>28.91</v>
      </c>
      <c r="D37">
        <v>0</v>
      </c>
      <c r="E37">
        <v>10.59</v>
      </c>
      <c r="F37">
        <v>1483561</v>
      </c>
      <c r="G37">
        <v>20139906</v>
      </c>
    </row>
    <row r="38" spans="1:253" x14ac:dyDescent="0.35">
      <c r="A38">
        <v>52</v>
      </c>
      <c r="B38">
        <v>7229651060</v>
      </c>
      <c r="C38">
        <v>28.92</v>
      </c>
      <c r="D38">
        <v>0</v>
      </c>
      <c r="E38">
        <v>10.59</v>
      </c>
      <c r="F38">
        <v>1542725</v>
      </c>
      <c r="G38">
        <v>20948002</v>
      </c>
    </row>
    <row r="39" spans="1:253" x14ac:dyDescent="0.35">
      <c r="A39">
        <v>54</v>
      </c>
      <c r="B39">
        <v>7228372120</v>
      </c>
      <c r="C39">
        <v>28.91</v>
      </c>
      <c r="D39">
        <v>0</v>
      </c>
      <c r="E39">
        <v>10.59</v>
      </c>
      <c r="F39">
        <v>1602036</v>
      </c>
      <c r="G39">
        <v>21756200</v>
      </c>
    </row>
    <row r="40" spans="1:253" x14ac:dyDescent="0.35">
      <c r="A40">
        <v>56</v>
      </c>
      <c r="B40">
        <v>7228175360</v>
      </c>
      <c r="C40">
        <v>28.91</v>
      </c>
      <c r="D40">
        <v>0</v>
      </c>
      <c r="E40">
        <v>10.59</v>
      </c>
      <c r="F40">
        <v>1661529</v>
      </c>
      <c r="G40">
        <v>22564621</v>
      </c>
    </row>
    <row r="41" spans="1:253" x14ac:dyDescent="0.35">
      <c r="A41">
        <v>58</v>
      </c>
      <c r="B41">
        <v>7225027200</v>
      </c>
      <c r="C41">
        <v>28.9</v>
      </c>
      <c r="D41">
        <v>0</v>
      </c>
      <c r="E41">
        <v>10.59</v>
      </c>
      <c r="F41">
        <v>1720675</v>
      </c>
      <c r="G41">
        <v>23372556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7000000</v>
      </c>
      <c r="C44">
        <v>2198271</v>
      </c>
      <c r="D44">
        <v>0</v>
      </c>
      <c r="E44">
        <v>27.294</v>
      </c>
      <c r="F44" s="3">
        <v>59999500</v>
      </c>
      <c r="G44">
        <v>28835.7</v>
      </c>
      <c r="H44">
        <v>24180890</v>
      </c>
      <c r="I44">
        <v>0</v>
      </c>
      <c r="J44">
        <v>0</v>
      </c>
      <c r="K44" t="s">
        <v>117</v>
      </c>
      <c r="L44">
        <v>0</v>
      </c>
      <c r="M44">
        <v>2198271</v>
      </c>
      <c r="N44">
        <v>216265900980</v>
      </c>
      <c r="O44">
        <v>27.293199999999999</v>
      </c>
      <c r="P44">
        <v>59997870</v>
      </c>
      <c r="Q44">
        <v>28836.5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92</v>
      </c>
      <c r="BO44">
        <v>5152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1780292</v>
      </c>
      <c r="CG44">
        <v>117498260</v>
      </c>
      <c r="CH44">
        <v>0</v>
      </c>
      <c r="CI44">
        <v>0</v>
      </c>
      <c r="CJ44">
        <v>24180893</v>
      </c>
      <c r="CK44">
        <v>217861839920</v>
      </c>
      <c r="CL44">
        <v>0</v>
      </c>
      <c r="CM44">
        <v>0</v>
      </c>
      <c r="CN44" t="s">
        <v>177</v>
      </c>
      <c r="CO44">
        <v>92</v>
      </c>
      <c r="CP44">
        <v>3864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109</v>
      </c>
      <c r="DH44">
        <v>6770</v>
      </c>
      <c r="DI44">
        <v>0</v>
      </c>
      <c r="DJ44">
        <v>2</v>
      </c>
      <c r="DK44">
        <v>50</v>
      </c>
      <c r="DL44">
        <v>2492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1780292</v>
      </c>
      <c r="DZ44">
        <v>92574154</v>
      </c>
      <c r="EA44">
        <v>0</v>
      </c>
      <c r="EB44">
        <v>0</v>
      </c>
      <c r="EC44">
        <v>3478940</v>
      </c>
      <c r="ED44">
        <v>216495510996</v>
      </c>
      <c r="EE44">
        <v>0</v>
      </c>
      <c r="EF44">
        <v>0</v>
      </c>
      <c r="EG44" t="s">
        <v>100</v>
      </c>
      <c r="EH44">
        <v>1780189</v>
      </c>
      <c r="EI44">
        <v>0</v>
      </c>
      <c r="EJ44">
        <v>24180890</v>
      </c>
      <c r="EK44">
        <v>0</v>
      </c>
      <c r="EL44">
        <v>0</v>
      </c>
      <c r="EM44" t="s">
        <v>129</v>
      </c>
      <c r="EN44" t="s">
        <v>271</v>
      </c>
      <c r="EO44">
        <v>61</v>
      </c>
      <c r="EP44">
        <v>17578</v>
      </c>
      <c r="EQ44">
        <v>0</v>
      </c>
      <c r="ER44">
        <v>0</v>
      </c>
      <c r="ES44">
        <v>63</v>
      </c>
      <c r="ET44">
        <v>29026</v>
      </c>
      <c r="EU44">
        <v>0</v>
      </c>
      <c r="EV44">
        <v>0</v>
      </c>
      <c r="EW44" t="s">
        <v>272</v>
      </c>
      <c r="EX44">
        <v>1021</v>
      </c>
      <c r="EY44">
        <v>75949</v>
      </c>
      <c r="EZ44">
        <v>0</v>
      </c>
      <c r="FA44">
        <v>2</v>
      </c>
      <c r="FB44">
        <v>186</v>
      </c>
      <c r="FC44">
        <v>31010</v>
      </c>
      <c r="FD44">
        <v>0</v>
      </c>
      <c r="FE44">
        <v>0</v>
      </c>
      <c r="FF44" t="s">
        <v>273</v>
      </c>
      <c r="FG44">
        <v>84</v>
      </c>
      <c r="FH44">
        <v>9484</v>
      </c>
      <c r="FI44">
        <v>0</v>
      </c>
      <c r="FJ44">
        <v>0</v>
      </c>
      <c r="FK44">
        <v>120</v>
      </c>
      <c r="FL44">
        <v>22286</v>
      </c>
      <c r="FM44">
        <v>0</v>
      </c>
      <c r="FN44">
        <v>0</v>
      </c>
      <c r="FO44" t="s">
        <v>274</v>
      </c>
      <c r="FP44">
        <v>24183003</v>
      </c>
      <c r="FQ44">
        <v>217862005953</v>
      </c>
      <c r="FR44">
        <v>0</v>
      </c>
      <c r="FS44">
        <v>8</v>
      </c>
      <c r="FT44">
        <v>1780605</v>
      </c>
      <c r="FU44">
        <v>117573971</v>
      </c>
      <c r="FV44">
        <v>0</v>
      </c>
      <c r="FW44">
        <v>0</v>
      </c>
      <c r="FX44" t="s">
        <v>275</v>
      </c>
      <c r="FY44">
        <v>142</v>
      </c>
      <c r="FZ44">
        <v>18154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480</v>
      </c>
      <c r="GI44">
        <v>30144</v>
      </c>
      <c r="GJ44">
        <v>0</v>
      </c>
      <c r="GK44">
        <v>0</v>
      </c>
      <c r="GL44">
        <v>480</v>
      </c>
      <c r="GM44">
        <v>30144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24181982</v>
      </c>
      <c r="HA44">
        <v>217861930004</v>
      </c>
      <c r="HB44">
        <v>0</v>
      </c>
      <c r="HC44">
        <v>2</v>
      </c>
      <c r="HD44">
        <v>1780418</v>
      </c>
      <c r="HE44">
        <v>117542811</v>
      </c>
      <c r="HF44">
        <v>0</v>
      </c>
      <c r="HG44">
        <v>0</v>
      </c>
      <c r="HH44" t="s">
        <v>278</v>
      </c>
      <c r="HI44">
        <v>3774078</v>
      </c>
      <c r="HJ44">
        <v>216462152719</v>
      </c>
      <c r="HK44">
        <v>0</v>
      </c>
      <c r="HL44">
        <v>0</v>
      </c>
      <c r="HM44">
        <v>1780282</v>
      </c>
      <c r="HN44">
        <v>117504679</v>
      </c>
      <c r="HO44">
        <v>0</v>
      </c>
      <c r="HP44">
        <v>0</v>
      </c>
      <c r="HQ44" t="s">
        <v>106</v>
      </c>
      <c r="HR44">
        <v>3772911</v>
      </c>
      <c r="HS44">
        <v>0</v>
      </c>
      <c r="HT44">
        <v>1780894</v>
      </c>
      <c r="HU44">
        <v>7</v>
      </c>
      <c r="HV44">
        <v>8</v>
      </c>
      <c r="HW44" t="s">
        <v>107</v>
      </c>
      <c r="HX44" t="s">
        <v>279</v>
      </c>
      <c r="HY44">
        <v>1021</v>
      </c>
      <c r="HZ44">
        <v>186</v>
      </c>
      <c r="IA44">
        <v>1030</v>
      </c>
      <c r="IB44">
        <v>187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24181982</v>
      </c>
      <c r="IK44">
        <v>1780418</v>
      </c>
      <c r="IL44">
        <v>24181988</v>
      </c>
      <c r="IM44">
        <v>1780419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6</v>
      </c>
      <c r="E46">
        <v>93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43</v>
      </c>
      <c r="E53">
        <v>56</v>
      </c>
      <c r="F53">
        <v>0</v>
      </c>
      <c r="G53">
        <v>4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18</v>
      </c>
      <c r="E55">
        <v>81</v>
      </c>
      <c r="F55">
        <v>0</v>
      </c>
      <c r="G55">
        <v>1</v>
      </c>
      <c r="H55">
        <v>11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0</v>
      </c>
      <c r="E56">
        <v>99</v>
      </c>
      <c r="F56">
        <v>0</v>
      </c>
      <c r="G56">
        <v>0</v>
      </c>
      <c r="H56">
        <v>0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9</v>
      </c>
      <c r="E58">
        <v>90</v>
      </c>
      <c r="F58">
        <v>0</v>
      </c>
      <c r="G58">
        <v>0</v>
      </c>
      <c r="H58">
        <v>7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100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49</v>
      </c>
      <c r="E67">
        <v>49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100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99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99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99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99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99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100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99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100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100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99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99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99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99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99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99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100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IS124"/>
  <sheetViews>
    <sheetView topLeftCell="A216" zoomScale="75" zoomScaleNormal="75" workbookViewId="0"/>
  </sheetViews>
  <sheetFormatPr defaultRowHeight="14.5" x14ac:dyDescent="0.35"/>
  <sheetData>
    <row r="1" spans="1:7" x14ac:dyDescent="0.35">
      <c r="A1" t="s">
        <v>322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323</v>
      </c>
    </row>
    <row r="5" spans="1:7" x14ac:dyDescent="0.35">
      <c r="A5" t="s">
        <v>264</v>
      </c>
    </row>
    <row r="6" spans="1:7" x14ac:dyDescent="0.35">
      <c r="A6" t="s">
        <v>190</v>
      </c>
    </row>
    <row r="7" spans="1:7" x14ac:dyDescent="0.35">
      <c r="A7" t="s">
        <v>168</v>
      </c>
    </row>
    <row r="8" spans="1:7" x14ac:dyDescent="0.35">
      <c r="A8" t="s">
        <v>155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6773954900</v>
      </c>
      <c r="C13">
        <v>27.1</v>
      </c>
      <c r="D13">
        <v>0</v>
      </c>
      <c r="E13">
        <v>10.72</v>
      </c>
      <c r="F13">
        <v>56831</v>
      </c>
      <c r="G13">
        <v>756161</v>
      </c>
    </row>
    <row r="14" spans="1:7" x14ac:dyDescent="0.35">
      <c r="A14">
        <v>4</v>
      </c>
      <c r="B14">
        <v>7444217840</v>
      </c>
      <c r="C14">
        <v>29.78</v>
      </c>
      <c r="D14">
        <v>0</v>
      </c>
      <c r="E14">
        <v>10.72</v>
      </c>
      <c r="F14">
        <v>117471</v>
      </c>
      <c r="G14">
        <v>1588181</v>
      </c>
    </row>
    <row r="15" spans="1:7" x14ac:dyDescent="0.35">
      <c r="A15">
        <v>6</v>
      </c>
      <c r="B15">
        <v>7443922700</v>
      </c>
      <c r="C15">
        <v>29.78</v>
      </c>
      <c r="D15">
        <v>0</v>
      </c>
      <c r="E15">
        <v>10.72</v>
      </c>
      <c r="F15">
        <v>178122</v>
      </c>
      <c r="G15">
        <v>2420215</v>
      </c>
    </row>
    <row r="16" spans="1:7" x14ac:dyDescent="0.35">
      <c r="A16">
        <v>8</v>
      </c>
      <c r="B16">
        <v>7443529180</v>
      </c>
      <c r="C16">
        <v>29.77</v>
      </c>
      <c r="D16">
        <v>0</v>
      </c>
      <c r="E16">
        <v>10.72</v>
      </c>
      <c r="F16">
        <v>238896</v>
      </c>
      <c r="G16">
        <v>3252249</v>
      </c>
    </row>
    <row r="17" spans="1:7" x14ac:dyDescent="0.35">
      <c r="A17">
        <v>10</v>
      </c>
      <c r="B17">
        <v>7448940080</v>
      </c>
      <c r="C17">
        <v>29.8</v>
      </c>
      <c r="D17">
        <v>0</v>
      </c>
      <c r="E17">
        <v>10.72</v>
      </c>
      <c r="F17">
        <v>299727</v>
      </c>
      <c r="G17">
        <v>4084290</v>
      </c>
    </row>
    <row r="18" spans="1:7" x14ac:dyDescent="0.35">
      <c r="A18">
        <v>12</v>
      </c>
      <c r="B18">
        <v>7443037280</v>
      </c>
      <c r="C18">
        <v>29.77</v>
      </c>
      <c r="D18">
        <v>0</v>
      </c>
      <c r="E18">
        <v>10.72</v>
      </c>
      <c r="F18">
        <v>360506</v>
      </c>
      <c r="G18">
        <v>4916317</v>
      </c>
    </row>
    <row r="19" spans="1:7" x14ac:dyDescent="0.35">
      <c r="A19">
        <v>14</v>
      </c>
      <c r="B19">
        <v>7446874100</v>
      </c>
      <c r="C19">
        <v>29.79</v>
      </c>
      <c r="D19">
        <v>0</v>
      </c>
      <c r="E19">
        <v>10.72</v>
      </c>
      <c r="F19">
        <v>421267</v>
      </c>
      <c r="G19">
        <v>5748344</v>
      </c>
    </row>
    <row r="20" spans="1:7" x14ac:dyDescent="0.35">
      <c r="A20">
        <v>16</v>
      </c>
      <c r="B20">
        <v>7445595160</v>
      </c>
      <c r="C20">
        <v>29.78</v>
      </c>
      <c r="D20">
        <v>0</v>
      </c>
      <c r="E20">
        <v>10.72</v>
      </c>
      <c r="F20">
        <v>482166</v>
      </c>
      <c r="G20">
        <v>6580371</v>
      </c>
    </row>
    <row r="21" spans="1:7" x14ac:dyDescent="0.35">
      <c r="A21">
        <v>18</v>
      </c>
      <c r="B21">
        <v>7443824320</v>
      </c>
      <c r="C21">
        <v>29.78</v>
      </c>
      <c r="D21">
        <v>0</v>
      </c>
      <c r="E21">
        <v>10.72</v>
      </c>
      <c r="F21">
        <v>542989</v>
      </c>
      <c r="G21">
        <v>7412405</v>
      </c>
    </row>
    <row r="22" spans="1:7" x14ac:dyDescent="0.35">
      <c r="A22">
        <v>20</v>
      </c>
      <c r="B22">
        <v>7445201640</v>
      </c>
      <c r="C22">
        <v>29.78</v>
      </c>
      <c r="D22">
        <v>0</v>
      </c>
      <c r="E22">
        <v>10.72</v>
      </c>
      <c r="F22">
        <v>603990</v>
      </c>
      <c r="G22">
        <v>8244439</v>
      </c>
    </row>
    <row r="23" spans="1:7" x14ac:dyDescent="0.35">
      <c r="A23">
        <v>22</v>
      </c>
      <c r="B23">
        <v>7444709740</v>
      </c>
      <c r="C23">
        <v>29.78</v>
      </c>
      <c r="D23">
        <v>0</v>
      </c>
      <c r="E23">
        <v>10.72</v>
      </c>
      <c r="F23">
        <v>665051</v>
      </c>
      <c r="G23">
        <v>9076473</v>
      </c>
    </row>
    <row r="24" spans="1:7" x14ac:dyDescent="0.35">
      <c r="A24">
        <v>24</v>
      </c>
      <c r="B24">
        <v>7441266440</v>
      </c>
      <c r="C24">
        <v>29.77</v>
      </c>
      <c r="D24">
        <v>0</v>
      </c>
      <c r="E24">
        <v>10.72</v>
      </c>
      <c r="F24">
        <v>726140</v>
      </c>
      <c r="G24">
        <v>9908493</v>
      </c>
    </row>
    <row r="25" spans="1:7" x14ac:dyDescent="0.35">
      <c r="A25">
        <v>26</v>
      </c>
      <c r="B25">
        <v>7448644940</v>
      </c>
      <c r="C25">
        <v>29.79</v>
      </c>
      <c r="D25">
        <v>0</v>
      </c>
      <c r="E25">
        <v>10.72</v>
      </c>
      <c r="F25">
        <v>787059</v>
      </c>
      <c r="G25">
        <v>10740541</v>
      </c>
    </row>
    <row r="26" spans="1:7" x14ac:dyDescent="0.35">
      <c r="A26">
        <v>28</v>
      </c>
      <c r="B26">
        <v>7446578960</v>
      </c>
      <c r="C26">
        <v>29.79</v>
      </c>
      <c r="D26">
        <v>0</v>
      </c>
      <c r="E26">
        <v>10.72</v>
      </c>
      <c r="F26">
        <v>848023</v>
      </c>
      <c r="G26">
        <v>11572561</v>
      </c>
    </row>
    <row r="27" spans="1:7" x14ac:dyDescent="0.35">
      <c r="A27">
        <v>30</v>
      </c>
      <c r="B27">
        <v>7444119460</v>
      </c>
      <c r="C27">
        <v>29.78</v>
      </c>
      <c r="D27">
        <v>0</v>
      </c>
      <c r="E27">
        <v>10.72</v>
      </c>
      <c r="F27">
        <v>908896</v>
      </c>
      <c r="G27">
        <v>12404588</v>
      </c>
    </row>
    <row r="28" spans="1:7" x14ac:dyDescent="0.35">
      <c r="A28">
        <v>32</v>
      </c>
      <c r="B28">
        <v>7446185440</v>
      </c>
      <c r="C28">
        <v>29.78</v>
      </c>
      <c r="D28">
        <v>0</v>
      </c>
      <c r="E28">
        <v>10.72</v>
      </c>
      <c r="F28">
        <v>969328</v>
      </c>
      <c r="G28">
        <v>13236629</v>
      </c>
    </row>
    <row r="29" spans="1:7" x14ac:dyDescent="0.35">
      <c r="A29">
        <v>34</v>
      </c>
      <c r="B29">
        <v>7441659960</v>
      </c>
      <c r="C29">
        <v>29.77</v>
      </c>
      <c r="D29">
        <v>0</v>
      </c>
      <c r="E29">
        <v>10.72</v>
      </c>
      <c r="F29">
        <v>1029866</v>
      </c>
      <c r="G29">
        <v>14068670</v>
      </c>
    </row>
    <row r="30" spans="1:7" x14ac:dyDescent="0.35">
      <c r="A30">
        <v>36</v>
      </c>
      <c r="B30">
        <v>7444906500</v>
      </c>
      <c r="C30">
        <v>29.78</v>
      </c>
      <c r="D30">
        <v>0</v>
      </c>
      <c r="E30">
        <v>10.72</v>
      </c>
      <c r="F30">
        <v>1090417</v>
      </c>
      <c r="G30">
        <v>14900697</v>
      </c>
    </row>
    <row r="31" spans="1:7" x14ac:dyDescent="0.35">
      <c r="A31">
        <v>38</v>
      </c>
      <c r="B31">
        <v>7445890300</v>
      </c>
      <c r="C31">
        <v>29.78</v>
      </c>
      <c r="D31">
        <v>0</v>
      </c>
      <c r="E31">
        <v>10.72</v>
      </c>
      <c r="F31">
        <v>1151010</v>
      </c>
      <c r="G31">
        <v>15732717</v>
      </c>
    </row>
    <row r="32" spans="1:7" x14ac:dyDescent="0.35">
      <c r="A32">
        <v>40</v>
      </c>
      <c r="B32">
        <v>7441856720</v>
      </c>
      <c r="C32">
        <v>29.77</v>
      </c>
      <c r="D32">
        <v>0</v>
      </c>
      <c r="E32">
        <v>10.72</v>
      </c>
      <c r="F32">
        <v>1211446</v>
      </c>
      <c r="G32">
        <v>16564737</v>
      </c>
    </row>
    <row r="33" spans="1:253" x14ac:dyDescent="0.35">
      <c r="A33">
        <v>42</v>
      </c>
      <c r="B33">
        <v>7448448180</v>
      </c>
      <c r="C33">
        <v>29.79</v>
      </c>
      <c r="D33">
        <v>0</v>
      </c>
      <c r="E33">
        <v>10.72</v>
      </c>
      <c r="F33">
        <v>1271893</v>
      </c>
      <c r="G33">
        <v>17396771</v>
      </c>
    </row>
    <row r="34" spans="1:253" x14ac:dyDescent="0.35">
      <c r="A34">
        <v>44</v>
      </c>
      <c r="B34">
        <v>7443430800</v>
      </c>
      <c r="C34">
        <v>29.77</v>
      </c>
      <c r="D34">
        <v>0</v>
      </c>
      <c r="E34">
        <v>10.72</v>
      </c>
      <c r="F34">
        <v>1332328</v>
      </c>
      <c r="G34">
        <v>18228791</v>
      </c>
    </row>
    <row r="35" spans="1:253" x14ac:dyDescent="0.35">
      <c r="A35">
        <v>46</v>
      </c>
      <c r="B35">
        <v>7446480580</v>
      </c>
      <c r="C35">
        <v>29.79</v>
      </c>
      <c r="D35">
        <v>0</v>
      </c>
      <c r="E35">
        <v>10.72</v>
      </c>
      <c r="F35">
        <v>1392774</v>
      </c>
      <c r="G35">
        <v>19060825</v>
      </c>
    </row>
    <row r="36" spans="1:253" x14ac:dyDescent="0.35">
      <c r="A36">
        <v>48</v>
      </c>
      <c r="B36">
        <v>7444512980</v>
      </c>
      <c r="C36">
        <v>29.78</v>
      </c>
      <c r="D36">
        <v>0</v>
      </c>
      <c r="E36">
        <v>10.72</v>
      </c>
      <c r="F36">
        <v>1453423</v>
      </c>
      <c r="G36">
        <v>19892859</v>
      </c>
    </row>
    <row r="37" spans="1:253" x14ac:dyDescent="0.35">
      <c r="A37">
        <v>50</v>
      </c>
      <c r="B37">
        <v>7444316220</v>
      </c>
      <c r="C37">
        <v>29.78</v>
      </c>
      <c r="D37">
        <v>0</v>
      </c>
      <c r="E37">
        <v>10.72</v>
      </c>
      <c r="F37">
        <v>1514163</v>
      </c>
      <c r="G37">
        <v>20724900</v>
      </c>
    </row>
    <row r="38" spans="1:253" x14ac:dyDescent="0.35">
      <c r="A38">
        <v>52</v>
      </c>
      <c r="B38">
        <v>7444021080</v>
      </c>
      <c r="C38">
        <v>29.78</v>
      </c>
      <c r="D38">
        <v>0</v>
      </c>
      <c r="E38">
        <v>10.72</v>
      </c>
      <c r="F38">
        <v>1574959</v>
      </c>
      <c r="G38">
        <v>21556927</v>
      </c>
    </row>
    <row r="39" spans="1:253" x14ac:dyDescent="0.35">
      <c r="A39">
        <v>54</v>
      </c>
      <c r="B39">
        <v>7448940080</v>
      </c>
      <c r="C39">
        <v>29.8</v>
      </c>
      <c r="D39">
        <v>0</v>
      </c>
      <c r="E39">
        <v>10.72</v>
      </c>
      <c r="F39">
        <v>1635552</v>
      </c>
      <c r="G39">
        <v>22388954</v>
      </c>
    </row>
    <row r="40" spans="1:253" x14ac:dyDescent="0.35">
      <c r="A40">
        <v>56</v>
      </c>
      <c r="B40">
        <v>7440184260</v>
      </c>
      <c r="C40">
        <v>29.76</v>
      </c>
      <c r="D40">
        <v>0</v>
      </c>
      <c r="E40">
        <v>10.72</v>
      </c>
      <c r="F40">
        <v>1696489</v>
      </c>
      <c r="G40">
        <v>23220995</v>
      </c>
    </row>
    <row r="41" spans="1:253" x14ac:dyDescent="0.35">
      <c r="A41">
        <v>58</v>
      </c>
      <c r="B41">
        <v>7444414600</v>
      </c>
      <c r="C41">
        <v>29.78</v>
      </c>
      <c r="D41">
        <v>0</v>
      </c>
      <c r="E41">
        <v>10.72</v>
      </c>
      <c r="F41">
        <v>1757641</v>
      </c>
      <c r="G41">
        <v>24053001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10000000</v>
      </c>
      <c r="C44">
        <v>2263443</v>
      </c>
      <c r="D44">
        <v>0</v>
      </c>
      <c r="E44">
        <v>26.507999999999999</v>
      </c>
      <c r="F44" s="3">
        <v>59999300</v>
      </c>
      <c r="G44">
        <v>29690.7</v>
      </c>
      <c r="H44">
        <v>24885732</v>
      </c>
      <c r="I44">
        <v>0</v>
      </c>
      <c r="J44">
        <v>0</v>
      </c>
      <c r="K44" t="s">
        <v>117</v>
      </c>
      <c r="L44">
        <v>0</v>
      </c>
      <c r="M44">
        <v>2263443</v>
      </c>
      <c r="N44">
        <v>222677522340</v>
      </c>
      <c r="O44">
        <v>26.507899999999999</v>
      </c>
      <c r="P44">
        <v>59999220</v>
      </c>
      <c r="Q44">
        <v>29690.7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119</v>
      </c>
      <c r="BO44">
        <v>6664</v>
      </c>
      <c r="BP44">
        <v>0</v>
      </c>
      <c r="BQ44">
        <v>0</v>
      </c>
      <c r="BR44">
        <v>1</v>
      </c>
      <c r="BS44">
        <v>60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1819144</v>
      </c>
      <c r="CG44">
        <v>120062920</v>
      </c>
      <c r="CH44">
        <v>0</v>
      </c>
      <c r="CI44">
        <v>0</v>
      </c>
      <c r="CJ44">
        <v>24885734</v>
      </c>
      <c r="CK44">
        <v>224319980792</v>
      </c>
      <c r="CL44">
        <v>0</v>
      </c>
      <c r="CM44">
        <v>0</v>
      </c>
      <c r="CN44" t="s">
        <v>177</v>
      </c>
      <c r="CO44">
        <v>119</v>
      </c>
      <c r="CP44">
        <v>4998</v>
      </c>
      <c r="CQ44">
        <v>0</v>
      </c>
      <c r="CR44">
        <v>0</v>
      </c>
      <c r="CS44">
        <v>1</v>
      </c>
      <c r="CT44">
        <v>42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122</v>
      </c>
      <c r="DH44">
        <v>7550</v>
      </c>
      <c r="DI44">
        <v>0</v>
      </c>
      <c r="DJ44">
        <v>2</v>
      </c>
      <c r="DK44">
        <v>49</v>
      </c>
      <c r="DL44">
        <v>2442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1819143</v>
      </c>
      <c r="DZ44">
        <v>94594844</v>
      </c>
      <c r="EA44">
        <v>0</v>
      </c>
      <c r="EB44">
        <v>0</v>
      </c>
      <c r="EC44">
        <v>3555737</v>
      </c>
      <c r="ED44">
        <v>222912200982</v>
      </c>
      <c r="EE44">
        <v>0</v>
      </c>
      <c r="EF44">
        <v>0</v>
      </c>
      <c r="EG44" t="s">
        <v>100</v>
      </c>
      <c r="EH44">
        <v>1819082</v>
      </c>
      <c r="EI44">
        <v>0</v>
      </c>
      <c r="EJ44">
        <v>24885732</v>
      </c>
      <c r="EK44">
        <v>0</v>
      </c>
      <c r="EL44">
        <v>0</v>
      </c>
      <c r="EM44" t="s">
        <v>129</v>
      </c>
      <c r="EN44" t="s">
        <v>271</v>
      </c>
      <c r="EO44">
        <v>101</v>
      </c>
      <c r="EP44">
        <v>28501</v>
      </c>
      <c r="EQ44">
        <v>0</v>
      </c>
      <c r="ER44">
        <v>0</v>
      </c>
      <c r="ES44">
        <v>104</v>
      </c>
      <c r="ET44">
        <v>48808</v>
      </c>
      <c r="EU44">
        <v>0</v>
      </c>
      <c r="EV44">
        <v>0</v>
      </c>
      <c r="EW44" t="s">
        <v>272</v>
      </c>
      <c r="EX44">
        <v>24886895</v>
      </c>
      <c r="EY44">
        <v>224320083683</v>
      </c>
      <c r="EZ44">
        <v>0</v>
      </c>
      <c r="FA44">
        <v>2</v>
      </c>
      <c r="FB44">
        <v>1819326</v>
      </c>
      <c r="FC44">
        <v>120117661</v>
      </c>
      <c r="FD44">
        <v>0</v>
      </c>
      <c r="FE44">
        <v>0</v>
      </c>
      <c r="FF44" t="s">
        <v>273</v>
      </c>
      <c r="FG44">
        <v>100</v>
      </c>
      <c r="FH44">
        <v>11004</v>
      </c>
      <c r="FI44">
        <v>0</v>
      </c>
      <c r="FJ44">
        <v>0</v>
      </c>
      <c r="FK44">
        <v>137</v>
      </c>
      <c r="FL44">
        <v>23788</v>
      </c>
      <c r="FM44">
        <v>0</v>
      </c>
      <c r="FN44">
        <v>0</v>
      </c>
      <c r="FO44" t="s">
        <v>274</v>
      </c>
      <c r="FP44">
        <v>24888082</v>
      </c>
      <c r="FQ44">
        <v>224320173675</v>
      </c>
      <c r="FR44">
        <v>0</v>
      </c>
      <c r="FS44">
        <v>8</v>
      </c>
      <c r="FT44">
        <v>1819570</v>
      </c>
      <c r="FU44">
        <v>120173932</v>
      </c>
      <c r="FV44">
        <v>0</v>
      </c>
      <c r="FW44">
        <v>0</v>
      </c>
      <c r="FX44" t="s">
        <v>275</v>
      </c>
      <c r="FY44">
        <v>139</v>
      </c>
      <c r="FZ44">
        <v>15450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240</v>
      </c>
      <c r="GI44">
        <v>15072</v>
      </c>
      <c r="GJ44">
        <v>0</v>
      </c>
      <c r="GK44">
        <v>0</v>
      </c>
      <c r="GL44">
        <v>240</v>
      </c>
      <c r="GM44">
        <v>15072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1187</v>
      </c>
      <c r="HA44">
        <v>89992</v>
      </c>
      <c r="HB44">
        <v>0</v>
      </c>
      <c r="HC44">
        <v>2</v>
      </c>
      <c r="HD44">
        <v>243</v>
      </c>
      <c r="HE44">
        <v>56121</v>
      </c>
      <c r="HF44">
        <v>0</v>
      </c>
      <c r="HG44">
        <v>0</v>
      </c>
      <c r="HH44" t="s">
        <v>278</v>
      </c>
      <c r="HI44">
        <v>3849445</v>
      </c>
      <c r="HJ44">
        <v>222877694818</v>
      </c>
      <c r="HK44">
        <v>0</v>
      </c>
      <c r="HL44">
        <v>0</v>
      </c>
      <c r="HM44">
        <v>1819180</v>
      </c>
      <c r="HN44">
        <v>120083080</v>
      </c>
      <c r="HO44">
        <v>0</v>
      </c>
      <c r="HP44">
        <v>0</v>
      </c>
      <c r="HQ44" t="s">
        <v>106</v>
      </c>
      <c r="HR44">
        <v>3847955</v>
      </c>
      <c r="HS44">
        <v>0</v>
      </c>
      <c r="HT44">
        <v>1819640</v>
      </c>
      <c r="HU44">
        <v>6</v>
      </c>
      <c r="HV44">
        <v>9</v>
      </c>
      <c r="HW44" t="s">
        <v>107</v>
      </c>
      <c r="HX44" t="s">
        <v>279</v>
      </c>
      <c r="HY44">
        <v>24886896</v>
      </c>
      <c r="HZ44">
        <v>1819326</v>
      </c>
      <c r="IA44">
        <v>24886900</v>
      </c>
      <c r="IB44">
        <v>1819327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1187</v>
      </c>
      <c r="IK44">
        <v>243</v>
      </c>
      <c r="IL44">
        <v>1196</v>
      </c>
      <c r="IM44">
        <v>244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7</v>
      </c>
      <c r="E46">
        <v>92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1</v>
      </c>
      <c r="E50">
        <v>98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1</v>
      </c>
      <c r="E52">
        <v>98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59</v>
      </c>
      <c r="E53">
        <v>39</v>
      </c>
      <c r="F53">
        <v>0</v>
      </c>
      <c r="G53">
        <v>5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0</v>
      </c>
      <c r="E55">
        <v>99</v>
      </c>
      <c r="F55">
        <v>0</v>
      </c>
      <c r="G55">
        <v>0</v>
      </c>
      <c r="H55">
        <v>0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10</v>
      </c>
      <c r="E56">
        <v>89</v>
      </c>
      <c r="F56">
        <v>0</v>
      </c>
      <c r="G56">
        <v>0</v>
      </c>
      <c r="H56">
        <v>8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17</v>
      </c>
      <c r="E58">
        <v>82</v>
      </c>
      <c r="F58">
        <v>0</v>
      </c>
      <c r="G58">
        <v>1</v>
      </c>
      <c r="H58">
        <v>10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1</v>
      </c>
      <c r="E60">
        <v>98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100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77</v>
      </c>
      <c r="E67">
        <v>21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99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100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99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99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99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99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99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100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100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100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99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99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99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100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IS124"/>
  <sheetViews>
    <sheetView workbookViewId="0"/>
  </sheetViews>
  <sheetFormatPr defaultRowHeight="14.5" x14ac:dyDescent="0.35"/>
  <cols>
    <col min="6" max="6" width="12.08984375" customWidth="1"/>
    <col min="14" max="14" width="11.81640625" bestFit="1" customWidth="1"/>
  </cols>
  <sheetData>
    <row r="1" spans="1:7" x14ac:dyDescent="0.35">
      <c r="A1" t="s">
        <v>324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325</v>
      </c>
    </row>
    <row r="5" spans="1:7" x14ac:dyDescent="0.35">
      <c r="A5" t="s">
        <v>264</v>
      </c>
    </row>
    <row r="6" spans="1:7" x14ac:dyDescent="0.35">
      <c r="A6" t="s">
        <v>191</v>
      </c>
    </row>
    <row r="7" spans="1:7" x14ac:dyDescent="0.35">
      <c r="A7" t="s">
        <v>168</v>
      </c>
    </row>
    <row r="8" spans="1:7" x14ac:dyDescent="0.35">
      <c r="A8" t="s">
        <v>265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6851773480</v>
      </c>
      <c r="C13">
        <v>27.42</v>
      </c>
      <c r="D13">
        <v>0</v>
      </c>
      <c r="E13">
        <v>10.33</v>
      </c>
      <c r="F13">
        <v>57536</v>
      </c>
      <c r="G13">
        <v>764732</v>
      </c>
    </row>
    <row r="14" spans="1:7" x14ac:dyDescent="0.35">
      <c r="A14">
        <v>4</v>
      </c>
      <c r="B14">
        <v>7442643760</v>
      </c>
      <c r="C14">
        <v>29.77</v>
      </c>
      <c r="D14">
        <v>0</v>
      </c>
      <c r="E14">
        <v>10.85</v>
      </c>
      <c r="F14">
        <v>118306</v>
      </c>
      <c r="G14">
        <v>1596759</v>
      </c>
    </row>
    <row r="15" spans="1:7" x14ac:dyDescent="0.35">
      <c r="A15">
        <v>6</v>
      </c>
      <c r="B15">
        <v>7448054660</v>
      </c>
      <c r="C15">
        <v>29.79</v>
      </c>
      <c r="D15">
        <v>0</v>
      </c>
      <c r="E15">
        <v>10.85</v>
      </c>
      <c r="F15">
        <v>179104</v>
      </c>
      <c r="G15">
        <v>2428807</v>
      </c>
    </row>
    <row r="16" spans="1:7" x14ac:dyDescent="0.35">
      <c r="A16">
        <v>8</v>
      </c>
      <c r="B16">
        <v>7443922700</v>
      </c>
      <c r="C16">
        <v>29.78</v>
      </c>
      <c r="D16">
        <v>0</v>
      </c>
      <c r="E16">
        <v>10.85</v>
      </c>
      <c r="F16">
        <v>240199</v>
      </c>
      <c r="G16">
        <v>3260827</v>
      </c>
    </row>
    <row r="17" spans="1:7" x14ac:dyDescent="0.35">
      <c r="A17">
        <v>10</v>
      </c>
      <c r="B17">
        <v>7442151860</v>
      </c>
      <c r="C17">
        <v>29.77</v>
      </c>
      <c r="D17">
        <v>0</v>
      </c>
      <c r="E17">
        <v>10.85</v>
      </c>
      <c r="F17">
        <v>300918</v>
      </c>
      <c r="G17">
        <v>4092861</v>
      </c>
    </row>
    <row r="18" spans="1:7" x14ac:dyDescent="0.35">
      <c r="A18">
        <v>12</v>
      </c>
      <c r="B18">
        <v>7449235220</v>
      </c>
      <c r="C18">
        <v>29.8</v>
      </c>
      <c r="D18">
        <v>0</v>
      </c>
      <c r="E18">
        <v>10.85</v>
      </c>
      <c r="F18">
        <v>361888</v>
      </c>
      <c r="G18">
        <v>4924874</v>
      </c>
    </row>
    <row r="19" spans="1:7" x14ac:dyDescent="0.35">
      <c r="A19">
        <v>14</v>
      </c>
      <c r="B19">
        <v>7444709740</v>
      </c>
      <c r="C19">
        <v>29.78</v>
      </c>
      <c r="D19">
        <v>0</v>
      </c>
      <c r="E19">
        <v>10.85</v>
      </c>
      <c r="F19">
        <v>422896</v>
      </c>
      <c r="G19">
        <v>5756915</v>
      </c>
    </row>
    <row r="20" spans="1:7" x14ac:dyDescent="0.35">
      <c r="A20">
        <v>16</v>
      </c>
      <c r="B20">
        <v>7444512980</v>
      </c>
      <c r="C20">
        <v>29.78</v>
      </c>
      <c r="D20">
        <v>0</v>
      </c>
      <c r="E20">
        <v>10.85</v>
      </c>
      <c r="F20">
        <v>483866</v>
      </c>
      <c r="G20">
        <v>6588956</v>
      </c>
    </row>
    <row r="21" spans="1:7" x14ac:dyDescent="0.35">
      <c r="A21">
        <v>18</v>
      </c>
      <c r="B21">
        <v>7441463200</v>
      </c>
      <c r="C21">
        <v>29.77</v>
      </c>
      <c r="D21">
        <v>0</v>
      </c>
      <c r="E21">
        <v>10.85</v>
      </c>
      <c r="F21">
        <v>544741</v>
      </c>
      <c r="G21">
        <v>7420962</v>
      </c>
    </row>
    <row r="22" spans="1:7" x14ac:dyDescent="0.35">
      <c r="A22">
        <v>20</v>
      </c>
      <c r="B22">
        <v>7445201640</v>
      </c>
      <c r="C22">
        <v>29.78</v>
      </c>
      <c r="D22">
        <v>0</v>
      </c>
      <c r="E22">
        <v>10.85</v>
      </c>
      <c r="F22">
        <v>605604</v>
      </c>
      <c r="G22">
        <v>8253010</v>
      </c>
    </row>
    <row r="23" spans="1:7" x14ac:dyDescent="0.35">
      <c r="A23">
        <v>22</v>
      </c>
      <c r="B23">
        <v>7445988680</v>
      </c>
      <c r="C23">
        <v>29.78</v>
      </c>
      <c r="D23">
        <v>0</v>
      </c>
      <c r="E23">
        <v>10.85</v>
      </c>
      <c r="F23">
        <v>666417</v>
      </c>
      <c r="G23">
        <v>9085044</v>
      </c>
    </row>
    <row r="24" spans="1:7" x14ac:dyDescent="0.35">
      <c r="A24">
        <v>24</v>
      </c>
      <c r="B24">
        <v>7450219020</v>
      </c>
      <c r="C24">
        <v>29.8</v>
      </c>
      <c r="D24">
        <v>0</v>
      </c>
      <c r="E24">
        <v>10.85</v>
      </c>
      <c r="F24">
        <v>727472</v>
      </c>
      <c r="G24">
        <v>9917085</v>
      </c>
    </row>
    <row r="25" spans="1:7" x14ac:dyDescent="0.35">
      <c r="A25">
        <v>26</v>
      </c>
      <c r="B25">
        <v>7443430800</v>
      </c>
      <c r="C25">
        <v>29.77</v>
      </c>
      <c r="D25">
        <v>0</v>
      </c>
      <c r="E25">
        <v>10.85</v>
      </c>
      <c r="F25">
        <v>788568</v>
      </c>
      <c r="G25">
        <v>10749105</v>
      </c>
    </row>
    <row r="26" spans="1:7" x14ac:dyDescent="0.35">
      <c r="A26">
        <v>28</v>
      </c>
      <c r="B26">
        <v>7445103260</v>
      </c>
      <c r="C26">
        <v>29.78</v>
      </c>
      <c r="D26">
        <v>0</v>
      </c>
      <c r="E26">
        <v>10.85</v>
      </c>
      <c r="F26">
        <v>848724</v>
      </c>
      <c r="G26">
        <v>11581125</v>
      </c>
    </row>
    <row r="27" spans="1:7" x14ac:dyDescent="0.35">
      <c r="A27">
        <v>30</v>
      </c>
      <c r="B27">
        <v>7445988680</v>
      </c>
      <c r="C27">
        <v>29.78</v>
      </c>
      <c r="D27">
        <v>0</v>
      </c>
      <c r="E27">
        <v>10.85</v>
      </c>
      <c r="F27">
        <v>908826</v>
      </c>
      <c r="G27">
        <v>12413159</v>
      </c>
    </row>
    <row r="28" spans="1:7" x14ac:dyDescent="0.35">
      <c r="A28">
        <v>32</v>
      </c>
      <c r="B28">
        <v>7442250240</v>
      </c>
      <c r="C28">
        <v>29.77</v>
      </c>
      <c r="D28">
        <v>0</v>
      </c>
      <c r="E28">
        <v>10.85</v>
      </c>
      <c r="F28">
        <v>969096</v>
      </c>
      <c r="G28">
        <v>13245186</v>
      </c>
    </row>
    <row r="29" spans="1:7" x14ac:dyDescent="0.35">
      <c r="A29">
        <v>34</v>
      </c>
      <c r="B29">
        <v>7444217840</v>
      </c>
      <c r="C29">
        <v>29.78</v>
      </c>
      <c r="D29">
        <v>0</v>
      </c>
      <c r="E29">
        <v>10.85</v>
      </c>
      <c r="F29">
        <v>1029601</v>
      </c>
      <c r="G29">
        <v>14077227</v>
      </c>
    </row>
    <row r="30" spans="1:7" x14ac:dyDescent="0.35">
      <c r="A30">
        <v>36</v>
      </c>
      <c r="B30">
        <v>7445103260</v>
      </c>
      <c r="C30">
        <v>29.78</v>
      </c>
      <c r="D30">
        <v>0</v>
      </c>
      <c r="E30">
        <v>10.85</v>
      </c>
      <c r="F30">
        <v>1090268</v>
      </c>
      <c r="G30">
        <v>14909261</v>
      </c>
    </row>
    <row r="31" spans="1:7" x14ac:dyDescent="0.35">
      <c r="A31">
        <v>38</v>
      </c>
      <c r="B31">
        <v>7448448180</v>
      </c>
      <c r="C31">
        <v>29.79</v>
      </c>
      <c r="D31">
        <v>0</v>
      </c>
      <c r="E31">
        <v>10.85</v>
      </c>
      <c r="F31">
        <v>1150606</v>
      </c>
      <c r="G31">
        <v>15741295</v>
      </c>
    </row>
    <row r="32" spans="1:7" x14ac:dyDescent="0.35">
      <c r="A32">
        <v>40</v>
      </c>
      <c r="B32">
        <v>7444709740</v>
      </c>
      <c r="C32">
        <v>29.78</v>
      </c>
      <c r="D32">
        <v>0</v>
      </c>
      <c r="E32">
        <v>10.85</v>
      </c>
      <c r="F32">
        <v>1211116</v>
      </c>
      <c r="G32">
        <v>16573322</v>
      </c>
    </row>
    <row r="33" spans="1:253" x14ac:dyDescent="0.35">
      <c r="A33">
        <v>42</v>
      </c>
      <c r="B33">
        <v>7447070860</v>
      </c>
      <c r="C33">
        <v>29.79</v>
      </c>
      <c r="D33">
        <v>0</v>
      </c>
      <c r="E33">
        <v>10.85</v>
      </c>
      <c r="F33">
        <v>1271214</v>
      </c>
      <c r="G33">
        <v>17405363</v>
      </c>
    </row>
    <row r="34" spans="1:253" x14ac:dyDescent="0.35">
      <c r="A34">
        <v>44</v>
      </c>
      <c r="B34">
        <v>7441168060</v>
      </c>
      <c r="C34">
        <v>29.76</v>
      </c>
      <c r="D34">
        <v>0</v>
      </c>
      <c r="E34">
        <v>10.85</v>
      </c>
      <c r="F34">
        <v>1331338</v>
      </c>
      <c r="G34">
        <v>18237376</v>
      </c>
    </row>
    <row r="35" spans="1:253" x14ac:dyDescent="0.35">
      <c r="A35">
        <v>46</v>
      </c>
      <c r="B35">
        <v>7447464380</v>
      </c>
      <c r="C35">
        <v>29.79</v>
      </c>
      <c r="D35">
        <v>0</v>
      </c>
      <c r="E35">
        <v>10.85</v>
      </c>
      <c r="F35">
        <v>1391362</v>
      </c>
      <c r="G35">
        <v>19069410</v>
      </c>
    </row>
    <row r="36" spans="1:253" x14ac:dyDescent="0.35">
      <c r="A36">
        <v>48</v>
      </c>
      <c r="B36">
        <v>7443529180</v>
      </c>
      <c r="C36">
        <v>29.77</v>
      </c>
      <c r="D36">
        <v>0</v>
      </c>
      <c r="E36">
        <v>10.85</v>
      </c>
      <c r="F36">
        <v>1451958</v>
      </c>
      <c r="G36">
        <v>19901451</v>
      </c>
    </row>
    <row r="37" spans="1:253" x14ac:dyDescent="0.35">
      <c r="A37">
        <v>50</v>
      </c>
      <c r="B37">
        <v>7440577780</v>
      </c>
      <c r="C37">
        <v>29.76</v>
      </c>
      <c r="D37">
        <v>0</v>
      </c>
      <c r="E37">
        <v>10.85</v>
      </c>
      <c r="F37">
        <v>1512494</v>
      </c>
      <c r="G37">
        <v>20733485</v>
      </c>
    </row>
    <row r="38" spans="1:253" x14ac:dyDescent="0.35">
      <c r="A38">
        <v>52</v>
      </c>
      <c r="B38">
        <v>7445496780</v>
      </c>
      <c r="C38">
        <v>29.78</v>
      </c>
      <c r="D38">
        <v>0</v>
      </c>
      <c r="E38">
        <v>10.85</v>
      </c>
      <c r="F38">
        <v>1573267</v>
      </c>
      <c r="G38">
        <v>21565512</v>
      </c>
    </row>
    <row r="39" spans="1:253" x14ac:dyDescent="0.35">
      <c r="A39">
        <v>54</v>
      </c>
      <c r="B39">
        <v>7449038460</v>
      </c>
      <c r="C39">
        <v>29.8</v>
      </c>
      <c r="D39">
        <v>0</v>
      </c>
      <c r="E39">
        <v>10.85</v>
      </c>
      <c r="F39">
        <v>1634146</v>
      </c>
      <c r="G39">
        <v>22397553</v>
      </c>
    </row>
    <row r="40" spans="1:253" x14ac:dyDescent="0.35">
      <c r="A40">
        <v>56</v>
      </c>
      <c r="B40">
        <v>7441364820</v>
      </c>
      <c r="C40">
        <v>29.77</v>
      </c>
      <c r="D40">
        <v>0</v>
      </c>
      <c r="E40">
        <v>10.85</v>
      </c>
      <c r="F40">
        <v>1694694</v>
      </c>
      <c r="G40">
        <v>23229580</v>
      </c>
    </row>
    <row r="41" spans="1:253" x14ac:dyDescent="0.35">
      <c r="A41">
        <v>58</v>
      </c>
      <c r="B41">
        <v>7448349800</v>
      </c>
      <c r="C41">
        <v>29.79</v>
      </c>
      <c r="D41">
        <v>0</v>
      </c>
      <c r="E41">
        <v>16.3</v>
      </c>
      <c r="F41">
        <v>1756130</v>
      </c>
      <c r="G41">
        <v>24061621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12000000</v>
      </c>
      <c r="C44">
        <v>2264251</v>
      </c>
      <c r="D44">
        <v>0</v>
      </c>
      <c r="E44">
        <v>26.498799999999999</v>
      </c>
      <c r="F44" s="3">
        <v>59999900</v>
      </c>
      <c r="G44">
        <v>29701</v>
      </c>
      <c r="H44">
        <v>24894615</v>
      </c>
      <c r="I44">
        <v>0</v>
      </c>
      <c r="J44">
        <v>0</v>
      </c>
      <c r="K44" t="s">
        <v>117</v>
      </c>
      <c r="L44">
        <v>0</v>
      </c>
      <c r="M44">
        <v>2264251</v>
      </c>
      <c r="N44">
        <v>222757013380</v>
      </c>
      <c r="O44">
        <v>26.498799999999999</v>
      </c>
      <c r="P44">
        <v>59999832</v>
      </c>
      <c r="Q44">
        <v>29701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51</v>
      </c>
      <c r="BO44">
        <v>2856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1817294</v>
      </c>
      <c r="CG44">
        <v>119940802</v>
      </c>
      <c r="CH44">
        <v>0</v>
      </c>
      <c r="CI44">
        <v>0</v>
      </c>
      <c r="CJ44">
        <v>24894617</v>
      </c>
      <c r="CK44">
        <v>224400058110</v>
      </c>
      <c r="CL44">
        <v>0</v>
      </c>
      <c r="CM44">
        <v>0</v>
      </c>
      <c r="CN44" t="s">
        <v>177</v>
      </c>
      <c r="CO44">
        <v>51</v>
      </c>
      <c r="CP44">
        <v>2142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96</v>
      </c>
      <c r="DH44">
        <v>5990</v>
      </c>
      <c r="DI44">
        <v>0</v>
      </c>
      <c r="DJ44">
        <v>2</v>
      </c>
      <c r="DK44">
        <v>47</v>
      </c>
      <c r="DL44">
        <v>2334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1817293</v>
      </c>
      <c r="DZ44">
        <v>94498626</v>
      </c>
      <c r="EA44">
        <v>0</v>
      </c>
      <c r="EB44">
        <v>0</v>
      </c>
      <c r="EC44">
        <v>3556994</v>
      </c>
      <c r="ED44">
        <v>222991774984</v>
      </c>
      <c r="EE44">
        <v>0</v>
      </c>
      <c r="EF44">
        <v>0</v>
      </c>
      <c r="EG44" t="s">
        <v>100</v>
      </c>
      <c r="EH44">
        <v>1817232</v>
      </c>
      <c r="EI44">
        <v>0</v>
      </c>
      <c r="EJ44">
        <v>24894615</v>
      </c>
      <c r="EK44">
        <v>0</v>
      </c>
      <c r="EL44">
        <v>0</v>
      </c>
      <c r="EM44" t="s">
        <v>129</v>
      </c>
      <c r="EN44" t="s">
        <v>271</v>
      </c>
      <c r="EO44">
        <v>27</v>
      </c>
      <c r="EP44">
        <v>5952</v>
      </c>
      <c r="EQ44">
        <v>0</v>
      </c>
      <c r="ER44">
        <v>0</v>
      </c>
      <c r="ES44">
        <v>25</v>
      </c>
      <c r="ET44">
        <v>10277</v>
      </c>
      <c r="EU44">
        <v>0</v>
      </c>
      <c r="EV44">
        <v>0</v>
      </c>
      <c r="EW44" t="s">
        <v>272</v>
      </c>
      <c r="EX44">
        <v>24895736</v>
      </c>
      <c r="EY44">
        <v>224400130261</v>
      </c>
      <c r="EZ44">
        <v>0</v>
      </c>
      <c r="FA44">
        <v>2</v>
      </c>
      <c r="FB44">
        <v>140</v>
      </c>
      <c r="FC44">
        <v>14267</v>
      </c>
      <c r="FD44">
        <v>0</v>
      </c>
      <c r="FE44">
        <v>0</v>
      </c>
      <c r="FF44" t="s">
        <v>273</v>
      </c>
      <c r="FG44">
        <v>61</v>
      </c>
      <c r="FH44">
        <v>4131</v>
      </c>
      <c r="FI44">
        <v>0</v>
      </c>
      <c r="FJ44">
        <v>0</v>
      </c>
      <c r="FK44">
        <v>92</v>
      </c>
      <c r="FL44">
        <v>7932</v>
      </c>
      <c r="FM44">
        <v>0</v>
      </c>
      <c r="FN44">
        <v>0</v>
      </c>
      <c r="FO44" t="s">
        <v>274</v>
      </c>
      <c r="FP44">
        <v>24896644</v>
      </c>
      <c r="FQ44">
        <v>224400192368</v>
      </c>
      <c r="FR44">
        <v>0</v>
      </c>
      <c r="FS44">
        <v>8</v>
      </c>
      <c r="FT44">
        <v>1819530</v>
      </c>
      <c r="FU44">
        <v>120537547</v>
      </c>
      <c r="FV44">
        <v>0</v>
      </c>
      <c r="FW44">
        <v>0</v>
      </c>
      <c r="FX44" t="s">
        <v>275</v>
      </c>
      <c r="FY44">
        <v>161</v>
      </c>
      <c r="FZ44">
        <v>22630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420</v>
      </c>
      <c r="GI44">
        <v>26376</v>
      </c>
      <c r="GJ44">
        <v>0</v>
      </c>
      <c r="GK44">
        <v>0</v>
      </c>
      <c r="GL44">
        <v>420</v>
      </c>
      <c r="GM44">
        <v>26376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908</v>
      </c>
      <c r="HA44">
        <v>62107</v>
      </c>
      <c r="HB44">
        <v>0</v>
      </c>
      <c r="HC44">
        <v>2</v>
      </c>
      <c r="HD44">
        <v>1819390</v>
      </c>
      <c r="HE44">
        <v>120523280</v>
      </c>
      <c r="HF44">
        <v>0</v>
      </c>
      <c r="HG44">
        <v>0</v>
      </c>
      <c r="HH44" t="s">
        <v>278</v>
      </c>
      <c r="HI44">
        <v>3853827</v>
      </c>
      <c r="HJ44">
        <v>222957399849</v>
      </c>
      <c r="HK44">
        <v>0</v>
      </c>
      <c r="HL44">
        <v>0</v>
      </c>
      <c r="HM44">
        <v>1819285</v>
      </c>
      <c r="HN44">
        <v>120502754</v>
      </c>
      <c r="HO44">
        <v>0</v>
      </c>
      <c r="HP44">
        <v>0</v>
      </c>
      <c r="HQ44" t="s">
        <v>106</v>
      </c>
      <c r="HR44">
        <v>3852544</v>
      </c>
      <c r="HS44">
        <v>0</v>
      </c>
      <c r="HT44">
        <v>1817770</v>
      </c>
      <c r="HU44">
        <v>0</v>
      </c>
      <c r="HV44">
        <v>7</v>
      </c>
      <c r="HW44" t="s">
        <v>107</v>
      </c>
      <c r="HX44" t="s">
        <v>279</v>
      </c>
      <c r="HY44">
        <v>24895736</v>
      </c>
      <c r="HZ44">
        <v>140</v>
      </c>
      <c r="IA44">
        <v>24895744</v>
      </c>
      <c r="IB44">
        <v>141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908</v>
      </c>
      <c r="IK44">
        <v>1819390</v>
      </c>
      <c r="IL44">
        <v>913</v>
      </c>
      <c r="IM44">
        <v>1819391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8</v>
      </c>
      <c r="E46">
        <v>91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1</v>
      </c>
      <c r="E47">
        <v>98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1</v>
      </c>
      <c r="E52">
        <v>98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71</v>
      </c>
      <c r="E53">
        <v>27</v>
      </c>
      <c r="F53">
        <v>0</v>
      </c>
      <c r="G53">
        <v>5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18</v>
      </c>
      <c r="E55">
        <v>81</v>
      </c>
      <c r="F55">
        <v>0</v>
      </c>
      <c r="G55">
        <v>2</v>
      </c>
      <c r="H55">
        <v>9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0</v>
      </c>
      <c r="E56">
        <v>99</v>
      </c>
      <c r="F56">
        <v>0</v>
      </c>
      <c r="G56">
        <v>0</v>
      </c>
      <c r="H56">
        <v>0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100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9</v>
      </c>
      <c r="E58">
        <v>90</v>
      </c>
      <c r="F58">
        <v>0</v>
      </c>
      <c r="G58">
        <v>0</v>
      </c>
      <c r="H58">
        <v>7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1</v>
      </c>
      <c r="E60">
        <v>98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99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71</v>
      </c>
      <c r="E67">
        <v>26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99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99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99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99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99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99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99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99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99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99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100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99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99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99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IS124"/>
  <sheetViews>
    <sheetView workbookViewId="0"/>
  </sheetViews>
  <sheetFormatPr defaultRowHeight="14.5" x14ac:dyDescent="0.35"/>
  <cols>
    <col min="9" max="9" width="14" customWidth="1"/>
  </cols>
  <sheetData>
    <row r="1" spans="1:7" x14ac:dyDescent="0.35">
      <c r="A1" t="s">
        <v>326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327</v>
      </c>
    </row>
    <row r="5" spans="1:7" x14ac:dyDescent="0.35">
      <c r="A5" t="s">
        <v>193</v>
      </c>
    </row>
    <row r="6" spans="1:7" x14ac:dyDescent="0.35">
      <c r="A6" t="s">
        <v>167</v>
      </c>
    </row>
    <row r="7" spans="1:7" x14ac:dyDescent="0.35">
      <c r="A7" t="s">
        <v>168</v>
      </c>
    </row>
    <row r="8" spans="1:7" x14ac:dyDescent="0.35">
      <c r="A8" t="s">
        <v>192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6800419120</v>
      </c>
      <c r="C13">
        <v>27.21</v>
      </c>
      <c r="D13">
        <v>0</v>
      </c>
      <c r="E13">
        <v>10.59</v>
      </c>
      <c r="F13">
        <v>57255</v>
      </c>
      <c r="G13">
        <v>757895</v>
      </c>
    </row>
    <row r="14" spans="1:7" x14ac:dyDescent="0.35">
      <c r="A14">
        <v>4</v>
      </c>
      <c r="B14">
        <v>7442742140</v>
      </c>
      <c r="C14">
        <v>29.77</v>
      </c>
      <c r="D14">
        <v>0</v>
      </c>
      <c r="E14">
        <v>10.59</v>
      </c>
      <c r="F14">
        <v>118437</v>
      </c>
      <c r="G14">
        <v>1589922</v>
      </c>
    </row>
    <row r="15" spans="1:7" x14ac:dyDescent="0.35">
      <c r="A15">
        <v>6</v>
      </c>
      <c r="B15">
        <v>7444808120</v>
      </c>
      <c r="C15">
        <v>29.78</v>
      </c>
      <c r="D15">
        <v>0</v>
      </c>
      <c r="E15">
        <v>10.59</v>
      </c>
      <c r="F15">
        <v>179863</v>
      </c>
      <c r="G15">
        <v>2421956</v>
      </c>
    </row>
    <row r="16" spans="1:7" x14ac:dyDescent="0.35">
      <c r="A16">
        <v>8</v>
      </c>
      <c r="B16">
        <v>7438216660</v>
      </c>
      <c r="C16">
        <v>29.75</v>
      </c>
      <c r="D16">
        <v>0</v>
      </c>
      <c r="E16">
        <v>10.59</v>
      </c>
      <c r="F16">
        <v>241545</v>
      </c>
      <c r="G16">
        <v>3253997</v>
      </c>
    </row>
    <row r="17" spans="1:7" x14ac:dyDescent="0.35">
      <c r="A17">
        <v>10</v>
      </c>
      <c r="B17">
        <v>7453465560</v>
      </c>
      <c r="C17">
        <v>29.81</v>
      </c>
      <c r="D17">
        <v>0</v>
      </c>
      <c r="E17">
        <v>10.59</v>
      </c>
      <c r="F17">
        <v>303161</v>
      </c>
      <c r="G17">
        <v>4086031</v>
      </c>
    </row>
    <row r="18" spans="1:7" x14ac:dyDescent="0.35">
      <c r="A18">
        <v>12</v>
      </c>
      <c r="B18">
        <v>7439003700</v>
      </c>
      <c r="C18">
        <v>29.76</v>
      </c>
      <c r="D18">
        <v>0</v>
      </c>
      <c r="E18">
        <v>10.59</v>
      </c>
      <c r="F18">
        <v>364745</v>
      </c>
      <c r="G18">
        <v>4918051</v>
      </c>
    </row>
    <row r="19" spans="1:7" x14ac:dyDescent="0.35">
      <c r="A19">
        <v>14</v>
      </c>
      <c r="B19">
        <v>7449235220</v>
      </c>
      <c r="C19">
        <v>29.8</v>
      </c>
      <c r="D19">
        <v>0</v>
      </c>
      <c r="E19">
        <v>10.59</v>
      </c>
      <c r="F19">
        <v>426073</v>
      </c>
      <c r="G19">
        <v>5750092</v>
      </c>
    </row>
    <row r="20" spans="1:7" x14ac:dyDescent="0.35">
      <c r="A20">
        <v>16</v>
      </c>
      <c r="B20">
        <v>7446578960</v>
      </c>
      <c r="C20">
        <v>29.79</v>
      </c>
      <c r="D20">
        <v>0</v>
      </c>
      <c r="E20">
        <v>10.59</v>
      </c>
      <c r="F20">
        <v>487295</v>
      </c>
      <c r="G20">
        <v>6582126</v>
      </c>
    </row>
    <row r="21" spans="1:7" x14ac:dyDescent="0.35">
      <c r="A21">
        <v>18</v>
      </c>
      <c r="B21">
        <v>7442545380</v>
      </c>
      <c r="C21">
        <v>29.77</v>
      </c>
      <c r="D21">
        <v>0</v>
      </c>
      <c r="E21">
        <v>10.59</v>
      </c>
      <c r="F21">
        <v>548743</v>
      </c>
      <c r="G21">
        <v>7414160</v>
      </c>
    </row>
    <row r="22" spans="1:7" x14ac:dyDescent="0.35">
      <c r="A22">
        <v>20</v>
      </c>
      <c r="B22">
        <v>7444119460</v>
      </c>
      <c r="C22">
        <v>29.78</v>
      </c>
      <c r="D22">
        <v>0</v>
      </c>
      <c r="E22">
        <v>10.59</v>
      </c>
      <c r="F22">
        <v>610189</v>
      </c>
      <c r="G22">
        <v>8246194</v>
      </c>
    </row>
    <row r="23" spans="1:7" x14ac:dyDescent="0.35">
      <c r="A23">
        <v>22</v>
      </c>
      <c r="B23">
        <v>7446972480</v>
      </c>
      <c r="C23">
        <v>29.79</v>
      </c>
      <c r="D23">
        <v>0</v>
      </c>
      <c r="E23">
        <v>10.59</v>
      </c>
      <c r="F23">
        <v>671622</v>
      </c>
      <c r="G23">
        <v>9078228</v>
      </c>
    </row>
    <row r="24" spans="1:7" x14ac:dyDescent="0.35">
      <c r="A24">
        <v>24</v>
      </c>
      <c r="B24">
        <v>7441955100</v>
      </c>
      <c r="C24">
        <v>29.77</v>
      </c>
      <c r="D24">
        <v>0</v>
      </c>
      <c r="E24">
        <v>10.59</v>
      </c>
      <c r="F24">
        <v>733112</v>
      </c>
      <c r="G24">
        <v>9910255</v>
      </c>
    </row>
    <row r="25" spans="1:7" x14ac:dyDescent="0.35">
      <c r="A25">
        <v>26</v>
      </c>
      <c r="B25">
        <v>7442053480</v>
      </c>
      <c r="C25">
        <v>29.77</v>
      </c>
      <c r="D25">
        <v>0</v>
      </c>
      <c r="E25">
        <v>15.97</v>
      </c>
      <c r="F25">
        <v>794727</v>
      </c>
      <c r="G25">
        <v>10742289</v>
      </c>
    </row>
    <row r="26" spans="1:7" x14ac:dyDescent="0.35">
      <c r="A26">
        <v>28</v>
      </c>
      <c r="B26">
        <v>7450809300</v>
      </c>
      <c r="C26">
        <v>29.8</v>
      </c>
      <c r="D26">
        <v>0</v>
      </c>
      <c r="E26">
        <v>15.97</v>
      </c>
      <c r="F26">
        <v>855869</v>
      </c>
      <c r="G26">
        <v>11574316</v>
      </c>
    </row>
    <row r="27" spans="1:7" x14ac:dyDescent="0.35">
      <c r="A27">
        <v>30</v>
      </c>
      <c r="B27">
        <v>7446185440</v>
      </c>
      <c r="C27">
        <v>29.79</v>
      </c>
      <c r="D27">
        <v>0</v>
      </c>
      <c r="E27">
        <v>15.97</v>
      </c>
      <c r="F27">
        <v>916849</v>
      </c>
      <c r="G27">
        <v>12406343</v>
      </c>
    </row>
    <row r="28" spans="1:7" x14ac:dyDescent="0.35">
      <c r="A28">
        <v>32</v>
      </c>
      <c r="B28">
        <v>7441659960</v>
      </c>
      <c r="C28">
        <v>29.77</v>
      </c>
      <c r="D28">
        <v>0</v>
      </c>
      <c r="E28">
        <v>15.97</v>
      </c>
      <c r="F28">
        <v>977842</v>
      </c>
      <c r="G28">
        <v>13238370</v>
      </c>
    </row>
    <row r="29" spans="1:7" x14ac:dyDescent="0.35">
      <c r="A29">
        <v>34</v>
      </c>
      <c r="B29">
        <v>7443234040</v>
      </c>
      <c r="C29">
        <v>29.77</v>
      </c>
      <c r="D29">
        <v>0</v>
      </c>
      <c r="E29">
        <v>15.97</v>
      </c>
      <c r="F29">
        <v>1039279</v>
      </c>
      <c r="G29">
        <v>14070390</v>
      </c>
    </row>
    <row r="30" spans="1:7" x14ac:dyDescent="0.35">
      <c r="A30">
        <v>36</v>
      </c>
      <c r="B30">
        <v>7443332420</v>
      </c>
      <c r="C30">
        <v>29.77</v>
      </c>
      <c r="D30">
        <v>0</v>
      </c>
      <c r="E30">
        <v>15.97</v>
      </c>
      <c r="F30">
        <v>1100560</v>
      </c>
      <c r="G30">
        <v>14902417</v>
      </c>
    </row>
    <row r="31" spans="1:7" x14ac:dyDescent="0.35">
      <c r="A31">
        <v>38</v>
      </c>
      <c r="B31">
        <v>7445300020</v>
      </c>
      <c r="C31">
        <v>29.78</v>
      </c>
      <c r="D31">
        <v>0</v>
      </c>
      <c r="E31">
        <v>15.97</v>
      </c>
      <c r="F31">
        <v>1161875</v>
      </c>
      <c r="G31">
        <v>15734451</v>
      </c>
    </row>
    <row r="32" spans="1:7" x14ac:dyDescent="0.35">
      <c r="A32">
        <v>40</v>
      </c>
      <c r="B32">
        <v>7450120640</v>
      </c>
      <c r="C32">
        <v>29.8</v>
      </c>
      <c r="D32">
        <v>0</v>
      </c>
      <c r="E32">
        <v>15.97</v>
      </c>
      <c r="F32">
        <v>1223153</v>
      </c>
      <c r="G32">
        <v>16566485</v>
      </c>
    </row>
    <row r="33" spans="1:253" x14ac:dyDescent="0.35">
      <c r="A33">
        <v>42</v>
      </c>
      <c r="B33">
        <v>7442348620</v>
      </c>
      <c r="C33">
        <v>29.77</v>
      </c>
      <c r="D33">
        <v>0</v>
      </c>
      <c r="E33">
        <v>15.97</v>
      </c>
      <c r="F33">
        <v>1284613</v>
      </c>
      <c r="G33">
        <v>17398526</v>
      </c>
    </row>
    <row r="34" spans="1:253" x14ac:dyDescent="0.35">
      <c r="A34">
        <v>44</v>
      </c>
      <c r="B34">
        <v>7448153040</v>
      </c>
      <c r="C34">
        <v>29.79</v>
      </c>
      <c r="D34">
        <v>0</v>
      </c>
      <c r="E34">
        <v>15.97</v>
      </c>
      <c r="F34">
        <v>1346075</v>
      </c>
      <c r="G34">
        <v>18230532</v>
      </c>
    </row>
    <row r="35" spans="1:253" x14ac:dyDescent="0.35">
      <c r="A35">
        <v>46</v>
      </c>
      <c r="B35">
        <v>7438315040</v>
      </c>
      <c r="C35">
        <v>29.75</v>
      </c>
      <c r="D35">
        <v>0</v>
      </c>
      <c r="E35">
        <v>15.97</v>
      </c>
      <c r="F35">
        <v>1407300</v>
      </c>
      <c r="G35">
        <v>19062566</v>
      </c>
    </row>
    <row r="36" spans="1:253" x14ac:dyDescent="0.35">
      <c r="A36">
        <v>48</v>
      </c>
      <c r="B36">
        <v>7451989860</v>
      </c>
      <c r="C36">
        <v>29.81</v>
      </c>
      <c r="D36">
        <v>0</v>
      </c>
      <c r="E36">
        <v>15.97</v>
      </c>
      <c r="F36">
        <v>1468327</v>
      </c>
      <c r="G36">
        <v>19894600</v>
      </c>
    </row>
    <row r="37" spans="1:253" x14ac:dyDescent="0.35">
      <c r="A37">
        <v>50</v>
      </c>
      <c r="B37">
        <v>7446775720</v>
      </c>
      <c r="C37">
        <v>29.79</v>
      </c>
      <c r="D37">
        <v>0</v>
      </c>
      <c r="E37">
        <v>15.97</v>
      </c>
      <c r="F37">
        <v>1529254</v>
      </c>
      <c r="G37">
        <v>20726634</v>
      </c>
    </row>
    <row r="38" spans="1:253" x14ac:dyDescent="0.35">
      <c r="A38">
        <v>52</v>
      </c>
      <c r="B38">
        <v>7445398400</v>
      </c>
      <c r="C38">
        <v>29.78</v>
      </c>
      <c r="D38">
        <v>0</v>
      </c>
      <c r="E38">
        <v>15.97</v>
      </c>
      <c r="F38">
        <v>1590539</v>
      </c>
      <c r="G38">
        <v>21558668</v>
      </c>
    </row>
    <row r="39" spans="1:253" x14ac:dyDescent="0.35">
      <c r="A39">
        <v>54</v>
      </c>
      <c r="B39">
        <v>7435757160</v>
      </c>
      <c r="C39">
        <v>29.74</v>
      </c>
      <c r="D39">
        <v>0</v>
      </c>
      <c r="E39">
        <v>15.97</v>
      </c>
      <c r="F39">
        <v>1651806</v>
      </c>
      <c r="G39">
        <v>22390681</v>
      </c>
    </row>
    <row r="40" spans="1:253" x14ac:dyDescent="0.35">
      <c r="A40">
        <v>56</v>
      </c>
      <c r="B40">
        <v>7449038460</v>
      </c>
      <c r="C40">
        <v>29.8</v>
      </c>
      <c r="D40">
        <v>0</v>
      </c>
      <c r="E40">
        <v>15.97</v>
      </c>
      <c r="F40">
        <v>1713160</v>
      </c>
      <c r="G40">
        <v>23222708</v>
      </c>
    </row>
    <row r="41" spans="1:253" x14ac:dyDescent="0.35">
      <c r="A41">
        <v>58</v>
      </c>
      <c r="B41">
        <v>7440872920</v>
      </c>
      <c r="C41">
        <v>29.76</v>
      </c>
      <c r="D41">
        <v>0</v>
      </c>
      <c r="E41">
        <v>15.97</v>
      </c>
      <c r="F41">
        <v>1774261</v>
      </c>
      <c r="G41">
        <v>24054742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15000000</v>
      </c>
      <c r="C44">
        <v>2263713</v>
      </c>
      <c r="D44">
        <v>0</v>
      </c>
      <c r="E44">
        <v>26.5045</v>
      </c>
      <c r="F44" s="3">
        <v>59998700</v>
      </c>
      <c r="G44">
        <v>29694.5</v>
      </c>
      <c r="H44">
        <v>24888700</v>
      </c>
      <c r="I44">
        <v>0</v>
      </c>
      <c r="J44">
        <v>0</v>
      </c>
      <c r="K44" t="s">
        <v>117</v>
      </c>
      <c r="L44">
        <v>0</v>
      </c>
      <c r="M44">
        <v>2263713</v>
      </c>
      <c r="N44">
        <v>222704084940</v>
      </c>
      <c r="O44">
        <v>26.5061</v>
      </c>
      <c r="P44">
        <v>60002112</v>
      </c>
      <c r="Q44">
        <v>29692.799999999999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82</v>
      </c>
      <c r="BO44">
        <v>4592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1835503</v>
      </c>
      <c r="CG44">
        <v>121142346</v>
      </c>
      <c r="CH44">
        <v>0</v>
      </c>
      <c r="CI44">
        <v>0</v>
      </c>
      <c r="CJ44">
        <v>24888702</v>
      </c>
      <c r="CK44">
        <v>224346739280</v>
      </c>
      <c r="CL44">
        <v>0</v>
      </c>
      <c r="CM44">
        <v>0</v>
      </c>
      <c r="CN44" t="s">
        <v>177</v>
      </c>
      <c r="CO44">
        <v>82</v>
      </c>
      <c r="CP44">
        <v>3444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99</v>
      </c>
      <c r="DH44">
        <v>6170</v>
      </c>
      <c r="DI44">
        <v>0</v>
      </c>
      <c r="DJ44">
        <v>2</v>
      </c>
      <c r="DK44">
        <v>48</v>
      </c>
      <c r="DL44">
        <v>2380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1835502</v>
      </c>
      <c r="DZ44">
        <v>95445244</v>
      </c>
      <c r="EA44">
        <v>0</v>
      </c>
      <c r="EB44">
        <v>0</v>
      </c>
      <c r="EC44">
        <v>3556173</v>
      </c>
      <c r="ED44">
        <v>222938792358</v>
      </c>
      <c r="EE44">
        <v>0</v>
      </c>
      <c r="EF44">
        <v>0</v>
      </c>
      <c r="EG44" t="s">
        <v>100</v>
      </c>
      <c r="EH44">
        <v>1835416</v>
      </c>
      <c r="EI44">
        <v>0</v>
      </c>
      <c r="EJ44">
        <v>24888700</v>
      </c>
      <c r="EK44">
        <v>0</v>
      </c>
      <c r="EL44">
        <v>0</v>
      </c>
      <c r="EM44" t="s">
        <v>129</v>
      </c>
      <c r="EN44" t="s">
        <v>271</v>
      </c>
      <c r="EO44">
        <v>19</v>
      </c>
      <c r="EP44">
        <v>5400</v>
      </c>
      <c r="EQ44">
        <v>0</v>
      </c>
      <c r="ER44">
        <v>0</v>
      </c>
      <c r="ES44">
        <v>19</v>
      </c>
      <c r="ET44">
        <v>9761</v>
      </c>
      <c r="EU44">
        <v>0</v>
      </c>
      <c r="EV44">
        <v>0</v>
      </c>
      <c r="EW44" t="s">
        <v>272</v>
      </c>
      <c r="EX44">
        <v>24889659</v>
      </c>
      <c r="EY44">
        <v>224346800916</v>
      </c>
      <c r="EZ44">
        <v>0</v>
      </c>
      <c r="FA44">
        <v>3</v>
      </c>
      <c r="FB44">
        <v>1835567</v>
      </c>
      <c r="FC44">
        <v>121156263</v>
      </c>
      <c r="FD44">
        <v>0</v>
      </c>
      <c r="FE44">
        <v>0</v>
      </c>
      <c r="FF44" t="s">
        <v>273</v>
      </c>
      <c r="FG44">
        <v>60</v>
      </c>
      <c r="FH44">
        <v>4174</v>
      </c>
      <c r="FI44">
        <v>0</v>
      </c>
      <c r="FJ44">
        <v>0</v>
      </c>
      <c r="FK44">
        <v>92</v>
      </c>
      <c r="FL44">
        <v>7117</v>
      </c>
      <c r="FM44">
        <v>0</v>
      </c>
      <c r="FN44">
        <v>0</v>
      </c>
      <c r="FO44" t="s">
        <v>274</v>
      </c>
      <c r="FP44">
        <v>24890668</v>
      </c>
      <c r="FQ44">
        <v>224346869123</v>
      </c>
      <c r="FR44">
        <v>0</v>
      </c>
      <c r="FS44">
        <v>12</v>
      </c>
      <c r="FT44">
        <v>1835705</v>
      </c>
      <c r="FU44">
        <v>121176934</v>
      </c>
      <c r="FV44">
        <v>0</v>
      </c>
      <c r="FW44">
        <v>0</v>
      </c>
      <c r="FX44" t="s">
        <v>275</v>
      </c>
      <c r="FY44">
        <v>139</v>
      </c>
      <c r="FZ44">
        <v>17751</v>
      </c>
      <c r="GA44">
        <v>0</v>
      </c>
      <c r="GB44">
        <v>0</v>
      </c>
      <c r="GC44">
        <v>4</v>
      </c>
      <c r="GD44">
        <v>835</v>
      </c>
      <c r="GE44">
        <v>0</v>
      </c>
      <c r="GF44">
        <v>0</v>
      </c>
      <c r="GG44" t="s">
        <v>128</v>
      </c>
      <c r="GH44">
        <v>240</v>
      </c>
      <c r="GI44">
        <v>15072</v>
      </c>
      <c r="GJ44">
        <v>0</v>
      </c>
      <c r="GK44">
        <v>0</v>
      </c>
      <c r="GL44">
        <v>240</v>
      </c>
      <c r="GM44">
        <v>15072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1009</v>
      </c>
      <c r="HA44">
        <v>68207</v>
      </c>
      <c r="HB44">
        <v>0</v>
      </c>
      <c r="HC44">
        <v>3</v>
      </c>
      <c r="HD44">
        <v>138</v>
      </c>
      <c r="HE44">
        <v>20671</v>
      </c>
      <c r="HF44">
        <v>0</v>
      </c>
      <c r="HG44">
        <v>0</v>
      </c>
      <c r="HH44" t="s">
        <v>278</v>
      </c>
      <c r="HI44">
        <v>3817010</v>
      </c>
      <c r="HJ44">
        <v>222902556115</v>
      </c>
      <c r="HK44">
        <v>0</v>
      </c>
      <c r="HL44">
        <v>0</v>
      </c>
      <c r="HM44">
        <v>1835466</v>
      </c>
      <c r="HN44">
        <v>121143490</v>
      </c>
      <c r="HO44">
        <v>0</v>
      </c>
      <c r="HP44">
        <v>0</v>
      </c>
      <c r="HQ44" t="s">
        <v>106</v>
      </c>
      <c r="HR44">
        <v>3815598</v>
      </c>
      <c r="HS44">
        <v>0</v>
      </c>
      <c r="HT44">
        <v>1835776</v>
      </c>
      <c r="HU44">
        <v>0</v>
      </c>
      <c r="HV44">
        <v>8</v>
      </c>
      <c r="HW44" t="s">
        <v>107</v>
      </c>
      <c r="HX44" t="s">
        <v>279</v>
      </c>
      <c r="HY44">
        <v>24889659</v>
      </c>
      <c r="HZ44">
        <v>1835567</v>
      </c>
      <c r="IA44">
        <v>24889670</v>
      </c>
      <c r="IB44">
        <v>1835569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1009</v>
      </c>
      <c r="IK44">
        <v>138</v>
      </c>
      <c r="IL44">
        <v>1019</v>
      </c>
      <c r="IM44">
        <v>140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9</v>
      </c>
      <c r="E46">
        <v>90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1</v>
      </c>
      <c r="E51">
        <v>98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1</v>
      </c>
      <c r="E52">
        <v>98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82</v>
      </c>
      <c r="E53">
        <v>17</v>
      </c>
      <c r="F53">
        <v>0</v>
      </c>
      <c r="G53">
        <v>5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7</v>
      </c>
      <c r="E55">
        <v>92</v>
      </c>
      <c r="F55">
        <v>0</v>
      </c>
      <c r="G55">
        <v>0</v>
      </c>
      <c r="H55">
        <v>3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8</v>
      </c>
      <c r="E56">
        <v>91</v>
      </c>
      <c r="F56">
        <v>0</v>
      </c>
      <c r="G56">
        <v>0</v>
      </c>
      <c r="H56">
        <v>6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9</v>
      </c>
      <c r="E58">
        <v>90</v>
      </c>
      <c r="F58">
        <v>0</v>
      </c>
      <c r="G58">
        <v>1</v>
      </c>
      <c r="H58">
        <v>4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99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51</v>
      </c>
      <c r="E67">
        <v>47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100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99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99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99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99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99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99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100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IS124"/>
  <sheetViews>
    <sheetView topLeftCell="A7" workbookViewId="0"/>
  </sheetViews>
  <sheetFormatPr defaultRowHeight="14.5" x14ac:dyDescent="0.35"/>
  <cols>
    <col min="14" max="14" width="12" bestFit="1" customWidth="1"/>
  </cols>
  <sheetData>
    <row r="1" spans="1:7" x14ac:dyDescent="0.35">
      <c r="A1" t="s">
        <v>328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329</v>
      </c>
    </row>
    <row r="5" spans="1:7" x14ac:dyDescent="0.35">
      <c r="A5" t="s">
        <v>228</v>
      </c>
    </row>
    <row r="6" spans="1:7" x14ac:dyDescent="0.35">
      <c r="A6" t="s">
        <v>191</v>
      </c>
    </row>
    <row r="7" spans="1:7" x14ac:dyDescent="0.35">
      <c r="A7" t="s">
        <v>168</v>
      </c>
    </row>
    <row r="8" spans="1:7" x14ac:dyDescent="0.35">
      <c r="A8" t="s">
        <v>266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6886796760</v>
      </c>
      <c r="C13">
        <v>27.56</v>
      </c>
      <c r="D13">
        <v>0</v>
      </c>
      <c r="E13">
        <v>10.33</v>
      </c>
      <c r="F13">
        <v>58653</v>
      </c>
      <c r="G13">
        <v>767317</v>
      </c>
    </row>
    <row r="14" spans="1:7" x14ac:dyDescent="0.35">
      <c r="A14">
        <v>4</v>
      </c>
      <c r="B14">
        <v>7442250240</v>
      </c>
      <c r="C14">
        <v>29.77</v>
      </c>
      <c r="D14">
        <v>0</v>
      </c>
      <c r="E14">
        <v>10.33</v>
      </c>
      <c r="F14">
        <v>119677</v>
      </c>
      <c r="G14">
        <v>1599351</v>
      </c>
    </row>
    <row r="15" spans="1:7" x14ac:dyDescent="0.35">
      <c r="A15">
        <v>6</v>
      </c>
      <c r="B15">
        <v>7441955100</v>
      </c>
      <c r="C15">
        <v>29.77</v>
      </c>
      <c r="D15">
        <v>0</v>
      </c>
      <c r="E15">
        <v>10.33</v>
      </c>
      <c r="F15">
        <v>180839</v>
      </c>
      <c r="G15">
        <v>2431385</v>
      </c>
    </row>
    <row r="16" spans="1:7" x14ac:dyDescent="0.35">
      <c r="A16">
        <v>8</v>
      </c>
      <c r="B16">
        <v>7444709740</v>
      </c>
      <c r="C16">
        <v>29.78</v>
      </c>
      <c r="D16">
        <v>0</v>
      </c>
      <c r="E16">
        <v>10.85</v>
      </c>
      <c r="F16">
        <v>241535</v>
      </c>
      <c r="G16">
        <v>3263419</v>
      </c>
    </row>
    <row r="17" spans="1:7" x14ac:dyDescent="0.35">
      <c r="A17">
        <v>10</v>
      </c>
      <c r="B17">
        <v>7447661140</v>
      </c>
      <c r="C17">
        <v>29.79</v>
      </c>
      <c r="D17">
        <v>0</v>
      </c>
      <c r="E17">
        <v>10.85</v>
      </c>
      <c r="F17">
        <v>302248</v>
      </c>
      <c r="G17">
        <v>4095446</v>
      </c>
    </row>
    <row r="18" spans="1:7" x14ac:dyDescent="0.35">
      <c r="A18">
        <v>12</v>
      </c>
      <c r="B18">
        <v>7445300020</v>
      </c>
      <c r="C18">
        <v>29.78</v>
      </c>
      <c r="D18">
        <v>0</v>
      </c>
      <c r="E18">
        <v>10.85</v>
      </c>
      <c r="F18">
        <v>363137</v>
      </c>
      <c r="G18">
        <v>4927480</v>
      </c>
    </row>
    <row r="19" spans="1:7" x14ac:dyDescent="0.35">
      <c r="A19">
        <v>14</v>
      </c>
      <c r="B19">
        <v>7440381020</v>
      </c>
      <c r="C19">
        <v>29.76</v>
      </c>
      <c r="D19">
        <v>0</v>
      </c>
      <c r="E19">
        <v>10.85</v>
      </c>
      <c r="F19">
        <v>424081</v>
      </c>
      <c r="G19">
        <v>5759493</v>
      </c>
    </row>
    <row r="20" spans="1:7" x14ac:dyDescent="0.35">
      <c r="A20">
        <v>16</v>
      </c>
      <c r="B20">
        <v>7450809300</v>
      </c>
      <c r="C20">
        <v>29.8</v>
      </c>
      <c r="D20">
        <v>0</v>
      </c>
      <c r="E20">
        <v>10.85</v>
      </c>
      <c r="F20">
        <v>485098</v>
      </c>
      <c r="G20">
        <v>6591520</v>
      </c>
    </row>
    <row r="21" spans="1:7" x14ac:dyDescent="0.35">
      <c r="A21">
        <v>18</v>
      </c>
      <c r="B21">
        <v>7442447000</v>
      </c>
      <c r="C21">
        <v>29.77</v>
      </c>
      <c r="D21">
        <v>0</v>
      </c>
      <c r="E21">
        <v>10.85</v>
      </c>
      <c r="F21">
        <v>546225</v>
      </c>
      <c r="G21">
        <v>7423554</v>
      </c>
    </row>
    <row r="22" spans="1:7" x14ac:dyDescent="0.35">
      <c r="A22">
        <v>20</v>
      </c>
      <c r="B22">
        <v>7445988680</v>
      </c>
      <c r="C22">
        <v>29.78</v>
      </c>
      <c r="D22">
        <v>0</v>
      </c>
      <c r="E22">
        <v>10.85</v>
      </c>
      <c r="F22">
        <v>607034</v>
      </c>
      <c r="G22">
        <v>8255595</v>
      </c>
    </row>
    <row r="23" spans="1:7" x14ac:dyDescent="0.35">
      <c r="A23">
        <v>22</v>
      </c>
      <c r="B23">
        <v>7449727120</v>
      </c>
      <c r="C23">
        <v>29.8</v>
      </c>
      <c r="D23">
        <v>0</v>
      </c>
      <c r="E23">
        <v>10.85</v>
      </c>
      <c r="F23">
        <v>667805</v>
      </c>
      <c r="G23">
        <v>9087622</v>
      </c>
    </row>
    <row r="24" spans="1:7" x14ac:dyDescent="0.35">
      <c r="A24">
        <v>24</v>
      </c>
      <c r="B24">
        <v>7442151860</v>
      </c>
      <c r="C24">
        <v>29.77</v>
      </c>
      <c r="D24">
        <v>0</v>
      </c>
      <c r="E24">
        <v>16.440000000000001</v>
      </c>
      <c r="F24">
        <v>728476</v>
      </c>
      <c r="G24">
        <v>9919663</v>
      </c>
    </row>
    <row r="25" spans="1:7" x14ac:dyDescent="0.35">
      <c r="A25">
        <v>26</v>
      </c>
      <c r="B25">
        <v>7445496780</v>
      </c>
      <c r="C25">
        <v>29.78</v>
      </c>
      <c r="D25">
        <v>0</v>
      </c>
      <c r="E25">
        <v>16.440000000000001</v>
      </c>
      <c r="F25">
        <v>792987</v>
      </c>
      <c r="G25">
        <v>10751697</v>
      </c>
    </row>
    <row r="26" spans="1:7" x14ac:dyDescent="0.35">
      <c r="A26">
        <v>28</v>
      </c>
      <c r="B26">
        <v>7441758340</v>
      </c>
      <c r="C26">
        <v>29.77</v>
      </c>
      <c r="D26">
        <v>0</v>
      </c>
      <c r="E26">
        <v>16.440000000000001</v>
      </c>
      <c r="F26">
        <v>857543</v>
      </c>
      <c r="G26">
        <v>11583738</v>
      </c>
    </row>
    <row r="27" spans="1:7" x14ac:dyDescent="0.35">
      <c r="A27">
        <v>30</v>
      </c>
      <c r="B27">
        <v>7449038460</v>
      </c>
      <c r="C27">
        <v>29.8</v>
      </c>
      <c r="D27">
        <v>0</v>
      </c>
      <c r="E27">
        <v>16.440000000000001</v>
      </c>
      <c r="F27">
        <v>922324</v>
      </c>
      <c r="G27">
        <v>12415751</v>
      </c>
    </row>
    <row r="28" spans="1:7" x14ac:dyDescent="0.35">
      <c r="A28">
        <v>32</v>
      </c>
      <c r="B28">
        <v>7442643760</v>
      </c>
      <c r="C28">
        <v>29.77</v>
      </c>
      <c r="D28">
        <v>0</v>
      </c>
      <c r="E28">
        <v>16.440000000000001</v>
      </c>
      <c r="F28">
        <v>986938</v>
      </c>
      <c r="G28">
        <v>13247778</v>
      </c>
    </row>
    <row r="29" spans="1:7" x14ac:dyDescent="0.35">
      <c r="A29">
        <v>34</v>
      </c>
      <c r="B29">
        <v>7439003700</v>
      </c>
      <c r="C29">
        <v>29.76</v>
      </c>
      <c r="D29">
        <v>0</v>
      </c>
      <c r="E29">
        <v>16.440000000000001</v>
      </c>
      <c r="F29">
        <v>1051741</v>
      </c>
      <c r="G29">
        <v>14079798</v>
      </c>
    </row>
    <row r="30" spans="1:7" x14ac:dyDescent="0.35">
      <c r="A30">
        <v>36</v>
      </c>
      <c r="B30">
        <v>7454941260</v>
      </c>
      <c r="C30">
        <v>29.82</v>
      </c>
      <c r="D30">
        <v>0</v>
      </c>
      <c r="E30">
        <v>16.440000000000001</v>
      </c>
      <c r="F30">
        <v>1116301</v>
      </c>
      <c r="G30">
        <v>14911839</v>
      </c>
    </row>
    <row r="31" spans="1:7" x14ac:dyDescent="0.35">
      <c r="A31">
        <v>38</v>
      </c>
      <c r="B31">
        <v>7437429620</v>
      </c>
      <c r="C31">
        <v>29.75</v>
      </c>
      <c r="D31">
        <v>0</v>
      </c>
      <c r="E31">
        <v>16.440000000000001</v>
      </c>
      <c r="F31">
        <v>1180923</v>
      </c>
      <c r="G31">
        <v>15743880</v>
      </c>
    </row>
    <row r="32" spans="1:7" x14ac:dyDescent="0.35">
      <c r="A32">
        <v>40</v>
      </c>
      <c r="B32">
        <v>7449628740</v>
      </c>
      <c r="C32">
        <v>29.8</v>
      </c>
      <c r="D32">
        <v>0</v>
      </c>
      <c r="E32">
        <v>16.440000000000001</v>
      </c>
      <c r="F32">
        <v>1245619</v>
      </c>
      <c r="G32">
        <v>16575914</v>
      </c>
    </row>
    <row r="33" spans="1:253" x14ac:dyDescent="0.35">
      <c r="A33">
        <v>42</v>
      </c>
      <c r="B33">
        <v>7445890300</v>
      </c>
      <c r="C33">
        <v>29.78</v>
      </c>
      <c r="D33">
        <v>0</v>
      </c>
      <c r="E33">
        <v>16.440000000000001</v>
      </c>
      <c r="F33">
        <v>1310432</v>
      </c>
      <c r="G33">
        <v>17407948</v>
      </c>
    </row>
    <row r="34" spans="1:253" x14ac:dyDescent="0.35">
      <c r="A34">
        <v>44</v>
      </c>
      <c r="B34">
        <v>7446578960</v>
      </c>
      <c r="C34">
        <v>29.79</v>
      </c>
      <c r="D34">
        <v>0</v>
      </c>
      <c r="E34">
        <v>16.440000000000001</v>
      </c>
      <c r="F34">
        <v>1375070</v>
      </c>
      <c r="G34">
        <v>18239968</v>
      </c>
    </row>
    <row r="35" spans="1:253" x14ac:dyDescent="0.35">
      <c r="A35">
        <v>46</v>
      </c>
      <c r="B35">
        <v>7446185440</v>
      </c>
      <c r="C35">
        <v>29.78</v>
      </c>
      <c r="D35">
        <v>0</v>
      </c>
      <c r="E35">
        <v>16.440000000000001</v>
      </c>
      <c r="F35">
        <v>1439694</v>
      </c>
      <c r="G35">
        <v>19072009</v>
      </c>
    </row>
    <row r="36" spans="1:253" x14ac:dyDescent="0.35">
      <c r="A36">
        <v>48</v>
      </c>
      <c r="B36">
        <v>7441364820</v>
      </c>
      <c r="C36">
        <v>29.77</v>
      </c>
      <c r="D36">
        <v>0</v>
      </c>
      <c r="E36">
        <v>16.440000000000001</v>
      </c>
      <c r="F36">
        <v>1504285</v>
      </c>
      <c r="G36">
        <v>19904036</v>
      </c>
    </row>
    <row r="37" spans="1:253" x14ac:dyDescent="0.35">
      <c r="A37">
        <v>50</v>
      </c>
      <c r="B37">
        <v>7444906500</v>
      </c>
      <c r="C37">
        <v>29.78</v>
      </c>
      <c r="D37">
        <v>0</v>
      </c>
      <c r="E37">
        <v>16.440000000000001</v>
      </c>
      <c r="F37">
        <v>1568870</v>
      </c>
      <c r="G37">
        <v>20736049</v>
      </c>
    </row>
    <row r="38" spans="1:253" x14ac:dyDescent="0.35">
      <c r="A38">
        <v>52</v>
      </c>
      <c r="B38">
        <v>7439200460</v>
      </c>
      <c r="C38">
        <v>29.76</v>
      </c>
      <c r="D38">
        <v>0</v>
      </c>
      <c r="E38">
        <v>16.440000000000001</v>
      </c>
      <c r="F38">
        <v>1633397</v>
      </c>
      <c r="G38">
        <v>21568083</v>
      </c>
    </row>
    <row r="39" spans="1:253" x14ac:dyDescent="0.35">
      <c r="A39">
        <v>54</v>
      </c>
      <c r="B39">
        <v>7448153040</v>
      </c>
      <c r="C39">
        <v>29.79</v>
      </c>
      <c r="D39">
        <v>0</v>
      </c>
      <c r="E39">
        <v>16.440000000000001</v>
      </c>
      <c r="F39">
        <v>1697762</v>
      </c>
      <c r="G39">
        <v>22400117</v>
      </c>
    </row>
    <row r="40" spans="1:253" x14ac:dyDescent="0.35">
      <c r="A40">
        <v>56</v>
      </c>
      <c r="B40">
        <v>7442447000</v>
      </c>
      <c r="C40">
        <v>29.77</v>
      </c>
      <c r="D40">
        <v>0</v>
      </c>
      <c r="E40">
        <v>16.440000000000001</v>
      </c>
      <c r="F40">
        <v>1762438</v>
      </c>
      <c r="G40">
        <v>23232158</v>
      </c>
    </row>
    <row r="41" spans="1:253" x14ac:dyDescent="0.35">
      <c r="A41">
        <v>58</v>
      </c>
      <c r="B41">
        <v>7446972480</v>
      </c>
      <c r="C41">
        <v>29.79</v>
      </c>
      <c r="D41">
        <v>0</v>
      </c>
      <c r="E41">
        <v>16.440000000000001</v>
      </c>
      <c r="F41">
        <v>1826979</v>
      </c>
      <c r="G41">
        <v>24064192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17000000</v>
      </c>
      <c r="C44">
        <v>2264591</v>
      </c>
      <c r="D44">
        <v>0</v>
      </c>
      <c r="E44">
        <v>26.494700000000002</v>
      </c>
      <c r="F44" s="3">
        <v>59999600</v>
      </c>
      <c r="G44">
        <v>29705.599999999999</v>
      </c>
      <c r="H44">
        <v>24898353</v>
      </c>
      <c r="I44">
        <v>0</v>
      </c>
      <c r="J44">
        <v>0</v>
      </c>
      <c r="K44" t="s">
        <v>117</v>
      </c>
      <c r="L44">
        <v>0</v>
      </c>
      <c r="M44">
        <v>2264591</v>
      </c>
      <c r="N44">
        <v>222790462580</v>
      </c>
      <c r="O44">
        <v>26.495999999999999</v>
      </c>
      <c r="P44">
        <v>60002685</v>
      </c>
      <c r="Q44">
        <v>29704.1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123</v>
      </c>
      <c r="BO44">
        <v>6888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1891896</v>
      </c>
      <c r="CG44">
        <v>124864264</v>
      </c>
      <c r="CH44">
        <v>0</v>
      </c>
      <c r="CI44">
        <v>0</v>
      </c>
      <c r="CJ44">
        <v>24898355</v>
      </c>
      <c r="CK44">
        <v>224433754018</v>
      </c>
      <c r="CL44">
        <v>0</v>
      </c>
      <c r="CM44">
        <v>0</v>
      </c>
      <c r="CN44" t="s">
        <v>177</v>
      </c>
      <c r="CO44">
        <v>123</v>
      </c>
      <c r="CP44">
        <v>5166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112</v>
      </c>
      <c r="DH44">
        <v>6950</v>
      </c>
      <c r="DI44">
        <v>0</v>
      </c>
      <c r="DJ44">
        <v>2</v>
      </c>
      <c r="DK44">
        <v>52</v>
      </c>
      <c r="DL44">
        <v>2592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1891895</v>
      </c>
      <c r="DZ44">
        <v>98377660</v>
      </c>
      <c r="EA44">
        <v>0</v>
      </c>
      <c r="EB44">
        <v>0</v>
      </c>
      <c r="EC44">
        <v>3557569</v>
      </c>
      <c r="ED44">
        <v>223025262134</v>
      </c>
      <c r="EE44">
        <v>0</v>
      </c>
      <c r="EF44">
        <v>0</v>
      </c>
      <c r="EG44" t="s">
        <v>100</v>
      </c>
      <c r="EH44">
        <v>1891807</v>
      </c>
      <c r="EI44">
        <v>0</v>
      </c>
      <c r="EJ44">
        <v>24898353</v>
      </c>
      <c r="EK44">
        <v>0</v>
      </c>
      <c r="EL44">
        <v>0</v>
      </c>
      <c r="EM44" t="s">
        <v>129</v>
      </c>
      <c r="EN44" t="s">
        <v>271</v>
      </c>
      <c r="EO44">
        <v>21</v>
      </c>
      <c r="EP44">
        <v>5536</v>
      </c>
      <c r="EQ44">
        <v>0</v>
      </c>
      <c r="ER44">
        <v>0</v>
      </c>
      <c r="ES44">
        <v>21</v>
      </c>
      <c r="ET44">
        <v>9933</v>
      </c>
      <c r="EU44">
        <v>0</v>
      </c>
      <c r="EV44">
        <v>0</v>
      </c>
      <c r="EW44" t="s">
        <v>272</v>
      </c>
      <c r="EX44">
        <v>24899508</v>
      </c>
      <c r="EY44">
        <v>224433833451</v>
      </c>
      <c r="EZ44">
        <v>0</v>
      </c>
      <c r="FA44">
        <v>2</v>
      </c>
      <c r="FB44">
        <v>152</v>
      </c>
      <c r="FC44">
        <v>19083</v>
      </c>
      <c r="FD44">
        <v>0</v>
      </c>
      <c r="FE44">
        <v>0</v>
      </c>
      <c r="FF44" t="s">
        <v>273</v>
      </c>
      <c r="FG44">
        <v>59</v>
      </c>
      <c r="FH44">
        <v>3990</v>
      </c>
      <c r="FI44">
        <v>0</v>
      </c>
      <c r="FJ44">
        <v>0</v>
      </c>
      <c r="FK44">
        <v>87</v>
      </c>
      <c r="FL44">
        <v>6684</v>
      </c>
      <c r="FM44">
        <v>0</v>
      </c>
      <c r="FN44">
        <v>0</v>
      </c>
      <c r="FO44" t="s">
        <v>274</v>
      </c>
      <c r="FP44">
        <v>24900460</v>
      </c>
      <c r="FQ44">
        <v>224433893614</v>
      </c>
      <c r="FR44">
        <v>0</v>
      </c>
      <c r="FS44">
        <v>8</v>
      </c>
      <c r="FT44">
        <v>1892104</v>
      </c>
      <c r="FU44">
        <v>124899285</v>
      </c>
      <c r="FV44">
        <v>0</v>
      </c>
      <c r="FW44">
        <v>0</v>
      </c>
      <c r="FX44" t="s">
        <v>275</v>
      </c>
      <c r="FY44">
        <v>163</v>
      </c>
      <c r="FZ44">
        <v>16581</v>
      </c>
      <c r="GA44">
        <v>0</v>
      </c>
      <c r="GB44">
        <v>0</v>
      </c>
      <c r="GC44">
        <v>3</v>
      </c>
      <c r="GD44">
        <v>592</v>
      </c>
      <c r="GE44">
        <v>0</v>
      </c>
      <c r="GF44">
        <v>0</v>
      </c>
      <c r="GG44" t="s">
        <v>128</v>
      </c>
      <c r="GH44">
        <v>420</v>
      </c>
      <c r="GI44">
        <v>26376</v>
      </c>
      <c r="GJ44">
        <v>0</v>
      </c>
      <c r="GK44">
        <v>0</v>
      </c>
      <c r="GL44">
        <v>420</v>
      </c>
      <c r="GM44">
        <v>26376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952</v>
      </c>
      <c r="HA44">
        <v>60163</v>
      </c>
      <c r="HB44">
        <v>0</v>
      </c>
      <c r="HC44">
        <v>2</v>
      </c>
      <c r="HD44">
        <v>1891951</v>
      </c>
      <c r="HE44">
        <v>124880052</v>
      </c>
      <c r="HF44">
        <v>0</v>
      </c>
      <c r="HG44">
        <v>0</v>
      </c>
      <c r="HH44" t="s">
        <v>278</v>
      </c>
      <c r="HI44">
        <v>3846585</v>
      </c>
      <c r="HJ44">
        <v>222990472790</v>
      </c>
      <c r="HK44">
        <v>0</v>
      </c>
      <c r="HL44">
        <v>0</v>
      </c>
      <c r="HM44">
        <v>1891867</v>
      </c>
      <c r="HN44">
        <v>124865934</v>
      </c>
      <c r="HO44">
        <v>0</v>
      </c>
      <c r="HP44">
        <v>0</v>
      </c>
      <c r="HQ44" t="s">
        <v>106</v>
      </c>
      <c r="HR44">
        <v>3845210</v>
      </c>
      <c r="HS44">
        <v>0</v>
      </c>
      <c r="HT44">
        <v>1892341</v>
      </c>
      <c r="HU44">
        <v>0</v>
      </c>
      <c r="HV44">
        <v>6</v>
      </c>
      <c r="HW44" t="s">
        <v>107</v>
      </c>
      <c r="HX44" t="s">
        <v>279</v>
      </c>
      <c r="HY44">
        <v>24899509</v>
      </c>
      <c r="HZ44">
        <v>152</v>
      </c>
      <c r="IA44">
        <v>24899520</v>
      </c>
      <c r="IB44">
        <v>153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952</v>
      </c>
      <c r="IK44">
        <v>1891951</v>
      </c>
      <c r="IL44">
        <v>960</v>
      </c>
      <c r="IM44">
        <v>1891952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9</v>
      </c>
      <c r="E46">
        <v>90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1</v>
      </c>
      <c r="E51">
        <v>98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1</v>
      </c>
      <c r="E52">
        <v>98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86</v>
      </c>
      <c r="E53">
        <v>13</v>
      </c>
      <c r="F53">
        <v>0</v>
      </c>
      <c r="G53">
        <v>5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16</v>
      </c>
      <c r="E55">
        <v>83</v>
      </c>
      <c r="F55">
        <v>0</v>
      </c>
      <c r="G55">
        <v>1</v>
      </c>
      <c r="H55">
        <v>8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0</v>
      </c>
      <c r="E56">
        <v>99</v>
      </c>
      <c r="F56">
        <v>0</v>
      </c>
      <c r="G56">
        <v>0</v>
      </c>
      <c r="H56">
        <v>0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100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7</v>
      </c>
      <c r="E58">
        <v>92</v>
      </c>
      <c r="F58">
        <v>0</v>
      </c>
      <c r="G58">
        <v>0</v>
      </c>
      <c r="H58">
        <v>6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100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100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99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51</v>
      </c>
      <c r="E67">
        <v>47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99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100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99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100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99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99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99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100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99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IS124"/>
  <sheetViews>
    <sheetView topLeftCell="A13" zoomScale="50" zoomScaleNormal="50" workbookViewId="0"/>
  </sheetViews>
  <sheetFormatPr defaultRowHeight="14.5" x14ac:dyDescent="0.35"/>
  <cols>
    <col min="5" max="5" width="17.6328125" customWidth="1"/>
    <col min="7" max="7" width="13.1796875" customWidth="1"/>
  </cols>
  <sheetData>
    <row r="1" spans="1:7" x14ac:dyDescent="0.35">
      <c r="A1" t="s">
        <v>330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331</v>
      </c>
    </row>
    <row r="5" spans="1:7" x14ac:dyDescent="0.35">
      <c r="A5" t="s">
        <v>289</v>
      </c>
    </row>
    <row r="6" spans="1:7" x14ac:dyDescent="0.35">
      <c r="A6" t="s">
        <v>190</v>
      </c>
    </row>
    <row r="7" spans="1:7" x14ac:dyDescent="0.35">
      <c r="A7" t="s">
        <v>168</v>
      </c>
    </row>
    <row r="8" spans="1:7" x14ac:dyDescent="0.35">
      <c r="A8" t="s">
        <v>156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6821177300</v>
      </c>
      <c r="C13">
        <v>27.29</v>
      </c>
      <c r="D13">
        <v>0</v>
      </c>
      <c r="E13">
        <v>10.59</v>
      </c>
      <c r="F13">
        <v>57972</v>
      </c>
      <c r="G13">
        <v>759457</v>
      </c>
    </row>
    <row r="14" spans="1:7" x14ac:dyDescent="0.35">
      <c r="A14">
        <v>4</v>
      </c>
      <c r="B14">
        <v>7442447000</v>
      </c>
      <c r="C14">
        <v>29.77</v>
      </c>
      <c r="D14">
        <v>0</v>
      </c>
      <c r="E14">
        <v>10.59</v>
      </c>
      <c r="F14">
        <v>118441</v>
      </c>
      <c r="G14">
        <v>1591484</v>
      </c>
    </row>
    <row r="15" spans="1:7" x14ac:dyDescent="0.35">
      <c r="A15">
        <v>6</v>
      </c>
      <c r="B15">
        <v>7444021080</v>
      </c>
      <c r="C15">
        <v>29.78</v>
      </c>
      <c r="D15">
        <v>0</v>
      </c>
      <c r="E15">
        <v>10.59</v>
      </c>
      <c r="F15">
        <v>179052</v>
      </c>
      <c r="G15">
        <v>2423511</v>
      </c>
    </row>
    <row r="16" spans="1:7" x14ac:dyDescent="0.35">
      <c r="A16">
        <v>8</v>
      </c>
      <c r="B16">
        <v>7447661140</v>
      </c>
      <c r="C16">
        <v>29.79</v>
      </c>
      <c r="D16">
        <v>0</v>
      </c>
      <c r="E16">
        <v>10.59</v>
      </c>
      <c r="F16">
        <v>239719</v>
      </c>
      <c r="G16">
        <v>3255545</v>
      </c>
    </row>
    <row r="17" spans="1:7" x14ac:dyDescent="0.35">
      <c r="A17">
        <v>10</v>
      </c>
      <c r="B17">
        <v>7436642580</v>
      </c>
      <c r="C17">
        <v>29.75</v>
      </c>
      <c r="D17">
        <v>0</v>
      </c>
      <c r="E17">
        <v>10.59</v>
      </c>
      <c r="F17">
        <v>300898</v>
      </c>
      <c r="G17">
        <v>4087579</v>
      </c>
    </row>
    <row r="18" spans="1:7" x14ac:dyDescent="0.35">
      <c r="A18">
        <v>12</v>
      </c>
      <c r="B18">
        <v>7455236400</v>
      </c>
      <c r="C18">
        <v>29.82</v>
      </c>
      <c r="D18">
        <v>0</v>
      </c>
      <c r="E18">
        <v>10.59</v>
      </c>
      <c r="F18">
        <v>361911</v>
      </c>
      <c r="G18">
        <v>4919578</v>
      </c>
    </row>
    <row r="19" spans="1:7" x14ac:dyDescent="0.35">
      <c r="A19">
        <v>14</v>
      </c>
      <c r="B19">
        <v>7440184260</v>
      </c>
      <c r="C19">
        <v>29.76</v>
      </c>
      <c r="D19">
        <v>0</v>
      </c>
      <c r="E19">
        <v>10.59</v>
      </c>
      <c r="F19">
        <v>422832</v>
      </c>
      <c r="G19">
        <v>5751619</v>
      </c>
    </row>
    <row r="20" spans="1:7" x14ac:dyDescent="0.35">
      <c r="A20">
        <v>16</v>
      </c>
      <c r="B20">
        <v>7444316220</v>
      </c>
      <c r="C20">
        <v>29.78</v>
      </c>
      <c r="D20">
        <v>0</v>
      </c>
      <c r="E20">
        <v>10.59</v>
      </c>
      <c r="F20">
        <v>483721</v>
      </c>
      <c r="G20">
        <v>6583639</v>
      </c>
    </row>
    <row r="21" spans="1:7" x14ac:dyDescent="0.35">
      <c r="A21">
        <v>18</v>
      </c>
      <c r="B21">
        <v>7440381020</v>
      </c>
      <c r="C21">
        <v>29.76</v>
      </c>
      <c r="D21">
        <v>0</v>
      </c>
      <c r="E21">
        <v>10.59</v>
      </c>
      <c r="F21">
        <v>544557</v>
      </c>
      <c r="G21">
        <v>7415687</v>
      </c>
    </row>
    <row r="22" spans="1:7" x14ac:dyDescent="0.35">
      <c r="A22">
        <v>20</v>
      </c>
      <c r="B22">
        <v>7448546560</v>
      </c>
      <c r="C22">
        <v>29.79</v>
      </c>
      <c r="D22">
        <v>0</v>
      </c>
      <c r="E22">
        <v>10.59</v>
      </c>
      <c r="F22">
        <v>605404</v>
      </c>
      <c r="G22">
        <v>8247728</v>
      </c>
    </row>
    <row r="23" spans="1:7" x14ac:dyDescent="0.35">
      <c r="A23">
        <v>22</v>
      </c>
      <c r="B23">
        <v>7453367180</v>
      </c>
      <c r="C23">
        <v>29.81</v>
      </c>
      <c r="D23">
        <v>0</v>
      </c>
      <c r="E23">
        <v>10.59</v>
      </c>
      <c r="F23">
        <v>666268</v>
      </c>
      <c r="G23">
        <v>9079741</v>
      </c>
    </row>
    <row r="24" spans="1:7" x14ac:dyDescent="0.35">
      <c r="A24">
        <v>24</v>
      </c>
      <c r="B24">
        <v>7437036100</v>
      </c>
      <c r="C24">
        <v>29.75</v>
      </c>
      <c r="D24">
        <v>0</v>
      </c>
      <c r="E24">
        <v>10.59</v>
      </c>
      <c r="F24">
        <v>726928</v>
      </c>
      <c r="G24">
        <v>9911740</v>
      </c>
    </row>
    <row r="25" spans="1:7" x14ac:dyDescent="0.35">
      <c r="A25">
        <v>26</v>
      </c>
      <c r="B25">
        <v>7446677340</v>
      </c>
      <c r="C25">
        <v>29.79</v>
      </c>
      <c r="D25">
        <v>0</v>
      </c>
      <c r="E25">
        <v>10.59</v>
      </c>
      <c r="F25">
        <v>787588</v>
      </c>
      <c r="G25">
        <v>10743781</v>
      </c>
    </row>
    <row r="26" spans="1:7" x14ac:dyDescent="0.35">
      <c r="A26">
        <v>28</v>
      </c>
      <c r="B26">
        <v>7445791920</v>
      </c>
      <c r="C26">
        <v>29.78</v>
      </c>
      <c r="D26">
        <v>0</v>
      </c>
      <c r="E26">
        <v>10.59</v>
      </c>
      <c r="F26">
        <v>848242</v>
      </c>
      <c r="G26">
        <v>11575794</v>
      </c>
    </row>
    <row r="27" spans="1:7" x14ac:dyDescent="0.35">
      <c r="A27">
        <v>30</v>
      </c>
      <c r="B27">
        <v>7445890300</v>
      </c>
      <c r="C27">
        <v>29.78</v>
      </c>
      <c r="D27">
        <v>0</v>
      </c>
      <c r="E27">
        <v>10.59</v>
      </c>
      <c r="F27">
        <v>909033</v>
      </c>
      <c r="G27">
        <v>12407814</v>
      </c>
    </row>
    <row r="28" spans="1:7" x14ac:dyDescent="0.35">
      <c r="A28">
        <v>32</v>
      </c>
      <c r="B28">
        <v>7446480580</v>
      </c>
      <c r="C28">
        <v>29.79</v>
      </c>
      <c r="D28">
        <v>0</v>
      </c>
      <c r="E28">
        <v>10.59</v>
      </c>
      <c r="F28">
        <v>969822</v>
      </c>
      <c r="G28">
        <v>13239827</v>
      </c>
    </row>
    <row r="29" spans="1:7" x14ac:dyDescent="0.35">
      <c r="A29">
        <v>34</v>
      </c>
      <c r="B29">
        <v>7443234040</v>
      </c>
      <c r="C29">
        <v>29.77</v>
      </c>
      <c r="D29">
        <v>0</v>
      </c>
      <c r="E29">
        <v>10.59</v>
      </c>
      <c r="F29">
        <v>1030559</v>
      </c>
      <c r="G29">
        <v>14071861</v>
      </c>
    </row>
    <row r="30" spans="1:7" x14ac:dyDescent="0.35">
      <c r="A30">
        <v>36</v>
      </c>
      <c r="B30">
        <v>7439987500</v>
      </c>
      <c r="C30">
        <v>29.76</v>
      </c>
      <c r="D30">
        <v>0</v>
      </c>
      <c r="E30">
        <v>10.59</v>
      </c>
      <c r="F30">
        <v>1091518</v>
      </c>
      <c r="G30">
        <v>14903895</v>
      </c>
    </row>
    <row r="31" spans="1:7" x14ac:dyDescent="0.35">
      <c r="A31">
        <v>38</v>
      </c>
      <c r="B31">
        <v>7445201640</v>
      </c>
      <c r="C31">
        <v>29.78</v>
      </c>
      <c r="D31">
        <v>0</v>
      </c>
      <c r="E31">
        <v>10.59</v>
      </c>
      <c r="F31">
        <v>1152402</v>
      </c>
      <c r="G31">
        <v>15735922</v>
      </c>
    </row>
    <row r="32" spans="1:7" x14ac:dyDescent="0.35">
      <c r="A32">
        <v>40</v>
      </c>
      <c r="B32">
        <v>7452678520</v>
      </c>
      <c r="C32">
        <v>29.81</v>
      </c>
      <c r="D32">
        <v>0</v>
      </c>
      <c r="E32">
        <v>10.59</v>
      </c>
      <c r="F32">
        <v>1213299</v>
      </c>
      <c r="G32">
        <v>16567963</v>
      </c>
    </row>
    <row r="33" spans="1:253" x14ac:dyDescent="0.35">
      <c r="A33">
        <v>42</v>
      </c>
      <c r="B33">
        <v>7436052300</v>
      </c>
      <c r="C33">
        <v>29.75</v>
      </c>
      <c r="D33">
        <v>0</v>
      </c>
      <c r="E33">
        <v>10.59</v>
      </c>
      <c r="F33">
        <v>1274053</v>
      </c>
      <c r="G33">
        <v>17399969</v>
      </c>
    </row>
    <row r="34" spans="1:253" x14ac:dyDescent="0.35">
      <c r="A34">
        <v>44</v>
      </c>
      <c r="B34">
        <v>7449235220</v>
      </c>
      <c r="C34">
        <v>29.8</v>
      </c>
      <c r="D34">
        <v>0</v>
      </c>
      <c r="E34">
        <v>10.59</v>
      </c>
      <c r="F34">
        <v>1334890</v>
      </c>
      <c r="G34">
        <v>18231968</v>
      </c>
    </row>
    <row r="35" spans="1:253" x14ac:dyDescent="0.35">
      <c r="A35">
        <v>46</v>
      </c>
      <c r="B35">
        <v>7446578960</v>
      </c>
      <c r="C35">
        <v>29.79</v>
      </c>
      <c r="D35">
        <v>0</v>
      </c>
      <c r="E35">
        <v>10.59</v>
      </c>
      <c r="F35">
        <v>1395779</v>
      </c>
      <c r="G35">
        <v>19064016</v>
      </c>
    </row>
    <row r="36" spans="1:253" x14ac:dyDescent="0.35">
      <c r="A36">
        <v>48</v>
      </c>
      <c r="B36">
        <v>7439790740</v>
      </c>
      <c r="C36">
        <v>29.76</v>
      </c>
      <c r="D36">
        <v>0</v>
      </c>
      <c r="E36">
        <v>10.59</v>
      </c>
      <c r="F36">
        <v>1456586</v>
      </c>
      <c r="G36">
        <v>19896036</v>
      </c>
    </row>
    <row r="37" spans="1:253" x14ac:dyDescent="0.35">
      <c r="A37">
        <v>50</v>
      </c>
      <c r="B37">
        <v>7445988680</v>
      </c>
      <c r="C37">
        <v>29.78</v>
      </c>
      <c r="D37">
        <v>0</v>
      </c>
      <c r="E37">
        <v>10.59</v>
      </c>
      <c r="F37">
        <v>1517109</v>
      </c>
      <c r="G37">
        <v>20728063</v>
      </c>
    </row>
    <row r="38" spans="1:253" x14ac:dyDescent="0.35">
      <c r="A38">
        <v>52</v>
      </c>
      <c r="B38">
        <v>7443824320</v>
      </c>
      <c r="C38">
        <v>29.78</v>
      </c>
      <c r="D38">
        <v>0</v>
      </c>
      <c r="E38">
        <v>10.59</v>
      </c>
      <c r="F38">
        <v>1578042</v>
      </c>
      <c r="G38">
        <v>21560069</v>
      </c>
    </row>
    <row r="39" spans="1:253" x14ac:dyDescent="0.35">
      <c r="A39">
        <v>54</v>
      </c>
      <c r="B39">
        <v>7445103260</v>
      </c>
      <c r="C39">
        <v>29.78</v>
      </c>
      <c r="D39">
        <v>0</v>
      </c>
      <c r="E39">
        <v>10.59</v>
      </c>
      <c r="F39">
        <v>1638741</v>
      </c>
      <c r="G39">
        <v>22392096</v>
      </c>
    </row>
    <row r="40" spans="1:253" x14ac:dyDescent="0.35">
      <c r="A40">
        <v>56</v>
      </c>
      <c r="B40">
        <v>7451006060</v>
      </c>
      <c r="C40">
        <v>29.8</v>
      </c>
      <c r="D40">
        <v>0</v>
      </c>
      <c r="E40">
        <v>10.59</v>
      </c>
      <c r="F40">
        <v>1699628</v>
      </c>
      <c r="G40">
        <v>23224137</v>
      </c>
    </row>
    <row r="41" spans="1:253" x14ac:dyDescent="0.35">
      <c r="A41">
        <v>58</v>
      </c>
      <c r="B41">
        <v>7446578960</v>
      </c>
      <c r="C41">
        <v>29.79</v>
      </c>
      <c r="D41">
        <v>0</v>
      </c>
      <c r="E41">
        <v>10.59</v>
      </c>
      <c r="F41">
        <v>1760246</v>
      </c>
      <c r="G41">
        <v>24056178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20000000</v>
      </c>
      <c r="C44">
        <v>2263835</v>
      </c>
      <c r="D44">
        <v>0</v>
      </c>
      <c r="E44">
        <v>26.5029</v>
      </c>
      <c r="F44" s="3">
        <v>59998100</v>
      </c>
      <c r="G44">
        <v>29696.400000000001</v>
      </c>
      <c r="H44">
        <v>24890042</v>
      </c>
      <c r="I44">
        <v>0</v>
      </c>
      <c r="J44">
        <v>0</v>
      </c>
      <c r="K44" t="s">
        <v>117</v>
      </c>
      <c r="L44">
        <v>0</v>
      </c>
      <c r="M44">
        <v>2263835</v>
      </c>
      <c r="N44">
        <v>222716087300</v>
      </c>
      <c r="O44">
        <v>26.5046</v>
      </c>
      <c r="P44">
        <v>60002024</v>
      </c>
      <c r="Q44">
        <v>29694.5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112</v>
      </c>
      <c r="BO44">
        <v>6272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1821562</v>
      </c>
      <c r="CG44">
        <v>120222210</v>
      </c>
      <c r="CH44">
        <v>0</v>
      </c>
      <c r="CI44">
        <v>0</v>
      </c>
      <c r="CJ44">
        <v>24890044</v>
      </c>
      <c r="CK44">
        <v>224358830212</v>
      </c>
      <c r="CL44">
        <v>0</v>
      </c>
      <c r="CM44">
        <v>0</v>
      </c>
      <c r="CN44" t="s">
        <v>177</v>
      </c>
      <c r="CO44">
        <v>112</v>
      </c>
      <c r="CP44">
        <v>4704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132</v>
      </c>
      <c r="DH44">
        <v>8150</v>
      </c>
      <c r="DI44">
        <v>0</v>
      </c>
      <c r="DJ44">
        <v>2</v>
      </c>
      <c r="DK44">
        <v>53</v>
      </c>
      <c r="DL44">
        <v>2638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1821561</v>
      </c>
      <c r="DZ44">
        <v>94720282</v>
      </c>
      <c r="EA44">
        <v>0</v>
      </c>
      <c r="EB44">
        <v>0</v>
      </c>
      <c r="EC44">
        <v>3556378</v>
      </c>
      <c r="ED44">
        <v>222950808248</v>
      </c>
      <c r="EE44">
        <v>0</v>
      </c>
      <c r="EF44">
        <v>0</v>
      </c>
      <c r="EG44" t="s">
        <v>100</v>
      </c>
      <c r="EH44">
        <v>1821472</v>
      </c>
      <c r="EI44">
        <v>0</v>
      </c>
      <c r="EJ44">
        <v>24890042</v>
      </c>
      <c r="EK44">
        <v>0</v>
      </c>
      <c r="EL44">
        <v>0</v>
      </c>
      <c r="EM44" t="s">
        <v>129</v>
      </c>
      <c r="EN44" t="s">
        <v>271</v>
      </c>
      <c r="EO44">
        <v>28</v>
      </c>
      <c r="EP44">
        <v>6094</v>
      </c>
      <c r="EQ44">
        <v>0</v>
      </c>
      <c r="ER44">
        <v>0</v>
      </c>
      <c r="ES44">
        <v>30</v>
      </c>
      <c r="ET44">
        <v>10749</v>
      </c>
      <c r="EU44">
        <v>0</v>
      </c>
      <c r="EV44">
        <v>0</v>
      </c>
      <c r="EW44" t="s">
        <v>272</v>
      </c>
      <c r="EX44">
        <v>1005</v>
      </c>
      <c r="EY44">
        <v>64198</v>
      </c>
      <c r="EZ44">
        <v>0</v>
      </c>
      <c r="FA44">
        <v>2</v>
      </c>
      <c r="FB44">
        <v>1821631</v>
      </c>
      <c r="FC44">
        <v>120237597</v>
      </c>
      <c r="FD44">
        <v>0</v>
      </c>
      <c r="FE44">
        <v>0</v>
      </c>
      <c r="FF44" t="s">
        <v>273</v>
      </c>
      <c r="FG44">
        <v>58</v>
      </c>
      <c r="FH44">
        <v>3948</v>
      </c>
      <c r="FI44">
        <v>0</v>
      </c>
      <c r="FJ44">
        <v>0</v>
      </c>
      <c r="FK44">
        <v>88</v>
      </c>
      <c r="FL44">
        <v>6726</v>
      </c>
      <c r="FM44">
        <v>0</v>
      </c>
      <c r="FN44">
        <v>0</v>
      </c>
      <c r="FO44" t="s">
        <v>274</v>
      </c>
      <c r="FP44">
        <v>24892062</v>
      </c>
      <c r="FQ44">
        <v>224358994996</v>
      </c>
      <c r="FR44">
        <v>0</v>
      </c>
      <c r="FS44">
        <v>8</v>
      </c>
      <c r="FT44">
        <v>1821787</v>
      </c>
      <c r="FU44">
        <v>120258175</v>
      </c>
      <c r="FV44">
        <v>0</v>
      </c>
      <c r="FW44">
        <v>0</v>
      </c>
      <c r="FX44" t="s">
        <v>275</v>
      </c>
      <c r="FY44">
        <v>129</v>
      </c>
      <c r="FZ44">
        <v>16210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220</v>
      </c>
      <c r="GI44">
        <v>13816</v>
      </c>
      <c r="GJ44">
        <v>0</v>
      </c>
      <c r="GK44">
        <v>0</v>
      </c>
      <c r="GL44">
        <v>220</v>
      </c>
      <c r="GM44">
        <v>13816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24891057</v>
      </c>
      <c r="HA44">
        <v>224358930798</v>
      </c>
      <c r="HB44">
        <v>0</v>
      </c>
      <c r="HC44">
        <v>2</v>
      </c>
      <c r="HD44">
        <v>156</v>
      </c>
      <c r="HE44">
        <v>20578</v>
      </c>
      <c r="HF44">
        <v>0</v>
      </c>
      <c r="HG44">
        <v>0</v>
      </c>
      <c r="HH44" t="s">
        <v>278</v>
      </c>
      <c r="HI44">
        <v>3840155</v>
      </c>
      <c r="HJ44">
        <v>222915793876</v>
      </c>
      <c r="HK44">
        <v>0</v>
      </c>
      <c r="HL44">
        <v>0</v>
      </c>
      <c r="HM44">
        <v>1821540</v>
      </c>
      <c r="HN44">
        <v>120223992</v>
      </c>
      <c r="HO44">
        <v>0</v>
      </c>
      <c r="HP44">
        <v>0</v>
      </c>
      <c r="HQ44" t="s">
        <v>106</v>
      </c>
      <c r="HR44">
        <v>3838713</v>
      </c>
      <c r="HS44">
        <v>0</v>
      </c>
      <c r="HT44">
        <v>1821841</v>
      </c>
      <c r="HU44">
        <v>3</v>
      </c>
      <c r="HV44">
        <v>6</v>
      </c>
      <c r="HW44" t="s">
        <v>107</v>
      </c>
      <c r="HX44" t="s">
        <v>279</v>
      </c>
      <c r="HY44">
        <v>1003</v>
      </c>
      <c r="HZ44">
        <v>1821631</v>
      </c>
      <c r="IA44">
        <v>1007</v>
      </c>
      <c r="IB44">
        <v>1821632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24891057</v>
      </c>
      <c r="IK44">
        <v>156</v>
      </c>
      <c r="IL44">
        <v>24891065</v>
      </c>
      <c r="IM44">
        <v>157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9</v>
      </c>
      <c r="E46">
        <v>90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1</v>
      </c>
      <c r="E52">
        <v>98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88</v>
      </c>
      <c r="E53">
        <v>10</v>
      </c>
      <c r="F53">
        <v>0</v>
      </c>
      <c r="G53">
        <v>5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15</v>
      </c>
      <c r="E55">
        <v>84</v>
      </c>
      <c r="F55">
        <v>0</v>
      </c>
      <c r="G55">
        <v>1</v>
      </c>
      <c r="H55">
        <v>8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8</v>
      </c>
      <c r="E56">
        <v>91</v>
      </c>
      <c r="F56">
        <v>0</v>
      </c>
      <c r="G56">
        <v>0</v>
      </c>
      <c r="H56">
        <v>6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0</v>
      </c>
      <c r="E58">
        <v>99</v>
      </c>
      <c r="F58">
        <v>0</v>
      </c>
      <c r="G58">
        <v>0</v>
      </c>
      <c r="H58">
        <v>0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100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51</v>
      </c>
      <c r="E67">
        <v>47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100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99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99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99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99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99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99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100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99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99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99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IS124"/>
  <sheetViews>
    <sheetView topLeftCell="A6" zoomScale="75" zoomScaleNormal="75" workbookViewId="0"/>
  </sheetViews>
  <sheetFormatPr defaultColWidth="2" defaultRowHeight="14.5" x14ac:dyDescent="0.35"/>
  <cols>
    <col min="1" max="1" width="13.54296875" customWidth="1"/>
    <col min="2" max="2" width="15.54296875" bestFit="1" customWidth="1"/>
    <col min="3" max="3" width="14" bestFit="1" customWidth="1"/>
    <col min="4" max="4" width="14.90625" bestFit="1" customWidth="1"/>
    <col min="5" max="5" width="12.90625" bestFit="1" customWidth="1"/>
    <col min="6" max="6" width="17.6328125" bestFit="1" customWidth="1"/>
    <col min="7" max="7" width="14" bestFit="1" customWidth="1"/>
    <col min="8" max="8" width="15.6328125" bestFit="1" customWidth="1"/>
    <col min="9" max="9" width="17.6328125" bestFit="1" customWidth="1"/>
    <col min="10" max="10" width="16.6328125" bestFit="1" customWidth="1"/>
    <col min="11" max="11" width="12.36328125" bestFit="1" customWidth="1"/>
    <col min="12" max="12" width="15.54296875" bestFit="1" customWidth="1"/>
    <col min="13" max="13" width="12.08984375" bestFit="1" customWidth="1"/>
    <col min="14" max="14" width="14.6328125" bestFit="1" customWidth="1"/>
    <col min="15" max="15" width="11.6328125" bestFit="1" customWidth="1"/>
    <col min="16" max="16" width="10.6328125" bestFit="1" customWidth="1"/>
    <col min="17" max="17" width="15.453125" bestFit="1" customWidth="1"/>
    <col min="18" max="18" width="12.54296875" bestFit="1" customWidth="1"/>
    <col min="19" max="19" width="16.6328125" bestFit="1" customWidth="1"/>
    <col min="20" max="21" width="14.36328125" bestFit="1" customWidth="1"/>
    <col min="22" max="22" width="10.54296875" bestFit="1" customWidth="1"/>
    <col min="23" max="23" width="12.6328125" bestFit="1" customWidth="1"/>
    <col min="24" max="24" width="24" bestFit="1" customWidth="1"/>
    <col min="25" max="25" width="25.453125" bestFit="1" customWidth="1"/>
    <col min="26" max="26" width="19" bestFit="1" customWidth="1"/>
    <col min="27" max="27" width="16.08984375" bestFit="1" customWidth="1"/>
    <col min="28" max="28" width="15.453125" bestFit="1" customWidth="1"/>
    <col min="29" max="29" width="11.453125" bestFit="1" customWidth="1"/>
    <col min="30" max="30" width="10" bestFit="1" customWidth="1"/>
    <col min="31" max="31" width="16" bestFit="1" customWidth="1"/>
    <col min="32" max="32" width="15.453125" bestFit="1" customWidth="1"/>
    <col min="33" max="33" width="15.6328125" bestFit="1" customWidth="1"/>
    <col min="34" max="35" width="14.90625" bestFit="1" customWidth="1"/>
    <col min="36" max="36" width="15" bestFit="1" customWidth="1"/>
    <col min="37" max="37" width="12.54296875" bestFit="1" customWidth="1"/>
    <col min="38" max="38" width="11.36328125" bestFit="1" customWidth="1"/>
    <col min="39" max="39" width="13.90625" bestFit="1" customWidth="1"/>
    <col min="40" max="40" width="14" bestFit="1" customWidth="1"/>
    <col min="41" max="41" width="12.08984375" bestFit="1" customWidth="1"/>
    <col min="42" max="42" width="7.6328125" customWidth="1"/>
    <col min="43" max="43" width="16.54296875" bestFit="1" customWidth="1"/>
    <col min="44" max="44" width="14.6328125" bestFit="1" customWidth="1"/>
    <col min="45" max="45" width="14.08984375" bestFit="1" customWidth="1"/>
    <col min="46" max="46" width="14" bestFit="1" customWidth="1"/>
    <col min="47" max="47" width="13.6328125" bestFit="1" customWidth="1"/>
    <col min="48" max="48" width="17.36328125" bestFit="1" customWidth="1"/>
    <col min="49" max="49" width="18.36328125" bestFit="1" customWidth="1"/>
    <col min="50" max="50" width="11.6328125" bestFit="1" customWidth="1"/>
    <col min="51" max="51" width="18.90625" bestFit="1" customWidth="1"/>
    <col min="52" max="52" width="18.36328125" bestFit="1" customWidth="1"/>
    <col min="53" max="53" width="16.90625" bestFit="1" customWidth="1"/>
    <col min="54" max="54" width="15" bestFit="1" customWidth="1"/>
    <col min="55" max="55" width="15.90625" bestFit="1" customWidth="1"/>
    <col min="56" max="56" width="16.36328125" bestFit="1" customWidth="1"/>
    <col min="57" max="57" width="13.453125" bestFit="1" customWidth="1"/>
    <col min="58" max="58" width="16.54296875" bestFit="1" customWidth="1"/>
    <col min="59" max="59" width="13.90625" bestFit="1" customWidth="1"/>
    <col min="60" max="60" width="15" bestFit="1" customWidth="1"/>
    <col min="61" max="61" width="15.54296875" bestFit="1" customWidth="1"/>
    <col min="62" max="62" width="18.08984375" bestFit="1" customWidth="1"/>
    <col min="63" max="63" width="18" bestFit="1" customWidth="1"/>
    <col min="64" max="64" width="16" bestFit="1" customWidth="1"/>
    <col min="65" max="65" width="13.54296875" bestFit="1" customWidth="1"/>
    <col min="66" max="66" width="18.90625" bestFit="1" customWidth="1"/>
  </cols>
  <sheetData>
    <row r="1" spans="1:7" x14ac:dyDescent="0.35">
      <c r="A1" t="s">
        <v>332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333</v>
      </c>
    </row>
    <row r="5" spans="1:7" x14ac:dyDescent="0.35">
      <c r="A5" t="s">
        <v>189</v>
      </c>
    </row>
    <row r="6" spans="1:7" x14ac:dyDescent="0.35">
      <c r="A6" t="s">
        <v>167</v>
      </c>
    </row>
    <row r="7" spans="1:7" x14ac:dyDescent="0.35">
      <c r="A7" t="s">
        <v>168</v>
      </c>
    </row>
    <row r="8" spans="1:7" x14ac:dyDescent="0.35">
      <c r="A8" t="s">
        <v>267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6860430920</v>
      </c>
      <c r="C13">
        <v>27.45</v>
      </c>
      <c r="D13">
        <v>0</v>
      </c>
      <c r="E13">
        <v>10.41</v>
      </c>
      <c r="F13">
        <v>57194</v>
      </c>
      <c r="G13">
        <v>763868</v>
      </c>
    </row>
    <row r="14" spans="1:7" x14ac:dyDescent="0.35">
      <c r="A14">
        <v>4</v>
      </c>
      <c r="B14">
        <v>7439987500</v>
      </c>
      <c r="C14">
        <v>29.76</v>
      </c>
      <c r="D14">
        <v>0</v>
      </c>
      <c r="E14">
        <v>10.41</v>
      </c>
      <c r="F14">
        <v>117657</v>
      </c>
      <c r="G14">
        <v>1595902</v>
      </c>
    </row>
    <row r="15" spans="1:7" x14ac:dyDescent="0.35">
      <c r="A15">
        <v>6</v>
      </c>
      <c r="B15">
        <v>7456318580</v>
      </c>
      <c r="C15">
        <v>29.83</v>
      </c>
      <c r="D15">
        <v>0</v>
      </c>
      <c r="E15">
        <v>10.41</v>
      </c>
      <c r="F15">
        <v>178520</v>
      </c>
      <c r="G15">
        <v>2427950</v>
      </c>
    </row>
    <row r="16" spans="1:7" x14ac:dyDescent="0.35">
      <c r="A16">
        <v>8</v>
      </c>
      <c r="B16">
        <v>7438019900</v>
      </c>
      <c r="C16">
        <v>29.75</v>
      </c>
      <c r="D16">
        <v>0</v>
      </c>
      <c r="E16">
        <v>10.41</v>
      </c>
      <c r="F16">
        <v>239577</v>
      </c>
      <c r="G16">
        <v>3259984</v>
      </c>
    </row>
    <row r="17" spans="1:7" x14ac:dyDescent="0.35">
      <c r="A17">
        <v>10</v>
      </c>
      <c r="B17">
        <v>7440282640</v>
      </c>
      <c r="C17">
        <v>29.76</v>
      </c>
      <c r="D17">
        <v>0</v>
      </c>
      <c r="E17">
        <v>10.41</v>
      </c>
      <c r="F17">
        <v>300498</v>
      </c>
      <c r="G17">
        <v>4092018</v>
      </c>
    </row>
    <row r="18" spans="1:7" x14ac:dyDescent="0.35">
      <c r="A18">
        <v>12</v>
      </c>
      <c r="B18">
        <v>7446185440</v>
      </c>
      <c r="C18">
        <v>29.78</v>
      </c>
      <c r="D18">
        <v>0</v>
      </c>
      <c r="E18">
        <v>10.41</v>
      </c>
      <c r="F18">
        <v>361709</v>
      </c>
      <c r="G18">
        <v>4924010</v>
      </c>
    </row>
    <row r="19" spans="1:7" x14ac:dyDescent="0.35">
      <c r="A19">
        <v>14</v>
      </c>
      <c r="B19">
        <v>7452481760</v>
      </c>
      <c r="C19">
        <v>29.81</v>
      </c>
      <c r="D19">
        <v>0</v>
      </c>
      <c r="E19">
        <v>10.41</v>
      </c>
      <c r="F19">
        <v>423013</v>
      </c>
      <c r="G19">
        <v>5756051</v>
      </c>
    </row>
    <row r="20" spans="1:7" x14ac:dyDescent="0.35">
      <c r="A20">
        <v>16</v>
      </c>
      <c r="B20">
        <v>7441758340</v>
      </c>
      <c r="C20">
        <v>29.77</v>
      </c>
      <c r="D20">
        <v>0</v>
      </c>
      <c r="E20">
        <v>10.41</v>
      </c>
      <c r="F20">
        <v>484374</v>
      </c>
      <c r="G20">
        <v>6588078</v>
      </c>
    </row>
    <row r="21" spans="1:7" x14ac:dyDescent="0.35">
      <c r="A21">
        <v>18</v>
      </c>
      <c r="B21">
        <v>7443627560</v>
      </c>
      <c r="C21">
        <v>29.77</v>
      </c>
      <c r="D21">
        <v>0</v>
      </c>
      <c r="E21">
        <v>10.41</v>
      </c>
      <c r="F21">
        <v>545653</v>
      </c>
      <c r="G21">
        <v>7420105</v>
      </c>
    </row>
    <row r="22" spans="1:7" x14ac:dyDescent="0.35">
      <c r="A22">
        <v>20</v>
      </c>
      <c r="B22">
        <v>7444217840</v>
      </c>
      <c r="C22">
        <v>29.78</v>
      </c>
      <c r="D22">
        <v>0</v>
      </c>
      <c r="E22">
        <v>10.41</v>
      </c>
      <c r="F22">
        <v>606348</v>
      </c>
      <c r="G22">
        <v>8252146</v>
      </c>
    </row>
    <row r="23" spans="1:7" x14ac:dyDescent="0.35">
      <c r="A23">
        <v>22</v>
      </c>
      <c r="B23">
        <v>7441758340</v>
      </c>
      <c r="C23">
        <v>29.77</v>
      </c>
      <c r="D23">
        <v>0</v>
      </c>
      <c r="E23">
        <v>10.6</v>
      </c>
      <c r="F23">
        <v>666637</v>
      </c>
      <c r="G23">
        <v>9083767</v>
      </c>
    </row>
    <row r="24" spans="1:7" x14ac:dyDescent="0.35">
      <c r="A24">
        <v>24</v>
      </c>
      <c r="B24">
        <v>7439987500</v>
      </c>
      <c r="C24">
        <v>29.76</v>
      </c>
      <c r="D24">
        <v>0</v>
      </c>
      <c r="E24">
        <v>10.6</v>
      </c>
      <c r="F24">
        <v>726933</v>
      </c>
      <c r="G24">
        <v>9915794</v>
      </c>
    </row>
    <row r="25" spans="1:7" x14ac:dyDescent="0.35">
      <c r="A25">
        <v>26</v>
      </c>
      <c r="B25">
        <v>7444906500</v>
      </c>
      <c r="C25">
        <v>29.78</v>
      </c>
      <c r="D25">
        <v>0</v>
      </c>
      <c r="E25">
        <v>10.6</v>
      </c>
      <c r="F25">
        <v>787325</v>
      </c>
      <c r="G25">
        <v>10747814</v>
      </c>
    </row>
    <row r="26" spans="1:7" x14ac:dyDescent="0.35">
      <c r="A26">
        <v>28</v>
      </c>
      <c r="B26">
        <v>7451694720</v>
      </c>
      <c r="C26">
        <v>29.81</v>
      </c>
      <c r="D26">
        <v>0</v>
      </c>
      <c r="E26">
        <v>10.6</v>
      </c>
      <c r="F26">
        <v>847993</v>
      </c>
      <c r="G26">
        <v>11579813</v>
      </c>
    </row>
    <row r="27" spans="1:7" x14ac:dyDescent="0.35">
      <c r="A27">
        <v>30</v>
      </c>
      <c r="B27">
        <v>7439889120</v>
      </c>
      <c r="C27">
        <v>29.76</v>
      </c>
      <c r="D27">
        <v>0</v>
      </c>
      <c r="E27">
        <v>10.6</v>
      </c>
      <c r="F27">
        <v>908581</v>
      </c>
      <c r="G27">
        <v>12411854</v>
      </c>
    </row>
    <row r="28" spans="1:7" x14ac:dyDescent="0.35">
      <c r="A28">
        <v>32</v>
      </c>
      <c r="B28">
        <v>7453268800</v>
      </c>
      <c r="C28">
        <v>29.81</v>
      </c>
      <c r="D28">
        <v>0</v>
      </c>
      <c r="E28">
        <v>10.6</v>
      </c>
      <c r="F28">
        <v>969145</v>
      </c>
      <c r="G28">
        <v>13243881</v>
      </c>
    </row>
    <row r="29" spans="1:7" x14ac:dyDescent="0.35">
      <c r="A29">
        <v>34</v>
      </c>
      <c r="B29">
        <v>7440676160</v>
      </c>
      <c r="C29">
        <v>29.76</v>
      </c>
      <c r="D29">
        <v>0</v>
      </c>
      <c r="E29">
        <v>10.6</v>
      </c>
      <c r="F29">
        <v>1029893</v>
      </c>
      <c r="G29">
        <v>14075901</v>
      </c>
    </row>
    <row r="30" spans="1:7" x14ac:dyDescent="0.35">
      <c r="A30">
        <v>36</v>
      </c>
      <c r="B30">
        <v>7448054660</v>
      </c>
      <c r="C30">
        <v>29.79</v>
      </c>
      <c r="D30">
        <v>0</v>
      </c>
      <c r="E30">
        <v>10.6</v>
      </c>
      <c r="F30">
        <v>1090559</v>
      </c>
      <c r="G30">
        <v>14907914</v>
      </c>
    </row>
    <row r="31" spans="1:7" x14ac:dyDescent="0.35">
      <c r="A31">
        <v>38</v>
      </c>
      <c r="B31">
        <v>7445496780</v>
      </c>
      <c r="C31">
        <v>29.78</v>
      </c>
      <c r="D31">
        <v>0</v>
      </c>
      <c r="E31">
        <v>10.6</v>
      </c>
      <c r="F31">
        <v>1151312</v>
      </c>
      <c r="G31">
        <v>15739934</v>
      </c>
    </row>
    <row r="32" spans="1:7" x14ac:dyDescent="0.35">
      <c r="A32">
        <v>40</v>
      </c>
      <c r="B32">
        <v>7441463200</v>
      </c>
      <c r="C32">
        <v>29.77</v>
      </c>
      <c r="D32">
        <v>0</v>
      </c>
      <c r="E32">
        <v>10.6</v>
      </c>
      <c r="F32">
        <v>1212167</v>
      </c>
      <c r="G32">
        <v>16571961</v>
      </c>
    </row>
    <row r="33" spans="1:253" x14ac:dyDescent="0.35">
      <c r="A33">
        <v>42</v>
      </c>
      <c r="B33">
        <v>7444316220</v>
      </c>
      <c r="C33">
        <v>29.78</v>
      </c>
      <c r="D33">
        <v>0</v>
      </c>
      <c r="E33">
        <v>10.6</v>
      </c>
      <c r="F33">
        <v>1272993</v>
      </c>
      <c r="G33">
        <v>17403988</v>
      </c>
    </row>
    <row r="34" spans="1:253" x14ac:dyDescent="0.35">
      <c r="A34">
        <v>44</v>
      </c>
      <c r="B34">
        <v>7444414600</v>
      </c>
      <c r="C34">
        <v>29.78</v>
      </c>
      <c r="D34">
        <v>0</v>
      </c>
      <c r="E34">
        <v>10.6</v>
      </c>
      <c r="F34">
        <v>1333896</v>
      </c>
      <c r="G34">
        <v>18235973</v>
      </c>
    </row>
    <row r="35" spans="1:253" x14ac:dyDescent="0.35">
      <c r="A35">
        <v>46</v>
      </c>
      <c r="B35">
        <v>7441955100</v>
      </c>
      <c r="C35">
        <v>29.77</v>
      </c>
      <c r="D35">
        <v>0</v>
      </c>
      <c r="E35">
        <v>10.6</v>
      </c>
      <c r="F35">
        <v>1394821</v>
      </c>
      <c r="G35">
        <v>19068000</v>
      </c>
    </row>
    <row r="36" spans="1:253" x14ac:dyDescent="0.35">
      <c r="A36">
        <v>48</v>
      </c>
      <c r="B36">
        <v>7445398400</v>
      </c>
      <c r="C36">
        <v>29.78</v>
      </c>
      <c r="D36">
        <v>0</v>
      </c>
      <c r="E36">
        <v>10.6</v>
      </c>
      <c r="F36">
        <v>1455875</v>
      </c>
      <c r="G36">
        <v>19900034</v>
      </c>
    </row>
    <row r="37" spans="1:253" x14ac:dyDescent="0.35">
      <c r="A37">
        <v>50</v>
      </c>
      <c r="B37">
        <v>7450612540</v>
      </c>
      <c r="C37">
        <v>29.8</v>
      </c>
      <c r="D37">
        <v>0</v>
      </c>
      <c r="E37">
        <v>10.6</v>
      </c>
      <c r="F37">
        <v>1516754</v>
      </c>
      <c r="G37">
        <v>20732040</v>
      </c>
    </row>
    <row r="38" spans="1:253" x14ac:dyDescent="0.35">
      <c r="A38">
        <v>52</v>
      </c>
      <c r="B38">
        <v>7440577780</v>
      </c>
      <c r="C38">
        <v>29.76</v>
      </c>
      <c r="D38">
        <v>0</v>
      </c>
      <c r="E38">
        <v>10.6</v>
      </c>
      <c r="F38">
        <v>1577854</v>
      </c>
      <c r="G38">
        <v>21564081</v>
      </c>
    </row>
    <row r="39" spans="1:253" x14ac:dyDescent="0.35">
      <c r="A39">
        <v>54</v>
      </c>
      <c r="B39">
        <v>7449727120</v>
      </c>
      <c r="C39">
        <v>29.8</v>
      </c>
      <c r="D39">
        <v>0</v>
      </c>
      <c r="E39">
        <v>10.6</v>
      </c>
      <c r="F39">
        <v>1638930</v>
      </c>
      <c r="G39">
        <v>22396115</v>
      </c>
    </row>
    <row r="40" spans="1:253" x14ac:dyDescent="0.35">
      <c r="A40">
        <v>56</v>
      </c>
      <c r="B40">
        <v>7448546560</v>
      </c>
      <c r="C40">
        <v>29.79</v>
      </c>
      <c r="D40">
        <v>0</v>
      </c>
      <c r="E40">
        <v>10.6</v>
      </c>
      <c r="F40">
        <v>1699972</v>
      </c>
      <c r="G40">
        <v>23228135</v>
      </c>
    </row>
    <row r="41" spans="1:253" x14ac:dyDescent="0.35">
      <c r="A41">
        <v>58</v>
      </c>
      <c r="B41">
        <v>7444709740</v>
      </c>
      <c r="C41">
        <v>29.78</v>
      </c>
      <c r="D41">
        <v>0</v>
      </c>
      <c r="E41">
        <v>10.6</v>
      </c>
      <c r="F41">
        <v>1760990</v>
      </c>
      <c r="G41">
        <v>24060169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22000000</v>
      </c>
      <c r="C44">
        <v>2264246</v>
      </c>
      <c r="D44">
        <v>0</v>
      </c>
      <c r="E44">
        <v>26.498699999999999</v>
      </c>
      <c r="F44" s="3">
        <v>59999600</v>
      </c>
      <c r="G44">
        <v>29701.1</v>
      </c>
      <c r="H44">
        <v>24894560</v>
      </c>
      <c r="I44">
        <v>0</v>
      </c>
      <c r="J44">
        <v>0</v>
      </c>
      <c r="K44" t="s">
        <v>117</v>
      </c>
      <c r="L44">
        <v>0</v>
      </c>
      <c r="M44">
        <v>2264246</v>
      </c>
      <c r="N44">
        <v>222756521480</v>
      </c>
      <c r="O44">
        <v>26.500299999999999</v>
      </c>
      <c r="P44">
        <v>60003234</v>
      </c>
      <c r="Q44">
        <v>29699.3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109</v>
      </c>
      <c r="BO44">
        <v>6104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1822195</v>
      </c>
      <c r="CG44">
        <v>120263758</v>
      </c>
      <c r="CH44">
        <v>0</v>
      </c>
      <c r="CI44">
        <v>0</v>
      </c>
      <c r="CJ44">
        <v>24894562</v>
      </c>
      <c r="CK44">
        <v>224399562580</v>
      </c>
      <c r="CL44">
        <v>0</v>
      </c>
      <c r="CM44">
        <v>0</v>
      </c>
      <c r="CN44" t="s">
        <v>177</v>
      </c>
      <c r="CO44">
        <v>109</v>
      </c>
      <c r="CP44">
        <v>4578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100</v>
      </c>
      <c r="DH44">
        <v>6230</v>
      </c>
      <c r="DI44">
        <v>0</v>
      </c>
      <c r="DJ44">
        <v>2</v>
      </c>
      <c r="DK44">
        <v>52</v>
      </c>
      <c r="DL44">
        <v>2592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1822194</v>
      </c>
      <c r="DZ44">
        <v>94752968</v>
      </c>
      <c r="EA44">
        <v>0</v>
      </c>
      <c r="EB44">
        <v>0</v>
      </c>
      <c r="EC44">
        <v>3557005</v>
      </c>
      <c r="ED44">
        <v>222991283810</v>
      </c>
      <c r="EE44">
        <v>0</v>
      </c>
      <c r="EF44">
        <v>0</v>
      </c>
      <c r="EG44" t="s">
        <v>100</v>
      </c>
      <c r="EH44">
        <v>1822082</v>
      </c>
      <c r="EI44">
        <v>0</v>
      </c>
      <c r="EJ44">
        <v>24894560</v>
      </c>
      <c r="EK44">
        <v>0</v>
      </c>
      <c r="EL44">
        <v>0</v>
      </c>
      <c r="EM44" t="s">
        <v>129</v>
      </c>
      <c r="EN44" t="s">
        <v>271</v>
      </c>
      <c r="EO44">
        <v>5</v>
      </c>
      <c r="EP44">
        <v>336</v>
      </c>
      <c r="EQ44">
        <v>0</v>
      </c>
      <c r="ER44">
        <v>0</v>
      </c>
      <c r="ES44">
        <v>5</v>
      </c>
      <c r="ET44">
        <v>430</v>
      </c>
      <c r="EU44">
        <v>0</v>
      </c>
      <c r="EV44">
        <v>0</v>
      </c>
      <c r="EW44" t="s">
        <v>272</v>
      </c>
      <c r="EX44">
        <v>825</v>
      </c>
      <c r="EY44">
        <v>53372</v>
      </c>
      <c r="EZ44">
        <v>0</v>
      </c>
      <c r="FA44">
        <v>2</v>
      </c>
      <c r="FB44">
        <v>138</v>
      </c>
      <c r="FC44">
        <v>13895</v>
      </c>
      <c r="FD44">
        <v>0</v>
      </c>
      <c r="FE44">
        <v>0</v>
      </c>
      <c r="FF44" t="s">
        <v>273</v>
      </c>
      <c r="FG44">
        <v>60</v>
      </c>
      <c r="FH44">
        <v>4032</v>
      </c>
      <c r="FI44">
        <v>0</v>
      </c>
      <c r="FJ44">
        <v>0</v>
      </c>
      <c r="FK44">
        <v>88</v>
      </c>
      <c r="FL44">
        <v>6726</v>
      </c>
      <c r="FM44">
        <v>0</v>
      </c>
      <c r="FN44">
        <v>0</v>
      </c>
      <c r="FO44" t="s">
        <v>274</v>
      </c>
      <c r="FP44">
        <v>24896281</v>
      </c>
      <c r="FQ44">
        <v>224399675458</v>
      </c>
      <c r="FR44">
        <v>0</v>
      </c>
      <c r="FS44">
        <v>8</v>
      </c>
      <c r="FT44">
        <v>1822345</v>
      </c>
      <c r="FU44">
        <v>120285343</v>
      </c>
      <c r="FV44">
        <v>0</v>
      </c>
      <c r="FW44">
        <v>0</v>
      </c>
      <c r="FX44" t="s">
        <v>275</v>
      </c>
      <c r="FY44">
        <v>142</v>
      </c>
      <c r="FZ44">
        <v>17552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280</v>
      </c>
      <c r="GI44">
        <v>17584</v>
      </c>
      <c r="GJ44">
        <v>0</v>
      </c>
      <c r="GK44">
        <v>0</v>
      </c>
      <c r="GL44">
        <v>280</v>
      </c>
      <c r="GM44">
        <v>17584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24895456</v>
      </c>
      <c r="HA44">
        <v>224399622086</v>
      </c>
      <c r="HB44">
        <v>0</v>
      </c>
      <c r="HC44">
        <v>2</v>
      </c>
      <c r="HD44">
        <v>1822207</v>
      </c>
      <c r="HE44">
        <v>120271448</v>
      </c>
      <c r="HF44">
        <v>0</v>
      </c>
      <c r="HG44">
        <v>0</v>
      </c>
      <c r="HH44" t="s">
        <v>278</v>
      </c>
      <c r="HI44">
        <v>3859592</v>
      </c>
      <c r="HJ44">
        <v>222957211190</v>
      </c>
      <c r="HK44">
        <v>0</v>
      </c>
      <c r="HL44">
        <v>0</v>
      </c>
      <c r="HM44">
        <v>1822126</v>
      </c>
      <c r="HN44">
        <v>120261757</v>
      </c>
      <c r="HO44">
        <v>0</v>
      </c>
      <c r="HP44">
        <v>0</v>
      </c>
      <c r="HQ44" t="s">
        <v>106</v>
      </c>
      <c r="HR44">
        <v>3858429</v>
      </c>
      <c r="HS44">
        <v>0</v>
      </c>
      <c r="HT44">
        <v>1822455</v>
      </c>
      <c r="HU44">
        <v>0</v>
      </c>
      <c r="HV44">
        <v>6</v>
      </c>
      <c r="HW44" t="s">
        <v>107</v>
      </c>
      <c r="HX44" t="s">
        <v>279</v>
      </c>
      <c r="HY44">
        <v>825</v>
      </c>
      <c r="HZ44">
        <v>138</v>
      </c>
      <c r="IA44">
        <v>831</v>
      </c>
      <c r="IB44">
        <v>139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24895456</v>
      </c>
      <c r="IK44">
        <v>1822207</v>
      </c>
      <c r="IL44">
        <v>24895460</v>
      </c>
      <c r="IM44">
        <v>1822208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10</v>
      </c>
      <c r="E46">
        <v>89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1</v>
      </c>
      <c r="E50">
        <v>98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1</v>
      </c>
      <c r="E51">
        <v>98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90</v>
      </c>
      <c r="E53">
        <v>9</v>
      </c>
      <c r="F53">
        <v>0</v>
      </c>
      <c r="G53">
        <v>5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5</v>
      </c>
      <c r="E55">
        <v>94</v>
      </c>
      <c r="F55">
        <v>0</v>
      </c>
      <c r="G55">
        <v>0</v>
      </c>
      <c r="H55">
        <v>2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10</v>
      </c>
      <c r="E56">
        <v>89</v>
      </c>
      <c r="F56">
        <v>0</v>
      </c>
      <c r="G56">
        <v>1</v>
      </c>
      <c r="H56">
        <v>5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8</v>
      </c>
      <c r="E58">
        <v>91</v>
      </c>
      <c r="F58">
        <v>0</v>
      </c>
      <c r="G58">
        <v>0</v>
      </c>
      <c r="H58">
        <v>6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1</v>
      </c>
      <c r="E60">
        <v>98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76</v>
      </c>
      <c r="E67">
        <v>22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100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99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100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99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99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99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100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100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100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100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100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99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99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IS124"/>
  <sheetViews>
    <sheetView topLeftCell="A13" workbookViewId="0"/>
  </sheetViews>
  <sheetFormatPr defaultRowHeight="14.5" x14ac:dyDescent="0.35"/>
  <cols>
    <col min="2" max="2" width="12.36328125" customWidth="1"/>
    <col min="7" max="7" width="12" customWidth="1"/>
    <col min="1053" max="1053" width="10.81640625" bestFit="1" customWidth="1"/>
    <col min="1063" max="1063" width="11.54296875" customWidth="1"/>
  </cols>
  <sheetData>
    <row r="1" spans="1:7" x14ac:dyDescent="0.35">
      <c r="A1" t="s">
        <v>334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335</v>
      </c>
    </row>
    <row r="5" spans="1:7" x14ac:dyDescent="0.35">
      <c r="A5" t="s">
        <v>193</v>
      </c>
    </row>
    <row r="6" spans="1:7" x14ac:dyDescent="0.35">
      <c r="A6" t="s">
        <v>290</v>
      </c>
    </row>
    <row r="7" spans="1:7" x14ac:dyDescent="0.35">
      <c r="A7" t="s">
        <v>168</v>
      </c>
    </row>
    <row r="8" spans="1:7" x14ac:dyDescent="0.35">
      <c r="A8" t="s">
        <v>194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3117071920</v>
      </c>
      <c r="C13">
        <v>12.47</v>
      </c>
      <c r="D13">
        <v>4</v>
      </c>
      <c r="E13">
        <v>4.83</v>
      </c>
      <c r="F13">
        <v>30536</v>
      </c>
      <c r="G13">
        <v>344896</v>
      </c>
    </row>
    <row r="14" spans="1:7" x14ac:dyDescent="0.35">
      <c r="A14">
        <v>4</v>
      </c>
      <c r="B14">
        <v>1764642060</v>
      </c>
      <c r="C14">
        <v>7.06</v>
      </c>
      <c r="D14">
        <v>5</v>
      </c>
      <c r="E14">
        <v>3.34</v>
      </c>
      <c r="F14">
        <v>55566</v>
      </c>
      <c r="G14">
        <v>541372</v>
      </c>
    </row>
    <row r="15" spans="1:7" x14ac:dyDescent="0.35">
      <c r="A15">
        <v>6</v>
      </c>
      <c r="B15">
        <v>1900406460</v>
      </c>
      <c r="C15">
        <v>7.6</v>
      </c>
      <c r="D15">
        <v>6</v>
      </c>
      <c r="E15">
        <v>1.91</v>
      </c>
      <c r="F15">
        <v>84253</v>
      </c>
      <c r="G15">
        <v>754144</v>
      </c>
    </row>
    <row r="16" spans="1:7" x14ac:dyDescent="0.35">
      <c r="A16">
        <v>8</v>
      </c>
      <c r="B16">
        <v>1456122380</v>
      </c>
      <c r="C16">
        <v>5.82</v>
      </c>
      <c r="D16">
        <v>4</v>
      </c>
      <c r="E16">
        <v>2.71</v>
      </c>
      <c r="F16">
        <v>107833</v>
      </c>
      <c r="G16">
        <v>916390</v>
      </c>
    </row>
    <row r="17" spans="1:7" x14ac:dyDescent="0.35">
      <c r="A17">
        <v>10</v>
      </c>
      <c r="B17">
        <v>1615497980</v>
      </c>
      <c r="C17">
        <v>6.46</v>
      </c>
      <c r="D17">
        <v>4</v>
      </c>
      <c r="E17">
        <v>2.85</v>
      </c>
      <c r="F17">
        <v>132113</v>
      </c>
      <c r="G17">
        <v>1096493</v>
      </c>
    </row>
    <row r="18" spans="1:7" x14ac:dyDescent="0.35">
      <c r="A18">
        <v>12</v>
      </c>
      <c r="B18">
        <v>1601134500</v>
      </c>
      <c r="C18">
        <v>6.4</v>
      </c>
      <c r="D18">
        <v>5</v>
      </c>
      <c r="E18">
        <v>2.02</v>
      </c>
      <c r="F18">
        <v>155214</v>
      </c>
      <c r="G18">
        <v>1275245</v>
      </c>
    </row>
    <row r="19" spans="1:7" x14ac:dyDescent="0.35">
      <c r="A19">
        <v>14</v>
      </c>
      <c r="B19">
        <v>1530989560</v>
      </c>
      <c r="C19">
        <v>6.12</v>
      </c>
      <c r="D19">
        <v>4</v>
      </c>
      <c r="E19">
        <v>3.22</v>
      </c>
      <c r="F19">
        <v>192390</v>
      </c>
      <c r="G19">
        <v>1447025</v>
      </c>
    </row>
    <row r="20" spans="1:7" x14ac:dyDescent="0.35">
      <c r="A20">
        <v>16</v>
      </c>
      <c r="B20">
        <v>1277759440</v>
      </c>
      <c r="C20">
        <v>5.1100000000000003</v>
      </c>
      <c r="D20">
        <v>8</v>
      </c>
      <c r="E20">
        <v>1.55</v>
      </c>
      <c r="F20">
        <v>224935</v>
      </c>
      <c r="G20">
        <v>1589979</v>
      </c>
    </row>
    <row r="21" spans="1:7" x14ac:dyDescent="0.35">
      <c r="A21">
        <v>18</v>
      </c>
      <c r="B21">
        <v>1588443480</v>
      </c>
      <c r="C21">
        <v>6.35</v>
      </c>
      <c r="D21">
        <v>3</v>
      </c>
      <c r="E21">
        <v>2.5099999999999998</v>
      </c>
      <c r="F21">
        <v>253008</v>
      </c>
      <c r="G21">
        <v>1767562</v>
      </c>
    </row>
    <row r="22" spans="1:7" x14ac:dyDescent="0.35">
      <c r="A22">
        <v>20</v>
      </c>
      <c r="B22">
        <v>1739456780</v>
      </c>
      <c r="C22">
        <v>6.96</v>
      </c>
      <c r="D22">
        <v>3</v>
      </c>
      <c r="E22">
        <v>2.97</v>
      </c>
      <c r="F22">
        <v>272786</v>
      </c>
      <c r="G22">
        <v>1961224</v>
      </c>
    </row>
    <row r="23" spans="1:7" x14ac:dyDescent="0.35">
      <c r="A23">
        <v>22</v>
      </c>
      <c r="B23">
        <v>2462451400</v>
      </c>
      <c r="C23">
        <v>9.85</v>
      </c>
      <c r="D23">
        <v>4</v>
      </c>
      <c r="E23">
        <v>1.85</v>
      </c>
      <c r="F23">
        <v>297797</v>
      </c>
      <c r="G23">
        <v>2237507</v>
      </c>
    </row>
    <row r="24" spans="1:7" x14ac:dyDescent="0.35">
      <c r="A24">
        <v>24</v>
      </c>
      <c r="B24">
        <v>1568177200</v>
      </c>
      <c r="C24">
        <v>6.27</v>
      </c>
      <c r="D24">
        <v>4</v>
      </c>
      <c r="E24">
        <v>1.93</v>
      </c>
      <c r="F24">
        <v>322830</v>
      </c>
      <c r="G24">
        <v>2412234</v>
      </c>
    </row>
    <row r="25" spans="1:7" x14ac:dyDescent="0.35">
      <c r="A25">
        <v>26</v>
      </c>
      <c r="B25">
        <v>1732471800</v>
      </c>
      <c r="C25">
        <v>6.93</v>
      </c>
      <c r="D25">
        <v>2</v>
      </c>
      <c r="E25">
        <v>3.67</v>
      </c>
      <c r="F25">
        <v>345304</v>
      </c>
      <c r="G25">
        <v>2606463</v>
      </c>
    </row>
    <row r="26" spans="1:7" x14ac:dyDescent="0.35">
      <c r="A26">
        <v>28</v>
      </c>
      <c r="B26">
        <v>1686823480</v>
      </c>
      <c r="C26">
        <v>6.75</v>
      </c>
      <c r="D26">
        <v>6</v>
      </c>
      <c r="E26">
        <v>1.7</v>
      </c>
      <c r="F26">
        <v>371668</v>
      </c>
      <c r="G26">
        <v>2793713</v>
      </c>
    </row>
    <row r="27" spans="1:7" x14ac:dyDescent="0.35">
      <c r="A27">
        <v>30</v>
      </c>
      <c r="B27">
        <v>1345936780</v>
      </c>
      <c r="C27">
        <v>5.38</v>
      </c>
      <c r="D27">
        <v>6</v>
      </c>
      <c r="E27">
        <v>1.26</v>
      </c>
      <c r="F27">
        <v>399968</v>
      </c>
      <c r="G27">
        <v>2943807</v>
      </c>
    </row>
    <row r="28" spans="1:7" x14ac:dyDescent="0.35">
      <c r="A28">
        <v>32</v>
      </c>
      <c r="B28">
        <v>1595526840</v>
      </c>
      <c r="C28">
        <v>6.38</v>
      </c>
      <c r="D28">
        <v>2</v>
      </c>
      <c r="E28">
        <v>2.78</v>
      </c>
      <c r="F28">
        <v>422342</v>
      </c>
      <c r="G28">
        <v>3123798</v>
      </c>
    </row>
    <row r="29" spans="1:7" x14ac:dyDescent="0.35">
      <c r="A29">
        <v>34</v>
      </c>
      <c r="B29">
        <v>2249458700</v>
      </c>
      <c r="C29">
        <v>9</v>
      </c>
      <c r="D29">
        <v>5</v>
      </c>
      <c r="E29">
        <v>1.42</v>
      </c>
      <c r="F29">
        <v>451597</v>
      </c>
      <c r="G29">
        <v>3374279</v>
      </c>
    </row>
    <row r="30" spans="1:7" x14ac:dyDescent="0.35">
      <c r="A30">
        <v>36</v>
      </c>
      <c r="B30">
        <v>1164130540</v>
      </c>
      <c r="C30">
        <v>4.66</v>
      </c>
      <c r="D30">
        <v>5</v>
      </c>
      <c r="E30">
        <v>2.64</v>
      </c>
      <c r="F30">
        <v>483047</v>
      </c>
      <c r="G30">
        <v>3504244</v>
      </c>
    </row>
    <row r="31" spans="1:7" x14ac:dyDescent="0.35">
      <c r="A31">
        <v>38</v>
      </c>
      <c r="B31">
        <v>1738374600</v>
      </c>
      <c r="C31">
        <v>6.95</v>
      </c>
      <c r="D31">
        <v>4</v>
      </c>
      <c r="E31">
        <v>2.4</v>
      </c>
      <c r="F31">
        <v>505299</v>
      </c>
      <c r="G31">
        <v>3698036</v>
      </c>
    </row>
    <row r="32" spans="1:7" x14ac:dyDescent="0.35">
      <c r="A32">
        <v>40</v>
      </c>
      <c r="B32">
        <v>1810388760</v>
      </c>
      <c r="C32">
        <v>7.24</v>
      </c>
      <c r="D32">
        <v>5</v>
      </c>
      <c r="E32">
        <v>1.52</v>
      </c>
      <c r="F32">
        <v>529247</v>
      </c>
      <c r="G32">
        <v>3901085</v>
      </c>
    </row>
    <row r="33" spans="1:253" x14ac:dyDescent="0.35">
      <c r="A33">
        <v>42</v>
      </c>
      <c r="B33">
        <v>1600839360</v>
      </c>
      <c r="C33">
        <v>6.4</v>
      </c>
      <c r="D33">
        <v>3</v>
      </c>
      <c r="E33">
        <v>2.2799999999999998</v>
      </c>
      <c r="F33">
        <v>552694</v>
      </c>
      <c r="G33">
        <v>4079480</v>
      </c>
    </row>
    <row r="34" spans="1:253" x14ac:dyDescent="0.35">
      <c r="A34">
        <v>44</v>
      </c>
      <c r="B34">
        <v>1886042980</v>
      </c>
      <c r="C34">
        <v>7.54</v>
      </c>
      <c r="D34">
        <v>3</v>
      </c>
      <c r="E34">
        <v>2.5</v>
      </c>
      <c r="F34">
        <v>573277</v>
      </c>
      <c r="G34">
        <v>4289921</v>
      </c>
    </row>
    <row r="35" spans="1:253" x14ac:dyDescent="0.35">
      <c r="A35">
        <v>46</v>
      </c>
      <c r="B35">
        <v>1677870900</v>
      </c>
      <c r="C35">
        <v>6.71</v>
      </c>
      <c r="D35">
        <v>5</v>
      </c>
      <c r="E35">
        <v>1.82</v>
      </c>
      <c r="F35">
        <v>597961</v>
      </c>
      <c r="G35">
        <v>4477871</v>
      </c>
    </row>
    <row r="36" spans="1:253" x14ac:dyDescent="0.35">
      <c r="A36">
        <v>48</v>
      </c>
      <c r="B36">
        <v>1574080000</v>
      </c>
      <c r="C36">
        <v>6.3</v>
      </c>
      <c r="D36">
        <v>3</v>
      </c>
      <c r="E36">
        <v>2.74</v>
      </c>
      <c r="F36">
        <v>620564</v>
      </c>
      <c r="G36">
        <v>4654719</v>
      </c>
    </row>
    <row r="37" spans="1:253" x14ac:dyDescent="0.35">
      <c r="A37">
        <v>50</v>
      </c>
      <c r="B37">
        <v>1818947820</v>
      </c>
      <c r="C37">
        <v>7.28</v>
      </c>
      <c r="D37">
        <v>4</v>
      </c>
      <c r="E37">
        <v>2.33</v>
      </c>
      <c r="F37">
        <v>643054</v>
      </c>
      <c r="G37">
        <v>4857397</v>
      </c>
    </row>
    <row r="38" spans="1:253" x14ac:dyDescent="0.35">
      <c r="A38">
        <v>52</v>
      </c>
      <c r="B38">
        <v>1611169260</v>
      </c>
      <c r="C38">
        <v>6.44</v>
      </c>
      <c r="D38">
        <v>5</v>
      </c>
      <c r="E38">
        <v>1.66</v>
      </c>
      <c r="F38">
        <v>667329</v>
      </c>
      <c r="G38">
        <v>5037269</v>
      </c>
    </row>
    <row r="39" spans="1:253" x14ac:dyDescent="0.35">
      <c r="A39">
        <v>54</v>
      </c>
      <c r="B39">
        <v>1631435540</v>
      </c>
      <c r="C39">
        <v>6.53</v>
      </c>
      <c r="D39">
        <v>3</v>
      </c>
      <c r="E39">
        <v>2.56</v>
      </c>
      <c r="F39">
        <v>691944</v>
      </c>
      <c r="G39">
        <v>5219605</v>
      </c>
    </row>
    <row r="40" spans="1:253" x14ac:dyDescent="0.35">
      <c r="A40">
        <v>56</v>
      </c>
      <c r="B40">
        <v>1809995240</v>
      </c>
      <c r="C40">
        <v>7.24</v>
      </c>
      <c r="D40">
        <v>4</v>
      </c>
      <c r="E40">
        <v>2.1</v>
      </c>
      <c r="F40">
        <v>715580</v>
      </c>
      <c r="G40">
        <v>5421422</v>
      </c>
    </row>
    <row r="41" spans="1:253" x14ac:dyDescent="0.35">
      <c r="A41">
        <v>58</v>
      </c>
      <c r="B41">
        <v>1554305620</v>
      </c>
      <c r="C41">
        <v>6.22</v>
      </c>
      <c r="D41">
        <v>5</v>
      </c>
      <c r="E41">
        <v>1.71</v>
      </c>
      <c r="F41">
        <v>741572</v>
      </c>
      <c r="G41">
        <v>5595043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25000000</v>
      </c>
      <c r="C44">
        <v>525541</v>
      </c>
      <c r="D44">
        <v>0</v>
      </c>
      <c r="E44">
        <v>114.167</v>
      </c>
      <c r="F44" s="3">
        <v>59999500</v>
      </c>
      <c r="G44">
        <v>6893.76</v>
      </c>
      <c r="H44">
        <v>5778132</v>
      </c>
      <c r="I44">
        <v>127</v>
      </c>
      <c r="J44">
        <v>2.1979399999999998E-3</v>
      </c>
      <c r="K44" t="s">
        <v>117</v>
      </c>
      <c r="L44">
        <v>0</v>
      </c>
      <c r="M44">
        <v>525541</v>
      </c>
      <c r="N44">
        <v>51702723580</v>
      </c>
      <c r="O44">
        <v>114.24299999999999</v>
      </c>
      <c r="P44">
        <v>60039546</v>
      </c>
      <c r="Q44">
        <v>6889.16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115</v>
      </c>
      <c r="BO44">
        <v>6440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767044</v>
      </c>
      <c r="CG44">
        <v>50704436</v>
      </c>
      <c r="CH44">
        <v>0</v>
      </c>
      <c r="CI44">
        <v>0</v>
      </c>
      <c r="CJ44">
        <v>5778262</v>
      </c>
      <c r="CK44">
        <v>52085225280</v>
      </c>
      <c r="CL44">
        <v>0</v>
      </c>
      <c r="CM44">
        <v>0</v>
      </c>
      <c r="CN44" t="s">
        <v>177</v>
      </c>
      <c r="CO44">
        <v>115</v>
      </c>
      <c r="CP44">
        <v>4830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1</v>
      </c>
      <c r="DC44">
        <v>70</v>
      </c>
      <c r="DD44">
        <v>0</v>
      </c>
      <c r="DE44">
        <v>0</v>
      </c>
      <c r="DF44" t="s">
        <v>179</v>
      </c>
      <c r="DG44">
        <v>125</v>
      </c>
      <c r="DH44">
        <v>7730</v>
      </c>
      <c r="DI44">
        <v>0</v>
      </c>
      <c r="DJ44">
        <v>2</v>
      </c>
      <c r="DK44">
        <v>52</v>
      </c>
      <c r="DL44">
        <v>2592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767042</v>
      </c>
      <c r="DZ44">
        <v>39965718</v>
      </c>
      <c r="EA44">
        <v>0</v>
      </c>
      <c r="EB44">
        <v>0</v>
      </c>
      <c r="EC44">
        <v>847023</v>
      </c>
      <c r="ED44">
        <v>51759763494</v>
      </c>
      <c r="EE44">
        <v>0</v>
      </c>
      <c r="EF44">
        <v>0</v>
      </c>
      <c r="EG44" t="s">
        <v>100</v>
      </c>
      <c r="EH44">
        <v>766947</v>
      </c>
      <c r="EI44">
        <v>0</v>
      </c>
      <c r="EJ44">
        <v>5778132</v>
      </c>
      <c r="EK44">
        <v>0</v>
      </c>
      <c r="EL44">
        <v>127</v>
      </c>
      <c r="EM44" t="s">
        <v>129</v>
      </c>
      <c r="EN44" t="s">
        <v>271</v>
      </c>
      <c r="EO44">
        <v>22</v>
      </c>
      <c r="EP44">
        <v>5608</v>
      </c>
      <c r="EQ44">
        <v>0</v>
      </c>
      <c r="ER44">
        <v>0</v>
      </c>
      <c r="ES44">
        <v>21</v>
      </c>
      <c r="ET44">
        <v>9933</v>
      </c>
      <c r="EU44">
        <v>0</v>
      </c>
      <c r="EV44">
        <v>0</v>
      </c>
      <c r="EW44" t="s">
        <v>272</v>
      </c>
      <c r="EX44">
        <v>951</v>
      </c>
      <c r="EY44">
        <v>63753</v>
      </c>
      <c r="EZ44">
        <v>0</v>
      </c>
      <c r="FA44">
        <v>2</v>
      </c>
      <c r="FB44">
        <v>767086</v>
      </c>
      <c r="FC44">
        <v>50716797</v>
      </c>
      <c r="FD44">
        <v>0</v>
      </c>
      <c r="FE44">
        <v>0</v>
      </c>
      <c r="FF44" t="s">
        <v>273</v>
      </c>
      <c r="FG44">
        <v>57</v>
      </c>
      <c r="FH44">
        <v>3906</v>
      </c>
      <c r="FI44">
        <v>0</v>
      </c>
      <c r="FJ44">
        <v>0</v>
      </c>
      <c r="FK44">
        <v>87</v>
      </c>
      <c r="FL44">
        <v>6684</v>
      </c>
      <c r="FM44">
        <v>0</v>
      </c>
      <c r="FN44">
        <v>0</v>
      </c>
      <c r="FO44" t="s">
        <v>274</v>
      </c>
      <c r="FP44">
        <v>5780034</v>
      </c>
      <c r="FQ44">
        <v>52084206030</v>
      </c>
      <c r="FR44">
        <v>0</v>
      </c>
      <c r="FS44">
        <v>8</v>
      </c>
      <c r="FT44">
        <v>767220</v>
      </c>
      <c r="FU44">
        <v>50736053</v>
      </c>
      <c r="FV44">
        <v>0</v>
      </c>
      <c r="FW44">
        <v>0</v>
      </c>
      <c r="FX44" t="s">
        <v>275</v>
      </c>
      <c r="FY44">
        <v>139</v>
      </c>
      <c r="FZ44">
        <v>16804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220</v>
      </c>
      <c r="GI44">
        <v>13816</v>
      </c>
      <c r="GJ44">
        <v>0</v>
      </c>
      <c r="GK44">
        <v>0</v>
      </c>
      <c r="GL44">
        <v>220</v>
      </c>
      <c r="GM44">
        <v>13816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5779083</v>
      </c>
      <c r="HA44">
        <v>52084142277</v>
      </c>
      <c r="HB44">
        <v>0</v>
      </c>
      <c r="HC44">
        <v>2</v>
      </c>
      <c r="HD44">
        <v>134</v>
      </c>
      <c r="HE44">
        <v>19256</v>
      </c>
      <c r="HF44">
        <v>0</v>
      </c>
      <c r="HG44">
        <v>0</v>
      </c>
      <c r="HH44" t="s">
        <v>278</v>
      </c>
      <c r="HI44">
        <v>1070783</v>
      </c>
      <c r="HJ44">
        <v>51758391526</v>
      </c>
      <c r="HK44">
        <v>0</v>
      </c>
      <c r="HL44">
        <v>0</v>
      </c>
      <c r="HM44">
        <v>766984</v>
      </c>
      <c r="HN44">
        <v>50702888</v>
      </c>
      <c r="HO44">
        <v>0</v>
      </c>
      <c r="HP44">
        <v>0</v>
      </c>
      <c r="HQ44" t="s">
        <v>106</v>
      </c>
      <c r="HR44">
        <v>1069415</v>
      </c>
      <c r="HS44">
        <v>0</v>
      </c>
      <c r="HT44">
        <v>767281</v>
      </c>
      <c r="HU44">
        <v>0</v>
      </c>
      <c r="HV44">
        <v>6</v>
      </c>
      <c r="HW44" t="s">
        <v>107</v>
      </c>
      <c r="HX44" t="s">
        <v>279</v>
      </c>
      <c r="HY44">
        <v>951</v>
      </c>
      <c r="HZ44">
        <v>767086</v>
      </c>
      <c r="IA44">
        <v>957</v>
      </c>
      <c r="IB44">
        <v>767088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5779083</v>
      </c>
      <c r="IK44">
        <v>133</v>
      </c>
      <c r="IL44">
        <v>5779089</v>
      </c>
      <c r="IM44">
        <v>135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2</v>
      </c>
      <c r="E46">
        <v>97</v>
      </c>
      <c r="F46">
        <v>0</v>
      </c>
      <c r="G46">
        <v>0</v>
      </c>
      <c r="H46">
        <v>0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100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100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16</v>
      </c>
      <c r="E53">
        <v>82</v>
      </c>
      <c r="F53">
        <v>0</v>
      </c>
      <c r="G53">
        <v>1</v>
      </c>
      <c r="H53">
        <v>0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0</v>
      </c>
      <c r="E55">
        <v>99</v>
      </c>
      <c r="F55">
        <v>0</v>
      </c>
      <c r="G55">
        <v>0</v>
      </c>
      <c r="H55">
        <v>0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7</v>
      </c>
      <c r="E56">
        <v>92</v>
      </c>
      <c r="F56">
        <v>0</v>
      </c>
      <c r="G56">
        <v>0</v>
      </c>
      <c r="H56">
        <v>6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3</v>
      </c>
      <c r="E58">
        <v>96</v>
      </c>
      <c r="F58">
        <v>0</v>
      </c>
      <c r="G58">
        <v>0</v>
      </c>
      <c r="H58">
        <v>1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100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100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99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0</v>
      </c>
      <c r="C67">
        <v>0</v>
      </c>
      <c r="D67">
        <v>11</v>
      </c>
      <c r="E67">
        <v>87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99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99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100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100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99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99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99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99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IS124"/>
  <sheetViews>
    <sheetView topLeftCell="A88" workbookViewId="0"/>
  </sheetViews>
  <sheetFormatPr defaultRowHeight="14.5" x14ac:dyDescent="0.35"/>
  <sheetData>
    <row r="1" spans="1:7" x14ac:dyDescent="0.35">
      <c r="A1" t="s">
        <v>336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337</v>
      </c>
    </row>
    <row r="5" spans="1:7" x14ac:dyDescent="0.35">
      <c r="A5" t="s">
        <v>261</v>
      </c>
    </row>
    <row r="6" spans="1:7" x14ac:dyDescent="0.35">
      <c r="A6" t="s">
        <v>315</v>
      </c>
    </row>
    <row r="7" spans="1:7" x14ac:dyDescent="0.35">
      <c r="A7" t="s">
        <v>168</v>
      </c>
    </row>
    <row r="8" spans="1:7" x14ac:dyDescent="0.35">
      <c r="A8" t="s">
        <v>268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1564832280</v>
      </c>
      <c r="C13">
        <v>6.26</v>
      </c>
      <c r="D13">
        <v>4</v>
      </c>
      <c r="E13">
        <v>2.4</v>
      </c>
      <c r="F13">
        <v>34444</v>
      </c>
      <c r="G13">
        <v>170833</v>
      </c>
    </row>
    <row r="14" spans="1:7" x14ac:dyDescent="0.35">
      <c r="A14">
        <v>4</v>
      </c>
      <c r="B14">
        <v>1511411940</v>
      </c>
      <c r="C14">
        <v>6.05</v>
      </c>
      <c r="D14">
        <v>4</v>
      </c>
      <c r="E14">
        <v>2.95</v>
      </c>
      <c r="F14">
        <v>59026</v>
      </c>
      <c r="G14">
        <v>339043</v>
      </c>
    </row>
    <row r="15" spans="1:7" x14ac:dyDescent="0.35">
      <c r="A15">
        <v>6</v>
      </c>
      <c r="B15">
        <v>1691840860</v>
      </c>
      <c r="C15">
        <v>6.77</v>
      </c>
      <c r="D15">
        <v>6</v>
      </c>
      <c r="E15">
        <v>1.38</v>
      </c>
      <c r="F15">
        <v>80028</v>
      </c>
      <c r="G15">
        <v>527525</v>
      </c>
    </row>
    <row r="16" spans="1:7" x14ac:dyDescent="0.35">
      <c r="A16">
        <v>8</v>
      </c>
      <c r="B16">
        <v>1577129780</v>
      </c>
      <c r="C16">
        <v>6.31</v>
      </c>
      <c r="D16">
        <v>2</v>
      </c>
      <c r="E16">
        <v>3.27</v>
      </c>
      <c r="F16">
        <v>104176</v>
      </c>
      <c r="G16">
        <v>704807</v>
      </c>
    </row>
    <row r="17" spans="1:7" x14ac:dyDescent="0.35">
      <c r="A17">
        <v>10</v>
      </c>
      <c r="B17">
        <v>1951465680</v>
      </c>
      <c r="C17">
        <v>7.81</v>
      </c>
      <c r="D17">
        <v>4</v>
      </c>
      <c r="E17">
        <v>2.42</v>
      </c>
      <c r="F17">
        <v>124706</v>
      </c>
      <c r="G17">
        <v>921954</v>
      </c>
    </row>
    <row r="18" spans="1:7" x14ac:dyDescent="0.35">
      <c r="A18">
        <v>12</v>
      </c>
      <c r="B18">
        <v>1422181280</v>
      </c>
      <c r="C18">
        <v>5.69</v>
      </c>
      <c r="D18">
        <v>6</v>
      </c>
      <c r="E18">
        <v>1.71</v>
      </c>
      <c r="F18">
        <v>150740</v>
      </c>
      <c r="G18">
        <v>1080826</v>
      </c>
    </row>
    <row r="19" spans="1:7" x14ac:dyDescent="0.35">
      <c r="A19">
        <v>14</v>
      </c>
      <c r="B19">
        <v>1901685400</v>
      </c>
      <c r="C19">
        <v>7.61</v>
      </c>
      <c r="D19">
        <v>4</v>
      </c>
      <c r="E19">
        <v>1.64</v>
      </c>
      <c r="F19">
        <v>178014</v>
      </c>
      <c r="G19">
        <v>1294284</v>
      </c>
    </row>
    <row r="20" spans="1:7" x14ac:dyDescent="0.35">
      <c r="A20">
        <v>16</v>
      </c>
      <c r="B20">
        <v>1416475240</v>
      </c>
      <c r="C20">
        <v>5.67</v>
      </c>
      <c r="D20">
        <v>4</v>
      </c>
      <c r="E20">
        <v>2.2400000000000002</v>
      </c>
      <c r="F20">
        <v>202666</v>
      </c>
      <c r="G20">
        <v>1452407</v>
      </c>
    </row>
    <row r="21" spans="1:7" x14ac:dyDescent="0.35">
      <c r="A21">
        <v>18</v>
      </c>
      <c r="B21">
        <v>1612153060</v>
      </c>
      <c r="C21">
        <v>6.45</v>
      </c>
      <c r="D21">
        <v>4</v>
      </c>
      <c r="E21">
        <v>2.25</v>
      </c>
      <c r="F21">
        <v>225430</v>
      </c>
      <c r="G21">
        <v>1633105</v>
      </c>
    </row>
    <row r="22" spans="1:7" x14ac:dyDescent="0.35">
      <c r="A22">
        <v>20</v>
      </c>
      <c r="B22">
        <v>1886338120</v>
      </c>
      <c r="C22">
        <v>7.55</v>
      </c>
      <c r="D22">
        <v>2</v>
      </c>
      <c r="E22">
        <v>3.92</v>
      </c>
      <c r="F22">
        <v>246679</v>
      </c>
      <c r="G22">
        <v>1842748</v>
      </c>
    </row>
    <row r="23" spans="1:7" x14ac:dyDescent="0.35">
      <c r="A23">
        <v>22</v>
      </c>
      <c r="B23">
        <v>2188463100</v>
      </c>
      <c r="C23">
        <v>8.75</v>
      </c>
      <c r="D23">
        <v>7</v>
      </c>
      <c r="E23">
        <v>1.32</v>
      </c>
      <c r="F23">
        <v>271519</v>
      </c>
      <c r="G23">
        <v>2086852</v>
      </c>
    </row>
    <row r="24" spans="1:7" x14ac:dyDescent="0.35">
      <c r="A24">
        <v>24</v>
      </c>
      <c r="B24">
        <v>1380960060</v>
      </c>
      <c r="C24">
        <v>5.52</v>
      </c>
      <c r="D24">
        <v>3</v>
      </c>
      <c r="E24">
        <v>2.98</v>
      </c>
      <c r="F24">
        <v>297027</v>
      </c>
      <c r="G24">
        <v>2242245</v>
      </c>
    </row>
    <row r="25" spans="1:7" x14ac:dyDescent="0.35">
      <c r="A25">
        <v>26</v>
      </c>
      <c r="B25">
        <v>1831835600</v>
      </c>
      <c r="C25">
        <v>7.33</v>
      </c>
      <c r="D25">
        <v>5</v>
      </c>
      <c r="E25">
        <v>2.34</v>
      </c>
      <c r="F25">
        <v>319078</v>
      </c>
      <c r="G25">
        <v>2446812</v>
      </c>
    </row>
    <row r="26" spans="1:7" x14ac:dyDescent="0.35">
      <c r="A26">
        <v>28</v>
      </c>
      <c r="B26">
        <v>1552829920</v>
      </c>
      <c r="C26">
        <v>6.21</v>
      </c>
      <c r="D26">
        <v>4</v>
      </c>
      <c r="E26">
        <v>1.76</v>
      </c>
      <c r="F26">
        <v>340918</v>
      </c>
      <c r="G26">
        <v>2621050</v>
      </c>
    </row>
    <row r="27" spans="1:7" x14ac:dyDescent="0.35">
      <c r="A27">
        <v>30</v>
      </c>
      <c r="B27">
        <v>1537285880</v>
      </c>
      <c r="C27">
        <v>6.15</v>
      </c>
      <c r="D27">
        <v>4</v>
      </c>
      <c r="E27">
        <v>1.86</v>
      </c>
      <c r="F27">
        <v>363287</v>
      </c>
      <c r="G27">
        <v>2792599</v>
      </c>
    </row>
    <row r="28" spans="1:7" x14ac:dyDescent="0.35">
      <c r="A28">
        <v>32</v>
      </c>
      <c r="B28">
        <v>1705417300</v>
      </c>
      <c r="C28">
        <v>6.82</v>
      </c>
      <c r="D28">
        <v>3</v>
      </c>
      <c r="E28">
        <v>2.4700000000000002</v>
      </c>
      <c r="F28">
        <v>384650</v>
      </c>
      <c r="G28">
        <v>2982026</v>
      </c>
    </row>
    <row r="29" spans="1:7" x14ac:dyDescent="0.35">
      <c r="A29">
        <v>34</v>
      </c>
      <c r="B29">
        <v>2010001780</v>
      </c>
      <c r="C29">
        <v>8.0399999999999991</v>
      </c>
      <c r="D29">
        <v>2</v>
      </c>
      <c r="E29">
        <v>3.85</v>
      </c>
      <c r="F29">
        <v>405269</v>
      </c>
      <c r="G29">
        <v>3207552</v>
      </c>
    </row>
    <row r="30" spans="1:7" x14ac:dyDescent="0.35">
      <c r="A30">
        <v>36</v>
      </c>
      <c r="B30">
        <v>1667245860</v>
      </c>
      <c r="C30">
        <v>6.67</v>
      </c>
      <c r="D30">
        <v>5</v>
      </c>
      <c r="E30">
        <v>2.86</v>
      </c>
      <c r="F30">
        <v>428958</v>
      </c>
      <c r="G30">
        <v>3394088</v>
      </c>
    </row>
    <row r="31" spans="1:7" x14ac:dyDescent="0.35">
      <c r="A31">
        <v>38</v>
      </c>
      <c r="B31">
        <v>1744080640</v>
      </c>
      <c r="C31">
        <v>6.98</v>
      </c>
      <c r="D31">
        <v>5</v>
      </c>
      <c r="E31">
        <v>2.17</v>
      </c>
      <c r="F31">
        <v>454283</v>
      </c>
      <c r="G31">
        <v>3589696</v>
      </c>
    </row>
    <row r="32" spans="1:7" x14ac:dyDescent="0.35">
      <c r="A32">
        <v>40</v>
      </c>
      <c r="B32">
        <v>1388830460</v>
      </c>
      <c r="C32">
        <v>5.56</v>
      </c>
      <c r="D32">
        <v>5</v>
      </c>
      <c r="E32">
        <v>2.08</v>
      </c>
      <c r="F32">
        <v>478580</v>
      </c>
      <c r="G32">
        <v>3743416</v>
      </c>
    </row>
    <row r="33" spans="1:253" x14ac:dyDescent="0.35">
      <c r="A33">
        <v>42</v>
      </c>
      <c r="B33">
        <v>1604676180</v>
      </c>
      <c r="C33">
        <v>6.42</v>
      </c>
      <c r="D33">
        <v>4</v>
      </c>
      <c r="E33">
        <v>2.3199999999999998</v>
      </c>
      <c r="F33">
        <v>502736</v>
      </c>
      <c r="G33">
        <v>3922777</v>
      </c>
    </row>
    <row r="34" spans="1:253" x14ac:dyDescent="0.35">
      <c r="A34">
        <v>44</v>
      </c>
      <c r="B34">
        <v>1621499160</v>
      </c>
      <c r="C34">
        <v>6.49</v>
      </c>
      <c r="D34">
        <v>6</v>
      </c>
      <c r="E34">
        <v>1.21</v>
      </c>
      <c r="F34">
        <v>528105</v>
      </c>
      <c r="G34">
        <v>4103650</v>
      </c>
    </row>
    <row r="35" spans="1:253" x14ac:dyDescent="0.35">
      <c r="A35">
        <v>46</v>
      </c>
      <c r="B35">
        <v>1638715660</v>
      </c>
      <c r="C35">
        <v>6.55</v>
      </c>
      <c r="D35">
        <v>3</v>
      </c>
      <c r="E35">
        <v>2.15</v>
      </c>
      <c r="F35">
        <v>560994</v>
      </c>
      <c r="G35">
        <v>4287505</v>
      </c>
    </row>
    <row r="36" spans="1:253" x14ac:dyDescent="0.35">
      <c r="A36">
        <v>48</v>
      </c>
      <c r="B36">
        <v>1833114540</v>
      </c>
      <c r="C36">
        <v>7.33</v>
      </c>
      <c r="D36">
        <v>3</v>
      </c>
      <c r="E36">
        <v>2.4900000000000002</v>
      </c>
      <c r="F36">
        <v>581574</v>
      </c>
      <c r="G36">
        <v>4491793</v>
      </c>
    </row>
    <row r="37" spans="1:253" x14ac:dyDescent="0.35">
      <c r="A37">
        <v>50</v>
      </c>
      <c r="B37">
        <v>1388928840</v>
      </c>
      <c r="C37">
        <v>5.56</v>
      </c>
      <c r="D37">
        <v>6</v>
      </c>
      <c r="E37">
        <v>2.0499999999999998</v>
      </c>
      <c r="F37">
        <v>611783</v>
      </c>
      <c r="G37">
        <v>4648278</v>
      </c>
    </row>
    <row r="38" spans="1:253" x14ac:dyDescent="0.35">
      <c r="A38">
        <v>52</v>
      </c>
      <c r="B38">
        <v>2048468360</v>
      </c>
      <c r="C38">
        <v>8.19</v>
      </c>
      <c r="D38">
        <v>2</v>
      </c>
      <c r="E38">
        <v>3.1</v>
      </c>
      <c r="F38">
        <v>633011</v>
      </c>
      <c r="G38">
        <v>4877031</v>
      </c>
    </row>
    <row r="39" spans="1:253" x14ac:dyDescent="0.35">
      <c r="A39">
        <v>54</v>
      </c>
      <c r="B39">
        <v>1703646460</v>
      </c>
      <c r="C39">
        <v>6.81</v>
      </c>
      <c r="D39">
        <v>7</v>
      </c>
      <c r="E39">
        <v>1.01</v>
      </c>
      <c r="F39">
        <v>655192</v>
      </c>
      <c r="G39">
        <v>5067816</v>
      </c>
    </row>
    <row r="40" spans="1:253" x14ac:dyDescent="0.35">
      <c r="A40">
        <v>56</v>
      </c>
      <c r="B40">
        <v>1411753000</v>
      </c>
      <c r="C40">
        <v>5.65</v>
      </c>
      <c r="D40">
        <v>3</v>
      </c>
      <c r="E40">
        <v>3.03</v>
      </c>
      <c r="F40">
        <v>692526</v>
      </c>
      <c r="G40">
        <v>5225113</v>
      </c>
    </row>
    <row r="41" spans="1:253" x14ac:dyDescent="0.35">
      <c r="A41">
        <v>58</v>
      </c>
      <c r="B41">
        <v>1629074420</v>
      </c>
      <c r="C41">
        <v>6.52</v>
      </c>
      <c r="D41">
        <v>4</v>
      </c>
      <c r="E41">
        <v>3.1</v>
      </c>
      <c r="F41">
        <v>715298</v>
      </c>
      <c r="G41">
        <v>5407498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27000000</v>
      </c>
      <c r="C44">
        <v>510883</v>
      </c>
      <c r="D44">
        <v>0</v>
      </c>
      <c r="E44">
        <v>117.443</v>
      </c>
      <c r="F44" s="3">
        <v>59999500</v>
      </c>
      <c r="G44">
        <v>6701.47</v>
      </c>
      <c r="H44">
        <v>5616973</v>
      </c>
      <c r="I44">
        <v>125</v>
      </c>
      <c r="J44">
        <v>2.2254000000000002E-3</v>
      </c>
      <c r="K44" t="s">
        <v>117</v>
      </c>
      <c r="L44">
        <v>0</v>
      </c>
      <c r="M44">
        <v>510883</v>
      </c>
      <c r="N44">
        <v>50260669540</v>
      </c>
      <c r="O44">
        <v>117.53700000000001</v>
      </c>
      <c r="P44">
        <v>60047844</v>
      </c>
      <c r="Q44">
        <v>6696.08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104</v>
      </c>
      <c r="BO44">
        <v>5824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737025</v>
      </c>
      <c r="CG44">
        <v>48719326</v>
      </c>
      <c r="CH44">
        <v>0</v>
      </c>
      <c r="CI44">
        <v>0</v>
      </c>
      <c r="CJ44">
        <v>5617100</v>
      </c>
      <c r="CK44">
        <v>50632516648</v>
      </c>
      <c r="CL44">
        <v>0</v>
      </c>
      <c r="CM44">
        <v>0</v>
      </c>
      <c r="CN44" t="s">
        <v>177</v>
      </c>
      <c r="CO44">
        <v>104</v>
      </c>
      <c r="CP44">
        <v>4368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113</v>
      </c>
      <c r="DH44">
        <v>7010</v>
      </c>
      <c r="DI44">
        <v>0</v>
      </c>
      <c r="DJ44">
        <v>2</v>
      </c>
      <c r="DK44">
        <v>56</v>
      </c>
      <c r="DL44">
        <v>2792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737024</v>
      </c>
      <c r="DZ44">
        <v>38400916</v>
      </c>
      <c r="EA44">
        <v>0</v>
      </c>
      <c r="EB44">
        <v>0</v>
      </c>
      <c r="EC44">
        <v>823269</v>
      </c>
      <c r="ED44">
        <v>50316123794</v>
      </c>
      <c r="EE44">
        <v>0</v>
      </c>
      <c r="EF44">
        <v>0</v>
      </c>
      <c r="EG44" t="s">
        <v>100</v>
      </c>
      <c r="EH44">
        <v>736940</v>
      </c>
      <c r="EI44">
        <v>0</v>
      </c>
      <c r="EJ44">
        <v>5616973</v>
      </c>
      <c r="EK44">
        <v>0</v>
      </c>
      <c r="EL44">
        <v>125</v>
      </c>
      <c r="EM44" t="s">
        <v>129</v>
      </c>
      <c r="EN44" t="s">
        <v>271</v>
      </c>
      <c r="EO44">
        <v>23</v>
      </c>
      <c r="EP44">
        <v>5654</v>
      </c>
      <c r="EQ44">
        <v>0</v>
      </c>
      <c r="ER44">
        <v>0</v>
      </c>
      <c r="ES44">
        <v>21</v>
      </c>
      <c r="ET44">
        <v>9916</v>
      </c>
      <c r="EU44">
        <v>0</v>
      </c>
      <c r="EV44">
        <v>0</v>
      </c>
      <c r="EW44" t="s">
        <v>272</v>
      </c>
      <c r="EX44">
        <v>1219</v>
      </c>
      <c r="EY44">
        <v>110385</v>
      </c>
      <c r="EZ44">
        <v>0</v>
      </c>
      <c r="FA44">
        <v>2</v>
      </c>
      <c r="FB44">
        <v>204</v>
      </c>
      <c r="FC44">
        <v>45125</v>
      </c>
      <c r="FD44">
        <v>0</v>
      </c>
      <c r="FE44">
        <v>0</v>
      </c>
      <c r="FF44" t="s">
        <v>273</v>
      </c>
      <c r="FG44">
        <v>91</v>
      </c>
      <c r="FH44">
        <v>10380</v>
      </c>
      <c r="FI44">
        <v>0</v>
      </c>
      <c r="FJ44">
        <v>0</v>
      </c>
      <c r="FK44">
        <v>127</v>
      </c>
      <c r="FL44">
        <v>22125</v>
      </c>
      <c r="FM44">
        <v>0</v>
      </c>
      <c r="FN44">
        <v>0</v>
      </c>
      <c r="FO44" t="s">
        <v>274</v>
      </c>
      <c r="FP44">
        <v>5619026</v>
      </c>
      <c r="FQ44">
        <v>50631564110</v>
      </c>
      <c r="FR44">
        <v>0</v>
      </c>
      <c r="FS44">
        <v>8</v>
      </c>
      <c r="FT44">
        <v>737408</v>
      </c>
      <c r="FU44">
        <v>48834298</v>
      </c>
      <c r="FV44">
        <v>0</v>
      </c>
      <c r="FW44">
        <v>0</v>
      </c>
      <c r="FX44" t="s">
        <v>275</v>
      </c>
      <c r="FY44">
        <v>166</v>
      </c>
      <c r="FZ44">
        <v>24826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240</v>
      </c>
      <c r="GI44">
        <v>15072</v>
      </c>
      <c r="GJ44">
        <v>0</v>
      </c>
      <c r="GK44">
        <v>0</v>
      </c>
      <c r="GL44">
        <v>240</v>
      </c>
      <c r="GM44">
        <v>15072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5617807</v>
      </c>
      <c r="HA44">
        <v>50631453725</v>
      </c>
      <c r="HB44">
        <v>0</v>
      </c>
      <c r="HC44">
        <v>2</v>
      </c>
      <c r="HD44">
        <v>737204</v>
      </c>
      <c r="HE44">
        <v>48789173</v>
      </c>
      <c r="HF44">
        <v>0</v>
      </c>
      <c r="HG44">
        <v>0</v>
      </c>
      <c r="HH44" t="s">
        <v>278</v>
      </c>
      <c r="HI44">
        <v>1055525</v>
      </c>
      <c r="HJ44">
        <v>50315578018</v>
      </c>
      <c r="HK44">
        <v>0</v>
      </c>
      <c r="HL44">
        <v>0</v>
      </c>
      <c r="HM44">
        <v>737100</v>
      </c>
      <c r="HN44">
        <v>48783453</v>
      </c>
      <c r="HO44">
        <v>0</v>
      </c>
      <c r="HP44">
        <v>0</v>
      </c>
      <c r="HQ44" t="s">
        <v>106</v>
      </c>
      <c r="HR44">
        <v>1054228</v>
      </c>
      <c r="HS44">
        <v>0</v>
      </c>
      <c r="HT44">
        <v>737475</v>
      </c>
      <c r="HU44">
        <v>4</v>
      </c>
      <c r="HV44">
        <v>8</v>
      </c>
      <c r="HW44" t="s">
        <v>107</v>
      </c>
      <c r="HX44" t="s">
        <v>279</v>
      </c>
      <c r="HY44">
        <v>1219</v>
      </c>
      <c r="HZ44">
        <v>204</v>
      </c>
      <c r="IA44">
        <v>1226</v>
      </c>
      <c r="IB44">
        <v>205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5617807</v>
      </c>
      <c r="IK44">
        <v>737203</v>
      </c>
      <c r="IL44">
        <v>5617814</v>
      </c>
      <c r="IM44">
        <v>737204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2</v>
      </c>
      <c r="E46">
        <v>97</v>
      </c>
      <c r="F46">
        <v>0</v>
      </c>
      <c r="G46">
        <v>0</v>
      </c>
      <c r="H46">
        <v>0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100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16</v>
      </c>
      <c r="E53">
        <v>83</v>
      </c>
      <c r="F53">
        <v>0</v>
      </c>
      <c r="G53">
        <v>1</v>
      </c>
      <c r="H53">
        <v>0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0</v>
      </c>
      <c r="E55">
        <v>99</v>
      </c>
      <c r="F55">
        <v>0</v>
      </c>
      <c r="G55">
        <v>0</v>
      </c>
      <c r="H55">
        <v>0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3</v>
      </c>
      <c r="E56">
        <v>96</v>
      </c>
      <c r="F56">
        <v>0</v>
      </c>
      <c r="G56">
        <v>0</v>
      </c>
      <c r="H56">
        <v>1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8</v>
      </c>
      <c r="E58">
        <v>91</v>
      </c>
      <c r="F58">
        <v>0</v>
      </c>
      <c r="G58">
        <v>0</v>
      </c>
      <c r="H58">
        <v>6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99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0</v>
      </c>
      <c r="C67">
        <v>0</v>
      </c>
      <c r="D67">
        <v>13</v>
      </c>
      <c r="E67">
        <v>85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100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99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99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100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100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100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99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100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99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99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99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99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IS124"/>
  <sheetViews>
    <sheetView topLeftCell="A118" workbookViewId="0"/>
  </sheetViews>
  <sheetFormatPr defaultRowHeight="14.5" x14ac:dyDescent="0.35"/>
  <cols>
    <col min="11" max="11" width="15.36328125" customWidth="1"/>
    <col min="12" max="12" width="11.90625" customWidth="1"/>
  </cols>
  <sheetData>
    <row r="1" spans="1:7" x14ac:dyDescent="0.35">
      <c r="A1" t="s">
        <v>338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339</v>
      </c>
    </row>
    <row r="5" spans="1:7" x14ac:dyDescent="0.35">
      <c r="A5" t="s">
        <v>193</v>
      </c>
    </row>
    <row r="6" spans="1:7" x14ac:dyDescent="0.35">
      <c r="A6" t="s">
        <v>290</v>
      </c>
    </row>
    <row r="7" spans="1:7" x14ac:dyDescent="0.35">
      <c r="A7" t="s">
        <v>168</v>
      </c>
    </row>
    <row r="8" spans="1:7" x14ac:dyDescent="0.35">
      <c r="A8" t="s">
        <v>157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6816651820</v>
      </c>
      <c r="C13">
        <v>27.28</v>
      </c>
      <c r="D13">
        <v>0</v>
      </c>
      <c r="E13">
        <v>10.76</v>
      </c>
      <c r="F13">
        <v>56498</v>
      </c>
      <c r="G13">
        <v>757756</v>
      </c>
    </row>
    <row r="14" spans="1:7" x14ac:dyDescent="0.35">
      <c r="A14">
        <v>4</v>
      </c>
      <c r="B14">
        <v>7440774540</v>
      </c>
      <c r="C14">
        <v>29.76</v>
      </c>
      <c r="D14">
        <v>0</v>
      </c>
      <c r="E14">
        <v>10.76</v>
      </c>
      <c r="F14">
        <v>116454</v>
      </c>
      <c r="G14">
        <v>1589783</v>
      </c>
    </row>
    <row r="15" spans="1:7" x14ac:dyDescent="0.35">
      <c r="A15">
        <v>6</v>
      </c>
      <c r="B15">
        <v>7446283820</v>
      </c>
      <c r="C15">
        <v>29.79</v>
      </c>
      <c r="D15">
        <v>0</v>
      </c>
      <c r="E15">
        <v>10.76</v>
      </c>
      <c r="F15">
        <v>176584</v>
      </c>
      <c r="G15">
        <v>2421810</v>
      </c>
    </row>
    <row r="16" spans="1:7" x14ac:dyDescent="0.35">
      <c r="A16">
        <v>8</v>
      </c>
      <c r="B16">
        <v>7444414600</v>
      </c>
      <c r="C16">
        <v>29.78</v>
      </c>
      <c r="D16">
        <v>0</v>
      </c>
      <c r="E16">
        <v>10.76</v>
      </c>
      <c r="F16">
        <v>236774</v>
      </c>
      <c r="G16">
        <v>3253837</v>
      </c>
    </row>
    <row r="17" spans="1:7" x14ac:dyDescent="0.35">
      <c r="A17">
        <v>10</v>
      </c>
      <c r="B17">
        <v>7443037280</v>
      </c>
      <c r="C17">
        <v>29.77</v>
      </c>
      <c r="D17">
        <v>0</v>
      </c>
      <c r="E17">
        <v>10.76</v>
      </c>
      <c r="F17">
        <v>296994</v>
      </c>
      <c r="G17">
        <v>4085864</v>
      </c>
    </row>
    <row r="18" spans="1:7" x14ac:dyDescent="0.35">
      <c r="A18">
        <v>12</v>
      </c>
      <c r="B18">
        <v>7461335960</v>
      </c>
      <c r="C18">
        <v>29.85</v>
      </c>
      <c r="D18">
        <v>0</v>
      </c>
      <c r="E18">
        <v>10.76</v>
      </c>
      <c r="F18">
        <v>357242</v>
      </c>
      <c r="G18">
        <v>4917863</v>
      </c>
    </row>
    <row r="19" spans="1:7" x14ac:dyDescent="0.35">
      <c r="A19">
        <v>14</v>
      </c>
      <c r="B19">
        <v>7441856720</v>
      </c>
      <c r="C19">
        <v>29.77</v>
      </c>
      <c r="D19">
        <v>0</v>
      </c>
      <c r="E19">
        <v>10.76</v>
      </c>
      <c r="F19">
        <v>417084</v>
      </c>
      <c r="G19">
        <v>5749897</v>
      </c>
    </row>
    <row r="20" spans="1:7" x14ac:dyDescent="0.35">
      <c r="A20">
        <v>16</v>
      </c>
      <c r="B20">
        <v>7440381020</v>
      </c>
      <c r="C20">
        <v>29.76</v>
      </c>
      <c r="D20">
        <v>0</v>
      </c>
      <c r="E20">
        <v>10.76</v>
      </c>
      <c r="F20">
        <v>477052</v>
      </c>
      <c r="G20">
        <v>6581917</v>
      </c>
    </row>
    <row r="21" spans="1:7" x14ac:dyDescent="0.35">
      <c r="A21">
        <v>18</v>
      </c>
      <c r="B21">
        <v>7446382200</v>
      </c>
      <c r="C21">
        <v>29.79</v>
      </c>
      <c r="D21">
        <v>0</v>
      </c>
      <c r="E21">
        <v>10.76</v>
      </c>
      <c r="F21">
        <v>536965</v>
      </c>
      <c r="G21">
        <v>7413923</v>
      </c>
    </row>
    <row r="22" spans="1:7" x14ac:dyDescent="0.35">
      <c r="A22">
        <v>20</v>
      </c>
      <c r="B22">
        <v>7441856720</v>
      </c>
      <c r="C22">
        <v>29.77</v>
      </c>
      <c r="D22">
        <v>0</v>
      </c>
      <c r="E22">
        <v>10.76</v>
      </c>
      <c r="F22">
        <v>597041</v>
      </c>
      <c r="G22">
        <v>8245957</v>
      </c>
    </row>
    <row r="23" spans="1:7" x14ac:dyDescent="0.35">
      <c r="A23">
        <v>22</v>
      </c>
      <c r="B23">
        <v>7441364820</v>
      </c>
      <c r="C23">
        <v>29.77</v>
      </c>
      <c r="D23">
        <v>0</v>
      </c>
      <c r="E23">
        <v>10.76</v>
      </c>
      <c r="F23">
        <v>657304</v>
      </c>
      <c r="G23">
        <v>9077984</v>
      </c>
    </row>
    <row r="24" spans="1:7" x14ac:dyDescent="0.35">
      <c r="A24">
        <v>24</v>
      </c>
      <c r="B24">
        <v>7441463200</v>
      </c>
      <c r="C24">
        <v>29.77</v>
      </c>
      <c r="D24">
        <v>0</v>
      </c>
      <c r="E24">
        <v>10.76</v>
      </c>
      <c r="F24">
        <v>717645</v>
      </c>
      <c r="G24">
        <v>9910018</v>
      </c>
    </row>
    <row r="25" spans="1:7" x14ac:dyDescent="0.35">
      <c r="A25">
        <v>26</v>
      </c>
      <c r="B25">
        <v>7443529180</v>
      </c>
      <c r="C25">
        <v>29.77</v>
      </c>
      <c r="D25">
        <v>0</v>
      </c>
      <c r="E25">
        <v>10.76</v>
      </c>
      <c r="F25">
        <v>777887</v>
      </c>
      <c r="G25">
        <v>10742059</v>
      </c>
    </row>
    <row r="26" spans="1:7" x14ac:dyDescent="0.35">
      <c r="A26">
        <v>28</v>
      </c>
      <c r="B26">
        <v>7463106800</v>
      </c>
      <c r="C26">
        <v>29.85</v>
      </c>
      <c r="D26">
        <v>0</v>
      </c>
      <c r="E26">
        <v>10.76</v>
      </c>
      <c r="F26">
        <v>838176</v>
      </c>
      <c r="G26">
        <v>11574058</v>
      </c>
    </row>
    <row r="27" spans="1:7" x14ac:dyDescent="0.35">
      <c r="A27">
        <v>30</v>
      </c>
      <c r="B27">
        <v>7444316220</v>
      </c>
      <c r="C27">
        <v>29.78</v>
      </c>
      <c r="D27">
        <v>0</v>
      </c>
      <c r="E27">
        <v>10.76</v>
      </c>
      <c r="F27">
        <v>898443</v>
      </c>
      <c r="G27">
        <v>12406099</v>
      </c>
    </row>
    <row r="28" spans="1:7" x14ac:dyDescent="0.35">
      <c r="A28">
        <v>32</v>
      </c>
      <c r="B28">
        <v>7428083520</v>
      </c>
      <c r="C28">
        <v>29.71</v>
      </c>
      <c r="D28">
        <v>0</v>
      </c>
      <c r="E28">
        <v>10.76</v>
      </c>
      <c r="F28">
        <v>958620</v>
      </c>
      <c r="G28">
        <v>13238133</v>
      </c>
    </row>
    <row r="29" spans="1:7" x14ac:dyDescent="0.35">
      <c r="A29">
        <v>34</v>
      </c>
      <c r="B29">
        <v>7449235220</v>
      </c>
      <c r="C29">
        <v>29.8</v>
      </c>
      <c r="D29">
        <v>0</v>
      </c>
      <c r="E29">
        <v>10.76</v>
      </c>
      <c r="F29">
        <v>1018295</v>
      </c>
      <c r="G29">
        <v>14070160</v>
      </c>
    </row>
    <row r="30" spans="1:7" x14ac:dyDescent="0.35">
      <c r="A30">
        <v>36</v>
      </c>
      <c r="B30">
        <v>7442053480</v>
      </c>
      <c r="C30">
        <v>29.77</v>
      </c>
      <c r="D30">
        <v>0</v>
      </c>
      <c r="E30">
        <v>10.76</v>
      </c>
      <c r="F30">
        <v>1077923</v>
      </c>
      <c r="G30">
        <v>14902194</v>
      </c>
    </row>
    <row r="31" spans="1:7" x14ac:dyDescent="0.35">
      <c r="A31">
        <v>38</v>
      </c>
      <c r="B31">
        <v>7460844060</v>
      </c>
      <c r="C31">
        <v>29.84</v>
      </c>
      <c r="D31">
        <v>0</v>
      </c>
      <c r="E31">
        <v>10.76</v>
      </c>
      <c r="F31">
        <v>1137460</v>
      </c>
      <c r="G31">
        <v>15734207</v>
      </c>
    </row>
    <row r="32" spans="1:7" x14ac:dyDescent="0.35">
      <c r="A32">
        <v>40</v>
      </c>
      <c r="B32">
        <v>7443430800</v>
      </c>
      <c r="C32">
        <v>29.77</v>
      </c>
      <c r="D32">
        <v>0</v>
      </c>
      <c r="E32">
        <v>10.76</v>
      </c>
      <c r="F32">
        <v>1196914</v>
      </c>
      <c r="G32">
        <v>16566234</v>
      </c>
    </row>
    <row r="33" spans="1:253" x14ac:dyDescent="0.35">
      <c r="A33">
        <v>42</v>
      </c>
      <c r="B33">
        <v>7443332420</v>
      </c>
      <c r="C33">
        <v>29.77</v>
      </c>
      <c r="D33">
        <v>0</v>
      </c>
      <c r="E33">
        <v>10.76</v>
      </c>
      <c r="F33">
        <v>1256537</v>
      </c>
      <c r="G33">
        <v>17398247</v>
      </c>
    </row>
    <row r="34" spans="1:253" x14ac:dyDescent="0.35">
      <c r="A34">
        <v>44</v>
      </c>
      <c r="B34">
        <v>7440676160</v>
      </c>
      <c r="C34">
        <v>29.76</v>
      </c>
      <c r="D34">
        <v>0</v>
      </c>
      <c r="E34">
        <v>10.76</v>
      </c>
      <c r="F34">
        <v>1316224</v>
      </c>
      <c r="G34">
        <v>18230260</v>
      </c>
    </row>
    <row r="35" spans="1:253" x14ac:dyDescent="0.35">
      <c r="A35">
        <v>46</v>
      </c>
      <c r="B35">
        <v>7444414600</v>
      </c>
      <c r="C35">
        <v>29.78</v>
      </c>
      <c r="D35">
        <v>0</v>
      </c>
      <c r="E35">
        <v>10.76</v>
      </c>
      <c r="F35">
        <v>1375948</v>
      </c>
      <c r="G35">
        <v>19062273</v>
      </c>
    </row>
    <row r="36" spans="1:253" x14ac:dyDescent="0.35">
      <c r="A36">
        <v>48</v>
      </c>
      <c r="B36">
        <v>7439200460</v>
      </c>
      <c r="C36">
        <v>29.76</v>
      </c>
      <c r="D36">
        <v>0</v>
      </c>
      <c r="E36">
        <v>10.76</v>
      </c>
      <c r="F36">
        <v>1435881</v>
      </c>
      <c r="G36">
        <v>19894293</v>
      </c>
    </row>
    <row r="37" spans="1:253" x14ac:dyDescent="0.35">
      <c r="A37">
        <v>50</v>
      </c>
      <c r="B37">
        <v>7446578960</v>
      </c>
      <c r="C37">
        <v>29.79</v>
      </c>
      <c r="D37">
        <v>0</v>
      </c>
      <c r="E37">
        <v>10.76</v>
      </c>
      <c r="F37">
        <v>1495869</v>
      </c>
      <c r="G37">
        <v>20726334</v>
      </c>
    </row>
    <row r="38" spans="1:253" x14ac:dyDescent="0.35">
      <c r="A38">
        <v>52</v>
      </c>
      <c r="B38">
        <v>7439298840</v>
      </c>
      <c r="C38">
        <v>29.76</v>
      </c>
      <c r="D38">
        <v>0</v>
      </c>
      <c r="E38">
        <v>10.76</v>
      </c>
      <c r="F38">
        <v>1555994</v>
      </c>
      <c r="G38">
        <v>21558361</v>
      </c>
    </row>
    <row r="39" spans="1:253" x14ac:dyDescent="0.35">
      <c r="A39">
        <v>54</v>
      </c>
      <c r="B39">
        <v>7462910040</v>
      </c>
      <c r="C39">
        <v>29.85</v>
      </c>
      <c r="D39">
        <v>0</v>
      </c>
      <c r="E39">
        <v>10.76</v>
      </c>
      <c r="F39">
        <v>1616404</v>
      </c>
      <c r="G39">
        <v>22390374</v>
      </c>
    </row>
    <row r="40" spans="1:253" x14ac:dyDescent="0.35">
      <c r="A40">
        <v>56</v>
      </c>
      <c r="B40">
        <v>7441168060</v>
      </c>
      <c r="C40">
        <v>29.77</v>
      </c>
      <c r="D40">
        <v>0</v>
      </c>
      <c r="E40">
        <v>10.76</v>
      </c>
      <c r="F40">
        <v>1676703</v>
      </c>
      <c r="G40">
        <v>23222415</v>
      </c>
    </row>
    <row r="41" spans="1:253" x14ac:dyDescent="0.35">
      <c r="A41">
        <v>58</v>
      </c>
      <c r="B41">
        <v>7446578960</v>
      </c>
      <c r="C41">
        <v>29.79</v>
      </c>
      <c r="D41">
        <v>0</v>
      </c>
      <c r="E41">
        <v>10.76</v>
      </c>
      <c r="F41">
        <v>1736594</v>
      </c>
      <c r="G41">
        <v>24054435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30000000</v>
      </c>
      <c r="C44">
        <v>2263962</v>
      </c>
      <c r="D44">
        <v>0</v>
      </c>
      <c r="E44">
        <v>26.5015</v>
      </c>
      <c r="F44" s="3">
        <v>59998400</v>
      </c>
      <c r="G44">
        <v>29697.9</v>
      </c>
      <c r="H44">
        <v>24891438</v>
      </c>
      <c r="I44">
        <v>0</v>
      </c>
      <c r="J44">
        <v>0</v>
      </c>
      <c r="K44" t="s">
        <v>117</v>
      </c>
      <c r="L44">
        <v>0</v>
      </c>
      <c r="M44">
        <v>2263962</v>
      </c>
      <c r="N44">
        <v>222728581560</v>
      </c>
      <c r="O44">
        <v>26.506399999999999</v>
      </c>
      <c r="P44">
        <v>60009506</v>
      </c>
      <c r="Q44">
        <v>29692.400000000001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142</v>
      </c>
      <c r="BO44">
        <v>7952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1797141</v>
      </c>
      <c r="CG44">
        <v>118610284</v>
      </c>
      <c r="CH44">
        <v>0</v>
      </c>
      <c r="CI44">
        <v>0</v>
      </c>
      <c r="CJ44">
        <v>24891440</v>
      </c>
      <c r="CK44">
        <v>224371416608</v>
      </c>
      <c r="CL44">
        <v>0</v>
      </c>
      <c r="CM44">
        <v>0</v>
      </c>
      <c r="CN44" t="s">
        <v>177</v>
      </c>
      <c r="CO44">
        <v>142</v>
      </c>
      <c r="CP44">
        <v>5964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117</v>
      </c>
      <c r="DH44">
        <v>7250</v>
      </c>
      <c r="DI44">
        <v>0</v>
      </c>
      <c r="DJ44">
        <v>2</v>
      </c>
      <c r="DK44">
        <v>57</v>
      </c>
      <c r="DL44">
        <v>2834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1797141</v>
      </c>
      <c r="DZ44">
        <v>93450292</v>
      </c>
      <c r="EA44">
        <v>0</v>
      </c>
      <c r="EB44">
        <v>0</v>
      </c>
      <c r="EC44">
        <v>3556555</v>
      </c>
      <c r="ED44">
        <v>222963314190</v>
      </c>
      <c r="EE44">
        <v>0</v>
      </c>
      <c r="EF44">
        <v>0</v>
      </c>
      <c r="EG44" t="s">
        <v>100</v>
      </c>
      <c r="EH44">
        <v>1797037</v>
      </c>
      <c r="EI44">
        <v>0</v>
      </c>
      <c r="EJ44">
        <v>24891438</v>
      </c>
      <c r="EK44">
        <v>0</v>
      </c>
      <c r="EL44">
        <v>0</v>
      </c>
      <c r="EM44" t="s">
        <v>129</v>
      </c>
      <c r="EN44" t="s">
        <v>271</v>
      </c>
      <c r="EO44">
        <v>385</v>
      </c>
      <c r="EP44">
        <v>1098612</v>
      </c>
      <c r="EQ44">
        <v>0</v>
      </c>
      <c r="ER44">
        <v>0</v>
      </c>
      <c r="ES44">
        <v>401</v>
      </c>
      <c r="ET44">
        <v>153461</v>
      </c>
      <c r="EU44">
        <v>0</v>
      </c>
      <c r="EV44">
        <v>0</v>
      </c>
      <c r="EW44" t="s">
        <v>272</v>
      </c>
      <c r="EX44">
        <v>24895730</v>
      </c>
      <c r="EY44">
        <v>224376797280</v>
      </c>
      <c r="EZ44">
        <v>0</v>
      </c>
      <c r="FA44">
        <v>2</v>
      </c>
      <c r="FB44">
        <v>1799855</v>
      </c>
      <c r="FC44">
        <v>121872176</v>
      </c>
      <c r="FD44">
        <v>0</v>
      </c>
      <c r="FE44">
        <v>0</v>
      </c>
      <c r="FF44" t="s">
        <v>273</v>
      </c>
      <c r="FG44">
        <v>324</v>
      </c>
      <c r="FH44">
        <v>85087</v>
      </c>
      <c r="FI44">
        <v>0</v>
      </c>
      <c r="FJ44">
        <v>0</v>
      </c>
      <c r="FK44">
        <v>507</v>
      </c>
      <c r="FL44">
        <v>5051523</v>
      </c>
      <c r="FM44">
        <v>0</v>
      </c>
      <c r="FN44">
        <v>0</v>
      </c>
      <c r="FO44" t="s">
        <v>274</v>
      </c>
      <c r="FP44">
        <v>24897080</v>
      </c>
      <c r="FQ44">
        <v>224376979234</v>
      </c>
      <c r="FR44">
        <v>0</v>
      </c>
      <c r="FS44">
        <v>8</v>
      </c>
      <c r="FT44">
        <v>1801822</v>
      </c>
      <c r="FU44">
        <v>124101705</v>
      </c>
      <c r="FV44">
        <v>0</v>
      </c>
      <c r="FW44">
        <v>0</v>
      </c>
      <c r="FX44" t="s">
        <v>275</v>
      </c>
      <c r="FY44">
        <v>159</v>
      </c>
      <c r="FZ44">
        <v>17051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280</v>
      </c>
      <c r="GI44">
        <v>17584</v>
      </c>
      <c r="GJ44">
        <v>0</v>
      </c>
      <c r="GK44">
        <v>0</v>
      </c>
      <c r="GL44">
        <v>280</v>
      </c>
      <c r="GM44">
        <v>17584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1350</v>
      </c>
      <c r="HA44">
        <v>181954</v>
      </c>
      <c r="HB44">
        <v>0</v>
      </c>
      <c r="HC44">
        <v>2</v>
      </c>
      <c r="HD44">
        <v>1966</v>
      </c>
      <c r="HE44">
        <v>2229379</v>
      </c>
      <c r="HF44">
        <v>0</v>
      </c>
      <c r="HG44">
        <v>0</v>
      </c>
      <c r="HH44" t="s">
        <v>278</v>
      </c>
      <c r="HI44">
        <v>3853673</v>
      </c>
      <c r="HJ44">
        <v>222932995647</v>
      </c>
      <c r="HK44">
        <v>0</v>
      </c>
      <c r="HL44">
        <v>0</v>
      </c>
      <c r="HM44">
        <v>1797489</v>
      </c>
      <c r="HN44">
        <v>118661869</v>
      </c>
      <c r="HO44">
        <v>0</v>
      </c>
      <c r="HP44">
        <v>0</v>
      </c>
      <c r="HQ44" t="s">
        <v>106</v>
      </c>
      <c r="HR44">
        <v>3852883</v>
      </c>
      <c r="HS44">
        <v>0</v>
      </c>
      <c r="HT44">
        <v>1801922</v>
      </c>
      <c r="HU44">
        <v>28</v>
      </c>
      <c r="HV44">
        <v>6</v>
      </c>
      <c r="HW44" t="s">
        <v>107</v>
      </c>
      <c r="HX44" t="s">
        <v>279</v>
      </c>
      <c r="HY44">
        <v>24895730</v>
      </c>
      <c r="HZ44">
        <v>1799855</v>
      </c>
      <c r="IA44">
        <v>24895738</v>
      </c>
      <c r="IB44">
        <v>1799856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1350</v>
      </c>
      <c r="IK44">
        <v>1966</v>
      </c>
      <c r="IL44">
        <v>1356</v>
      </c>
      <c r="IM44">
        <v>1967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9</v>
      </c>
      <c r="E46">
        <v>90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100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89</v>
      </c>
      <c r="E53">
        <v>10</v>
      </c>
      <c r="F53">
        <v>0</v>
      </c>
      <c r="G53">
        <v>5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15</v>
      </c>
      <c r="E55">
        <v>84</v>
      </c>
      <c r="F55">
        <v>0</v>
      </c>
      <c r="G55">
        <v>2</v>
      </c>
      <c r="H55">
        <v>8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8</v>
      </c>
      <c r="E56">
        <v>91</v>
      </c>
      <c r="F56">
        <v>0</v>
      </c>
      <c r="G56">
        <v>0</v>
      </c>
      <c r="H56">
        <v>6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0</v>
      </c>
      <c r="E58">
        <v>99</v>
      </c>
      <c r="F58">
        <v>0</v>
      </c>
      <c r="G58">
        <v>0</v>
      </c>
      <c r="H58">
        <v>0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1</v>
      </c>
      <c r="E60">
        <v>98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11</v>
      </c>
      <c r="C62">
        <v>0</v>
      </c>
      <c r="D62">
        <v>0</v>
      </c>
      <c r="E62">
        <v>88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99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77</v>
      </c>
      <c r="E67">
        <v>21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99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99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99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99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99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99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99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99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99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99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99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99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99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99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IS124"/>
  <sheetViews>
    <sheetView topLeftCell="KD34" workbookViewId="0"/>
  </sheetViews>
  <sheetFormatPr defaultRowHeight="14.5" x14ac:dyDescent="0.35"/>
  <sheetData>
    <row r="1" spans="1:7" x14ac:dyDescent="0.35">
      <c r="A1" t="s">
        <v>340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341</v>
      </c>
    </row>
    <row r="5" spans="1:7" x14ac:dyDescent="0.35">
      <c r="A5" t="s">
        <v>289</v>
      </c>
    </row>
    <row r="6" spans="1:7" x14ac:dyDescent="0.35">
      <c r="A6" t="s">
        <v>315</v>
      </c>
    </row>
    <row r="7" spans="1:7" x14ac:dyDescent="0.35">
      <c r="A7" t="s">
        <v>168</v>
      </c>
    </row>
    <row r="8" spans="1:7" x14ac:dyDescent="0.35">
      <c r="A8" t="s">
        <v>195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6922803840</v>
      </c>
      <c r="C13">
        <v>27.7</v>
      </c>
      <c r="D13">
        <v>0</v>
      </c>
      <c r="E13">
        <v>10.33</v>
      </c>
      <c r="F13">
        <v>56070</v>
      </c>
      <c r="G13">
        <v>767924</v>
      </c>
    </row>
    <row r="14" spans="1:7" x14ac:dyDescent="0.35">
      <c r="A14">
        <v>4</v>
      </c>
      <c r="B14">
        <v>7432805760</v>
      </c>
      <c r="C14">
        <v>29.73</v>
      </c>
      <c r="D14">
        <v>0</v>
      </c>
      <c r="E14">
        <v>10.33</v>
      </c>
      <c r="F14">
        <v>114931</v>
      </c>
      <c r="G14">
        <v>1599944</v>
      </c>
    </row>
    <row r="15" spans="1:7" x14ac:dyDescent="0.35">
      <c r="A15">
        <v>6</v>
      </c>
      <c r="B15">
        <v>7456810480</v>
      </c>
      <c r="C15">
        <v>29.83</v>
      </c>
      <c r="D15">
        <v>0</v>
      </c>
      <c r="E15">
        <v>10.33</v>
      </c>
      <c r="F15">
        <v>174032</v>
      </c>
      <c r="G15">
        <v>2431978</v>
      </c>
    </row>
    <row r="16" spans="1:7" x14ac:dyDescent="0.35">
      <c r="A16">
        <v>8</v>
      </c>
      <c r="B16">
        <v>7432510620</v>
      </c>
      <c r="C16">
        <v>29.73</v>
      </c>
      <c r="D16">
        <v>0</v>
      </c>
      <c r="E16">
        <v>10.33</v>
      </c>
      <c r="F16">
        <v>232884</v>
      </c>
      <c r="G16">
        <v>3263998</v>
      </c>
    </row>
    <row r="17" spans="1:7" x14ac:dyDescent="0.35">
      <c r="A17">
        <v>10</v>
      </c>
      <c r="B17">
        <v>7440872920</v>
      </c>
      <c r="C17">
        <v>29.76</v>
      </c>
      <c r="D17">
        <v>0</v>
      </c>
      <c r="E17">
        <v>10.33</v>
      </c>
      <c r="F17">
        <v>291524</v>
      </c>
      <c r="G17">
        <v>4095598</v>
      </c>
    </row>
    <row r="18" spans="1:7" x14ac:dyDescent="0.35">
      <c r="A18">
        <v>12</v>
      </c>
      <c r="B18">
        <v>7463008420</v>
      </c>
      <c r="C18">
        <v>29.85</v>
      </c>
      <c r="D18">
        <v>0</v>
      </c>
      <c r="E18">
        <v>10.33</v>
      </c>
      <c r="F18">
        <v>350076</v>
      </c>
      <c r="G18">
        <v>4927632</v>
      </c>
    </row>
    <row r="19" spans="1:7" x14ac:dyDescent="0.35">
      <c r="A19">
        <v>14</v>
      </c>
      <c r="B19">
        <v>7439987500</v>
      </c>
      <c r="C19">
        <v>29.76</v>
      </c>
      <c r="D19">
        <v>0</v>
      </c>
      <c r="E19">
        <v>10.33</v>
      </c>
      <c r="F19">
        <v>408492</v>
      </c>
      <c r="G19">
        <v>5759652</v>
      </c>
    </row>
    <row r="20" spans="1:7" x14ac:dyDescent="0.35">
      <c r="A20">
        <v>16</v>
      </c>
      <c r="B20">
        <v>7431920340</v>
      </c>
      <c r="C20">
        <v>29.73</v>
      </c>
      <c r="D20">
        <v>0</v>
      </c>
      <c r="E20">
        <v>10.33</v>
      </c>
      <c r="F20">
        <v>467083</v>
      </c>
      <c r="G20">
        <v>6591665</v>
      </c>
    </row>
    <row r="21" spans="1:7" x14ac:dyDescent="0.35">
      <c r="A21">
        <v>18</v>
      </c>
      <c r="B21">
        <v>7464090600</v>
      </c>
      <c r="C21">
        <v>29.86</v>
      </c>
      <c r="D21">
        <v>0</v>
      </c>
      <c r="E21">
        <v>10.33</v>
      </c>
      <c r="F21">
        <v>525663</v>
      </c>
      <c r="G21">
        <v>7423692</v>
      </c>
    </row>
    <row r="22" spans="1:7" x14ac:dyDescent="0.35">
      <c r="A22">
        <v>20</v>
      </c>
      <c r="B22">
        <v>7433396040</v>
      </c>
      <c r="C22">
        <v>29.73</v>
      </c>
      <c r="D22">
        <v>0</v>
      </c>
      <c r="E22">
        <v>10.33</v>
      </c>
      <c r="F22">
        <v>584379</v>
      </c>
      <c r="G22">
        <v>8255705</v>
      </c>
    </row>
    <row r="23" spans="1:7" x14ac:dyDescent="0.35">
      <c r="A23">
        <v>22</v>
      </c>
      <c r="B23">
        <v>7456220200</v>
      </c>
      <c r="C23">
        <v>29.82</v>
      </c>
      <c r="D23">
        <v>0</v>
      </c>
      <c r="E23">
        <v>10.33</v>
      </c>
      <c r="F23">
        <v>642837</v>
      </c>
      <c r="G23">
        <v>9087711</v>
      </c>
    </row>
    <row r="24" spans="1:7" x14ac:dyDescent="0.35">
      <c r="A24">
        <v>24</v>
      </c>
      <c r="B24">
        <v>7435757160</v>
      </c>
      <c r="C24">
        <v>29.74</v>
      </c>
      <c r="D24">
        <v>0</v>
      </c>
      <c r="E24">
        <v>10.33</v>
      </c>
      <c r="F24">
        <v>701666</v>
      </c>
      <c r="G24">
        <v>9919731</v>
      </c>
    </row>
    <row r="25" spans="1:7" x14ac:dyDescent="0.35">
      <c r="A25">
        <v>26</v>
      </c>
      <c r="B25">
        <v>7426214300</v>
      </c>
      <c r="C25">
        <v>29.7</v>
      </c>
      <c r="D25">
        <v>0</v>
      </c>
      <c r="E25">
        <v>15.63</v>
      </c>
      <c r="F25">
        <v>760418</v>
      </c>
      <c r="G25">
        <v>10749945</v>
      </c>
    </row>
    <row r="26" spans="1:7" x14ac:dyDescent="0.35">
      <c r="A26">
        <v>28</v>
      </c>
      <c r="B26">
        <v>7436642580</v>
      </c>
      <c r="C26">
        <v>29.75</v>
      </c>
      <c r="D26">
        <v>0</v>
      </c>
      <c r="E26">
        <v>15.63</v>
      </c>
      <c r="F26">
        <v>819437</v>
      </c>
      <c r="G26">
        <v>11581958</v>
      </c>
    </row>
    <row r="27" spans="1:7" x14ac:dyDescent="0.35">
      <c r="A27">
        <v>30</v>
      </c>
      <c r="B27">
        <v>7458876460</v>
      </c>
      <c r="C27">
        <v>29.84</v>
      </c>
      <c r="D27">
        <v>0</v>
      </c>
      <c r="E27">
        <v>15.63</v>
      </c>
      <c r="F27">
        <v>878586</v>
      </c>
      <c r="G27">
        <v>12413999</v>
      </c>
    </row>
    <row r="28" spans="1:7" x14ac:dyDescent="0.35">
      <c r="A28">
        <v>32</v>
      </c>
      <c r="B28">
        <v>7440774540</v>
      </c>
      <c r="C28">
        <v>29.76</v>
      </c>
      <c r="D28">
        <v>0</v>
      </c>
      <c r="E28">
        <v>15.63</v>
      </c>
      <c r="F28">
        <v>937686</v>
      </c>
      <c r="G28">
        <v>13246005</v>
      </c>
    </row>
    <row r="29" spans="1:7" x14ac:dyDescent="0.35">
      <c r="A29">
        <v>34</v>
      </c>
      <c r="B29">
        <v>7447562760</v>
      </c>
      <c r="C29">
        <v>29.79</v>
      </c>
      <c r="D29">
        <v>0</v>
      </c>
      <c r="E29">
        <v>15.63</v>
      </c>
      <c r="F29">
        <v>996826</v>
      </c>
      <c r="G29">
        <v>14078032</v>
      </c>
    </row>
    <row r="30" spans="1:7" x14ac:dyDescent="0.35">
      <c r="A30">
        <v>36</v>
      </c>
      <c r="B30">
        <v>7433592800</v>
      </c>
      <c r="C30">
        <v>29.73</v>
      </c>
      <c r="D30">
        <v>0</v>
      </c>
      <c r="E30">
        <v>15.63</v>
      </c>
      <c r="F30">
        <v>1055918</v>
      </c>
      <c r="G30">
        <v>14910066</v>
      </c>
    </row>
    <row r="31" spans="1:7" x14ac:dyDescent="0.35">
      <c r="A31">
        <v>38</v>
      </c>
      <c r="B31">
        <v>7458482940</v>
      </c>
      <c r="C31">
        <v>29.83</v>
      </c>
      <c r="D31">
        <v>0</v>
      </c>
      <c r="E31">
        <v>15.63</v>
      </c>
      <c r="F31">
        <v>1115142</v>
      </c>
      <c r="G31">
        <v>15742072</v>
      </c>
    </row>
    <row r="32" spans="1:7" x14ac:dyDescent="0.35">
      <c r="A32">
        <v>40</v>
      </c>
      <c r="B32">
        <v>7431330060</v>
      </c>
      <c r="C32">
        <v>29.73</v>
      </c>
      <c r="D32">
        <v>0</v>
      </c>
      <c r="E32">
        <v>15.63</v>
      </c>
      <c r="F32">
        <v>1174460</v>
      </c>
      <c r="G32">
        <v>16574106</v>
      </c>
    </row>
    <row r="33" spans="1:253" x14ac:dyDescent="0.35">
      <c r="A33">
        <v>42</v>
      </c>
      <c r="B33">
        <v>7457597520</v>
      </c>
      <c r="C33">
        <v>29.83</v>
      </c>
      <c r="D33">
        <v>0</v>
      </c>
      <c r="E33">
        <v>15.63</v>
      </c>
      <c r="F33">
        <v>1233570</v>
      </c>
      <c r="G33">
        <v>17406126</v>
      </c>
    </row>
    <row r="34" spans="1:253" x14ac:dyDescent="0.35">
      <c r="A34">
        <v>44</v>
      </c>
      <c r="B34">
        <v>7429460840</v>
      </c>
      <c r="C34">
        <v>29.72</v>
      </c>
      <c r="D34">
        <v>0</v>
      </c>
      <c r="E34">
        <v>15.63</v>
      </c>
      <c r="F34">
        <v>1292720</v>
      </c>
      <c r="G34">
        <v>18238160</v>
      </c>
    </row>
    <row r="35" spans="1:253" x14ac:dyDescent="0.35">
      <c r="A35">
        <v>46</v>
      </c>
      <c r="B35">
        <v>7457302380</v>
      </c>
      <c r="C35">
        <v>29.83</v>
      </c>
      <c r="D35">
        <v>0</v>
      </c>
      <c r="E35">
        <v>15.63</v>
      </c>
      <c r="F35">
        <v>1351965</v>
      </c>
      <c r="G35">
        <v>19070187</v>
      </c>
    </row>
    <row r="36" spans="1:253" x14ac:dyDescent="0.35">
      <c r="A36">
        <v>48</v>
      </c>
      <c r="B36">
        <v>7436544200</v>
      </c>
      <c r="C36">
        <v>29.75</v>
      </c>
      <c r="D36">
        <v>0</v>
      </c>
      <c r="E36">
        <v>15.63</v>
      </c>
      <c r="F36">
        <v>1411390</v>
      </c>
      <c r="G36">
        <v>19902221</v>
      </c>
    </row>
    <row r="37" spans="1:253" x14ac:dyDescent="0.35">
      <c r="A37">
        <v>50</v>
      </c>
      <c r="B37">
        <v>7441758340</v>
      </c>
      <c r="C37">
        <v>29.77</v>
      </c>
      <c r="D37">
        <v>0</v>
      </c>
      <c r="E37">
        <v>15.63</v>
      </c>
      <c r="F37">
        <v>1470763</v>
      </c>
      <c r="G37">
        <v>20734248</v>
      </c>
    </row>
    <row r="38" spans="1:253" x14ac:dyDescent="0.35">
      <c r="A38">
        <v>52</v>
      </c>
      <c r="B38">
        <v>7463303560</v>
      </c>
      <c r="C38">
        <v>29.85</v>
      </c>
      <c r="D38">
        <v>0</v>
      </c>
      <c r="E38">
        <v>15.63</v>
      </c>
      <c r="F38">
        <v>1530015</v>
      </c>
      <c r="G38">
        <v>21566289</v>
      </c>
    </row>
    <row r="39" spans="1:253" x14ac:dyDescent="0.35">
      <c r="A39">
        <v>54</v>
      </c>
      <c r="B39">
        <v>7439003700</v>
      </c>
      <c r="C39">
        <v>29.76</v>
      </c>
      <c r="D39">
        <v>0</v>
      </c>
      <c r="E39">
        <v>15.63</v>
      </c>
      <c r="F39">
        <v>1589499</v>
      </c>
      <c r="G39">
        <v>22398323</v>
      </c>
    </row>
    <row r="40" spans="1:253" x14ac:dyDescent="0.35">
      <c r="A40">
        <v>56</v>
      </c>
      <c r="B40">
        <v>7440479400</v>
      </c>
      <c r="C40">
        <v>29.76</v>
      </c>
      <c r="D40">
        <v>0</v>
      </c>
      <c r="E40">
        <v>15.63</v>
      </c>
      <c r="F40">
        <v>1648828</v>
      </c>
      <c r="G40">
        <v>23230329</v>
      </c>
    </row>
    <row r="41" spans="1:253" x14ac:dyDescent="0.35">
      <c r="A41">
        <v>58</v>
      </c>
      <c r="B41">
        <v>7443234040</v>
      </c>
      <c r="C41">
        <v>29.77</v>
      </c>
      <c r="D41">
        <v>0</v>
      </c>
      <c r="E41">
        <v>15.63</v>
      </c>
      <c r="F41">
        <v>1708153</v>
      </c>
      <c r="G41">
        <v>24062349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35000000</v>
      </c>
      <c r="C44">
        <v>2264663</v>
      </c>
      <c r="D44">
        <v>0</v>
      </c>
      <c r="E44">
        <v>26.4939</v>
      </c>
      <c r="F44" s="3">
        <v>59999700</v>
      </c>
      <c r="G44">
        <v>29706.5</v>
      </c>
      <c r="H44">
        <v>24899145</v>
      </c>
      <c r="I44">
        <v>0</v>
      </c>
      <c r="J44">
        <v>0</v>
      </c>
      <c r="K44" t="s">
        <v>117</v>
      </c>
      <c r="L44">
        <v>0</v>
      </c>
      <c r="M44">
        <v>2264663</v>
      </c>
      <c r="N44">
        <v>222797545940</v>
      </c>
      <c r="O44">
        <v>26.498000000000001</v>
      </c>
      <c r="P44">
        <v>60009023</v>
      </c>
      <c r="Q44">
        <v>29701.9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90</v>
      </c>
      <c r="BO44">
        <v>5040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1768215</v>
      </c>
      <c r="CG44">
        <v>116701268</v>
      </c>
      <c r="CH44">
        <v>0</v>
      </c>
      <c r="CI44">
        <v>0</v>
      </c>
      <c r="CJ44">
        <v>24899147</v>
      </c>
      <c r="CK44">
        <v>224440889650</v>
      </c>
      <c r="CL44">
        <v>0</v>
      </c>
      <c r="CM44">
        <v>0</v>
      </c>
      <c r="CN44" t="s">
        <v>177</v>
      </c>
      <c r="CO44">
        <v>90</v>
      </c>
      <c r="CP44">
        <v>3780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131</v>
      </c>
      <c r="DH44">
        <v>8090</v>
      </c>
      <c r="DI44">
        <v>0</v>
      </c>
      <c r="DJ44">
        <v>2</v>
      </c>
      <c r="DK44">
        <v>57</v>
      </c>
      <c r="DL44">
        <v>2834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1768214</v>
      </c>
      <c r="DZ44">
        <v>91946198</v>
      </c>
      <c r="EA44">
        <v>0</v>
      </c>
      <c r="EB44">
        <v>0</v>
      </c>
      <c r="EC44">
        <v>3557688</v>
      </c>
      <c r="ED44">
        <v>223032353348</v>
      </c>
      <c r="EE44">
        <v>0</v>
      </c>
      <c r="EF44">
        <v>0</v>
      </c>
      <c r="EG44" t="s">
        <v>100</v>
      </c>
      <c r="EH44">
        <v>1768121</v>
      </c>
      <c r="EI44">
        <v>0</v>
      </c>
      <c r="EJ44">
        <v>24899145</v>
      </c>
      <c r="EK44">
        <v>0</v>
      </c>
      <c r="EL44">
        <v>0</v>
      </c>
      <c r="EM44" t="s">
        <v>129</v>
      </c>
      <c r="EN44" t="s">
        <v>271</v>
      </c>
      <c r="EO44">
        <v>729</v>
      </c>
      <c r="EP44">
        <v>1171126</v>
      </c>
      <c r="EQ44">
        <v>0</v>
      </c>
      <c r="ER44">
        <v>0</v>
      </c>
      <c r="ES44">
        <v>692</v>
      </c>
      <c r="ET44">
        <v>2360611</v>
      </c>
      <c r="EU44">
        <v>0</v>
      </c>
      <c r="EV44">
        <v>0</v>
      </c>
      <c r="EW44" t="s">
        <v>272</v>
      </c>
      <c r="EX44">
        <v>24903508</v>
      </c>
      <c r="EY44">
        <v>224445335530</v>
      </c>
      <c r="EZ44">
        <v>0</v>
      </c>
      <c r="FA44">
        <v>2</v>
      </c>
      <c r="FB44">
        <v>2766</v>
      </c>
      <c r="FC44">
        <v>4480420</v>
      </c>
      <c r="FD44">
        <v>0</v>
      </c>
      <c r="FE44">
        <v>0</v>
      </c>
      <c r="FF44" t="s">
        <v>273</v>
      </c>
      <c r="FG44">
        <v>294</v>
      </c>
      <c r="FH44">
        <v>41395</v>
      </c>
      <c r="FI44">
        <v>0</v>
      </c>
      <c r="FJ44">
        <v>0</v>
      </c>
      <c r="FK44">
        <v>395</v>
      </c>
      <c r="FL44">
        <v>5043967</v>
      </c>
      <c r="FM44">
        <v>0</v>
      </c>
      <c r="FN44">
        <v>0</v>
      </c>
      <c r="FO44" t="s">
        <v>274</v>
      </c>
      <c r="FP44">
        <v>24905841</v>
      </c>
      <c r="FQ44">
        <v>224446586473</v>
      </c>
      <c r="FR44">
        <v>0</v>
      </c>
      <c r="FS44">
        <v>8</v>
      </c>
      <c r="FT44">
        <v>1779014</v>
      </c>
      <c r="FU44">
        <v>131927256</v>
      </c>
      <c r="FV44">
        <v>0</v>
      </c>
      <c r="FW44">
        <v>0</v>
      </c>
      <c r="FX44" t="s">
        <v>275</v>
      </c>
      <c r="FY44">
        <v>138</v>
      </c>
      <c r="FZ44">
        <v>15964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340</v>
      </c>
      <c r="GI44">
        <v>21352</v>
      </c>
      <c r="GJ44">
        <v>0</v>
      </c>
      <c r="GK44">
        <v>0</v>
      </c>
      <c r="GL44">
        <v>340</v>
      </c>
      <c r="GM44">
        <v>21352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2333</v>
      </c>
      <c r="HA44">
        <v>1250943</v>
      </c>
      <c r="HB44">
        <v>0</v>
      </c>
      <c r="HC44">
        <v>2</v>
      </c>
      <c r="HD44">
        <v>1776248</v>
      </c>
      <c r="HE44">
        <v>127446836</v>
      </c>
      <c r="HF44">
        <v>0</v>
      </c>
      <c r="HG44">
        <v>0</v>
      </c>
      <c r="HH44" t="s">
        <v>278</v>
      </c>
      <c r="HI44">
        <v>3863947</v>
      </c>
      <c r="HJ44">
        <v>223002557954</v>
      </c>
      <c r="HK44">
        <v>0</v>
      </c>
      <c r="HL44">
        <v>0</v>
      </c>
      <c r="HM44">
        <v>1770312</v>
      </c>
      <c r="HN44">
        <v>123996708</v>
      </c>
      <c r="HO44">
        <v>0</v>
      </c>
      <c r="HP44">
        <v>0</v>
      </c>
      <c r="HQ44" t="s">
        <v>106</v>
      </c>
      <c r="HR44">
        <v>3863544</v>
      </c>
      <c r="HS44">
        <v>0</v>
      </c>
      <c r="HT44">
        <v>1779170</v>
      </c>
      <c r="HU44">
        <v>25</v>
      </c>
      <c r="HV44">
        <v>20</v>
      </c>
      <c r="HW44" t="s">
        <v>107</v>
      </c>
      <c r="HX44" t="s">
        <v>279</v>
      </c>
      <c r="HY44">
        <v>24903508</v>
      </c>
      <c r="HZ44">
        <v>2766</v>
      </c>
      <c r="IA44">
        <v>24903515</v>
      </c>
      <c r="IB44">
        <v>2767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2331</v>
      </c>
      <c r="IK44">
        <v>1776248</v>
      </c>
      <c r="IL44">
        <v>2341</v>
      </c>
      <c r="IM44">
        <v>1776249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9</v>
      </c>
      <c r="E46">
        <v>90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89</v>
      </c>
      <c r="E53">
        <v>10</v>
      </c>
      <c r="F53">
        <v>0</v>
      </c>
      <c r="G53">
        <v>5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6</v>
      </c>
      <c r="E55">
        <v>93</v>
      </c>
      <c r="F55">
        <v>0</v>
      </c>
      <c r="G55">
        <v>0</v>
      </c>
      <c r="H55">
        <v>3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8</v>
      </c>
      <c r="E56">
        <v>91</v>
      </c>
      <c r="F56">
        <v>0</v>
      </c>
      <c r="G56">
        <v>1</v>
      </c>
      <c r="H56">
        <v>4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8</v>
      </c>
      <c r="E58">
        <v>91</v>
      </c>
      <c r="F58">
        <v>0</v>
      </c>
      <c r="G58">
        <v>0</v>
      </c>
      <c r="H58">
        <v>6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1</v>
      </c>
      <c r="E60">
        <v>98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100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99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76</v>
      </c>
      <c r="E67">
        <v>22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99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99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99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99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99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99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99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99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99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99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99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99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99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99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99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IS124"/>
  <sheetViews>
    <sheetView topLeftCell="A70" workbookViewId="0"/>
  </sheetViews>
  <sheetFormatPr defaultRowHeight="14.5" x14ac:dyDescent="0.35"/>
  <sheetData>
    <row r="1" spans="1:7" x14ac:dyDescent="0.35">
      <c r="A1" t="s">
        <v>342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343</v>
      </c>
    </row>
    <row r="5" spans="1:7" x14ac:dyDescent="0.35">
      <c r="A5" t="s">
        <v>344</v>
      </c>
    </row>
    <row r="6" spans="1:7" x14ac:dyDescent="0.35">
      <c r="A6" t="s">
        <v>190</v>
      </c>
    </row>
    <row r="7" spans="1:7" x14ac:dyDescent="0.35">
      <c r="A7" t="s">
        <v>168</v>
      </c>
    </row>
    <row r="8" spans="1:7" x14ac:dyDescent="0.35">
      <c r="A8" t="s">
        <v>196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6882468040</v>
      </c>
      <c r="C13">
        <v>27.54</v>
      </c>
      <c r="D13">
        <v>0</v>
      </c>
      <c r="E13">
        <v>10.62</v>
      </c>
      <c r="F13">
        <v>61355</v>
      </c>
      <c r="G13">
        <v>762215</v>
      </c>
    </row>
    <row r="14" spans="1:7" x14ac:dyDescent="0.35">
      <c r="A14">
        <v>4</v>
      </c>
      <c r="B14">
        <v>7429362460</v>
      </c>
      <c r="C14">
        <v>29.72</v>
      </c>
      <c r="D14">
        <v>0</v>
      </c>
      <c r="E14">
        <v>10.62</v>
      </c>
      <c r="F14">
        <v>126520</v>
      </c>
      <c r="G14">
        <v>1594256</v>
      </c>
    </row>
    <row r="15" spans="1:7" x14ac:dyDescent="0.35">
      <c r="A15">
        <v>6</v>
      </c>
      <c r="B15">
        <v>7453072040</v>
      </c>
      <c r="C15">
        <v>29.81</v>
      </c>
      <c r="D15">
        <v>0</v>
      </c>
      <c r="E15">
        <v>10.62</v>
      </c>
      <c r="F15">
        <v>191841</v>
      </c>
      <c r="G15">
        <v>2426297</v>
      </c>
    </row>
    <row r="16" spans="1:7" x14ac:dyDescent="0.35">
      <c r="A16">
        <v>8</v>
      </c>
      <c r="B16">
        <v>7450219020</v>
      </c>
      <c r="C16">
        <v>29.8</v>
      </c>
      <c r="D16">
        <v>0</v>
      </c>
      <c r="E16">
        <v>10.62</v>
      </c>
      <c r="F16">
        <v>256953</v>
      </c>
      <c r="G16">
        <v>3258345</v>
      </c>
    </row>
    <row r="17" spans="1:7" x14ac:dyDescent="0.35">
      <c r="A17">
        <v>10</v>
      </c>
      <c r="B17">
        <v>7451694720</v>
      </c>
      <c r="C17">
        <v>29.81</v>
      </c>
      <c r="D17">
        <v>0</v>
      </c>
      <c r="E17">
        <v>10.62</v>
      </c>
      <c r="F17">
        <v>321621</v>
      </c>
      <c r="G17">
        <v>4090358</v>
      </c>
    </row>
    <row r="18" spans="1:7" x14ac:dyDescent="0.35">
      <c r="A18">
        <v>12</v>
      </c>
      <c r="B18">
        <v>7434773360</v>
      </c>
      <c r="C18">
        <v>29.74</v>
      </c>
      <c r="D18">
        <v>0</v>
      </c>
      <c r="E18">
        <v>10.62</v>
      </c>
      <c r="F18">
        <v>386249</v>
      </c>
      <c r="G18">
        <v>4922399</v>
      </c>
    </row>
    <row r="19" spans="1:7" x14ac:dyDescent="0.35">
      <c r="A19">
        <v>14</v>
      </c>
      <c r="B19">
        <v>7448251420</v>
      </c>
      <c r="C19">
        <v>29.79</v>
      </c>
      <c r="D19">
        <v>0</v>
      </c>
      <c r="E19">
        <v>10.62</v>
      </c>
      <c r="F19">
        <v>451485</v>
      </c>
      <c r="G19">
        <v>5754398</v>
      </c>
    </row>
    <row r="20" spans="1:7" x14ac:dyDescent="0.35">
      <c r="A20">
        <v>16</v>
      </c>
      <c r="B20">
        <v>7451006060</v>
      </c>
      <c r="C20">
        <v>29.8</v>
      </c>
      <c r="D20">
        <v>0</v>
      </c>
      <c r="E20">
        <v>10.62</v>
      </c>
      <c r="F20">
        <v>516387</v>
      </c>
      <c r="G20">
        <v>6586432</v>
      </c>
    </row>
    <row r="21" spans="1:7" x14ac:dyDescent="0.35">
      <c r="A21">
        <v>18</v>
      </c>
      <c r="B21">
        <v>7447267620</v>
      </c>
      <c r="C21">
        <v>29.79</v>
      </c>
      <c r="D21">
        <v>0</v>
      </c>
      <c r="E21">
        <v>10.62</v>
      </c>
      <c r="F21">
        <v>581530</v>
      </c>
      <c r="G21">
        <v>7418466</v>
      </c>
    </row>
    <row r="22" spans="1:7" x14ac:dyDescent="0.35">
      <c r="A22">
        <v>20</v>
      </c>
      <c r="B22">
        <v>7426115920</v>
      </c>
      <c r="C22">
        <v>29.7</v>
      </c>
      <c r="D22">
        <v>0</v>
      </c>
      <c r="E22">
        <v>10.62</v>
      </c>
      <c r="F22">
        <v>646093</v>
      </c>
      <c r="G22">
        <v>8250479</v>
      </c>
    </row>
    <row r="23" spans="1:7" x14ac:dyDescent="0.35">
      <c r="A23">
        <v>22</v>
      </c>
      <c r="B23">
        <v>7454547740</v>
      </c>
      <c r="C23">
        <v>29.82</v>
      </c>
      <c r="D23">
        <v>0</v>
      </c>
      <c r="E23">
        <v>10.62</v>
      </c>
      <c r="F23">
        <v>710835</v>
      </c>
      <c r="G23">
        <v>9082513</v>
      </c>
    </row>
    <row r="24" spans="1:7" x14ac:dyDescent="0.35">
      <c r="A24">
        <v>24</v>
      </c>
      <c r="B24">
        <v>7430346260</v>
      </c>
      <c r="C24">
        <v>29.72</v>
      </c>
      <c r="D24">
        <v>0</v>
      </c>
      <c r="E24">
        <v>10.62</v>
      </c>
      <c r="F24">
        <v>775193</v>
      </c>
      <c r="G24">
        <v>9914526</v>
      </c>
    </row>
    <row r="25" spans="1:7" x14ac:dyDescent="0.35">
      <c r="A25">
        <v>26</v>
      </c>
      <c r="B25">
        <v>7454842880</v>
      </c>
      <c r="C25">
        <v>29.82</v>
      </c>
      <c r="D25">
        <v>0</v>
      </c>
      <c r="E25">
        <v>10.62</v>
      </c>
      <c r="F25">
        <v>840033</v>
      </c>
      <c r="G25">
        <v>10746574</v>
      </c>
    </row>
    <row r="26" spans="1:7" x14ac:dyDescent="0.35">
      <c r="A26">
        <v>28</v>
      </c>
      <c r="B26">
        <v>7453859080</v>
      </c>
      <c r="C26">
        <v>29.82</v>
      </c>
      <c r="D26">
        <v>0</v>
      </c>
      <c r="E26">
        <v>10.62</v>
      </c>
      <c r="F26">
        <v>904699</v>
      </c>
      <c r="G26">
        <v>11578580</v>
      </c>
    </row>
    <row r="27" spans="1:7" x14ac:dyDescent="0.35">
      <c r="A27">
        <v>30</v>
      </c>
      <c r="B27">
        <v>7424443460</v>
      </c>
      <c r="C27">
        <v>29.7</v>
      </c>
      <c r="D27">
        <v>0</v>
      </c>
      <c r="E27">
        <v>10.62</v>
      </c>
      <c r="F27">
        <v>969490</v>
      </c>
      <c r="G27">
        <v>12410607</v>
      </c>
    </row>
    <row r="28" spans="1:7" x14ac:dyDescent="0.35">
      <c r="A28">
        <v>32</v>
      </c>
      <c r="B28">
        <v>7449530360</v>
      </c>
      <c r="C28">
        <v>29.8</v>
      </c>
      <c r="D28">
        <v>0</v>
      </c>
      <c r="E28">
        <v>10.62</v>
      </c>
      <c r="F28">
        <v>1034644</v>
      </c>
      <c r="G28">
        <v>13242655</v>
      </c>
    </row>
    <row r="29" spans="1:7" x14ac:dyDescent="0.35">
      <c r="A29">
        <v>34</v>
      </c>
      <c r="B29">
        <v>7452875280</v>
      </c>
      <c r="C29">
        <v>29.81</v>
      </c>
      <c r="D29">
        <v>0</v>
      </c>
      <c r="E29">
        <v>10.62</v>
      </c>
      <c r="F29">
        <v>1099922</v>
      </c>
      <c r="G29">
        <v>14074682</v>
      </c>
    </row>
    <row r="30" spans="1:7" x14ac:dyDescent="0.35">
      <c r="A30">
        <v>36</v>
      </c>
      <c r="B30">
        <v>7451497960</v>
      </c>
      <c r="C30">
        <v>29.81</v>
      </c>
      <c r="D30">
        <v>0</v>
      </c>
      <c r="E30">
        <v>10.62</v>
      </c>
      <c r="F30">
        <v>1164966</v>
      </c>
      <c r="G30">
        <v>14906723</v>
      </c>
    </row>
    <row r="31" spans="1:7" x14ac:dyDescent="0.35">
      <c r="A31">
        <v>38</v>
      </c>
      <c r="B31">
        <v>7427296480</v>
      </c>
      <c r="C31">
        <v>29.71</v>
      </c>
      <c r="D31">
        <v>0</v>
      </c>
      <c r="E31">
        <v>10.62</v>
      </c>
      <c r="F31">
        <v>1230112</v>
      </c>
      <c r="G31">
        <v>15738757</v>
      </c>
    </row>
    <row r="32" spans="1:7" x14ac:dyDescent="0.35">
      <c r="A32">
        <v>40</v>
      </c>
      <c r="B32">
        <v>7457204000</v>
      </c>
      <c r="C32">
        <v>29.83</v>
      </c>
      <c r="D32">
        <v>0</v>
      </c>
      <c r="E32">
        <v>10.62</v>
      </c>
      <c r="F32">
        <v>1295002</v>
      </c>
      <c r="G32">
        <v>16570798</v>
      </c>
    </row>
    <row r="33" spans="1:253" x14ac:dyDescent="0.35">
      <c r="A33">
        <v>42</v>
      </c>
      <c r="B33">
        <v>7447857900</v>
      </c>
      <c r="C33">
        <v>29.79</v>
      </c>
      <c r="D33">
        <v>0</v>
      </c>
      <c r="E33">
        <v>10.62</v>
      </c>
      <c r="F33">
        <v>1359770</v>
      </c>
      <c r="G33">
        <v>17402825</v>
      </c>
    </row>
    <row r="34" spans="1:253" x14ac:dyDescent="0.35">
      <c r="A34">
        <v>44</v>
      </c>
      <c r="B34">
        <v>7444709740</v>
      </c>
      <c r="C34">
        <v>29.78</v>
      </c>
      <c r="D34">
        <v>0</v>
      </c>
      <c r="E34">
        <v>10.62</v>
      </c>
      <c r="F34">
        <v>1424427</v>
      </c>
      <c r="G34">
        <v>18234817</v>
      </c>
    </row>
    <row r="35" spans="1:253" x14ac:dyDescent="0.35">
      <c r="A35">
        <v>46</v>
      </c>
      <c r="B35">
        <v>7451202820</v>
      </c>
      <c r="C35">
        <v>29.8</v>
      </c>
      <c r="D35">
        <v>0</v>
      </c>
      <c r="E35">
        <v>10.62</v>
      </c>
      <c r="F35">
        <v>1489079</v>
      </c>
      <c r="G35">
        <v>19066858</v>
      </c>
    </row>
    <row r="36" spans="1:253" x14ac:dyDescent="0.35">
      <c r="A36">
        <v>48</v>
      </c>
      <c r="B36">
        <v>7425132120</v>
      </c>
      <c r="C36">
        <v>29.7</v>
      </c>
      <c r="D36">
        <v>0</v>
      </c>
      <c r="E36">
        <v>10.62</v>
      </c>
      <c r="F36">
        <v>1553876</v>
      </c>
      <c r="G36">
        <v>19898864</v>
      </c>
    </row>
    <row r="37" spans="1:253" x14ac:dyDescent="0.35">
      <c r="A37">
        <v>50</v>
      </c>
      <c r="B37">
        <v>7456613720</v>
      </c>
      <c r="C37">
        <v>29.83</v>
      </c>
      <c r="D37">
        <v>0</v>
      </c>
      <c r="E37">
        <v>10.62</v>
      </c>
      <c r="F37">
        <v>1618767</v>
      </c>
      <c r="G37">
        <v>20730905</v>
      </c>
    </row>
    <row r="38" spans="1:253" x14ac:dyDescent="0.35">
      <c r="A38">
        <v>52</v>
      </c>
      <c r="B38">
        <v>7456220200</v>
      </c>
      <c r="C38">
        <v>29.82</v>
      </c>
      <c r="D38">
        <v>0</v>
      </c>
      <c r="E38">
        <v>10.62</v>
      </c>
      <c r="F38">
        <v>1683570</v>
      </c>
      <c r="G38">
        <v>21562932</v>
      </c>
    </row>
    <row r="39" spans="1:253" x14ac:dyDescent="0.35">
      <c r="A39">
        <v>54</v>
      </c>
      <c r="B39">
        <v>7419917980</v>
      </c>
      <c r="C39">
        <v>29.68</v>
      </c>
      <c r="D39">
        <v>0</v>
      </c>
      <c r="E39">
        <v>10.62</v>
      </c>
      <c r="F39">
        <v>1748610</v>
      </c>
      <c r="G39">
        <v>22394973</v>
      </c>
    </row>
    <row r="40" spans="1:253" x14ac:dyDescent="0.35">
      <c r="A40">
        <v>56</v>
      </c>
      <c r="B40">
        <v>7452580140</v>
      </c>
      <c r="C40">
        <v>29.81</v>
      </c>
      <c r="D40">
        <v>0</v>
      </c>
      <c r="E40">
        <v>10.62</v>
      </c>
      <c r="F40">
        <v>1813265</v>
      </c>
      <c r="G40">
        <v>23227007</v>
      </c>
    </row>
    <row r="41" spans="1:253" x14ac:dyDescent="0.35">
      <c r="A41">
        <v>58</v>
      </c>
      <c r="B41">
        <v>7447366000</v>
      </c>
      <c r="C41">
        <v>29.79</v>
      </c>
      <c r="D41">
        <v>0</v>
      </c>
      <c r="E41">
        <v>10.62</v>
      </c>
      <c r="F41">
        <v>1878096</v>
      </c>
      <c r="G41">
        <v>24059048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40000000</v>
      </c>
      <c r="C44">
        <v>2264485</v>
      </c>
      <c r="D44">
        <v>0</v>
      </c>
      <c r="E44">
        <v>26.495899999999999</v>
      </c>
      <c r="F44" s="3">
        <v>59999500</v>
      </c>
      <c r="G44">
        <v>29704.3</v>
      </c>
      <c r="H44">
        <v>24897188</v>
      </c>
      <c r="I44">
        <v>0</v>
      </c>
      <c r="J44">
        <v>0</v>
      </c>
      <c r="K44" t="s">
        <v>117</v>
      </c>
      <c r="L44">
        <v>0</v>
      </c>
      <c r="M44">
        <v>2264485</v>
      </c>
      <c r="N44">
        <v>222780034300</v>
      </c>
      <c r="O44">
        <v>26.5015</v>
      </c>
      <c r="P44">
        <v>60012179</v>
      </c>
      <c r="Q44">
        <v>29698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115</v>
      </c>
      <c r="BO44">
        <v>6492</v>
      </c>
      <c r="BP44">
        <v>0</v>
      </c>
      <c r="BQ44">
        <v>0</v>
      </c>
      <c r="BR44">
        <v>2</v>
      </c>
      <c r="BS44">
        <v>164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1944004</v>
      </c>
      <c r="CG44">
        <v>128303352</v>
      </c>
      <c r="CH44">
        <v>0</v>
      </c>
      <c r="CI44">
        <v>0</v>
      </c>
      <c r="CJ44">
        <v>24897190</v>
      </c>
      <c r="CK44">
        <v>224423248848</v>
      </c>
      <c r="CL44">
        <v>0</v>
      </c>
      <c r="CM44">
        <v>0</v>
      </c>
      <c r="CN44" t="s">
        <v>177</v>
      </c>
      <c r="CO44">
        <v>115</v>
      </c>
      <c r="CP44">
        <v>4882</v>
      </c>
      <c r="CQ44">
        <v>0</v>
      </c>
      <c r="CR44">
        <v>0</v>
      </c>
      <c r="CS44">
        <v>2</v>
      </c>
      <c r="CT44">
        <v>164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130</v>
      </c>
      <c r="DH44">
        <v>8030</v>
      </c>
      <c r="DI44">
        <v>0</v>
      </c>
      <c r="DJ44">
        <v>2</v>
      </c>
      <c r="DK44">
        <v>56</v>
      </c>
      <c r="DL44">
        <v>2784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1944003</v>
      </c>
      <c r="DZ44">
        <v>101087236</v>
      </c>
      <c r="EA44">
        <v>0</v>
      </c>
      <c r="EB44">
        <v>0</v>
      </c>
      <c r="EC44">
        <v>3557452</v>
      </c>
      <c r="ED44">
        <v>223014826132</v>
      </c>
      <c r="EE44">
        <v>0</v>
      </c>
      <c r="EF44">
        <v>0</v>
      </c>
      <c r="EG44" t="s">
        <v>100</v>
      </c>
      <c r="EH44">
        <v>1943911</v>
      </c>
      <c r="EI44">
        <v>0</v>
      </c>
      <c r="EJ44">
        <v>24897188</v>
      </c>
      <c r="EK44">
        <v>0</v>
      </c>
      <c r="EL44">
        <v>0</v>
      </c>
      <c r="EM44" t="s">
        <v>129</v>
      </c>
      <c r="EN44" t="s">
        <v>271</v>
      </c>
      <c r="EO44">
        <v>21</v>
      </c>
      <c r="EP44">
        <v>5536</v>
      </c>
      <c r="EQ44">
        <v>0</v>
      </c>
      <c r="ER44">
        <v>0</v>
      </c>
      <c r="ES44">
        <v>21</v>
      </c>
      <c r="ET44">
        <v>9933</v>
      </c>
      <c r="EU44">
        <v>0</v>
      </c>
      <c r="EV44">
        <v>0</v>
      </c>
      <c r="EW44" t="s">
        <v>272</v>
      </c>
      <c r="EX44">
        <v>24898291</v>
      </c>
      <c r="EY44">
        <v>224423326748</v>
      </c>
      <c r="EZ44">
        <v>0</v>
      </c>
      <c r="FA44">
        <v>2</v>
      </c>
      <c r="FB44">
        <v>1944071</v>
      </c>
      <c r="FC44">
        <v>128318603</v>
      </c>
      <c r="FD44">
        <v>0</v>
      </c>
      <c r="FE44">
        <v>0</v>
      </c>
      <c r="FF44" t="s">
        <v>273</v>
      </c>
      <c r="FG44">
        <v>80</v>
      </c>
      <c r="FH44">
        <v>7888</v>
      </c>
      <c r="FI44">
        <v>0</v>
      </c>
      <c r="FJ44">
        <v>0</v>
      </c>
      <c r="FK44">
        <v>112</v>
      </c>
      <c r="FL44">
        <v>12583</v>
      </c>
      <c r="FM44">
        <v>0</v>
      </c>
      <c r="FN44">
        <v>0</v>
      </c>
      <c r="FO44" t="s">
        <v>274</v>
      </c>
      <c r="FP44">
        <v>24899476</v>
      </c>
      <c r="FQ44">
        <v>224423403436</v>
      </c>
      <c r="FR44">
        <v>0</v>
      </c>
      <c r="FS44">
        <v>8</v>
      </c>
      <c r="FT44">
        <v>1944231</v>
      </c>
      <c r="FU44">
        <v>128343495</v>
      </c>
      <c r="FV44">
        <v>0</v>
      </c>
      <c r="FW44">
        <v>0</v>
      </c>
      <c r="FX44" t="s">
        <v>275</v>
      </c>
      <c r="FY44">
        <v>131</v>
      </c>
      <c r="FZ44">
        <v>16638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480</v>
      </c>
      <c r="GI44">
        <v>30144</v>
      </c>
      <c r="GJ44">
        <v>0</v>
      </c>
      <c r="GK44">
        <v>0</v>
      </c>
      <c r="GL44">
        <v>480</v>
      </c>
      <c r="GM44">
        <v>30144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1185</v>
      </c>
      <c r="HA44">
        <v>76688</v>
      </c>
      <c r="HB44">
        <v>0</v>
      </c>
      <c r="HC44">
        <v>2</v>
      </c>
      <c r="HD44">
        <v>159</v>
      </c>
      <c r="HE44">
        <v>24742</v>
      </c>
      <c r="HF44">
        <v>0</v>
      </c>
      <c r="HG44">
        <v>0</v>
      </c>
      <c r="HH44" t="s">
        <v>278</v>
      </c>
      <c r="HI44">
        <v>3830783</v>
      </c>
      <c r="HJ44">
        <v>222979222994</v>
      </c>
      <c r="HK44">
        <v>0</v>
      </c>
      <c r="HL44">
        <v>0</v>
      </c>
      <c r="HM44">
        <v>1943966</v>
      </c>
      <c r="HN44">
        <v>128303989</v>
      </c>
      <c r="HO44">
        <v>0</v>
      </c>
      <c r="HP44">
        <v>0</v>
      </c>
      <c r="HQ44" t="s">
        <v>106</v>
      </c>
      <c r="HR44">
        <v>3829330</v>
      </c>
      <c r="HS44">
        <v>0</v>
      </c>
      <c r="HT44">
        <v>1944531</v>
      </c>
      <c r="HU44">
        <v>0</v>
      </c>
      <c r="HV44">
        <v>6</v>
      </c>
      <c r="HW44" t="s">
        <v>107</v>
      </c>
      <c r="HX44" t="s">
        <v>279</v>
      </c>
      <c r="HY44">
        <v>24898291</v>
      </c>
      <c r="HZ44">
        <v>1944071</v>
      </c>
      <c r="IA44">
        <v>24898301</v>
      </c>
      <c r="IB44">
        <v>1944073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1185</v>
      </c>
      <c r="IK44">
        <v>158</v>
      </c>
      <c r="IL44">
        <v>1192</v>
      </c>
      <c r="IM44">
        <v>160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9</v>
      </c>
      <c r="E46">
        <v>90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100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100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89</v>
      </c>
      <c r="E53">
        <v>10</v>
      </c>
      <c r="F53">
        <v>0</v>
      </c>
      <c r="G53">
        <v>4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0</v>
      </c>
      <c r="E55">
        <v>99</v>
      </c>
      <c r="F55">
        <v>0</v>
      </c>
      <c r="G55">
        <v>0</v>
      </c>
      <c r="H55">
        <v>0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7</v>
      </c>
      <c r="E56">
        <v>92</v>
      </c>
      <c r="F56">
        <v>0</v>
      </c>
      <c r="G56">
        <v>0</v>
      </c>
      <c r="H56">
        <v>6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15</v>
      </c>
      <c r="E58">
        <v>84</v>
      </c>
      <c r="F58">
        <v>0</v>
      </c>
      <c r="G58">
        <v>2</v>
      </c>
      <c r="H58">
        <v>8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99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51</v>
      </c>
      <c r="E67">
        <v>47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100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100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99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100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99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100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100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100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99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100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99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100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99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99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100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99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IS124"/>
  <sheetViews>
    <sheetView workbookViewId="0"/>
  </sheetViews>
  <sheetFormatPr defaultRowHeight="14.5" x14ac:dyDescent="0.35"/>
  <cols>
    <col min="27" max="27" width="10.90625" customWidth="1"/>
    <col min="28" max="28" width="12" customWidth="1"/>
    <col min="29" max="29" width="12.1796875" customWidth="1"/>
  </cols>
  <sheetData>
    <row r="1" spans="1:7" x14ac:dyDescent="0.35">
      <c r="A1" t="s">
        <v>345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346</v>
      </c>
    </row>
    <row r="5" spans="1:7" x14ac:dyDescent="0.35">
      <c r="A5" t="s">
        <v>189</v>
      </c>
    </row>
    <row r="6" spans="1:7" x14ac:dyDescent="0.35">
      <c r="A6" t="s">
        <v>347</v>
      </c>
    </row>
    <row r="7" spans="1:7" x14ac:dyDescent="0.35">
      <c r="A7" t="s">
        <v>168</v>
      </c>
    </row>
    <row r="8" spans="1:7" x14ac:dyDescent="0.35">
      <c r="A8" t="s">
        <v>197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6936577040</v>
      </c>
      <c r="C13">
        <v>27.75</v>
      </c>
      <c r="D13">
        <v>0</v>
      </c>
      <c r="E13">
        <v>10.74</v>
      </c>
      <c r="F13">
        <v>58190</v>
      </c>
      <c r="G13">
        <v>767598</v>
      </c>
    </row>
    <row r="14" spans="1:7" x14ac:dyDescent="0.35">
      <c r="A14">
        <v>4</v>
      </c>
      <c r="B14">
        <v>7446972480</v>
      </c>
      <c r="C14">
        <v>29.79</v>
      </c>
      <c r="D14">
        <v>0</v>
      </c>
      <c r="E14">
        <v>10.74</v>
      </c>
      <c r="F14">
        <v>118604</v>
      </c>
      <c r="G14">
        <v>1599632</v>
      </c>
    </row>
    <row r="15" spans="1:7" x14ac:dyDescent="0.35">
      <c r="A15">
        <v>6</v>
      </c>
      <c r="B15">
        <v>7447464380</v>
      </c>
      <c r="C15">
        <v>29.79</v>
      </c>
      <c r="D15">
        <v>0</v>
      </c>
      <c r="E15">
        <v>10.74</v>
      </c>
      <c r="F15">
        <v>178759</v>
      </c>
      <c r="G15">
        <v>2431659</v>
      </c>
    </row>
    <row r="16" spans="1:7" x14ac:dyDescent="0.35">
      <c r="A16">
        <v>8</v>
      </c>
      <c r="B16">
        <v>7447169240</v>
      </c>
      <c r="C16">
        <v>29.79</v>
      </c>
      <c r="D16">
        <v>0</v>
      </c>
      <c r="E16">
        <v>11.85</v>
      </c>
      <c r="F16">
        <v>239296</v>
      </c>
      <c r="G16">
        <v>3263546</v>
      </c>
    </row>
    <row r="17" spans="1:7" x14ac:dyDescent="0.35">
      <c r="A17">
        <v>10</v>
      </c>
      <c r="B17">
        <v>7436052300</v>
      </c>
      <c r="C17">
        <v>29.74</v>
      </c>
      <c r="D17">
        <v>0</v>
      </c>
      <c r="E17">
        <v>11.85</v>
      </c>
      <c r="F17">
        <v>299965</v>
      </c>
      <c r="G17">
        <v>4095580</v>
      </c>
    </row>
    <row r="18" spans="1:7" x14ac:dyDescent="0.35">
      <c r="A18">
        <v>12</v>
      </c>
      <c r="B18">
        <v>7442742140</v>
      </c>
      <c r="C18">
        <v>29.77</v>
      </c>
      <c r="D18">
        <v>0</v>
      </c>
      <c r="E18">
        <v>11.85</v>
      </c>
      <c r="F18">
        <v>360881</v>
      </c>
      <c r="G18">
        <v>4927614</v>
      </c>
    </row>
    <row r="19" spans="1:7" x14ac:dyDescent="0.35">
      <c r="A19">
        <v>14</v>
      </c>
      <c r="B19">
        <v>7442250240</v>
      </c>
      <c r="C19">
        <v>29.77</v>
      </c>
      <c r="D19">
        <v>0</v>
      </c>
      <c r="E19">
        <v>11.85</v>
      </c>
      <c r="F19">
        <v>421735</v>
      </c>
      <c r="G19">
        <v>5759613</v>
      </c>
    </row>
    <row r="20" spans="1:7" x14ac:dyDescent="0.35">
      <c r="A20">
        <v>16</v>
      </c>
      <c r="B20">
        <v>7442151860</v>
      </c>
      <c r="C20">
        <v>29.77</v>
      </c>
      <c r="D20">
        <v>0</v>
      </c>
      <c r="E20">
        <v>11.85</v>
      </c>
      <c r="F20">
        <v>482693</v>
      </c>
      <c r="G20">
        <v>6591605</v>
      </c>
    </row>
    <row r="21" spans="1:7" x14ac:dyDescent="0.35">
      <c r="A21">
        <v>18</v>
      </c>
      <c r="B21">
        <v>7445004880</v>
      </c>
      <c r="C21">
        <v>29.78</v>
      </c>
      <c r="D21">
        <v>0</v>
      </c>
      <c r="E21">
        <v>11.85</v>
      </c>
      <c r="F21">
        <v>543357</v>
      </c>
      <c r="G21">
        <v>7423646</v>
      </c>
    </row>
    <row r="22" spans="1:7" x14ac:dyDescent="0.35">
      <c r="A22">
        <v>20</v>
      </c>
      <c r="B22">
        <v>7446578960</v>
      </c>
      <c r="C22">
        <v>29.79</v>
      </c>
      <c r="D22">
        <v>0</v>
      </c>
      <c r="E22">
        <v>11.85</v>
      </c>
      <c r="F22">
        <v>603781</v>
      </c>
      <c r="G22">
        <v>8255673</v>
      </c>
    </row>
    <row r="23" spans="1:7" x14ac:dyDescent="0.35">
      <c r="A23">
        <v>22</v>
      </c>
      <c r="B23">
        <v>7446874100</v>
      </c>
      <c r="C23">
        <v>29.79</v>
      </c>
      <c r="D23">
        <v>0</v>
      </c>
      <c r="E23">
        <v>11.85</v>
      </c>
      <c r="F23">
        <v>664490</v>
      </c>
      <c r="G23">
        <v>9087714</v>
      </c>
    </row>
    <row r="24" spans="1:7" x14ac:dyDescent="0.35">
      <c r="A24">
        <v>24</v>
      </c>
      <c r="B24">
        <v>7439593980</v>
      </c>
      <c r="C24">
        <v>29.76</v>
      </c>
      <c r="D24">
        <v>0</v>
      </c>
      <c r="E24">
        <v>11.85</v>
      </c>
      <c r="F24">
        <v>725291</v>
      </c>
      <c r="G24">
        <v>9919755</v>
      </c>
    </row>
    <row r="25" spans="1:7" x14ac:dyDescent="0.35">
      <c r="A25">
        <v>26</v>
      </c>
      <c r="B25">
        <v>7439200460</v>
      </c>
      <c r="C25">
        <v>29.76</v>
      </c>
      <c r="D25">
        <v>0</v>
      </c>
      <c r="E25">
        <v>11.85</v>
      </c>
      <c r="F25">
        <v>786157</v>
      </c>
      <c r="G25">
        <v>10751768</v>
      </c>
    </row>
    <row r="26" spans="1:7" x14ac:dyDescent="0.35">
      <c r="A26">
        <v>28</v>
      </c>
      <c r="B26">
        <v>7461139200</v>
      </c>
      <c r="C26">
        <v>29.84</v>
      </c>
      <c r="D26">
        <v>0</v>
      </c>
      <c r="E26">
        <v>11.85</v>
      </c>
      <c r="F26">
        <v>847242</v>
      </c>
      <c r="G26">
        <v>11583788</v>
      </c>
    </row>
    <row r="27" spans="1:7" x14ac:dyDescent="0.35">
      <c r="A27">
        <v>30</v>
      </c>
      <c r="B27">
        <v>7440381020</v>
      </c>
      <c r="C27">
        <v>29.76</v>
      </c>
      <c r="D27">
        <v>0</v>
      </c>
      <c r="E27">
        <v>11.85</v>
      </c>
      <c r="F27">
        <v>908313</v>
      </c>
      <c r="G27">
        <v>12415801</v>
      </c>
    </row>
    <row r="28" spans="1:7" x14ac:dyDescent="0.35">
      <c r="A28">
        <v>32</v>
      </c>
      <c r="B28">
        <v>7443135660</v>
      </c>
      <c r="C28">
        <v>29.77</v>
      </c>
      <c r="D28">
        <v>0</v>
      </c>
      <c r="E28">
        <v>11.85</v>
      </c>
      <c r="F28">
        <v>969267</v>
      </c>
      <c r="G28">
        <v>13247821</v>
      </c>
    </row>
    <row r="29" spans="1:7" x14ac:dyDescent="0.35">
      <c r="A29">
        <v>34</v>
      </c>
      <c r="B29">
        <v>7440774540</v>
      </c>
      <c r="C29">
        <v>29.76</v>
      </c>
      <c r="D29">
        <v>0</v>
      </c>
      <c r="E29">
        <v>11.85</v>
      </c>
      <c r="F29">
        <v>1030288</v>
      </c>
      <c r="G29">
        <v>14079862</v>
      </c>
    </row>
    <row r="30" spans="1:7" x14ac:dyDescent="0.35">
      <c r="A30">
        <v>36</v>
      </c>
      <c r="B30">
        <v>7443529180</v>
      </c>
      <c r="C30">
        <v>29.77</v>
      </c>
      <c r="D30">
        <v>0</v>
      </c>
      <c r="E30">
        <v>11.85</v>
      </c>
      <c r="F30">
        <v>1091238</v>
      </c>
      <c r="G30">
        <v>14911889</v>
      </c>
    </row>
    <row r="31" spans="1:7" x14ac:dyDescent="0.35">
      <c r="A31">
        <v>38</v>
      </c>
      <c r="B31">
        <v>7443922700</v>
      </c>
      <c r="C31">
        <v>29.78</v>
      </c>
      <c r="D31">
        <v>0</v>
      </c>
      <c r="E31">
        <v>11.85</v>
      </c>
      <c r="F31">
        <v>1152162</v>
      </c>
      <c r="G31">
        <v>15743916</v>
      </c>
    </row>
    <row r="32" spans="1:7" x14ac:dyDescent="0.35">
      <c r="A32">
        <v>40</v>
      </c>
      <c r="B32">
        <v>7449136840</v>
      </c>
      <c r="C32">
        <v>29.8</v>
      </c>
      <c r="D32">
        <v>0</v>
      </c>
      <c r="E32">
        <v>11.85</v>
      </c>
      <c r="F32">
        <v>1213163</v>
      </c>
      <c r="G32">
        <v>16575964</v>
      </c>
    </row>
    <row r="33" spans="1:253" x14ac:dyDescent="0.35">
      <c r="A33">
        <v>42</v>
      </c>
      <c r="B33">
        <v>7444021080</v>
      </c>
      <c r="C33">
        <v>29.78</v>
      </c>
      <c r="D33">
        <v>0</v>
      </c>
      <c r="E33">
        <v>11.85</v>
      </c>
      <c r="F33">
        <v>1274270</v>
      </c>
      <c r="G33">
        <v>17407998</v>
      </c>
    </row>
    <row r="34" spans="1:253" x14ac:dyDescent="0.35">
      <c r="A34">
        <v>44</v>
      </c>
      <c r="B34">
        <v>7440479400</v>
      </c>
      <c r="C34">
        <v>29.76</v>
      </c>
      <c r="D34">
        <v>0</v>
      </c>
      <c r="E34">
        <v>11.85</v>
      </c>
      <c r="F34">
        <v>1335195</v>
      </c>
      <c r="G34">
        <v>18240018</v>
      </c>
    </row>
    <row r="35" spans="1:253" x14ac:dyDescent="0.35">
      <c r="A35">
        <v>46</v>
      </c>
      <c r="B35">
        <v>7447366000</v>
      </c>
      <c r="C35">
        <v>29.79</v>
      </c>
      <c r="D35">
        <v>0</v>
      </c>
      <c r="E35">
        <v>11.85</v>
      </c>
      <c r="F35">
        <v>1396233</v>
      </c>
      <c r="G35">
        <v>19072052</v>
      </c>
    </row>
    <row r="36" spans="1:253" x14ac:dyDescent="0.35">
      <c r="A36">
        <v>48</v>
      </c>
      <c r="B36">
        <v>7438511800</v>
      </c>
      <c r="C36">
        <v>29.75</v>
      </c>
      <c r="D36">
        <v>0</v>
      </c>
      <c r="E36">
        <v>11.85</v>
      </c>
      <c r="F36">
        <v>1457186</v>
      </c>
      <c r="G36">
        <v>19904086</v>
      </c>
    </row>
    <row r="37" spans="1:253" x14ac:dyDescent="0.35">
      <c r="A37">
        <v>50</v>
      </c>
      <c r="B37">
        <v>7472256140</v>
      </c>
      <c r="C37">
        <v>29.89</v>
      </c>
      <c r="D37">
        <v>0</v>
      </c>
      <c r="E37">
        <v>11.85</v>
      </c>
      <c r="F37">
        <v>1517859</v>
      </c>
      <c r="G37">
        <v>20736127</v>
      </c>
    </row>
    <row r="38" spans="1:253" x14ac:dyDescent="0.35">
      <c r="A38">
        <v>52</v>
      </c>
      <c r="B38">
        <v>7438905320</v>
      </c>
      <c r="C38">
        <v>29.76</v>
      </c>
      <c r="D38">
        <v>0</v>
      </c>
      <c r="E38">
        <v>11.85</v>
      </c>
      <c r="F38">
        <v>1578457</v>
      </c>
      <c r="G38">
        <v>21568168</v>
      </c>
    </row>
    <row r="39" spans="1:253" x14ac:dyDescent="0.35">
      <c r="A39">
        <v>54</v>
      </c>
      <c r="B39">
        <v>7442840520</v>
      </c>
      <c r="C39">
        <v>29.77</v>
      </c>
      <c r="D39">
        <v>0</v>
      </c>
      <c r="E39">
        <v>11.85</v>
      </c>
      <c r="F39">
        <v>1638646</v>
      </c>
      <c r="G39">
        <v>22400202</v>
      </c>
    </row>
    <row r="40" spans="1:253" x14ac:dyDescent="0.35">
      <c r="A40">
        <v>56</v>
      </c>
      <c r="B40">
        <v>7446874100</v>
      </c>
      <c r="C40">
        <v>29.79</v>
      </c>
      <c r="D40">
        <v>0</v>
      </c>
      <c r="E40">
        <v>11.85</v>
      </c>
      <c r="F40">
        <v>1698854</v>
      </c>
      <c r="G40">
        <v>23232222</v>
      </c>
    </row>
    <row r="41" spans="1:253" x14ac:dyDescent="0.35">
      <c r="A41">
        <v>58</v>
      </c>
      <c r="B41">
        <v>7425427260</v>
      </c>
      <c r="C41">
        <v>29.7</v>
      </c>
      <c r="D41">
        <v>0</v>
      </c>
      <c r="E41">
        <v>11.85</v>
      </c>
      <c r="F41">
        <v>1759124</v>
      </c>
      <c r="G41">
        <v>24064270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45000000</v>
      </c>
      <c r="C44">
        <v>2264959</v>
      </c>
      <c r="D44">
        <v>0</v>
      </c>
      <c r="E44">
        <v>26.490500000000001</v>
      </c>
      <c r="F44" s="3">
        <v>59999900</v>
      </c>
      <c r="G44">
        <v>29710.3</v>
      </c>
      <c r="H44">
        <v>24902400</v>
      </c>
      <c r="I44">
        <v>0</v>
      </c>
      <c r="J44">
        <v>0</v>
      </c>
      <c r="K44" t="s">
        <v>117</v>
      </c>
      <c r="L44">
        <v>0</v>
      </c>
      <c r="M44">
        <v>2264959</v>
      </c>
      <c r="N44">
        <v>222826666420</v>
      </c>
      <c r="O44">
        <v>26.495899999999999</v>
      </c>
      <c r="P44">
        <v>60012154</v>
      </c>
      <c r="Q44">
        <v>29704.2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120</v>
      </c>
      <c r="BO44">
        <v>6720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1820008</v>
      </c>
      <c r="CG44">
        <v>120119706</v>
      </c>
      <c r="CH44">
        <v>0</v>
      </c>
      <c r="CI44">
        <v>0</v>
      </c>
      <c r="CJ44">
        <v>24902402</v>
      </c>
      <c r="CK44">
        <v>224470224960</v>
      </c>
      <c r="CL44">
        <v>0</v>
      </c>
      <c r="CM44">
        <v>0</v>
      </c>
      <c r="CN44" t="s">
        <v>177</v>
      </c>
      <c r="CO44">
        <v>120</v>
      </c>
      <c r="CP44">
        <v>5040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114</v>
      </c>
      <c r="DH44">
        <v>7070</v>
      </c>
      <c r="DI44">
        <v>0</v>
      </c>
      <c r="DJ44">
        <v>2</v>
      </c>
      <c r="DK44">
        <v>58</v>
      </c>
      <c r="DL44">
        <v>2884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1820007</v>
      </c>
      <c r="DZ44">
        <v>94639534</v>
      </c>
      <c r="EA44">
        <v>0</v>
      </c>
      <c r="EB44">
        <v>0</v>
      </c>
      <c r="EC44">
        <v>3558146</v>
      </c>
      <c r="ED44">
        <v>223061504056</v>
      </c>
      <c r="EE44">
        <v>0</v>
      </c>
      <c r="EF44">
        <v>0</v>
      </c>
      <c r="EG44" t="s">
        <v>100</v>
      </c>
      <c r="EH44">
        <v>1819924</v>
      </c>
      <c r="EI44">
        <v>0</v>
      </c>
      <c r="EJ44">
        <v>24902400</v>
      </c>
      <c r="EK44">
        <v>0</v>
      </c>
      <c r="EL44">
        <v>0</v>
      </c>
      <c r="EM44" t="s">
        <v>129</v>
      </c>
      <c r="EN44" t="s">
        <v>271</v>
      </c>
      <c r="EO44">
        <v>23</v>
      </c>
      <c r="EP44">
        <v>5680</v>
      </c>
      <c r="EQ44">
        <v>0</v>
      </c>
      <c r="ER44">
        <v>0</v>
      </c>
      <c r="ES44">
        <v>22</v>
      </c>
      <c r="ET44">
        <v>10019</v>
      </c>
      <c r="EU44">
        <v>0</v>
      </c>
      <c r="EV44">
        <v>0</v>
      </c>
      <c r="EW44" t="s">
        <v>272</v>
      </c>
      <c r="EX44">
        <v>24903689</v>
      </c>
      <c r="EY44">
        <v>224470307720</v>
      </c>
      <c r="EZ44">
        <v>0</v>
      </c>
      <c r="FA44">
        <v>2</v>
      </c>
      <c r="FB44">
        <v>152</v>
      </c>
      <c r="FC44">
        <v>19789</v>
      </c>
      <c r="FD44">
        <v>0</v>
      </c>
      <c r="FE44">
        <v>0</v>
      </c>
      <c r="FF44" t="s">
        <v>273</v>
      </c>
      <c r="FG44">
        <v>59</v>
      </c>
      <c r="FH44">
        <v>4000</v>
      </c>
      <c r="FI44">
        <v>0</v>
      </c>
      <c r="FJ44">
        <v>0</v>
      </c>
      <c r="FK44">
        <v>89</v>
      </c>
      <c r="FL44">
        <v>7103</v>
      </c>
      <c r="FM44">
        <v>0</v>
      </c>
      <c r="FN44">
        <v>0</v>
      </c>
      <c r="FO44" t="s">
        <v>274</v>
      </c>
      <c r="FP44">
        <v>24904833</v>
      </c>
      <c r="FQ44">
        <v>224470383111</v>
      </c>
      <c r="FR44">
        <v>0</v>
      </c>
      <c r="FS44">
        <v>8</v>
      </c>
      <c r="FT44">
        <v>1820214</v>
      </c>
      <c r="FU44">
        <v>120154227</v>
      </c>
      <c r="FV44">
        <v>0</v>
      </c>
      <c r="FW44">
        <v>0</v>
      </c>
      <c r="FX44" t="s">
        <v>275</v>
      </c>
      <c r="FY44">
        <v>125</v>
      </c>
      <c r="FZ44">
        <v>12997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420</v>
      </c>
      <c r="GI44">
        <v>26376</v>
      </c>
      <c r="GJ44">
        <v>0</v>
      </c>
      <c r="GK44">
        <v>0</v>
      </c>
      <c r="GL44">
        <v>420</v>
      </c>
      <c r="GM44">
        <v>26376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1144</v>
      </c>
      <c r="HA44">
        <v>75391</v>
      </c>
      <c r="HB44">
        <v>0</v>
      </c>
      <c r="HC44">
        <v>2</v>
      </c>
      <c r="HD44">
        <v>1820062</v>
      </c>
      <c r="HE44">
        <v>120134438</v>
      </c>
      <c r="HF44">
        <v>0</v>
      </c>
      <c r="HG44">
        <v>0</v>
      </c>
      <c r="HH44" t="s">
        <v>278</v>
      </c>
      <c r="HI44">
        <v>3822490</v>
      </c>
      <c r="HJ44">
        <v>223025420679</v>
      </c>
      <c r="HK44">
        <v>0</v>
      </c>
      <c r="HL44">
        <v>0</v>
      </c>
      <c r="HM44">
        <v>1819975</v>
      </c>
      <c r="HN44">
        <v>120120539</v>
      </c>
      <c r="HO44">
        <v>0</v>
      </c>
      <c r="HP44">
        <v>0</v>
      </c>
      <c r="HQ44" t="s">
        <v>106</v>
      </c>
      <c r="HR44">
        <v>3820793</v>
      </c>
      <c r="HS44">
        <v>0</v>
      </c>
      <c r="HT44">
        <v>1820459</v>
      </c>
      <c r="HU44">
        <v>0</v>
      </c>
      <c r="HV44">
        <v>6</v>
      </c>
      <c r="HW44" t="s">
        <v>107</v>
      </c>
      <c r="HX44" t="s">
        <v>279</v>
      </c>
      <c r="HY44">
        <v>24903689</v>
      </c>
      <c r="HZ44">
        <v>152</v>
      </c>
      <c r="IA44">
        <v>24903695</v>
      </c>
      <c r="IB44">
        <v>153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1144</v>
      </c>
      <c r="IK44">
        <v>1820062</v>
      </c>
      <c r="IL44">
        <v>1147</v>
      </c>
      <c r="IM44">
        <v>1820063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9</v>
      </c>
      <c r="E46">
        <v>90</v>
      </c>
      <c r="F46">
        <v>0</v>
      </c>
      <c r="G46">
        <v>0</v>
      </c>
      <c r="H46">
        <v>1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99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99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99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89</v>
      </c>
      <c r="E53">
        <v>10</v>
      </c>
      <c r="F53">
        <v>0</v>
      </c>
      <c r="G53">
        <v>4</v>
      </c>
      <c r="H53">
        <v>4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15</v>
      </c>
      <c r="E55">
        <v>84</v>
      </c>
      <c r="F55">
        <v>0</v>
      </c>
      <c r="G55">
        <v>2</v>
      </c>
      <c r="H55">
        <v>8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0</v>
      </c>
      <c r="E56">
        <v>99</v>
      </c>
      <c r="F56">
        <v>0</v>
      </c>
      <c r="G56">
        <v>0</v>
      </c>
      <c r="H56">
        <v>0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7</v>
      </c>
      <c r="E58">
        <v>92</v>
      </c>
      <c r="F58">
        <v>0</v>
      </c>
      <c r="G58">
        <v>0</v>
      </c>
      <c r="H58">
        <v>5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99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100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1</v>
      </c>
      <c r="E65">
        <v>98</v>
      </c>
      <c r="F65">
        <v>0</v>
      </c>
      <c r="G65">
        <v>0</v>
      </c>
      <c r="H65">
        <v>1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99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1</v>
      </c>
      <c r="C67">
        <v>0</v>
      </c>
      <c r="D67">
        <v>51</v>
      </c>
      <c r="E67">
        <v>47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99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100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100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99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99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100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99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100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100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100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99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100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99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99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99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99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99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100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99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99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IS124"/>
  <sheetViews>
    <sheetView topLeftCell="A61" workbookViewId="0"/>
  </sheetViews>
  <sheetFormatPr defaultRowHeight="14.5" x14ac:dyDescent="0.35"/>
  <sheetData>
    <row r="1" spans="1:7" x14ac:dyDescent="0.35">
      <c r="A1" t="s">
        <v>348</v>
      </c>
    </row>
    <row r="2" spans="1:7" x14ac:dyDescent="0.35">
      <c r="A2" t="s">
        <v>166</v>
      </c>
    </row>
    <row r="3" spans="1:7" x14ac:dyDescent="0.35">
      <c r="A3" t="s">
        <v>145</v>
      </c>
    </row>
    <row r="4" spans="1:7" x14ac:dyDescent="0.35">
      <c r="A4" t="s">
        <v>349</v>
      </c>
    </row>
    <row r="5" spans="1:7" x14ac:dyDescent="0.35">
      <c r="A5" t="s">
        <v>264</v>
      </c>
    </row>
    <row r="6" spans="1:7" x14ac:dyDescent="0.35">
      <c r="A6" t="s">
        <v>291</v>
      </c>
    </row>
    <row r="7" spans="1:7" x14ac:dyDescent="0.35">
      <c r="A7" t="s">
        <v>168</v>
      </c>
    </row>
    <row r="8" spans="1:7" x14ac:dyDescent="0.35">
      <c r="A8" t="s">
        <v>198</v>
      </c>
    </row>
    <row r="9" spans="1:7" x14ac:dyDescent="0.35">
      <c r="A9" t="s">
        <v>270</v>
      </c>
    </row>
    <row r="10" spans="1:7" x14ac:dyDescent="0.35">
      <c r="A10" t="s">
        <v>199</v>
      </c>
    </row>
    <row r="11" spans="1:7" x14ac:dyDescent="0.35">
      <c r="A11" t="s">
        <v>236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  <c r="E12" t="s">
        <v>136</v>
      </c>
      <c r="F12" t="s">
        <v>101</v>
      </c>
      <c r="G12" t="s">
        <v>137</v>
      </c>
    </row>
    <row r="13" spans="1:7" x14ac:dyDescent="0.35">
      <c r="A13">
        <v>2</v>
      </c>
      <c r="B13">
        <v>4818947540</v>
      </c>
      <c r="C13">
        <v>19.28</v>
      </c>
      <c r="D13">
        <v>3</v>
      </c>
      <c r="E13">
        <v>5.26</v>
      </c>
      <c r="F13">
        <v>42841</v>
      </c>
      <c r="G13">
        <v>528376</v>
      </c>
    </row>
    <row r="14" spans="1:7" x14ac:dyDescent="0.35">
      <c r="A14">
        <v>4</v>
      </c>
      <c r="B14">
        <v>3075457180</v>
      </c>
      <c r="C14">
        <v>12.3</v>
      </c>
      <c r="D14">
        <v>6</v>
      </c>
      <c r="E14">
        <v>1.57</v>
      </c>
      <c r="F14">
        <v>74804</v>
      </c>
      <c r="G14">
        <v>873161</v>
      </c>
    </row>
    <row r="15" spans="1:7" x14ac:dyDescent="0.35">
      <c r="A15">
        <v>6</v>
      </c>
      <c r="B15">
        <v>1319472560</v>
      </c>
      <c r="C15">
        <v>5.28</v>
      </c>
      <c r="D15">
        <v>5</v>
      </c>
      <c r="E15">
        <v>1.81</v>
      </c>
      <c r="F15">
        <v>108028</v>
      </c>
      <c r="G15">
        <v>1022233</v>
      </c>
    </row>
    <row r="16" spans="1:7" x14ac:dyDescent="0.35">
      <c r="A16">
        <v>8</v>
      </c>
      <c r="B16">
        <v>1382927660</v>
      </c>
      <c r="C16">
        <v>5.53</v>
      </c>
      <c r="D16">
        <v>4</v>
      </c>
      <c r="E16">
        <v>2.76</v>
      </c>
      <c r="F16">
        <v>133186</v>
      </c>
      <c r="G16">
        <v>1175421</v>
      </c>
    </row>
    <row r="17" spans="1:7" x14ac:dyDescent="0.35">
      <c r="A17">
        <v>10</v>
      </c>
      <c r="B17">
        <v>1321341780</v>
      </c>
      <c r="C17">
        <v>5.29</v>
      </c>
      <c r="D17">
        <v>7</v>
      </c>
      <c r="E17">
        <v>1.53</v>
      </c>
      <c r="F17">
        <v>159171</v>
      </c>
      <c r="G17">
        <v>1322169</v>
      </c>
    </row>
    <row r="18" spans="1:7" x14ac:dyDescent="0.35">
      <c r="A18">
        <v>12</v>
      </c>
      <c r="B18">
        <v>1433691740</v>
      </c>
      <c r="C18">
        <v>5.73</v>
      </c>
      <c r="D18">
        <v>3</v>
      </c>
      <c r="E18">
        <v>2.68</v>
      </c>
      <c r="F18">
        <v>184864</v>
      </c>
      <c r="G18">
        <v>1483596</v>
      </c>
    </row>
    <row r="19" spans="1:7" x14ac:dyDescent="0.35">
      <c r="A19">
        <v>14</v>
      </c>
      <c r="B19">
        <v>1545844940</v>
      </c>
      <c r="C19">
        <v>6.18</v>
      </c>
      <c r="D19">
        <v>4</v>
      </c>
      <c r="E19">
        <v>3.06</v>
      </c>
      <c r="F19">
        <v>210124</v>
      </c>
      <c r="G19">
        <v>1655558</v>
      </c>
    </row>
    <row r="20" spans="1:7" x14ac:dyDescent="0.35">
      <c r="A20">
        <v>16</v>
      </c>
      <c r="B20">
        <v>2319308500</v>
      </c>
      <c r="C20">
        <v>9.2799999999999994</v>
      </c>
      <c r="D20">
        <v>3</v>
      </c>
      <c r="E20">
        <v>2.82</v>
      </c>
      <c r="F20">
        <v>235439</v>
      </c>
      <c r="G20">
        <v>1913809</v>
      </c>
    </row>
    <row r="21" spans="1:7" x14ac:dyDescent="0.35">
      <c r="A21">
        <v>18</v>
      </c>
      <c r="B21">
        <v>1746540140</v>
      </c>
      <c r="C21">
        <v>6.99</v>
      </c>
      <c r="D21">
        <v>5</v>
      </c>
      <c r="E21">
        <v>2.0299999999999998</v>
      </c>
      <c r="F21">
        <v>261408</v>
      </c>
      <c r="G21">
        <v>2109074</v>
      </c>
    </row>
    <row r="22" spans="1:7" x14ac:dyDescent="0.35">
      <c r="A22">
        <v>20</v>
      </c>
      <c r="B22">
        <v>1656128920</v>
      </c>
      <c r="C22">
        <v>6.62</v>
      </c>
      <c r="D22">
        <v>4</v>
      </c>
      <c r="E22">
        <v>1.78</v>
      </c>
      <c r="F22">
        <v>283107</v>
      </c>
      <c r="G22">
        <v>2294077</v>
      </c>
    </row>
    <row r="23" spans="1:7" x14ac:dyDescent="0.35">
      <c r="A23">
        <v>22</v>
      </c>
      <c r="B23">
        <v>1633501520</v>
      </c>
      <c r="C23">
        <v>6.53</v>
      </c>
      <c r="D23">
        <v>3</v>
      </c>
      <c r="E23">
        <v>2.63</v>
      </c>
      <c r="F23">
        <v>309997</v>
      </c>
      <c r="G23">
        <v>2479164</v>
      </c>
    </row>
    <row r="24" spans="1:7" x14ac:dyDescent="0.35">
      <c r="A24">
        <v>24</v>
      </c>
      <c r="B24">
        <v>1558929480</v>
      </c>
      <c r="C24">
        <v>6.24</v>
      </c>
      <c r="D24">
        <v>5</v>
      </c>
      <c r="E24">
        <v>1.96</v>
      </c>
      <c r="F24">
        <v>334271</v>
      </c>
      <c r="G24">
        <v>2654066</v>
      </c>
    </row>
    <row r="25" spans="1:7" x14ac:dyDescent="0.35">
      <c r="A25">
        <v>26</v>
      </c>
      <c r="B25">
        <v>1840886560</v>
      </c>
      <c r="C25">
        <v>7.36</v>
      </c>
      <c r="D25">
        <v>3</v>
      </c>
      <c r="E25">
        <v>2.37</v>
      </c>
      <c r="F25">
        <v>360370</v>
      </c>
      <c r="G25">
        <v>2857073</v>
      </c>
    </row>
    <row r="26" spans="1:7" x14ac:dyDescent="0.35">
      <c r="A26">
        <v>28</v>
      </c>
      <c r="B26">
        <v>1491539180</v>
      </c>
      <c r="C26">
        <v>5.97</v>
      </c>
      <c r="D26">
        <v>4</v>
      </c>
      <c r="E26">
        <v>2.93</v>
      </c>
      <c r="F26">
        <v>385746</v>
      </c>
      <c r="G26">
        <v>3023400</v>
      </c>
    </row>
    <row r="27" spans="1:7" x14ac:dyDescent="0.35">
      <c r="A27">
        <v>30</v>
      </c>
      <c r="B27">
        <v>1396504100</v>
      </c>
      <c r="C27">
        <v>5.59</v>
      </c>
      <c r="D27">
        <v>6</v>
      </c>
      <c r="E27">
        <v>1.93</v>
      </c>
      <c r="F27">
        <v>413439</v>
      </c>
      <c r="G27">
        <v>3181859</v>
      </c>
    </row>
    <row r="28" spans="1:7" x14ac:dyDescent="0.35">
      <c r="A28">
        <v>32</v>
      </c>
      <c r="B28">
        <v>1560011660</v>
      </c>
      <c r="C28">
        <v>6.24</v>
      </c>
      <c r="D28">
        <v>3</v>
      </c>
      <c r="E28">
        <v>3.1</v>
      </c>
      <c r="F28">
        <v>439067</v>
      </c>
      <c r="G28">
        <v>3356572</v>
      </c>
    </row>
    <row r="29" spans="1:7" x14ac:dyDescent="0.35">
      <c r="A29">
        <v>34</v>
      </c>
      <c r="B29">
        <v>1756968420</v>
      </c>
      <c r="C29">
        <v>7.03</v>
      </c>
      <c r="D29">
        <v>5</v>
      </c>
      <c r="E29">
        <v>1.92</v>
      </c>
      <c r="F29">
        <v>464151</v>
      </c>
      <c r="G29">
        <v>3551123</v>
      </c>
    </row>
    <row r="30" spans="1:7" x14ac:dyDescent="0.35">
      <c r="A30">
        <v>36</v>
      </c>
      <c r="B30">
        <v>1723224080</v>
      </c>
      <c r="C30">
        <v>6.89</v>
      </c>
      <c r="D30">
        <v>3</v>
      </c>
      <c r="E30">
        <v>2.29</v>
      </c>
      <c r="F30">
        <v>484475</v>
      </c>
      <c r="G30">
        <v>3742685</v>
      </c>
    </row>
    <row r="31" spans="1:7" x14ac:dyDescent="0.35">
      <c r="A31">
        <v>38</v>
      </c>
      <c r="B31">
        <v>1896176120</v>
      </c>
      <c r="C31">
        <v>7.58</v>
      </c>
      <c r="D31">
        <v>2</v>
      </c>
      <c r="E31">
        <v>4.17</v>
      </c>
      <c r="F31">
        <v>509424</v>
      </c>
      <c r="G31">
        <v>3956129</v>
      </c>
    </row>
    <row r="32" spans="1:7" x14ac:dyDescent="0.35">
      <c r="A32">
        <v>40</v>
      </c>
      <c r="B32">
        <v>2415720900</v>
      </c>
      <c r="C32">
        <v>9.66</v>
      </c>
      <c r="D32">
        <v>3</v>
      </c>
      <c r="E32">
        <v>3.66</v>
      </c>
      <c r="F32">
        <v>535210</v>
      </c>
      <c r="G32">
        <v>4226819</v>
      </c>
    </row>
    <row r="33" spans="1:253" x14ac:dyDescent="0.35">
      <c r="A33">
        <v>42</v>
      </c>
      <c r="B33">
        <v>2614940400</v>
      </c>
      <c r="C33">
        <v>10.46</v>
      </c>
      <c r="D33">
        <v>4</v>
      </c>
      <c r="E33">
        <v>2.14</v>
      </c>
      <c r="F33">
        <v>561461</v>
      </c>
      <c r="G33">
        <v>4517158</v>
      </c>
    </row>
    <row r="34" spans="1:253" x14ac:dyDescent="0.35">
      <c r="A34">
        <v>44</v>
      </c>
      <c r="B34">
        <v>1830064760</v>
      </c>
      <c r="C34">
        <v>7.32</v>
      </c>
      <c r="D34">
        <v>2</v>
      </c>
      <c r="E34">
        <v>3.74</v>
      </c>
      <c r="F34">
        <v>586653</v>
      </c>
      <c r="G34">
        <v>4723357</v>
      </c>
    </row>
    <row r="35" spans="1:253" x14ac:dyDescent="0.35">
      <c r="A35">
        <v>46</v>
      </c>
      <c r="B35">
        <v>1996523720</v>
      </c>
      <c r="C35">
        <v>7.99</v>
      </c>
      <c r="D35">
        <v>4</v>
      </c>
      <c r="E35">
        <v>2.78</v>
      </c>
      <c r="F35">
        <v>610584</v>
      </c>
      <c r="G35">
        <v>4944837</v>
      </c>
    </row>
    <row r="36" spans="1:253" x14ac:dyDescent="0.35">
      <c r="A36">
        <v>48</v>
      </c>
      <c r="B36">
        <v>1727257660</v>
      </c>
      <c r="C36">
        <v>6.91</v>
      </c>
      <c r="D36">
        <v>5</v>
      </c>
      <c r="E36">
        <v>1.77</v>
      </c>
      <c r="F36">
        <v>634996</v>
      </c>
      <c r="G36">
        <v>5138380</v>
      </c>
    </row>
    <row r="37" spans="1:253" x14ac:dyDescent="0.35">
      <c r="A37">
        <v>50</v>
      </c>
      <c r="B37">
        <v>1785597000</v>
      </c>
      <c r="C37">
        <v>7.14</v>
      </c>
      <c r="D37">
        <v>3</v>
      </c>
      <c r="E37">
        <v>2.44</v>
      </c>
      <c r="F37">
        <v>662346</v>
      </c>
      <c r="G37">
        <v>5336802</v>
      </c>
    </row>
    <row r="38" spans="1:253" x14ac:dyDescent="0.35">
      <c r="A38">
        <v>52</v>
      </c>
      <c r="B38">
        <v>1715156920</v>
      </c>
      <c r="C38">
        <v>6.86</v>
      </c>
      <c r="D38">
        <v>4</v>
      </c>
      <c r="E38">
        <v>2</v>
      </c>
      <c r="F38">
        <v>683987</v>
      </c>
      <c r="G38">
        <v>5530828</v>
      </c>
    </row>
    <row r="39" spans="1:253" x14ac:dyDescent="0.35">
      <c r="A39">
        <v>54</v>
      </c>
      <c r="B39">
        <v>1454745060</v>
      </c>
      <c r="C39">
        <v>5.82</v>
      </c>
      <c r="D39">
        <v>5</v>
      </c>
      <c r="E39">
        <v>1.73</v>
      </c>
      <c r="F39">
        <v>709417</v>
      </c>
      <c r="G39">
        <v>5692332</v>
      </c>
    </row>
    <row r="40" spans="1:253" x14ac:dyDescent="0.35">
      <c r="A40">
        <v>56</v>
      </c>
      <c r="B40">
        <v>1591198120</v>
      </c>
      <c r="C40">
        <v>6.36</v>
      </c>
      <c r="D40">
        <v>4</v>
      </c>
      <c r="E40">
        <v>2.08</v>
      </c>
      <c r="F40">
        <v>747386</v>
      </c>
      <c r="G40">
        <v>5870020</v>
      </c>
    </row>
    <row r="41" spans="1:253" x14ac:dyDescent="0.35">
      <c r="A41">
        <v>58</v>
      </c>
      <c r="B41">
        <v>1628484140</v>
      </c>
      <c r="C41">
        <v>6.51</v>
      </c>
      <c r="D41">
        <v>4</v>
      </c>
      <c r="E41">
        <v>2</v>
      </c>
      <c r="F41">
        <v>771756</v>
      </c>
      <c r="G41">
        <v>6053154</v>
      </c>
    </row>
    <row r="42" spans="1:253" x14ac:dyDescent="0.35">
      <c r="A42" t="s">
        <v>68</v>
      </c>
      <c r="B42" t="s">
        <v>67</v>
      </c>
    </row>
    <row r="43" spans="1:253" x14ac:dyDescent="0.35">
      <c r="A43" t="s">
        <v>69</v>
      </c>
      <c r="B43" t="s">
        <v>70</v>
      </c>
      <c r="C43" t="s">
        <v>71</v>
      </c>
      <c r="D43" t="s">
        <v>72</v>
      </c>
      <c r="E43" t="s">
        <v>73</v>
      </c>
      <c r="F43" t="s">
        <v>74</v>
      </c>
      <c r="G43" t="s">
        <v>75</v>
      </c>
      <c r="H43" t="s">
        <v>76</v>
      </c>
      <c r="I43" t="s">
        <v>77</v>
      </c>
      <c r="J43" t="s">
        <v>78</v>
      </c>
      <c r="K43" t="s">
        <v>79</v>
      </c>
      <c r="L43" t="s">
        <v>80</v>
      </c>
      <c r="M43" t="s">
        <v>81</v>
      </c>
      <c r="N43" t="s">
        <v>82</v>
      </c>
      <c r="O43" t="s">
        <v>83</v>
      </c>
      <c r="P43" t="s">
        <v>84</v>
      </c>
      <c r="Q43" t="s">
        <v>85</v>
      </c>
      <c r="R43" t="s">
        <v>79</v>
      </c>
      <c r="S43" t="s">
        <v>94</v>
      </c>
      <c r="T43" t="s">
        <v>95</v>
      </c>
      <c r="U43" t="s">
        <v>96</v>
      </c>
      <c r="V43" t="s">
        <v>97</v>
      </c>
      <c r="W43" t="s">
        <v>158</v>
      </c>
      <c r="X43" t="s">
        <v>159</v>
      </c>
      <c r="Y43" t="s">
        <v>98</v>
      </c>
      <c r="Z43" t="s">
        <v>99</v>
      </c>
      <c r="AA43" t="s">
        <v>160</v>
      </c>
      <c r="AB43" t="s">
        <v>161</v>
      </c>
      <c r="AC43" t="s">
        <v>100</v>
      </c>
      <c r="AD43" t="s">
        <v>101</v>
      </c>
      <c r="AE43" t="s">
        <v>102</v>
      </c>
      <c r="AF43" t="s">
        <v>76</v>
      </c>
      <c r="AG43" t="s">
        <v>103</v>
      </c>
      <c r="AH43" t="s">
        <v>104</v>
      </c>
      <c r="AI43" t="s">
        <v>105</v>
      </c>
      <c r="AJ43" t="s">
        <v>95</v>
      </c>
      <c r="AK43" t="s">
        <v>96</v>
      </c>
      <c r="AL43" t="s">
        <v>97</v>
      </c>
      <c r="AM43" t="s">
        <v>158</v>
      </c>
      <c r="AN43" t="s">
        <v>159</v>
      </c>
      <c r="AO43" t="s">
        <v>98</v>
      </c>
      <c r="AP43" t="s">
        <v>99</v>
      </c>
      <c r="AQ43" t="s">
        <v>160</v>
      </c>
      <c r="AR43" t="s">
        <v>161</v>
      </c>
      <c r="AS43" t="s">
        <v>106</v>
      </c>
      <c r="AT43" t="s">
        <v>101</v>
      </c>
      <c r="AU43" t="s">
        <v>102</v>
      </c>
      <c r="AV43" t="s">
        <v>76</v>
      </c>
      <c r="AW43" t="s">
        <v>103</v>
      </c>
      <c r="AX43" t="s">
        <v>104</v>
      </c>
      <c r="AY43" t="s">
        <v>107</v>
      </c>
      <c r="AZ43" t="s">
        <v>95</v>
      </c>
      <c r="BA43" t="s">
        <v>108</v>
      </c>
      <c r="BB43" t="s">
        <v>109</v>
      </c>
      <c r="BC43" t="s">
        <v>110</v>
      </c>
      <c r="BD43" t="s">
        <v>111</v>
      </c>
      <c r="BE43" t="s">
        <v>112</v>
      </c>
      <c r="BF43" t="s">
        <v>113</v>
      </c>
      <c r="BG43" t="s">
        <v>114</v>
      </c>
      <c r="BH43" t="s">
        <v>115</v>
      </c>
      <c r="BI43" t="s">
        <v>116</v>
      </c>
      <c r="BJ43" t="s">
        <v>107</v>
      </c>
      <c r="BK43" t="s">
        <v>95</v>
      </c>
      <c r="BL43" t="s">
        <v>108</v>
      </c>
      <c r="BM43" t="s">
        <v>109</v>
      </c>
      <c r="BN43" t="s">
        <v>110</v>
      </c>
      <c r="BO43" t="s">
        <v>111</v>
      </c>
      <c r="BP43" t="s">
        <v>112</v>
      </c>
      <c r="BQ43" t="s">
        <v>113</v>
      </c>
      <c r="BR43" t="s">
        <v>114</v>
      </c>
      <c r="BS43" t="s">
        <v>115</v>
      </c>
      <c r="BT43" t="s">
        <v>116</v>
      </c>
    </row>
    <row r="44" spans="1:253" x14ac:dyDescent="0.35">
      <c r="A44">
        <v>98380</v>
      </c>
      <c r="B44">
        <v>50000000</v>
      </c>
      <c r="C44">
        <v>567617</v>
      </c>
      <c r="D44">
        <v>0</v>
      </c>
      <c r="E44">
        <v>105.703</v>
      </c>
      <c r="F44" s="3">
        <v>59998800</v>
      </c>
      <c r="G44">
        <v>7445.78</v>
      </c>
      <c r="H44">
        <v>6240743</v>
      </c>
      <c r="I44">
        <v>121</v>
      </c>
      <c r="J44">
        <v>1.9388700000000001E-3</v>
      </c>
      <c r="K44" t="s">
        <v>117</v>
      </c>
      <c r="L44">
        <v>0</v>
      </c>
      <c r="M44">
        <v>567617</v>
      </c>
      <c r="N44">
        <v>55842160460</v>
      </c>
      <c r="O44">
        <v>105.886</v>
      </c>
      <c r="P44">
        <v>60102681</v>
      </c>
      <c r="Q44">
        <v>7432.9</v>
      </c>
      <c r="R44" t="s">
        <v>117</v>
      </c>
      <c r="S44" t="s">
        <v>127</v>
      </c>
      <c r="T44" t="s">
        <v>169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">
        <v>170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t="s">
        <v>171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172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 t="s">
        <v>173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 t="s">
        <v>174</v>
      </c>
      <c r="BN44">
        <v>84</v>
      </c>
      <c r="BO44">
        <v>4704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 t="s">
        <v>175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 t="s">
        <v>176</v>
      </c>
      <c r="CF44">
        <v>799411</v>
      </c>
      <c r="CG44">
        <v>52838028</v>
      </c>
      <c r="CH44">
        <v>0</v>
      </c>
      <c r="CI44">
        <v>0</v>
      </c>
      <c r="CJ44">
        <v>6240866</v>
      </c>
      <c r="CK44">
        <v>56255140332</v>
      </c>
      <c r="CL44">
        <v>0</v>
      </c>
      <c r="CM44">
        <v>0</v>
      </c>
      <c r="CN44" t="s">
        <v>177</v>
      </c>
      <c r="CO44">
        <v>84</v>
      </c>
      <c r="CP44">
        <v>3528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 t="s">
        <v>178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 t="s">
        <v>179</v>
      </c>
      <c r="DG44">
        <v>133</v>
      </c>
      <c r="DH44">
        <v>8210</v>
      </c>
      <c r="DI44">
        <v>0</v>
      </c>
      <c r="DJ44">
        <v>2</v>
      </c>
      <c r="DK44">
        <v>54</v>
      </c>
      <c r="DL44">
        <v>2684</v>
      </c>
      <c r="DM44">
        <v>0</v>
      </c>
      <c r="DN44">
        <v>0</v>
      </c>
      <c r="DO44" t="s">
        <v>128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 t="s">
        <v>180</v>
      </c>
      <c r="DY44">
        <v>799410</v>
      </c>
      <c r="DZ44">
        <v>41646214</v>
      </c>
      <c r="EA44">
        <v>0</v>
      </c>
      <c r="EB44">
        <v>0</v>
      </c>
      <c r="EC44">
        <v>911940</v>
      </c>
      <c r="ED44">
        <v>55903431208</v>
      </c>
      <c r="EE44">
        <v>0</v>
      </c>
      <c r="EF44">
        <v>0</v>
      </c>
      <c r="EG44" t="s">
        <v>100</v>
      </c>
      <c r="EH44">
        <v>799309</v>
      </c>
      <c r="EI44">
        <v>0</v>
      </c>
      <c r="EJ44">
        <v>6240743</v>
      </c>
      <c r="EK44">
        <v>0</v>
      </c>
      <c r="EL44">
        <v>121</v>
      </c>
      <c r="EM44" t="s">
        <v>129</v>
      </c>
      <c r="EN44" t="s">
        <v>271</v>
      </c>
      <c r="EO44">
        <v>81</v>
      </c>
      <c r="EP44">
        <v>23032</v>
      </c>
      <c r="EQ44">
        <v>0</v>
      </c>
      <c r="ER44">
        <v>0</v>
      </c>
      <c r="ES44">
        <v>82</v>
      </c>
      <c r="ET44">
        <v>38785</v>
      </c>
      <c r="EU44">
        <v>0</v>
      </c>
      <c r="EV44">
        <v>0</v>
      </c>
      <c r="EW44" t="s">
        <v>272</v>
      </c>
      <c r="EX44">
        <v>1195</v>
      </c>
      <c r="EY44">
        <v>89462</v>
      </c>
      <c r="EZ44">
        <v>0</v>
      </c>
      <c r="FA44">
        <v>2</v>
      </c>
      <c r="FB44">
        <v>799527</v>
      </c>
      <c r="FC44">
        <v>52883797</v>
      </c>
      <c r="FD44">
        <v>0</v>
      </c>
      <c r="FE44">
        <v>0</v>
      </c>
      <c r="FF44" t="s">
        <v>273</v>
      </c>
      <c r="FG44">
        <v>91</v>
      </c>
      <c r="FH44">
        <v>10528</v>
      </c>
      <c r="FI44">
        <v>0</v>
      </c>
      <c r="FJ44">
        <v>0</v>
      </c>
      <c r="FK44">
        <v>124</v>
      </c>
      <c r="FL44">
        <v>21994</v>
      </c>
      <c r="FM44">
        <v>0</v>
      </c>
      <c r="FN44">
        <v>0</v>
      </c>
      <c r="FO44" t="s">
        <v>274</v>
      </c>
      <c r="FP44">
        <v>6243176</v>
      </c>
      <c r="FQ44">
        <v>56254250633</v>
      </c>
      <c r="FR44">
        <v>0</v>
      </c>
      <c r="FS44">
        <v>8</v>
      </c>
      <c r="FT44">
        <v>799760</v>
      </c>
      <c r="FU44">
        <v>52935138</v>
      </c>
      <c r="FV44">
        <v>0</v>
      </c>
      <c r="FW44">
        <v>0</v>
      </c>
      <c r="FX44" t="s">
        <v>275</v>
      </c>
      <c r="FY44">
        <v>144</v>
      </c>
      <c r="FZ44">
        <v>21089</v>
      </c>
      <c r="GA44">
        <v>0</v>
      </c>
      <c r="GB44">
        <v>0</v>
      </c>
      <c r="GC44">
        <v>2</v>
      </c>
      <c r="GD44">
        <v>502</v>
      </c>
      <c r="GE44">
        <v>0</v>
      </c>
      <c r="GF44">
        <v>0</v>
      </c>
      <c r="GG44" t="s">
        <v>128</v>
      </c>
      <c r="GH44">
        <v>340</v>
      </c>
      <c r="GI44">
        <v>21352</v>
      </c>
      <c r="GJ44">
        <v>0</v>
      </c>
      <c r="GK44">
        <v>0</v>
      </c>
      <c r="GL44">
        <v>340</v>
      </c>
      <c r="GM44">
        <v>21352</v>
      </c>
      <c r="GN44">
        <v>0</v>
      </c>
      <c r="GO44">
        <v>0</v>
      </c>
      <c r="GP44" t="s">
        <v>276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 t="s">
        <v>277</v>
      </c>
      <c r="GZ44">
        <v>6241981</v>
      </c>
      <c r="HA44">
        <v>56254161171</v>
      </c>
      <c r="HB44">
        <v>0</v>
      </c>
      <c r="HC44">
        <v>2</v>
      </c>
      <c r="HD44">
        <v>233</v>
      </c>
      <c r="HE44">
        <v>51341</v>
      </c>
      <c r="HF44">
        <v>0</v>
      </c>
      <c r="HG44">
        <v>0</v>
      </c>
      <c r="HH44" t="s">
        <v>278</v>
      </c>
      <c r="HI44">
        <v>1125471</v>
      </c>
      <c r="HJ44">
        <v>55900693355</v>
      </c>
      <c r="HK44">
        <v>0</v>
      </c>
      <c r="HL44">
        <v>0</v>
      </c>
      <c r="HM44">
        <v>799409</v>
      </c>
      <c r="HN44">
        <v>52856539</v>
      </c>
      <c r="HO44">
        <v>0</v>
      </c>
      <c r="HP44">
        <v>0</v>
      </c>
      <c r="HQ44" t="s">
        <v>106</v>
      </c>
      <c r="HR44">
        <v>1123937</v>
      </c>
      <c r="HS44">
        <v>0</v>
      </c>
      <c r="HT44">
        <v>799931</v>
      </c>
      <c r="HU44">
        <v>4</v>
      </c>
      <c r="HV44">
        <v>6</v>
      </c>
      <c r="HW44" t="s">
        <v>107</v>
      </c>
      <c r="HX44" t="s">
        <v>279</v>
      </c>
      <c r="HY44">
        <v>1195</v>
      </c>
      <c r="HZ44">
        <v>799527</v>
      </c>
      <c r="IA44">
        <v>1202</v>
      </c>
      <c r="IB44">
        <v>799528</v>
      </c>
      <c r="IC44">
        <v>0</v>
      </c>
      <c r="ID44">
        <v>0</v>
      </c>
      <c r="IE44">
        <v>0</v>
      </c>
      <c r="IF44">
        <v>0</v>
      </c>
      <c r="IG44">
        <v>0</v>
      </c>
      <c r="IH44" t="s">
        <v>107</v>
      </c>
      <c r="II44" t="s">
        <v>280</v>
      </c>
      <c r="IJ44">
        <v>6241981</v>
      </c>
      <c r="IK44">
        <v>232</v>
      </c>
      <c r="IL44">
        <v>6241989</v>
      </c>
      <c r="IM44">
        <v>233</v>
      </c>
      <c r="IN44">
        <v>0</v>
      </c>
      <c r="IO44">
        <v>0</v>
      </c>
      <c r="IP44">
        <v>0</v>
      </c>
      <c r="IQ44">
        <v>0</v>
      </c>
      <c r="IR44">
        <v>0</v>
      </c>
      <c r="IS44" t="s">
        <v>79</v>
      </c>
    </row>
    <row r="45" spans="1:253" x14ac:dyDescent="0.35">
      <c r="A45" t="s">
        <v>86</v>
      </c>
      <c r="B45" t="s">
        <v>87</v>
      </c>
      <c r="C45" t="s">
        <v>146</v>
      </c>
      <c r="D45" t="s">
        <v>88</v>
      </c>
      <c r="E45" t="s">
        <v>89</v>
      </c>
      <c r="F45" t="s">
        <v>90</v>
      </c>
      <c r="G45" t="s">
        <v>91</v>
      </c>
      <c r="H45" t="s">
        <v>92</v>
      </c>
    </row>
    <row r="46" spans="1:253" x14ac:dyDescent="0.35">
      <c r="A46" t="s">
        <v>150</v>
      </c>
      <c r="B46">
        <v>0</v>
      </c>
      <c r="C46">
        <v>0</v>
      </c>
      <c r="D46">
        <v>2</v>
      </c>
      <c r="E46">
        <v>97</v>
      </c>
      <c r="F46">
        <v>0</v>
      </c>
      <c r="G46">
        <v>0</v>
      </c>
      <c r="H46">
        <v>0</v>
      </c>
      <c r="I46" t="s">
        <v>67</v>
      </c>
    </row>
    <row r="47" spans="1:253" x14ac:dyDescent="0.35">
      <c r="A47" t="s">
        <v>118</v>
      </c>
      <c r="B47">
        <v>0</v>
      </c>
      <c r="C47">
        <v>0</v>
      </c>
      <c r="D47">
        <v>0</v>
      </c>
      <c r="E47">
        <v>99</v>
      </c>
      <c r="F47">
        <v>0</v>
      </c>
      <c r="G47">
        <v>0</v>
      </c>
      <c r="H47">
        <v>0</v>
      </c>
      <c r="I47" t="s">
        <v>67</v>
      </c>
    </row>
    <row r="48" spans="1:253" x14ac:dyDescent="0.35">
      <c r="A48" t="s">
        <v>119</v>
      </c>
      <c r="B48">
        <v>0</v>
      </c>
      <c r="C48">
        <v>0</v>
      </c>
      <c r="D48">
        <v>0</v>
      </c>
      <c r="E48">
        <v>99</v>
      </c>
      <c r="F48">
        <v>0</v>
      </c>
      <c r="G48">
        <v>0</v>
      </c>
      <c r="H48">
        <v>0</v>
      </c>
      <c r="I48" t="s">
        <v>67</v>
      </c>
    </row>
    <row r="49" spans="1:9" x14ac:dyDescent="0.35">
      <c r="A49" t="s">
        <v>120</v>
      </c>
      <c r="B49">
        <v>0</v>
      </c>
      <c r="C49">
        <v>0</v>
      </c>
      <c r="D49">
        <v>0</v>
      </c>
      <c r="E49">
        <v>100</v>
      </c>
      <c r="F49">
        <v>0</v>
      </c>
      <c r="G49">
        <v>0</v>
      </c>
      <c r="H49">
        <v>0</v>
      </c>
      <c r="I49" t="s">
        <v>67</v>
      </c>
    </row>
    <row r="50" spans="1:9" x14ac:dyDescent="0.35">
      <c r="A50" t="s">
        <v>121</v>
      </c>
      <c r="B50">
        <v>0</v>
      </c>
      <c r="C50">
        <v>0</v>
      </c>
      <c r="D50">
        <v>0</v>
      </c>
      <c r="E50">
        <v>100</v>
      </c>
      <c r="F50">
        <v>0</v>
      </c>
      <c r="G50">
        <v>0</v>
      </c>
      <c r="H50">
        <v>0</v>
      </c>
      <c r="I50" t="s">
        <v>67</v>
      </c>
    </row>
    <row r="51" spans="1:9" x14ac:dyDescent="0.35">
      <c r="A51" t="s">
        <v>181</v>
      </c>
      <c r="B51">
        <v>0</v>
      </c>
      <c r="C51">
        <v>0</v>
      </c>
      <c r="D51">
        <v>0</v>
      </c>
      <c r="E51">
        <v>99</v>
      </c>
      <c r="F51">
        <v>0</v>
      </c>
      <c r="G51">
        <v>0</v>
      </c>
      <c r="H51">
        <v>0</v>
      </c>
      <c r="I51" t="s">
        <v>67</v>
      </c>
    </row>
    <row r="52" spans="1:9" x14ac:dyDescent="0.35">
      <c r="A52" t="s">
        <v>182</v>
      </c>
      <c r="B52">
        <v>0</v>
      </c>
      <c r="C52">
        <v>0</v>
      </c>
      <c r="D52">
        <v>0</v>
      </c>
      <c r="E52">
        <v>100</v>
      </c>
      <c r="F52">
        <v>0</v>
      </c>
      <c r="G52">
        <v>0</v>
      </c>
      <c r="H52">
        <v>0</v>
      </c>
      <c r="I52" t="s">
        <v>67</v>
      </c>
    </row>
    <row r="53" spans="1:9" x14ac:dyDescent="0.35">
      <c r="A53" t="s">
        <v>183</v>
      </c>
      <c r="B53">
        <v>0</v>
      </c>
      <c r="C53">
        <v>0</v>
      </c>
      <c r="D53">
        <v>18</v>
      </c>
      <c r="E53">
        <v>81</v>
      </c>
      <c r="F53">
        <v>0</v>
      </c>
      <c r="G53">
        <v>1</v>
      </c>
      <c r="H53">
        <v>0</v>
      </c>
      <c r="I53" t="s">
        <v>67</v>
      </c>
    </row>
    <row r="54" spans="1:9" x14ac:dyDescent="0.35">
      <c r="A54" t="s">
        <v>184</v>
      </c>
      <c r="B54">
        <v>0</v>
      </c>
      <c r="C54">
        <v>0</v>
      </c>
      <c r="D54">
        <v>0</v>
      </c>
      <c r="E54">
        <v>99</v>
      </c>
      <c r="F54">
        <v>0</v>
      </c>
      <c r="G54">
        <v>0</v>
      </c>
      <c r="H54">
        <v>0</v>
      </c>
      <c r="I54" t="s">
        <v>67</v>
      </c>
    </row>
    <row r="55" spans="1:9" x14ac:dyDescent="0.35">
      <c r="A55" t="s">
        <v>185</v>
      </c>
      <c r="B55">
        <v>0</v>
      </c>
      <c r="C55">
        <v>0</v>
      </c>
      <c r="D55">
        <v>0</v>
      </c>
      <c r="E55">
        <v>99</v>
      </c>
      <c r="F55">
        <v>0</v>
      </c>
      <c r="G55">
        <v>0</v>
      </c>
      <c r="H55">
        <v>0</v>
      </c>
      <c r="I55" t="s">
        <v>67</v>
      </c>
    </row>
    <row r="56" spans="1:9" x14ac:dyDescent="0.35">
      <c r="A56" t="s">
        <v>186</v>
      </c>
      <c r="B56">
        <v>0</v>
      </c>
      <c r="C56">
        <v>0</v>
      </c>
      <c r="D56">
        <v>7</v>
      </c>
      <c r="E56">
        <v>92</v>
      </c>
      <c r="F56">
        <v>0</v>
      </c>
      <c r="G56">
        <v>0</v>
      </c>
      <c r="H56">
        <v>6</v>
      </c>
      <c r="I56" t="s">
        <v>67</v>
      </c>
    </row>
    <row r="57" spans="1:9" x14ac:dyDescent="0.35">
      <c r="A57" t="s">
        <v>187</v>
      </c>
      <c r="B57">
        <v>0</v>
      </c>
      <c r="C57">
        <v>0</v>
      </c>
      <c r="D57">
        <v>0</v>
      </c>
      <c r="E57">
        <v>99</v>
      </c>
      <c r="F57">
        <v>0</v>
      </c>
      <c r="G57">
        <v>0</v>
      </c>
      <c r="H57">
        <v>0</v>
      </c>
      <c r="I57" t="s">
        <v>67</v>
      </c>
    </row>
    <row r="58" spans="1:9" x14ac:dyDescent="0.35">
      <c r="A58" t="s">
        <v>188</v>
      </c>
      <c r="B58">
        <v>0</v>
      </c>
      <c r="C58">
        <v>0</v>
      </c>
      <c r="D58">
        <v>3</v>
      </c>
      <c r="E58">
        <v>96</v>
      </c>
      <c r="F58">
        <v>0</v>
      </c>
      <c r="G58">
        <v>0</v>
      </c>
      <c r="H58">
        <v>1</v>
      </c>
      <c r="I58" t="s">
        <v>67</v>
      </c>
    </row>
    <row r="59" spans="1:9" x14ac:dyDescent="0.35">
      <c r="A59" t="s">
        <v>93</v>
      </c>
      <c r="B59" t="s">
        <v>87</v>
      </c>
      <c r="C59" t="s">
        <v>146</v>
      </c>
      <c r="D59" t="s">
        <v>88</v>
      </c>
      <c r="E59" t="s">
        <v>89</v>
      </c>
      <c r="F59" t="s">
        <v>90</v>
      </c>
      <c r="G59" t="s">
        <v>91</v>
      </c>
      <c r="H59" t="s">
        <v>92</v>
      </c>
    </row>
    <row r="60" spans="1:9" x14ac:dyDescent="0.35">
      <c r="A60" t="s">
        <v>122</v>
      </c>
      <c r="B60">
        <v>0</v>
      </c>
      <c r="C60">
        <v>0</v>
      </c>
      <c r="D60">
        <v>0</v>
      </c>
      <c r="E60">
        <v>99</v>
      </c>
      <c r="F60">
        <v>0</v>
      </c>
      <c r="G60">
        <v>0</v>
      </c>
      <c r="H60">
        <v>0</v>
      </c>
      <c r="I60" t="s">
        <v>67</v>
      </c>
    </row>
    <row r="61" spans="1:9" x14ac:dyDescent="0.35">
      <c r="A61" t="s">
        <v>123</v>
      </c>
      <c r="B61">
        <v>0</v>
      </c>
      <c r="C61">
        <v>0</v>
      </c>
      <c r="D61">
        <v>0</v>
      </c>
      <c r="E61">
        <v>99</v>
      </c>
      <c r="F61">
        <v>0</v>
      </c>
      <c r="G61">
        <v>0</v>
      </c>
      <c r="H61">
        <v>0</v>
      </c>
      <c r="I61" t="s">
        <v>67</v>
      </c>
    </row>
    <row r="62" spans="1:9" x14ac:dyDescent="0.35">
      <c r="A62" t="s">
        <v>124</v>
      </c>
      <c r="B62">
        <v>0</v>
      </c>
      <c r="C62">
        <v>0</v>
      </c>
      <c r="D62">
        <v>0</v>
      </c>
      <c r="E62">
        <v>100</v>
      </c>
      <c r="F62">
        <v>0</v>
      </c>
      <c r="G62">
        <v>0</v>
      </c>
      <c r="H62">
        <v>0</v>
      </c>
      <c r="I62" t="s">
        <v>67</v>
      </c>
    </row>
    <row r="63" spans="1:9" x14ac:dyDescent="0.35">
      <c r="A63" t="s">
        <v>125</v>
      </c>
      <c r="B63">
        <v>0</v>
      </c>
      <c r="C63">
        <v>0</v>
      </c>
      <c r="D63">
        <v>0</v>
      </c>
      <c r="E63">
        <v>99</v>
      </c>
      <c r="F63">
        <v>0</v>
      </c>
      <c r="G63">
        <v>0</v>
      </c>
      <c r="H63">
        <v>0</v>
      </c>
      <c r="I63" t="s">
        <v>67</v>
      </c>
    </row>
    <row r="64" spans="1:9" x14ac:dyDescent="0.35">
      <c r="A64" t="s">
        <v>126</v>
      </c>
      <c r="B64">
        <v>0</v>
      </c>
      <c r="C64">
        <v>0</v>
      </c>
      <c r="D64">
        <v>0</v>
      </c>
      <c r="E64">
        <v>100</v>
      </c>
      <c r="F64">
        <v>0</v>
      </c>
      <c r="G64">
        <v>0</v>
      </c>
      <c r="H64">
        <v>0</v>
      </c>
      <c r="I64" t="s">
        <v>67</v>
      </c>
    </row>
    <row r="65" spans="1:9" x14ac:dyDescent="0.35">
      <c r="A65" t="s">
        <v>200</v>
      </c>
      <c r="B65">
        <v>0</v>
      </c>
      <c r="C65">
        <v>0</v>
      </c>
      <c r="D65">
        <v>0</v>
      </c>
      <c r="E65">
        <v>100</v>
      </c>
      <c r="F65">
        <v>0</v>
      </c>
      <c r="G65">
        <v>0</v>
      </c>
      <c r="H65">
        <v>0</v>
      </c>
      <c r="I65" t="s">
        <v>67</v>
      </c>
    </row>
    <row r="66" spans="1:9" x14ac:dyDescent="0.35">
      <c r="A66" t="s">
        <v>201</v>
      </c>
      <c r="B66">
        <v>0</v>
      </c>
      <c r="C66">
        <v>0</v>
      </c>
      <c r="D66">
        <v>0</v>
      </c>
      <c r="E66">
        <v>100</v>
      </c>
      <c r="F66">
        <v>0</v>
      </c>
      <c r="G66">
        <v>0</v>
      </c>
      <c r="H66">
        <v>0</v>
      </c>
      <c r="I66" t="s">
        <v>67</v>
      </c>
    </row>
    <row r="67" spans="1:9" x14ac:dyDescent="0.35">
      <c r="A67" t="s">
        <v>202</v>
      </c>
      <c r="B67">
        <v>0</v>
      </c>
      <c r="C67">
        <v>0</v>
      </c>
      <c r="D67">
        <v>18</v>
      </c>
      <c r="E67">
        <v>80</v>
      </c>
      <c r="F67">
        <v>0</v>
      </c>
      <c r="G67">
        <v>0</v>
      </c>
      <c r="H67">
        <v>0</v>
      </c>
      <c r="I67" t="s">
        <v>67</v>
      </c>
    </row>
    <row r="68" spans="1:9" x14ac:dyDescent="0.35">
      <c r="A68" t="s">
        <v>203</v>
      </c>
      <c r="B68">
        <v>0</v>
      </c>
      <c r="C68">
        <v>0</v>
      </c>
      <c r="D68">
        <v>0</v>
      </c>
      <c r="E68">
        <v>100</v>
      </c>
      <c r="F68">
        <v>0</v>
      </c>
      <c r="G68">
        <v>0</v>
      </c>
      <c r="H68">
        <v>0</v>
      </c>
      <c r="I68" t="s">
        <v>67</v>
      </c>
    </row>
    <row r="69" spans="1:9" x14ac:dyDescent="0.35">
      <c r="A69" t="s">
        <v>204</v>
      </c>
      <c r="B69">
        <v>0</v>
      </c>
      <c r="C69">
        <v>0</v>
      </c>
      <c r="D69">
        <v>0</v>
      </c>
      <c r="E69">
        <v>99</v>
      </c>
      <c r="F69">
        <v>0</v>
      </c>
      <c r="G69">
        <v>0</v>
      </c>
      <c r="H69">
        <v>0</v>
      </c>
      <c r="I69" t="s">
        <v>67</v>
      </c>
    </row>
    <row r="70" spans="1:9" x14ac:dyDescent="0.35">
      <c r="A70" t="s">
        <v>205</v>
      </c>
      <c r="B70">
        <v>0</v>
      </c>
      <c r="C70">
        <v>0</v>
      </c>
      <c r="D70">
        <v>0</v>
      </c>
      <c r="E70">
        <v>100</v>
      </c>
      <c r="F70">
        <v>0</v>
      </c>
      <c r="G70">
        <v>0</v>
      </c>
      <c r="H70">
        <v>0</v>
      </c>
      <c r="I70" t="s">
        <v>67</v>
      </c>
    </row>
    <row r="71" spans="1:9" x14ac:dyDescent="0.35">
      <c r="A71" t="s">
        <v>206</v>
      </c>
      <c r="B71">
        <v>0</v>
      </c>
      <c r="C71">
        <v>0</v>
      </c>
      <c r="D71">
        <v>0</v>
      </c>
      <c r="E71">
        <v>100</v>
      </c>
      <c r="F71">
        <v>0</v>
      </c>
      <c r="G71">
        <v>0</v>
      </c>
      <c r="H71">
        <v>0</v>
      </c>
      <c r="I71" t="s">
        <v>67</v>
      </c>
    </row>
    <row r="72" spans="1:9" x14ac:dyDescent="0.35">
      <c r="A72" t="s">
        <v>207</v>
      </c>
      <c r="B72">
        <v>0</v>
      </c>
      <c r="C72">
        <v>0</v>
      </c>
      <c r="D72">
        <v>0</v>
      </c>
      <c r="E72">
        <v>100</v>
      </c>
      <c r="F72">
        <v>0</v>
      </c>
      <c r="G72">
        <v>0</v>
      </c>
      <c r="H72">
        <v>0</v>
      </c>
      <c r="I72" t="s">
        <v>67</v>
      </c>
    </row>
    <row r="73" spans="1:9" x14ac:dyDescent="0.35">
      <c r="A73" t="s">
        <v>208</v>
      </c>
      <c r="B73">
        <v>0</v>
      </c>
      <c r="C73">
        <v>0</v>
      </c>
      <c r="D73">
        <v>0</v>
      </c>
      <c r="E73">
        <v>99</v>
      </c>
      <c r="F73">
        <v>0</v>
      </c>
      <c r="G73">
        <v>0</v>
      </c>
      <c r="H73">
        <v>0</v>
      </c>
      <c r="I73" t="s">
        <v>67</v>
      </c>
    </row>
    <row r="74" spans="1:9" x14ac:dyDescent="0.35">
      <c r="A74" t="s">
        <v>209</v>
      </c>
      <c r="B74">
        <v>0</v>
      </c>
      <c r="C74">
        <v>0</v>
      </c>
      <c r="D74">
        <v>0</v>
      </c>
      <c r="E74">
        <v>99</v>
      </c>
      <c r="F74">
        <v>0</v>
      </c>
      <c r="G74">
        <v>0</v>
      </c>
      <c r="H74">
        <v>0</v>
      </c>
      <c r="I74" t="s">
        <v>67</v>
      </c>
    </row>
    <row r="75" spans="1:9" x14ac:dyDescent="0.35">
      <c r="A75" t="s">
        <v>210</v>
      </c>
      <c r="B75">
        <v>0</v>
      </c>
      <c r="C75">
        <v>0</v>
      </c>
      <c r="D75">
        <v>0</v>
      </c>
      <c r="E75">
        <v>100</v>
      </c>
      <c r="F75">
        <v>0</v>
      </c>
      <c r="G75">
        <v>0</v>
      </c>
      <c r="H75">
        <v>0</v>
      </c>
      <c r="I75" t="s">
        <v>67</v>
      </c>
    </row>
    <row r="76" spans="1:9" x14ac:dyDescent="0.35">
      <c r="A76" t="s">
        <v>211</v>
      </c>
      <c r="B76">
        <v>0</v>
      </c>
      <c r="C76">
        <v>0</v>
      </c>
      <c r="D76">
        <v>0</v>
      </c>
      <c r="E76">
        <v>100</v>
      </c>
      <c r="F76">
        <v>0</v>
      </c>
      <c r="G76">
        <v>0</v>
      </c>
      <c r="H76">
        <v>0</v>
      </c>
      <c r="I76" t="s">
        <v>67</v>
      </c>
    </row>
    <row r="77" spans="1:9" x14ac:dyDescent="0.35">
      <c r="A77" t="s">
        <v>212</v>
      </c>
      <c r="B77">
        <v>0</v>
      </c>
      <c r="C77">
        <v>0</v>
      </c>
      <c r="D77">
        <v>0</v>
      </c>
      <c r="E77">
        <v>99</v>
      </c>
      <c r="F77">
        <v>0</v>
      </c>
      <c r="G77">
        <v>0</v>
      </c>
      <c r="H77">
        <v>0</v>
      </c>
      <c r="I77" t="s">
        <v>67</v>
      </c>
    </row>
    <row r="78" spans="1:9" x14ac:dyDescent="0.35">
      <c r="A78" t="s">
        <v>213</v>
      </c>
      <c r="B78">
        <v>0</v>
      </c>
      <c r="C78">
        <v>0</v>
      </c>
      <c r="D78">
        <v>0</v>
      </c>
      <c r="E78">
        <v>100</v>
      </c>
      <c r="F78">
        <v>0</v>
      </c>
      <c r="G78">
        <v>0</v>
      </c>
      <c r="H78">
        <v>0</v>
      </c>
      <c r="I78" t="s">
        <v>67</v>
      </c>
    </row>
    <row r="79" spans="1:9" x14ac:dyDescent="0.35">
      <c r="A79" t="s">
        <v>214</v>
      </c>
      <c r="B79">
        <v>0</v>
      </c>
      <c r="C79">
        <v>0</v>
      </c>
      <c r="D79">
        <v>0</v>
      </c>
      <c r="E79">
        <v>99</v>
      </c>
      <c r="F79">
        <v>0</v>
      </c>
      <c r="G79">
        <v>0</v>
      </c>
      <c r="H79">
        <v>0</v>
      </c>
      <c r="I79" t="s">
        <v>67</v>
      </c>
    </row>
    <row r="80" spans="1:9" x14ac:dyDescent="0.35">
      <c r="A80" t="s">
        <v>215</v>
      </c>
      <c r="B80">
        <v>0</v>
      </c>
      <c r="C80">
        <v>0</v>
      </c>
      <c r="D80">
        <v>0</v>
      </c>
      <c r="E80">
        <v>100</v>
      </c>
      <c r="F80">
        <v>0</v>
      </c>
      <c r="G80">
        <v>0</v>
      </c>
      <c r="H80">
        <v>0</v>
      </c>
      <c r="I80" t="s">
        <v>67</v>
      </c>
    </row>
    <row r="81" spans="1:9" x14ac:dyDescent="0.35">
      <c r="A81" t="s">
        <v>216</v>
      </c>
      <c r="B81">
        <v>0</v>
      </c>
      <c r="C81">
        <v>0</v>
      </c>
      <c r="D81">
        <v>0</v>
      </c>
      <c r="E81">
        <v>100</v>
      </c>
      <c r="F81">
        <v>0</v>
      </c>
      <c r="G81">
        <v>0</v>
      </c>
      <c r="H81">
        <v>0</v>
      </c>
      <c r="I81" t="s">
        <v>67</v>
      </c>
    </row>
    <row r="82" spans="1:9" x14ac:dyDescent="0.35">
      <c r="A82" t="s">
        <v>217</v>
      </c>
      <c r="B82">
        <v>0</v>
      </c>
      <c r="C82">
        <v>0</v>
      </c>
      <c r="D82">
        <v>0</v>
      </c>
      <c r="E82">
        <v>100</v>
      </c>
      <c r="F82">
        <v>0</v>
      </c>
      <c r="G82">
        <v>0</v>
      </c>
      <c r="H82">
        <v>0</v>
      </c>
      <c r="I82" t="s">
        <v>67</v>
      </c>
    </row>
    <row r="83" spans="1:9" x14ac:dyDescent="0.35">
      <c r="A83" t="s">
        <v>218</v>
      </c>
      <c r="B83">
        <v>0</v>
      </c>
      <c r="C83">
        <v>0</v>
      </c>
      <c r="D83">
        <v>0</v>
      </c>
      <c r="E83">
        <v>100</v>
      </c>
      <c r="F83">
        <v>0</v>
      </c>
      <c r="G83">
        <v>0</v>
      </c>
      <c r="H83">
        <v>0</v>
      </c>
      <c r="I83" t="s">
        <v>67</v>
      </c>
    </row>
    <row r="84" spans="1:9" x14ac:dyDescent="0.35">
      <c r="A84" t="s">
        <v>219</v>
      </c>
      <c r="B84">
        <v>0</v>
      </c>
      <c r="C84">
        <v>0</v>
      </c>
      <c r="D84">
        <v>0</v>
      </c>
      <c r="E84">
        <v>100</v>
      </c>
      <c r="F84">
        <v>0</v>
      </c>
      <c r="G84">
        <v>0</v>
      </c>
      <c r="H84">
        <v>0</v>
      </c>
      <c r="I84" t="s">
        <v>67</v>
      </c>
    </row>
    <row r="85" spans="1:9" x14ac:dyDescent="0.35">
      <c r="A85" t="s">
        <v>220</v>
      </c>
      <c r="B85">
        <v>0</v>
      </c>
      <c r="C85">
        <v>0</v>
      </c>
      <c r="D85">
        <v>0</v>
      </c>
      <c r="E85">
        <v>100</v>
      </c>
      <c r="F85">
        <v>0</v>
      </c>
      <c r="G85">
        <v>0</v>
      </c>
      <c r="H85">
        <v>0</v>
      </c>
      <c r="I85" t="s">
        <v>67</v>
      </c>
    </row>
    <row r="86" spans="1:9" x14ac:dyDescent="0.35">
      <c r="A86" t="s">
        <v>221</v>
      </c>
      <c r="B86">
        <v>0</v>
      </c>
      <c r="C86">
        <v>0</v>
      </c>
      <c r="D86">
        <v>0</v>
      </c>
      <c r="E86">
        <v>100</v>
      </c>
      <c r="F86">
        <v>0</v>
      </c>
      <c r="G86">
        <v>0</v>
      </c>
      <c r="H86">
        <v>0</v>
      </c>
      <c r="I86" t="s">
        <v>67</v>
      </c>
    </row>
    <row r="87" spans="1:9" x14ac:dyDescent="0.35">
      <c r="A87" t="s">
        <v>222</v>
      </c>
      <c r="B87">
        <v>0</v>
      </c>
      <c r="C87">
        <v>0</v>
      </c>
      <c r="D87">
        <v>0</v>
      </c>
      <c r="E87">
        <v>100</v>
      </c>
      <c r="F87">
        <v>0</v>
      </c>
      <c r="G87">
        <v>0</v>
      </c>
      <c r="H87">
        <v>0</v>
      </c>
      <c r="I87" t="s">
        <v>67</v>
      </c>
    </row>
    <row r="88" spans="1:9" x14ac:dyDescent="0.35">
      <c r="A88" t="s">
        <v>223</v>
      </c>
      <c r="B88">
        <v>0</v>
      </c>
      <c r="C88">
        <v>0</v>
      </c>
      <c r="D88">
        <v>0</v>
      </c>
      <c r="E88">
        <v>100</v>
      </c>
      <c r="F88">
        <v>0</v>
      </c>
      <c r="G88">
        <v>0</v>
      </c>
      <c r="H88">
        <v>0</v>
      </c>
      <c r="I88" t="s">
        <v>67</v>
      </c>
    </row>
    <row r="89" spans="1:9" x14ac:dyDescent="0.35">
      <c r="A89" t="s">
        <v>224</v>
      </c>
      <c r="B89">
        <v>0</v>
      </c>
      <c r="C89">
        <v>0</v>
      </c>
      <c r="D89">
        <v>0</v>
      </c>
      <c r="E89">
        <v>99</v>
      </c>
      <c r="F89">
        <v>0</v>
      </c>
      <c r="G89">
        <v>0</v>
      </c>
      <c r="H89">
        <v>0</v>
      </c>
      <c r="I89" t="s">
        <v>67</v>
      </c>
    </row>
    <row r="90" spans="1:9" x14ac:dyDescent="0.35">
      <c r="A90" t="s">
        <v>225</v>
      </c>
      <c r="B90">
        <v>0</v>
      </c>
      <c r="C90">
        <v>0</v>
      </c>
      <c r="D90">
        <v>0</v>
      </c>
      <c r="E90">
        <v>100</v>
      </c>
      <c r="F90">
        <v>0</v>
      </c>
      <c r="G90">
        <v>0</v>
      </c>
      <c r="H90">
        <v>0</v>
      </c>
      <c r="I90" t="s">
        <v>67</v>
      </c>
    </row>
    <row r="91" spans="1:9" x14ac:dyDescent="0.35">
      <c r="A91" t="s">
        <v>226</v>
      </c>
      <c r="B91">
        <v>0</v>
      </c>
      <c r="C91">
        <v>0</v>
      </c>
      <c r="D91">
        <v>0</v>
      </c>
      <c r="E91">
        <v>99</v>
      </c>
      <c r="F91">
        <v>0</v>
      </c>
      <c r="G91">
        <v>0</v>
      </c>
      <c r="H91">
        <v>0</v>
      </c>
      <c r="I91" t="s">
        <v>67</v>
      </c>
    </row>
    <row r="92" spans="1:9" x14ac:dyDescent="0.35">
      <c r="A92" t="s">
        <v>227</v>
      </c>
      <c r="B92">
        <v>0</v>
      </c>
      <c r="C92">
        <v>0</v>
      </c>
      <c r="D92">
        <v>0</v>
      </c>
      <c r="E92">
        <v>100</v>
      </c>
      <c r="F92">
        <v>0</v>
      </c>
      <c r="G92">
        <v>0</v>
      </c>
      <c r="H92">
        <v>0</v>
      </c>
      <c r="I92" t="s">
        <v>67</v>
      </c>
    </row>
    <row r="93" spans="1:9" x14ac:dyDescent="0.35">
      <c r="A93" t="s">
        <v>237</v>
      </c>
      <c r="B93">
        <v>0</v>
      </c>
      <c r="C93">
        <v>0</v>
      </c>
      <c r="D93">
        <v>0</v>
      </c>
      <c r="E93">
        <v>100</v>
      </c>
      <c r="F93">
        <v>0</v>
      </c>
      <c r="G93">
        <v>0</v>
      </c>
      <c r="H93">
        <v>0</v>
      </c>
      <c r="I93" t="s">
        <v>67</v>
      </c>
    </row>
    <row r="94" spans="1:9" x14ac:dyDescent="0.35">
      <c r="A94" t="s">
        <v>238</v>
      </c>
      <c r="B94">
        <v>0</v>
      </c>
      <c r="C94">
        <v>0</v>
      </c>
      <c r="D94">
        <v>0</v>
      </c>
      <c r="E94">
        <v>100</v>
      </c>
      <c r="F94">
        <v>0</v>
      </c>
      <c r="G94">
        <v>0</v>
      </c>
      <c r="H94">
        <v>0</v>
      </c>
      <c r="I94" t="s">
        <v>67</v>
      </c>
    </row>
    <row r="95" spans="1:9" x14ac:dyDescent="0.35">
      <c r="A95" t="s">
        <v>239</v>
      </c>
      <c r="B95">
        <v>0</v>
      </c>
      <c r="C95">
        <v>0</v>
      </c>
      <c r="D95">
        <v>0</v>
      </c>
      <c r="E95">
        <v>99</v>
      </c>
      <c r="F95">
        <v>0</v>
      </c>
      <c r="G95">
        <v>0</v>
      </c>
      <c r="H95">
        <v>0</v>
      </c>
      <c r="I95" t="s">
        <v>67</v>
      </c>
    </row>
    <row r="96" spans="1:9" x14ac:dyDescent="0.35">
      <c r="A96" t="s">
        <v>240</v>
      </c>
      <c r="B96">
        <v>0</v>
      </c>
      <c r="C96">
        <v>0</v>
      </c>
      <c r="D96">
        <v>0</v>
      </c>
      <c r="E96">
        <v>100</v>
      </c>
      <c r="F96">
        <v>0</v>
      </c>
      <c r="G96">
        <v>0</v>
      </c>
      <c r="H96">
        <v>0</v>
      </c>
      <c r="I96" t="s">
        <v>67</v>
      </c>
    </row>
    <row r="97" spans="1:9" x14ac:dyDescent="0.35">
      <c r="A97" t="s">
        <v>241</v>
      </c>
      <c r="B97">
        <v>0</v>
      </c>
      <c r="C97">
        <v>0</v>
      </c>
      <c r="D97">
        <v>0</v>
      </c>
      <c r="E97">
        <v>99</v>
      </c>
      <c r="F97">
        <v>0</v>
      </c>
      <c r="G97">
        <v>0</v>
      </c>
      <c r="H97">
        <v>0</v>
      </c>
      <c r="I97" t="s">
        <v>67</v>
      </c>
    </row>
    <row r="98" spans="1:9" x14ac:dyDescent="0.35">
      <c r="A98" t="s">
        <v>242</v>
      </c>
      <c r="B98">
        <v>0</v>
      </c>
      <c r="C98">
        <v>0</v>
      </c>
      <c r="D98">
        <v>0</v>
      </c>
      <c r="E98">
        <v>100</v>
      </c>
      <c r="F98">
        <v>0</v>
      </c>
      <c r="G98">
        <v>0</v>
      </c>
      <c r="H98">
        <v>0</v>
      </c>
      <c r="I98" t="s">
        <v>67</v>
      </c>
    </row>
    <row r="99" spans="1:9" x14ac:dyDescent="0.35">
      <c r="A99" t="s">
        <v>243</v>
      </c>
      <c r="B99">
        <v>0</v>
      </c>
      <c r="C99">
        <v>0</v>
      </c>
      <c r="D99">
        <v>0</v>
      </c>
      <c r="E99">
        <v>99</v>
      </c>
      <c r="F99">
        <v>0</v>
      </c>
      <c r="G99">
        <v>0</v>
      </c>
      <c r="H99">
        <v>0</v>
      </c>
      <c r="I99" t="s">
        <v>67</v>
      </c>
    </row>
    <row r="100" spans="1:9" x14ac:dyDescent="0.35">
      <c r="A100" t="s">
        <v>244</v>
      </c>
      <c r="B100">
        <v>0</v>
      </c>
      <c r="C100">
        <v>0</v>
      </c>
      <c r="D100">
        <v>0</v>
      </c>
      <c r="E100">
        <v>99</v>
      </c>
      <c r="F100">
        <v>0</v>
      </c>
      <c r="G100">
        <v>0</v>
      </c>
      <c r="H100">
        <v>0</v>
      </c>
      <c r="I100" t="s">
        <v>67</v>
      </c>
    </row>
    <row r="101" spans="1:9" x14ac:dyDescent="0.35">
      <c r="A101" t="s">
        <v>245</v>
      </c>
      <c r="B101">
        <v>0</v>
      </c>
      <c r="C101">
        <v>0</v>
      </c>
      <c r="D101">
        <v>0</v>
      </c>
      <c r="E101">
        <v>99</v>
      </c>
      <c r="F101">
        <v>0</v>
      </c>
      <c r="G101">
        <v>0</v>
      </c>
      <c r="H101">
        <v>0</v>
      </c>
      <c r="I101" t="s">
        <v>67</v>
      </c>
    </row>
    <row r="102" spans="1:9" x14ac:dyDescent="0.35">
      <c r="A102" t="s">
        <v>246</v>
      </c>
      <c r="B102">
        <v>0</v>
      </c>
      <c r="C102">
        <v>0</v>
      </c>
      <c r="D102">
        <v>0</v>
      </c>
      <c r="E102">
        <v>100</v>
      </c>
      <c r="F102">
        <v>0</v>
      </c>
      <c r="G102">
        <v>0</v>
      </c>
      <c r="H102">
        <v>0</v>
      </c>
      <c r="I102" t="s">
        <v>67</v>
      </c>
    </row>
    <row r="103" spans="1:9" x14ac:dyDescent="0.35">
      <c r="A103" t="s">
        <v>247</v>
      </c>
      <c r="B103">
        <v>0</v>
      </c>
      <c r="C103">
        <v>0</v>
      </c>
      <c r="D103">
        <v>0</v>
      </c>
      <c r="E103">
        <v>99</v>
      </c>
      <c r="F103">
        <v>0</v>
      </c>
      <c r="G103">
        <v>0</v>
      </c>
      <c r="H103">
        <v>0</v>
      </c>
      <c r="I103" t="s">
        <v>67</v>
      </c>
    </row>
    <row r="104" spans="1:9" x14ac:dyDescent="0.35">
      <c r="A104" t="s">
        <v>248</v>
      </c>
      <c r="B104">
        <v>0</v>
      </c>
      <c r="C104">
        <v>0</v>
      </c>
      <c r="D104">
        <v>0</v>
      </c>
      <c r="E104">
        <v>100</v>
      </c>
      <c r="F104">
        <v>0</v>
      </c>
      <c r="G104">
        <v>0</v>
      </c>
      <c r="H104">
        <v>0</v>
      </c>
      <c r="I104" t="s">
        <v>67</v>
      </c>
    </row>
    <row r="105" spans="1:9" x14ac:dyDescent="0.35">
      <c r="A105" t="s">
        <v>249</v>
      </c>
      <c r="B105">
        <v>0</v>
      </c>
      <c r="C105">
        <v>0</v>
      </c>
      <c r="D105">
        <v>0</v>
      </c>
      <c r="E105">
        <v>100</v>
      </c>
      <c r="F105">
        <v>0</v>
      </c>
      <c r="G105">
        <v>0</v>
      </c>
      <c r="H105">
        <v>0</v>
      </c>
      <c r="I105" t="s">
        <v>67</v>
      </c>
    </row>
    <row r="106" spans="1:9" x14ac:dyDescent="0.35">
      <c r="A106" t="s">
        <v>250</v>
      </c>
      <c r="B106">
        <v>0</v>
      </c>
      <c r="C106">
        <v>0</v>
      </c>
      <c r="D106">
        <v>0</v>
      </c>
      <c r="E106">
        <v>100</v>
      </c>
      <c r="F106">
        <v>0</v>
      </c>
      <c r="G106">
        <v>0</v>
      </c>
      <c r="H106">
        <v>0</v>
      </c>
      <c r="I106" t="s">
        <v>67</v>
      </c>
    </row>
    <row r="107" spans="1:9" x14ac:dyDescent="0.35">
      <c r="A107" t="s">
        <v>251</v>
      </c>
      <c r="B107">
        <v>0</v>
      </c>
      <c r="C107">
        <v>0</v>
      </c>
      <c r="D107">
        <v>0</v>
      </c>
      <c r="E107">
        <v>100</v>
      </c>
      <c r="F107">
        <v>0</v>
      </c>
      <c r="G107">
        <v>0</v>
      </c>
      <c r="H107">
        <v>0</v>
      </c>
      <c r="I107" t="s">
        <v>67</v>
      </c>
    </row>
    <row r="108" spans="1:9" x14ac:dyDescent="0.35">
      <c r="A108" t="s">
        <v>252</v>
      </c>
      <c r="B108">
        <v>0</v>
      </c>
      <c r="C108">
        <v>0</v>
      </c>
      <c r="D108">
        <v>0</v>
      </c>
      <c r="E108">
        <v>100</v>
      </c>
      <c r="F108">
        <v>0</v>
      </c>
      <c r="G108">
        <v>0</v>
      </c>
      <c r="H108">
        <v>0</v>
      </c>
      <c r="I108" t="s">
        <v>67</v>
      </c>
    </row>
    <row r="109" spans="1:9" x14ac:dyDescent="0.35">
      <c r="A109" t="s">
        <v>253</v>
      </c>
      <c r="B109">
        <v>0</v>
      </c>
      <c r="C109">
        <v>0</v>
      </c>
      <c r="D109">
        <v>0</v>
      </c>
      <c r="E109">
        <v>100</v>
      </c>
      <c r="F109">
        <v>0</v>
      </c>
      <c r="G109">
        <v>0</v>
      </c>
      <c r="H109">
        <v>0</v>
      </c>
      <c r="I109" t="s">
        <v>67</v>
      </c>
    </row>
    <row r="110" spans="1:9" x14ac:dyDescent="0.35">
      <c r="A110" t="s">
        <v>254</v>
      </c>
      <c r="B110">
        <v>0</v>
      </c>
      <c r="C110">
        <v>0</v>
      </c>
      <c r="D110">
        <v>0</v>
      </c>
      <c r="E110">
        <v>100</v>
      </c>
      <c r="F110">
        <v>0</v>
      </c>
      <c r="G110">
        <v>0</v>
      </c>
      <c r="H110">
        <v>0</v>
      </c>
      <c r="I110" t="s">
        <v>67</v>
      </c>
    </row>
    <row r="111" spans="1:9" x14ac:dyDescent="0.35">
      <c r="A111" t="s">
        <v>255</v>
      </c>
      <c r="B111">
        <v>0</v>
      </c>
      <c r="C111">
        <v>0</v>
      </c>
      <c r="D111">
        <v>0</v>
      </c>
      <c r="E111">
        <v>100</v>
      </c>
      <c r="F111">
        <v>0</v>
      </c>
      <c r="G111">
        <v>0</v>
      </c>
      <c r="H111">
        <v>0</v>
      </c>
      <c r="I111" t="s">
        <v>67</v>
      </c>
    </row>
    <row r="112" spans="1:9" x14ac:dyDescent="0.35">
      <c r="A112" t="s">
        <v>256</v>
      </c>
      <c r="B112">
        <v>0</v>
      </c>
      <c r="C112">
        <v>0</v>
      </c>
      <c r="D112">
        <v>0</v>
      </c>
      <c r="E112">
        <v>100</v>
      </c>
      <c r="F112">
        <v>0</v>
      </c>
      <c r="G112">
        <v>0</v>
      </c>
      <c r="H112">
        <v>0</v>
      </c>
      <c r="I112" t="s">
        <v>67</v>
      </c>
    </row>
    <row r="113" spans="1:9" x14ac:dyDescent="0.35">
      <c r="A113" t="s">
        <v>257</v>
      </c>
      <c r="B113">
        <v>0</v>
      </c>
      <c r="C113">
        <v>0</v>
      </c>
      <c r="D113">
        <v>0</v>
      </c>
      <c r="E113">
        <v>100</v>
      </c>
      <c r="F113">
        <v>0</v>
      </c>
      <c r="G113">
        <v>0</v>
      </c>
      <c r="H113">
        <v>0</v>
      </c>
      <c r="I113" t="s">
        <v>67</v>
      </c>
    </row>
    <row r="114" spans="1:9" x14ac:dyDescent="0.35">
      <c r="A114" t="s">
        <v>258</v>
      </c>
      <c r="B114">
        <v>0</v>
      </c>
      <c r="C114">
        <v>0</v>
      </c>
      <c r="D114">
        <v>0</v>
      </c>
      <c r="E114">
        <v>100</v>
      </c>
      <c r="F114">
        <v>0</v>
      </c>
      <c r="G114">
        <v>0</v>
      </c>
      <c r="H114">
        <v>0</v>
      </c>
      <c r="I114" t="s">
        <v>67</v>
      </c>
    </row>
    <row r="115" spans="1:9" x14ac:dyDescent="0.35">
      <c r="A115" t="s">
        <v>259</v>
      </c>
      <c r="B115">
        <v>0</v>
      </c>
      <c r="C115">
        <v>0</v>
      </c>
      <c r="D115">
        <v>0</v>
      </c>
      <c r="E115">
        <v>99</v>
      </c>
      <c r="F115">
        <v>0</v>
      </c>
      <c r="G115">
        <v>0</v>
      </c>
      <c r="H115">
        <v>0</v>
      </c>
      <c r="I115" t="s">
        <v>67</v>
      </c>
    </row>
    <row r="116" spans="1:9" x14ac:dyDescent="0.35">
      <c r="A116" t="s">
        <v>260</v>
      </c>
      <c r="B116">
        <v>0</v>
      </c>
      <c r="C116">
        <v>0</v>
      </c>
      <c r="D116">
        <v>0</v>
      </c>
      <c r="E116">
        <v>100</v>
      </c>
      <c r="F116">
        <v>0</v>
      </c>
      <c r="G116">
        <v>0</v>
      </c>
      <c r="H116">
        <v>0</v>
      </c>
      <c r="I116" t="s">
        <v>67</v>
      </c>
    </row>
    <row r="117" spans="1:9" x14ac:dyDescent="0.35">
      <c r="A117" t="s">
        <v>281</v>
      </c>
      <c r="B117">
        <v>0</v>
      </c>
      <c r="C117">
        <v>0</v>
      </c>
      <c r="D117">
        <v>0</v>
      </c>
      <c r="E117">
        <v>99</v>
      </c>
      <c r="F117">
        <v>0</v>
      </c>
      <c r="G117">
        <v>0</v>
      </c>
      <c r="H117">
        <v>0</v>
      </c>
      <c r="I117" t="s">
        <v>67</v>
      </c>
    </row>
    <row r="118" spans="1:9" x14ac:dyDescent="0.35">
      <c r="A118" t="s">
        <v>282</v>
      </c>
      <c r="B118">
        <v>0</v>
      </c>
      <c r="C118">
        <v>0</v>
      </c>
      <c r="D118">
        <v>0</v>
      </c>
      <c r="E118">
        <v>100</v>
      </c>
      <c r="F118">
        <v>0</v>
      </c>
      <c r="G118">
        <v>0</v>
      </c>
      <c r="H118">
        <v>0</v>
      </c>
      <c r="I118" t="s">
        <v>67</v>
      </c>
    </row>
    <row r="119" spans="1:9" x14ac:dyDescent="0.35">
      <c r="A119" t="s">
        <v>283</v>
      </c>
      <c r="B119">
        <v>0</v>
      </c>
      <c r="C119">
        <v>0</v>
      </c>
      <c r="D119">
        <v>0</v>
      </c>
      <c r="E119">
        <v>100</v>
      </c>
      <c r="F119">
        <v>0</v>
      </c>
      <c r="G119">
        <v>0</v>
      </c>
      <c r="H119">
        <v>0</v>
      </c>
      <c r="I119" t="s">
        <v>67</v>
      </c>
    </row>
    <row r="120" spans="1:9" x14ac:dyDescent="0.35">
      <c r="A120" t="s">
        <v>284</v>
      </c>
      <c r="B120">
        <v>0</v>
      </c>
      <c r="C120">
        <v>0</v>
      </c>
      <c r="D120">
        <v>0</v>
      </c>
      <c r="E120">
        <v>100</v>
      </c>
      <c r="F120">
        <v>0</v>
      </c>
      <c r="G120">
        <v>0</v>
      </c>
      <c r="H120">
        <v>0</v>
      </c>
      <c r="I120" t="s">
        <v>67</v>
      </c>
    </row>
    <row r="121" spans="1:9" x14ac:dyDescent="0.35">
      <c r="A121" t="s">
        <v>285</v>
      </c>
      <c r="B121">
        <v>0</v>
      </c>
      <c r="C121">
        <v>0</v>
      </c>
      <c r="D121">
        <v>0</v>
      </c>
      <c r="E121">
        <v>99</v>
      </c>
      <c r="F121">
        <v>0</v>
      </c>
      <c r="G121">
        <v>0</v>
      </c>
      <c r="H121">
        <v>0</v>
      </c>
      <c r="I121" t="s">
        <v>67</v>
      </c>
    </row>
    <row r="122" spans="1:9" x14ac:dyDescent="0.35">
      <c r="A122" t="s">
        <v>286</v>
      </c>
      <c r="B122">
        <v>0</v>
      </c>
      <c r="C122">
        <v>0</v>
      </c>
      <c r="D122">
        <v>0</v>
      </c>
      <c r="E122">
        <v>100</v>
      </c>
      <c r="F122">
        <v>0</v>
      </c>
      <c r="G122">
        <v>0</v>
      </c>
      <c r="H122">
        <v>0</v>
      </c>
      <c r="I122" t="s">
        <v>67</v>
      </c>
    </row>
    <row r="123" spans="1:9" x14ac:dyDescent="0.35">
      <c r="A123" t="s">
        <v>287</v>
      </c>
      <c r="B123">
        <v>0</v>
      </c>
      <c r="C123">
        <v>0</v>
      </c>
      <c r="D123">
        <v>0</v>
      </c>
      <c r="E123">
        <v>100</v>
      </c>
      <c r="F123">
        <v>0</v>
      </c>
      <c r="G123">
        <v>0</v>
      </c>
      <c r="H123">
        <v>0</v>
      </c>
      <c r="I123" t="s">
        <v>67</v>
      </c>
    </row>
    <row r="124" spans="1:9" x14ac:dyDescent="0.35">
      <c r="A124" t="s">
        <v>288</v>
      </c>
      <c r="B124">
        <v>0</v>
      </c>
      <c r="C124">
        <v>0</v>
      </c>
      <c r="D124">
        <v>0</v>
      </c>
      <c r="E124">
        <v>100</v>
      </c>
      <c r="F124">
        <v>0</v>
      </c>
      <c r="G124">
        <v>0</v>
      </c>
      <c r="H124">
        <v>0</v>
      </c>
      <c r="I124" t="s">
        <v>67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"/>
  <dimension ref="A1:U50"/>
  <sheetViews>
    <sheetView workbookViewId="0">
      <selection activeCell="L12" sqref="L12"/>
    </sheetView>
  </sheetViews>
  <sheetFormatPr defaultRowHeight="14.5" x14ac:dyDescent="0.35"/>
  <cols>
    <col min="2" max="2" width="12.90625" customWidth="1"/>
    <col min="3" max="3" width="17.6328125" customWidth="1"/>
  </cols>
  <sheetData>
    <row r="1" spans="1:1" x14ac:dyDescent="0.35">
      <c r="A1" t="str">
        <f>Plots!A1</f>
        <v>DTNlon-RALxrootd01_tcpmon_mon_bufscan_13Mar24</v>
      </c>
    </row>
    <row r="19" spans="1:21" x14ac:dyDescent="0.35">
      <c r="C19" t="s">
        <v>13</v>
      </c>
      <c r="D19">
        <f ca="1">Plots!D14</f>
        <v>0</v>
      </c>
      <c r="E19">
        <f ca="1">Plots!D15</f>
        <v>1000000</v>
      </c>
      <c r="F19">
        <f ca="1">Plots!D16</f>
        <v>2000000</v>
      </c>
      <c r="G19">
        <f ca="1">Plots!D17</f>
        <v>5000000</v>
      </c>
      <c r="H19">
        <f ca="1">Plots!D18</f>
        <v>7000000</v>
      </c>
      <c r="I19">
        <f ca="1">Plots!D19</f>
        <v>10000000</v>
      </c>
      <c r="J19">
        <f ca="1">Plots!D20</f>
        <v>12000000</v>
      </c>
      <c r="K19">
        <f ca="1">Plots!D21</f>
        <v>15000000</v>
      </c>
      <c r="L19">
        <f ca="1">Plots!D22</f>
        <v>17000000</v>
      </c>
      <c r="M19">
        <f ca="1">Plots!D23</f>
        <v>20000000</v>
      </c>
      <c r="N19">
        <f ca="1">Plots!D24</f>
        <v>22000000</v>
      </c>
      <c r="O19">
        <f ca="1">Plots!D25</f>
        <v>25000000</v>
      </c>
      <c r="P19">
        <f ca="1">Plots!D26</f>
        <v>27000000</v>
      </c>
      <c r="Q19">
        <f ca="1">Plots!D27</f>
        <v>30000000</v>
      </c>
      <c r="R19">
        <f ca="1">Plots!D28</f>
        <v>35000000</v>
      </c>
      <c r="S19">
        <f ca="1">Plots!D29</f>
        <v>40000000</v>
      </c>
      <c r="T19">
        <f ca="1">Plots!D30</f>
        <v>45000000</v>
      </c>
      <c r="U19">
        <f ca="1">Plots!D31</f>
        <v>50000000</v>
      </c>
    </row>
    <row r="20" spans="1:21" x14ac:dyDescent="0.35">
      <c r="C20" t="s">
        <v>17</v>
      </c>
      <c r="D20" t="s">
        <v>7</v>
      </c>
    </row>
    <row r="21" spans="1:21" x14ac:dyDescent="0.35">
      <c r="A21">
        <v>0</v>
      </c>
      <c r="B21">
        <f ca="1">INDIRECT(ADDRESS(Plots!$K$2+A21,3,,,Plots!$A$14))</f>
        <v>0</v>
      </c>
      <c r="C21" t="e">
        <f ca="1">LEFT(B21,FIND("-",B21)-1)*1</f>
        <v>#VALUE!</v>
      </c>
      <c r="D21">
        <f ca="1">INDIRECT(ADDRESS(Plots!$K$2+A21,7,,,Plots!$A$14))</f>
        <v>0</v>
      </c>
      <c r="F21">
        <f ca="1">INDIRECT(ADDRESS(Plots!$K$2+A21,7,,,Plots!$A$16)) *0.001</f>
        <v>0</v>
      </c>
      <c r="I21">
        <f ca="1">INDIRECT(ADDRESS(Plots!$K$2+A21,7,,,Plots!$A$19))</f>
        <v>0</v>
      </c>
      <c r="K21">
        <f ca="1">INDIRECT(ADDRESS(Plots!$K$2+A21,7,,,Plots!$A$21))</f>
        <v>0</v>
      </c>
      <c r="L21">
        <f ca="1">INDIRECT(ADDRESS(Plots!$K$2+A21,7,,,Plots!$A$22))</f>
        <v>0</v>
      </c>
      <c r="M21">
        <f ca="1">INDIRECT(ADDRESS(Plots!$K$2+A21,7,,,Plots!$A$23))</f>
        <v>0</v>
      </c>
      <c r="N21">
        <f ca="1">INDIRECT(ADDRESS(Plots!$K$2+A21,7,,,Plots!$A$24))</f>
        <v>0</v>
      </c>
      <c r="O21">
        <f ca="1">INDIRECT(ADDRESS(Plots!$K$2+A21,7,,,Plots!$A$25))</f>
        <v>0</v>
      </c>
      <c r="P21">
        <f ca="1">INDIRECT(ADDRESS(Plots!$K$2+A21,7,,,Plots!$A$26))</f>
        <v>0</v>
      </c>
      <c r="Q21">
        <f ca="1">INDIRECT(ADDRESS(Plots!$K$2+$A21,7,,,Plots!$A$27))</f>
        <v>0</v>
      </c>
      <c r="R21">
        <f ca="1">INDIRECT(ADDRESS(Plots!$K$2+$A21,7,,,Plots!$A$28))</f>
        <v>0</v>
      </c>
      <c r="S21">
        <f ca="1">INDIRECT(ADDRESS(Plots!$K$2+$A21,7,,,Plots!$A$29))</f>
        <v>0</v>
      </c>
      <c r="T21">
        <f ca="1">INDIRECT(ADDRESS(Plots!$K$2+$A21,7,,,Plots!$A$30))</f>
        <v>0</v>
      </c>
      <c r="U21">
        <f ca="1">INDIRECT(ADDRESS(Plots!$K$2+$A21,7,,,Plots!$A$31))</f>
        <v>0</v>
      </c>
    </row>
    <row r="22" spans="1:21" x14ac:dyDescent="0.35">
      <c r="A22">
        <f>A21+1</f>
        <v>1</v>
      </c>
      <c r="B22">
        <f ca="1">INDIRECT(ADDRESS(Plots!$K$2+A22,3,,,Plots!$A$14))</f>
        <v>0</v>
      </c>
      <c r="C22" t="e">
        <f t="shared" ref="C22:C32" ca="1" si="0">LEFT(B22,FIND("-",B22)-1)*1</f>
        <v>#VALUE!</v>
      </c>
      <c r="D22">
        <f ca="1">INDIRECT(ADDRESS(Plots!$K$2+A22,7,,,Plots!$A$14))</f>
        <v>0</v>
      </c>
      <c r="F22">
        <f ca="1">INDIRECT(ADDRESS(Plots!$K$2+A22,7,,,Plots!$A$16))</f>
        <v>0</v>
      </c>
      <c r="I22">
        <f ca="1">INDIRECT(ADDRESS(Plots!$K$2+E22,7,,,Plots!$A$19))</f>
        <v>0</v>
      </c>
      <c r="K22">
        <f ca="1">INDIRECT(ADDRESS(Plots!$K$2+A22,7,,,Plots!$A$21))</f>
        <v>0</v>
      </c>
      <c r="L22">
        <f ca="1">INDIRECT(ADDRESS(Plots!$K$2+A22,7,,,Plots!$A$22))</f>
        <v>0</v>
      </c>
      <c r="M22">
        <f ca="1">INDIRECT(ADDRESS(Plots!$K$2+A22,7,,,Plots!$A$23))</f>
        <v>0</v>
      </c>
      <c r="N22">
        <f ca="1">INDIRECT(ADDRESS(Plots!$K$2+A22,7,,,Plots!$A$24))</f>
        <v>0</v>
      </c>
      <c r="O22">
        <f ca="1">INDIRECT(ADDRESS(Plots!$K$2+A22,7,,,Plots!$A$25))</f>
        <v>0</v>
      </c>
      <c r="P22">
        <f ca="1">INDIRECT(ADDRESS(Plots!$K$2+A22,7,,,Plots!$A$26))</f>
        <v>0</v>
      </c>
      <c r="Q22">
        <f ca="1">INDIRECT(ADDRESS(Plots!$K$2+$A22,7,,,Plots!$A$27))</f>
        <v>0</v>
      </c>
      <c r="R22">
        <f ca="1">INDIRECT(ADDRESS(Plots!$K$2+$A22,7,,,Plots!$A$28))</f>
        <v>0</v>
      </c>
      <c r="S22">
        <f ca="1">INDIRECT(ADDRESS(Plots!$K$2+$A22,7,,,Plots!$A$29))</f>
        <v>0</v>
      </c>
      <c r="T22">
        <f ca="1">INDIRECT(ADDRESS(Plots!$K$2+$A22,7,,,Plots!$A$30))</f>
        <v>0</v>
      </c>
      <c r="U22">
        <f ca="1">INDIRECT(ADDRESS(Plots!$K$2+$A22,7,,,Plots!$A$31))</f>
        <v>0</v>
      </c>
    </row>
    <row r="23" spans="1:21" x14ac:dyDescent="0.35">
      <c r="A23">
        <f t="shared" ref="A23:A36" si="1">A22+1</f>
        <v>2</v>
      </c>
      <c r="B23">
        <f ca="1">INDIRECT(ADDRESS(Plots!$K$2+A23,3,,,Plots!$A$14))</f>
        <v>0</v>
      </c>
      <c r="C23" t="e">
        <f t="shared" ca="1" si="0"/>
        <v>#VALUE!</v>
      </c>
      <c r="D23">
        <f ca="1">INDIRECT(ADDRESS(Plots!$K$2+A23,7,,,Plots!$A$14))</f>
        <v>0</v>
      </c>
      <c r="F23">
        <f ca="1">INDIRECT(ADDRESS(Plots!$K$2+A23,7,,,Plots!$A$16))</f>
        <v>0</v>
      </c>
      <c r="I23">
        <f ca="1">INDIRECT(ADDRESS(Plots!$K$2+E23,7,,,Plots!$A$19))</f>
        <v>0</v>
      </c>
      <c r="K23">
        <f ca="1">INDIRECT(ADDRESS(Plots!$K$2+A23,7,,,Plots!$A$21))</f>
        <v>0</v>
      </c>
      <c r="L23">
        <f ca="1">INDIRECT(ADDRESS(Plots!$K$2+A23,7,,,Plots!$A$22))</f>
        <v>0</v>
      </c>
      <c r="M23">
        <f ca="1">INDIRECT(ADDRESS(Plots!$K$2+A23,7,,,Plots!$A$23))</f>
        <v>0</v>
      </c>
      <c r="N23">
        <f ca="1">INDIRECT(ADDRESS(Plots!$K$2+A23,7,,,Plots!$A$24))</f>
        <v>0</v>
      </c>
      <c r="O23">
        <f ca="1">INDIRECT(ADDRESS(Plots!$K$2+A23,7,,,Plots!$A$25))</f>
        <v>0</v>
      </c>
      <c r="P23">
        <f ca="1">INDIRECT(ADDRESS(Plots!$K$2+A23,7,,,Plots!$A$26))</f>
        <v>0</v>
      </c>
      <c r="Q23">
        <f ca="1">INDIRECT(ADDRESS(Plots!$K$2+$A23,7,,,Plots!$A$27))</f>
        <v>0</v>
      </c>
      <c r="R23">
        <f ca="1">INDIRECT(ADDRESS(Plots!$K$2+$A23,7,,,Plots!$A$28))</f>
        <v>0</v>
      </c>
      <c r="S23">
        <f ca="1">INDIRECT(ADDRESS(Plots!$K$2+$A23,7,,,Plots!$A$29))</f>
        <v>0</v>
      </c>
      <c r="T23">
        <f ca="1">INDIRECT(ADDRESS(Plots!$K$2+$A23,7,,,Plots!$A$30))</f>
        <v>0</v>
      </c>
      <c r="U23">
        <f ca="1">INDIRECT(ADDRESS(Plots!$K$2+$A23,7,,,Plots!$A$31))</f>
        <v>0</v>
      </c>
    </row>
    <row r="24" spans="1:21" x14ac:dyDescent="0.35">
      <c r="A24">
        <f t="shared" si="1"/>
        <v>3</v>
      </c>
      <c r="B24">
        <f ca="1">INDIRECT(ADDRESS(Plots!$K$2+A24,3,,,Plots!$A$14))</f>
        <v>0</v>
      </c>
      <c r="C24" t="e">
        <f t="shared" ca="1" si="0"/>
        <v>#VALUE!</v>
      </c>
      <c r="D24">
        <f ca="1">INDIRECT(ADDRESS(Plots!$K$2+A24,7,,,Plots!$A$14))</f>
        <v>0</v>
      </c>
      <c r="F24">
        <f ca="1">INDIRECT(ADDRESS(Plots!$K$2+A24,7,,,Plots!$A$16))</f>
        <v>0</v>
      </c>
      <c r="I24">
        <f ca="1">INDIRECT(ADDRESS(Plots!$K$2+E24,7,,,Plots!$A$19))</f>
        <v>0</v>
      </c>
      <c r="K24">
        <f ca="1">INDIRECT(ADDRESS(Plots!$K$2+A24,7,,,Plots!$A$21))</f>
        <v>0</v>
      </c>
      <c r="L24">
        <f ca="1">INDIRECT(ADDRESS(Plots!$K$2+A24,7,,,Plots!$A$22))</f>
        <v>0</v>
      </c>
      <c r="M24">
        <f ca="1">INDIRECT(ADDRESS(Plots!$K$2+A24,7,,,Plots!$A$23))</f>
        <v>0</v>
      </c>
      <c r="N24">
        <f ca="1">INDIRECT(ADDRESS(Plots!$K$2+A24,7,,,Plots!$A$24))</f>
        <v>0</v>
      </c>
      <c r="O24">
        <f ca="1">INDIRECT(ADDRESS(Plots!$K$2+A24,7,,,Plots!$A$25))</f>
        <v>0</v>
      </c>
      <c r="P24">
        <f ca="1">INDIRECT(ADDRESS(Plots!$K$2+A24,7,,,Plots!$A$26))</f>
        <v>0</v>
      </c>
      <c r="Q24">
        <f ca="1">INDIRECT(ADDRESS(Plots!$K$2+$A24,7,,,Plots!$A$27))</f>
        <v>0</v>
      </c>
      <c r="R24">
        <f ca="1">INDIRECT(ADDRESS(Plots!$K$2+$A24,7,,,Plots!$A$28))</f>
        <v>0</v>
      </c>
      <c r="S24">
        <f ca="1">INDIRECT(ADDRESS(Plots!$K$2+$A24,7,,,Plots!$A$29))</f>
        <v>0</v>
      </c>
      <c r="T24">
        <f ca="1">INDIRECT(ADDRESS(Plots!$K$2+$A24,7,,,Plots!$A$30))</f>
        <v>0</v>
      </c>
      <c r="U24">
        <f ca="1">INDIRECT(ADDRESS(Plots!$K$2+$A24,7,,,Plots!$A$31))</f>
        <v>0</v>
      </c>
    </row>
    <row r="25" spans="1:21" x14ac:dyDescent="0.35">
      <c r="A25">
        <f t="shared" si="1"/>
        <v>4</v>
      </c>
      <c r="B25">
        <f ca="1">INDIRECT(ADDRESS(Plots!$K$2+A25,3,,,Plots!$A$14))</f>
        <v>0</v>
      </c>
      <c r="C25" t="e">
        <f t="shared" ca="1" si="0"/>
        <v>#VALUE!</v>
      </c>
      <c r="D25">
        <f ca="1">INDIRECT(ADDRESS(Plots!$K$2+A25,7,,,Plots!$A$14))</f>
        <v>0</v>
      </c>
      <c r="F25">
        <f ca="1">INDIRECT(ADDRESS(Plots!$K$2+A25,7,,,Plots!$A$16))</f>
        <v>0</v>
      </c>
      <c r="I25">
        <f ca="1">INDIRECT(ADDRESS(Plots!$K$2+E25,7,,,Plots!$A$19))</f>
        <v>0</v>
      </c>
      <c r="K25">
        <f ca="1">INDIRECT(ADDRESS(Plots!$K$2+A25,7,,,Plots!$A$21))</f>
        <v>0</v>
      </c>
      <c r="L25">
        <f ca="1">INDIRECT(ADDRESS(Plots!$K$2+A25,7,,,Plots!$A$22))</f>
        <v>0</v>
      </c>
      <c r="M25">
        <f ca="1">INDIRECT(ADDRESS(Plots!$K$2+A25,7,,,Plots!$A$23))</f>
        <v>0</v>
      </c>
      <c r="N25">
        <f ca="1">INDIRECT(ADDRESS(Plots!$K$2+A25,7,,,Plots!$A$24))</f>
        <v>0</v>
      </c>
      <c r="O25">
        <f ca="1">INDIRECT(ADDRESS(Plots!$K$2+A25,7,,,Plots!$A$25))</f>
        <v>0</v>
      </c>
      <c r="P25">
        <f ca="1">INDIRECT(ADDRESS(Plots!$K$2+A25,7,,,Plots!$A$26))</f>
        <v>0</v>
      </c>
      <c r="Q25">
        <f ca="1">INDIRECT(ADDRESS(Plots!$K$2+$A25,7,,,Plots!$A$27))</f>
        <v>0</v>
      </c>
      <c r="R25">
        <f ca="1">INDIRECT(ADDRESS(Plots!$K$2+$A25,7,,,Plots!$A$28))</f>
        <v>0</v>
      </c>
      <c r="S25">
        <f ca="1">INDIRECT(ADDRESS(Plots!$K$2+$A25,7,,,Plots!$A$29))</f>
        <v>0</v>
      </c>
      <c r="T25">
        <f ca="1">INDIRECT(ADDRESS(Plots!$K$2+$A25,7,,,Plots!$A$30))</f>
        <v>0</v>
      </c>
      <c r="U25">
        <f ca="1">INDIRECT(ADDRESS(Plots!$K$2+$A25,7,,,Plots!$A$31))</f>
        <v>0</v>
      </c>
    </row>
    <row r="26" spans="1:21" x14ac:dyDescent="0.35">
      <c r="A26">
        <f t="shared" si="1"/>
        <v>5</v>
      </c>
      <c r="B26">
        <f ca="1">INDIRECT(ADDRESS(Plots!$K$2+A26,3,,,Plots!$A$14))</f>
        <v>0</v>
      </c>
      <c r="C26" t="e">
        <f t="shared" ca="1" si="0"/>
        <v>#VALUE!</v>
      </c>
      <c r="D26">
        <f ca="1">INDIRECT(ADDRESS(Plots!$K$2+A26,7,,,Plots!$A$14))</f>
        <v>0</v>
      </c>
      <c r="F26">
        <f ca="1">INDIRECT(ADDRESS(Plots!$K$2+A26,7,,,Plots!$A$16))</f>
        <v>0</v>
      </c>
      <c r="I26">
        <f ca="1">INDIRECT(ADDRESS(Plots!$K$2+E26,7,,,Plots!$A$19))</f>
        <v>0</v>
      </c>
      <c r="K26">
        <f ca="1">INDIRECT(ADDRESS(Plots!$K$2+A26,7,,,Plots!$A$21))</f>
        <v>0</v>
      </c>
      <c r="L26">
        <f ca="1">INDIRECT(ADDRESS(Plots!$K$2+A26,7,,,Plots!$A$22))</f>
        <v>0</v>
      </c>
      <c r="M26">
        <f ca="1">INDIRECT(ADDRESS(Plots!$K$2+A26,7,,,Plots!$A$23))</f>
        <v>0</v>
      </c>
      <c r="N26">
        <f ca="1">INDIRECT(ADDRESS(Plots!$K$2+A26,7,,,Plots!$A$24))</f>
        <v>0</v>
      </c>
      <c r="O26">
        <f ca="1">INDIRECT(ADDRESS(Plots!$K$2+A26,7,,,Plots!$A$25))</f>
        <v>0</v>
      </c>
      <c r="P26">
        <f ca="1">INDIRECT(ADDRESS(Plots!$K$2+A26,7,,,Plots!$A$26))</f>
        <v>0</v>
      </c>
      <c r="Q26">
        <f ca="1">INDIRECT(ADDRESS(Plots!$K$2+$A26,7,,,Plots!$A$27))</f>
        <v>0</v>
      </c>
      <c r="R26">
        <f ca="1">INDIRECT(ADDRESS(Plots!$K$2+$A26,7,,,Plots!$A$28))</f>
        <v>0</v>
      </c>
      <c r="S26">
        <f ca="1">INDIRECT(ADDRESS(Plots!$K$2+$A26,7,,,Plots!$A$29))</f>
        <v>0</v>
      </c>
      <c r="T26">
        <f ca="1">INDIRECT(ADDRESS(Plots!$K$2+$A26,7,,,Plots!$A$30))</f>
        <v>0</v>
      </c>
      <c r="U26">
        <f ca="1">INDIRECT(ADDRESS(Plots!$K$2+$A26,7,,,Plots!$A$31))</f>
        <v>0</v>
      </c>
    </row>
    <row r="27" spans="1:21" x14ac:dyDescent="0.35">
      <c r="A27">
        <f t="shared" si="1"/>
        <v>6</v>
      </c>
      <c r="B27">
        <f ca="1">INDIRECT(ADDRESS(Plots!$K$2+A27,3,,,Plots!$A$14))</f>
        <v>0</v>
      </c>
      <c r="C27" t="e">
        <f t="shared" ca="1" si="0"/>
        <v>#VALUE!</v>
      </c>
      <c r="D27">
        <f ca="1">INDIRECT(ADDRESS(Plots!$K$2+A27,7,,,Plots!$A$14))</f>
        <v>0</v>
      </c>
      <c r="F27">
        <f ca="1">INDIRECT(ADDRESS(Plots!$K$2+A27,7,,,Plots!$A$16))</f>
        <v>0</v>
      </c>
      <c r="I27">
        <f ca="1">INDIRECT(ADDRESS(Plots!$K$2+E27,7,,,Plots!$A$19))</f>
        <v>0</v>
      </c>
      <c r="K27">
        <f ca="1">INDIRECT(ADDRESS(Plots!$K$2+A27,7,,,Plots!$A$21))</f>
        <v>0</v>
      </c>
      <c r="L27">
        <f ca="1">INDIRECT(ADDRESS(Plots!$K$2+A27,7,,,Plots!$A$22))</f>
        <v>0</v>
      </c>
      <c r="M27">
        <f ca="1">INDIRECT(ADDRESS(Plots!$K$2+A27,7,,,Plots!$A$23))</f>
        <v>0</v>
      </c>
      <c r="N27">
        <f ca="1">INDIRECT(ADDRESS(Plots!$K$2+A27,7,,,Plots!$A$24))</f>
        <v>0</v>
      </c>
      <c r="O27">
        <f ca="1">INDIRECT(ADDRESS(Plots!$K$2+A27,7,,,Plots!$A$25))</f>
        <v>0</v>
      </c>
      <c r="P27">
        <f ca="1">INDIRECT(ADDRESS(Plots!$K$2+A27,7,,,Plots!$A$26))</f>
        <v>0</v>
      </c>
      <c r="Q27">
        <f ca="1">INDIRECT(ADDRESS(Plots!$K$2+$A27,7,,,Plots!$A$27))</f>
        <v>0</v>
      </c>
      <c r="R27">
        <f ca="1">INDIRECT(ADDRESS(Plots!$K$2+$A27,7,,,Plots!$A$28))</f>
        <v>0</v>
      </c>
      <c r="S27">
        <f ca="1">INDIRECT(ADDRESS(Plots!$K$2+$A27,7,,,Plots!$A$29))</f>
        <v>0</v>
      </c>
      <c r="T27">
        <f ca="1">INDIRECT(ADDRESS(Plots!$K$2+$A27,7,,,Plots!$A$30))</f>
        <v>0</v>
      </c>
      <c r="U27">
        <f ca="1">INDIRECT(ADDRESS(Plots!$K$2+$A27,7,,,Plots!$A$31))</f>
        <v>0</v>
      </c>
    </row>
    <row r="28" spans="1:21" x14ac:dyDescent="0.35">
      <c r="A28">
        <f t="shared" si="1"/>
        <v>7</v>
      </c>
      <c r="B28">
        <f ca="1">INDIRECT(ADDRESS(Plots!$K$2+A28,3,,,Plots!$A$14))</f>
        <v>0</v>
      </c>
      <c r="C28" t="e">
        <f t="shared" ca="1" si="0"/>
        <v>#VALUE!</v>
      </c>
      <c r="D28">
        <f ca="1">INDIRECT(ADDRESS(Plots!$K$2+A28,7,,,Plots!$A$14))</f>
        <v>0</v>
      </c>
      <c r="F28">
        <f ca="1">INDIRECT(ADDRESS(Plots!$K$2+A28,7,,,Plots!$A$16))</f>
        <v>0</v>
      </c>
      <c r="I28">
        <f ca="1">INDIRECT(ADDRESS(Plots!$K$2+E28,7,,,Plots!$A$19))</f>
        <v>0</v>
      </c>
      <c r="K28">
        <f ca="1">INDIRECT(ADDRESS(Plots!$K$2+A28,7,,,Plots!$A$21))</f>
        <v>0</v>
      </c>
      <c r="L28">
        <f ca="1">INDIRECT(ADDRESS(Plots!$K$2+A28,7,,,Plots!$A$22))</f>
        <v>0</v>
      </c>
      <c r="M28">
        <f ca="1">INDIRECT(ADDRESS(Plots!$K$2+A28,7,,,Plots!$A$23))</f>
        <v>0</v>
      </c>
      <c r="N28">
        <f ca="1">INDIRECT(ADDRESS(Plots!$K$2+A28,7,,,Plots!$A$24))</f>
        <v>0</v>
      </c>
      <c r="O28">
        <f ca="1">INDIRECT(ADDRESS(Plots!$K$2+A28,7,,,Plots!$A$25))</f>
        <v>0</v>
      </c>
      <c r="P28">
        <f ca="1">INDIRECT(ADDRESS(Plots!$K$2+A28,7,,,Plots!$A$26))</f>
        <v>0</v>
      </c>
      <c r="Q28">
        <f ca="1">INDIRECT(ADDRESS(Plots!$K$2+$A28,7,,,Plots!$A$27))</f>
        <v>0</v>
      </c>
      <c r="R28">
        <f ca="1">INDIRECT(ADDRESS(Plots!$K$2+$A28,7,,,Plots!$A$28))</f>
        <v>0</v>
      </c>
      <c r="S28">
        <f ca="1">INDIRECT(ADDRESS(Plots!$K$2+$A28,7,,,Plots!$A$29))</f>
        <v>0</v>
      </c>
      <c r="T28">
        <f ca="1">INDIRECT(ADDRESS(Plots!$K$2+$A28,7,,,Plots!$A$30))</f>
        <v>0</v>
      </c>
      <c r="U28">
        <f ca="1">INDIRECT(ADDRESS(Plots!$K$2+$A28,7,,,Plots!$A$31))</f>
        <v>0</v>
      </c>
    </row>
    <row r="29" spans="1:21" x14ac:dyDescent="0.35">
      <c r="A29">
        <f t="shared" si="1"/>
        <v>8</v>
      </c>
      <c r="B29">
        <f ca="1">INDIRECT(ADDRESS(Plots!$K$2+A29,3,,,Plots!$A$14))</f>
        <v>0</v>
      </c>
      <c r="C29" t="e">
        <f t="shared" ca="1" si="0"/>
        <v>#VALUE!</v>
      </c>
      <c r="D29">
        <f ca="1">INDIRECT(ADDRESS(Plots!$K$2+A29,7,,,Plots!$A$14))</f>
        <v>0</v>
      </c>
      <c r="F29">
        <f ca="1">INDIRECT(ADDRESS(Plots!$K$2+A29,7,,,Plots!$A$16))</f>
        <v>0</v>
      </c>
      <c r="I29">
        <f ca="1">INDIRECT(ADDRESS(Plots!$K$2+E29,7,,,Plots!$A$19))</f>
        <v>0</v>
      </c>
      <c r="K29">
        <f ca="1">INDIRECT(ADDRESS(Plots!$K$2+A29,7,,,Plots!$A$21))</f>
        <v>0</v>
      </c>
      <c r="L29">
        <f ca="1">INDIRECT(ADDRESS(Plots!$K$2+A29,7,,,Plots!$A$22))</f>
        <v>0</v>
      </c>
      <c r="M29">
        <f ca="1">INDIRECT(ADDRESS(Plots!$K$2+A29,7,,,Plots!$A$23))</f>
        <v>0</v>
      </c>
      <c r="N29">
        <f ca="1">INDIRECT(ADDRESS(Plots!$K$2+A29,7,,,Plots!$A$24))</f>
        <v>0</v>
      </c>
      <c r="O29">
        <f ca="1">INDIRECT(ADDRESS(Plots!$K$2+A29,7,,,Plots!$A$25))</f>
        <v>0</v>
      </c>
      <c r="P29">
        <f ca="1">INDIRECT(ADDRESS(Plots!$K$2+A29,7,,,Plots!$A$26))</f>
        <v>0</v>
      </c>
      <c r="Q29">
        <f ca="1">INDIRECT(ADDRESS(Plots!$K$2+$A29,7,,,Plots!$A$27))</f>
        <v>0</v>
      </c>
      <c r="R29">
        <f ca="1">INDIRECT(ADDRESS(Plots!$K$2+$A29,7,,,Plots!$A$28))</f>
        <v>0</v>
      </c>
      <c r="S29">
        <f ca="1">INDIRECT(ADDRESS(Plots!$K$2+$A29,7,,,Plots!$A$29))</f>
        <v>0</v>
      </c>
      <c r="T29">
        <f ca="1">INDIRECT(ADDRESS(Plots!$K$2+$A29,7,,,Plots!$A$30))</f>
        <v>0</v>
      </c>
      <c r="U29">
        <f ca="1">INDIRECT(ADDRESS(Plots!$K$2+$A29,7,,,Plots!$A$31))</f>
        <v>0</v>
      </c>
    </row>
    <row r="30" spans="1:21" x14ac:dyDescent="0.35">
      <c r="A30">
        <f t="shared" si="1"/>
        <v>9</v>
      </c>
      <c r="B30">
        <f ca="1">INDIRECT(ADDRESS(Plots!$K$2+A30,3,,,Plots!$A$14))</f>
        <v>0</v>
      </c>
      <c r="C30" t="e">
        <f t="shared" ca="1" si="0"/>
        <v>#VALUE!</v>
      </c>
      <c r="D30">
        <f ca="1">INDIRECT(ADDRESS(Plots!$K$2+A30,7,,,Plots!$A$14))</f>
        <v>0</v>
      </c>
      <c r="F30">
        <f ca="1">INDIRECT(ADDRESS(Plots!$K$2+A30,7,,,Plots!$A$16))</f>
        <v>0</v>
      </c>
      <c r="I30">
        <f ca="1">INDIRECT(ADDRESS(Plots!$K$2+E30,7,,,Plots!$A$19))</f>
        <v>0</v>
      </c>
      <c r="K30">
        <f ca="1">INDIRECT(ADDRESS(Plots!$K$2+A30,7,,,Plots!$A$21))</f>
        <v>0</v>
      </c>
      <c r="L30">
        <f ca="1">INDIRECT(ADDRESS(Plots!$K$2+A30,7,,,Plots!$A$22))</f>
        <v>0</v>
      </c>
      <c r="M30">
        <f ca="1">INDIRECT(ADDRESS(Plots!$K$2+A30,7,,,Plots!$A$23))</f>
        <v>0</v>
      </c>
      <c r="N30">
        <f ca="1">INDIRECT(ADDRESS(Plots!$K$2+A30,7,,,Plots!$A$24))</f>
        <v>0</v>
      </c>
      <c r="O30">
        <f ca="1">INDIRECT(ADDRESS(Plots!$K$2+A30,7,,,Plots!$A$25))</f>
        <v>0</v>
      </c>
      <c r="P30">
        <f ca="1">INDIRECT(ADDRESS(Plots!$K$2+A30,7,,,Plots!$A$26))</f>
        <v>0</v>
      </c>
      <c r="Q30">
        <f ca="1">INDIRECT(ADDRESS(Plots!$K$2+$A30,7,,,Plots!$A$27))</f>
        <v>0</v>
      </c>
      <c r="R30">
        <f ca="1">INDIRECT(ADDRESS(Plots!$K$2+$A30,7,,,Plots!$A$28))</f>
        <v>0</v>
      </c>
      <c r="S30">
        <f ca="1">INDIRECT(ADDRESS(Plots!$K$2+$A30,7,,,Plots!$A$29))</f>
        <v>0</v>
      </c>
      <c r="T30">
        <f ca="1">INDIRECT(ADDRESS(Plots!$K$2+$A30,7,,,Plots!$A$30))</f>
        <v>0</v>
      </c>
      <c r="U30">
        <f ca="1">INDIRECT(ADDRESS(Plots!$K$2+$A30,7,,,Plots!$A$31))</f>
        <v>0</v>
      </c>
    </row>
    <row r="31" spans="1:21" x14ac:dyDescent="0.35">
      <c r="A31">
        <f t="shared" si="1"/>
        <v>10</v>
      </c>
      <c r="B31">
        <f ca="1">INDIRECT(ADDRESS(Plots!$K$2+A31,3,,,Plots!$A$14))</f>
        <v>0</v>
      </c>
      <c r="C31" t="e">
        <f t="shared" ca="1" si="0"/>
        <v>#VALUE!</v>
      </c>
      <c r="D31">
        <f ca="1">INDIRECT(ADDRESS(Plots!$K$2+A31,7,,,Plots!$A$14))</f>
        <v>0</v>
      </c>
      <c r="F31">
        <f ca="1">INDIRECT(ADDRESS(Plots!$K$2+A31,7,,,Plots!$A$16))</f>
        <v>0</v>
      </c>
      <c r="I31">
        <f ca="1">INDIRECT(ADDRESS(Plots!$K$2+E31,7,,,Plots!$A$19))</f>
        <v>0</v>
      </c>
      <c r="K31">
        <f ca="1">INDIRECT(ADDRESS(Plots!$K$2+A31,7,,,Plots!$A$21))</f>
        <v>0</v>
      </c>
      <c r="L31">
        <f ca="1">INDIRECT(ADDRESS(Plots!$K$2+A31,7,,,Plots!$A$22))</f>
        <v>0</v>
      </c>
      <c r="M31">
        <f ca="1">INDIRECT(ADDRESS(Plots!$K$2+A31,7,,,Plots!$A$23))</f>
        <v>0</v>
      </c>
      <c r="N31">
        <f ca="1">INDIRECT(ADDRESS(Plots!$K$2+A31,7,,,Plots!$A$24))</f>
        <v>0</v>
      </c>
      <c r="O31">
        <f ca="1">INDIRECT(ADDRESS(Plots!$K$2+A31,7,,,Plots!$A$25))</f>
        <v>0</v>
      </c>
      <c r="P31">
        <f ca="1">INDIRECT(ADDRESS(Plots!$K$2+A31,7,,,Plots!$A$26))</f>
        <v>0</v>
      </c>
      <c r="Q31">
        <f ca="1">INDIRECT(ADDRESS(Plots!$K$2+$A31,7,,,Plots!$A$27))</f>
        <v>0</v>
      </c>
      <c r="R31">
        <f ca="1">INDIRECT(ADDRESS(Plots!$K$2+$A31,7,,,Plots!$A$28))</f>
        <v>0</v>
      </c>
      <c r="S31">
        <f ca="1">INDIRECT(ADDRESS(Plots!$K$2+$A31,7,,,Plots!$A$29))</f>
        <v>0</v>
      </c>
      <c r="T31">
        <f ca="1">INDIRECT(ADDRESS(Plots!$K$2+$A31,7,,,Plots!$A$30))</f>
        <v>0</v>
      </c>
      <c r="U31">
        <f ca="1">INDIRECT(ADDRESS(Plots!$K$2+$A31,7,,,Plots!$A$31))</f>
        <v>0</v>
      </c>
    </row>
    <row r="32" spans="1:21" x14ac:dyDescent="0.35">
      <c r="A32">
        <f t="shared" si="1"/>
        <v>11</v>
      </c>
      <c r="B32">
        <f ca="1">INDIRECT(ADDRESS(Plots!$K$2+A32,3,,,Plots!$A$14))</f>
        <v>0</v>
      </c>
      <c r="C32" t="e">
        <f t="shared" ca="1" si="0"/>
        <v>#VALUE!</v>
      </c>
      <c r="D32">
        <f ca="1">INDIRECT(ADDRESS(Plots!$K$2+A32,7,,,Plots!$A$14))</f>
        <v>0</v>
      </c>
      <c r="F32">
        <f ca="1">INDIRECT(ADDRESS(Plots!$K$2+A32,7,,,Plots!$A$16))</f>
        <v>0</v>
      </c>
      <c r="I32">
        <f ca="1">INDIRECT(ADDRESS(Plots!$K$2+E32,7,,,Plots!$A$19))</f>
        <v>0</v>
      </c>
      <c r="K32">
        <f ca="1">INDIRECT(ADDRESS(Plots!$K$2+A32,7,,,Plots!$A$21))</f>
        <v>0</v>
      </c>
      <c r="L32">
        <f ca="1">INDIRECT(ADDRESS(Plots!$K$2+A32,7,,,Plots!$A$22))</f>
        <v>0</v>
      </c>
      <c r="M32">
        <f ca="1">INDIRECT(ADDRESS(Plots!$K$2+A32,7,,,Plots!$A$23))</f>
        <v>0</v>
      </c>
      <c r="N32">
        <f ca="1">INDIRECT(ADDRESS(Plots!$K$2+A32,7,,,Plots!$A$24))</f>
        <v>0</v>
      </c>
      <c r="O32">
        <f ca="1">INDIRECT(ADDRESS(Plots!$K$2+A32,7,,,Plots!$A$25))</f>
        <v>0</v>
      </c>
      <c r="P32">
        <f ca="1">INDIRECT(ADDRESS(Plots!$K$2+A32,7,,,Plots!$A$26))</f>
        <v>0</v>
      </c>
      <c r="Q32">
        <f ca="1">INDIRECT(ADDRESS(Plots!$K$2+$A32,7,,,Plots!$A$27))</f>
        <v>0</v>
      </c>
      <c r="R32">
        <f ca="1">INDIRECT(ADDRESS(Plots!$K$2+$A32,7,,,Plots!$A$28))</f>
        <v>0</v>
      </c>
      <c r="S32">
        <f ca="1">INDIRECT(ADDRESS(Plots!$K$2+$A32,7,,,Plots!$A$29))</f>
        <v>0</v>
      </c>
      <c r="T32">
        <f ca="1">INDIRECT(ADDRESS(Plots!$K$2+$A32,7,,,Plots!$A$30))</f>
        <v>0</v>
      </c>
      <c r="U32">
        <f ca="1">INDIRECT(ADDRESS(Plots!$K$2+$A32,7,,,Plots!$A$31))</f>
        <v>0</v>
      </c>
    </row>
    <row r="33" spans="1:21" x14ac:dyDescent="0.35">
      <c r="A33">
        <f t="shared" si="1"/>
        <v>12</v>
      </c>
    </row>
    <row r="34" spans="1:21" x14ac:dyDescent="0.35">
      <c r="A34">
        <f t="shared" si="1"/>
        <v>13</v>
      </c>
    </row>
    <row r="35" spans="1:21" x14ac:dyDescent="0.35">
      <c r="A35">
        <f t="shared" si="1"/>
        <v>14</v>
      </c>
    </row>
    <row r="36" spans="1:21" x14ac:dyDescent="0.35">
      <c r="A36">
        <f t="shared" si="1"/>
        <v>15</v>
      </c>
    </row>
    <row r="38" spans="1:21" x14ac:dyDescent="0.35">
      <c r="D38" t="s">
        <v>18</v>
      </c>
    </row>
    <row r="39" spans="1:21" x14ac:dyDescent="0.35">
      <c r="D39">
        <f ca="1">INDIRECT(ADDRESS(Plots!$K$2+A21,9,,,Plots!$A$14))</f>
        <v>0</v>
      </c>
      <c r="F39">
        <f ca="1">INDIRECT(ADDRESS(Plots!$K$2+A21,9,,,Plots!$A$16))</f>
        <v>0</v>
      </c>
      <c r="I39">
        <f ca="1">INDIRECT(ADDRESS(Plots!$K$2+A21,9,,,Plots!$A$19))</f>
        <v>0</v>
      </c>
      <c r="K39">
        <f ca="1">INDIRECT(ADDRESS(Plots!$K$2+A21,9,,,Plots!$A$21))</f>
        <v>0</v>
      </c>
      <c r="L39">
        <f ca="1">INDIRECT(ADDRESS(Plots!$K$2+A21,9,,,Plots!$A$22))</f>
        <v>0</v>
      </c>
      <c r="M39">
        <f ca="1">INDIRECT(ADDRESS(Plots!$K$2+A21,9,,,Plots!$A$23))</f>
        <v>0</v>
      </c>
      <c r="N39">
        <f ca="1">INDIRECT(ADDRESS(Plots!$K$2+A21,9,,,Plots!$A$24))</f>
        <v>0</v>
      </c>
      <c r="O39">
        <f ca="1">INDIRECT(ADDRESS(Plots!$K$2+A21,9,,,Plots!$A$25))</f>
        <v>0</v>
      </c>
      <c r="P39">
        <f ca="1">INDIRECT(ADDRESS(Plots!$K$2+A21,9,,,Plots!$A$26))</f>
        <v>0</v>
      </c>
      <c r="Q39">
        <f ca="1">INDIRECT(ADDRESS(Plots!$K$2+$A21,9,,,Plots!$A$27))</f>
        <v>0</v>
      </c>
      <c r="R39">
        <f ca="1">INDIRECT(ADDRESS(Plots!$K$2+$A21,9,,,Plots!$A$28))</f>
        <v>0</v>
      </c>
      <c r="S39">
        <f ca="1">INDIRECT(ADDRESS(Plots!$K$2+$A21,9,,,Plots!$A$29))</f>
        <v>0</v>
      </c>
      <c r="T39">
        <f ca="1">INDIRECT(ADDRESS(Plots!$K$2+$A21,9,,,Plots!$A$30))</f>
        <v>0</v>
      </c>
      <c r="U39">
        <f ca="1">INDIRECT(ADDRESS(Plots!$K$2+$A21,9,,,Plots!$A$31))</f>
        <v>0</v>
      </c>
    </row>
    <row r="40" spans="1:21" x14ac:dyDescent="0.35">
      <c r="D40">
        <f ca="1">INDIRECT(ADDRESS(Plots!$K$2+A22,9,,,Plots!$A$14))</f>
        <v>0</v>
      </c>
      <c r="F40">
        <f ca="1">INDIRECT(ADDRESS(Plots!$K$2+A22,9,,,Plots!$A$16))</f>
        <v>0</v>
      </c>
      <c r="I40">
        <f ca="1">INDIRECT(ADDRESS(Plots!$K$2+A22,9,,,Plots!$A$19))</f>
        <v>0</v>
      </c>
      <c r="K40">
        <f ca="1">INDIRECT(ADDRESS(Plots!$K$2+A22,9,,,Plots!$A$21))</f>
        <v>0</v>
      </c>
      <c r="L40">
        <f ca="1">INDIRECT(ADDRESS(Plots!$K$2+A22,9,,,Plots!$A$22))</f>
        <v>0</v>
      </c>
      <c r="M40">
        <f ca="1">INDIRECT(ADDRESS(Plots!$K$2+A22,9,,,Plots!$A$23))</f>
        <v>0</v>
      </c>
      <c r="N40">
        <f ca="1">INDIRECT(ADDRESS(Plots!$K$2+A22,9,,,Plots!$A$24))</f>
        <v>0</v>
      </c>
      <c r="O40">
        <f ca="1">INDIRECT(ADDRESS(Plots!$K$2+A22,9,,,Plots!$A$25))</f>
        <v>0</v>
      </c>
      <c r="P40">
        <f ca="1">INDIRECT(ADDRESS(Plots!$K$2+A22,9,,,Plots!$A$26))</f>
        <v>0</v>
      </c>
      <c r="Q40">
        <f ca="1">INDIRECT(ADDRESS(Plots!$K$2+$A22,9,,,Plots!$A$27))</f>
        <v>0</v>
      </c>
      <c r="R40">
        <f ca="1">INDIRECT(ADDRESS(Plots!$K$2+$A22,9,,,Plots!$A$28))</f>
        <v>0</v>
      </c>
      <c r="S40">
        <f ca="1">INDIRECT(ADDRESS(Plots!$K$2+$A22,9,,,Plots!$A$29))</f>
        <v>0</v>
      </c>
      <c r="T40">
        <f ca="1">INDIRECT(ADDRESS(Plots!$K$2+$A22,9,,,Plots!$A$30))</f>
        <v>0</v>
      </c>
      <c r="U40">
        <f ca="1">INDIRECT(ADDRESS(Plots!$K$2+$A22,9,,,Plots!$A$31))</f>
        <v>0</v>
      </c>
    </row>
    <row r="41" spans="1:21" x14ac:dyDescent="0.35">
      <c r="D41">
        <f ca="1">INDIRECT(ADDRESS(Plots!$K$2+A23,9,,,Plots!$A$14))</f>
        <v>0</v>
      </c>
      <c r="F41">
        <f ca="1">INDIRECT(ADDRESS(Plots!$K$2+A23,9,,,Plots!$A$16))</f>
        <v>0</v>
      </c>
      <c r="I41">
        <f ca="1">INDIRECT(ADDRESS(Plots!$K$2+A23,9,,,Plots!$A$19))</f>
        <v>0</v>
      </c>
      <c r="K41">
        <f ca="1">INDIRECT(ADDRESS(Plots!$K$2+A23,9,,,Plots!$A$21))</f>
        <v>0</v>
      </c>
      <c r="L41">
        <f ca="1">INDIRECT(ADDRESS(Plots!$K$2+A23,9,,,Plots!$A$22))</f>
        <v>0</v>
      </c>
      <c r="M41">
        <f ca="1">INDIRECT(ADDRESS(Plots!$K$2+A23,9,,,Plots!$A$23))</f>
        <v>0</v>
      </c>
      <c r="N41">
        <f ca="1">INDIRECT(ADDRESS(Plots!$K$2+A23,9,,,Plots!$A$24))</f>
        <v>0</v>
      </c>
      <c r="O41">
        <f ca="1">INDIRECT(ADDRESS(Plots!$K$2+A23,9,,,Plots!$A$25))</f>
        <v>0</v>
      </c>
      <c r="P41">
        <f ca="1">INDIRECT(ADDRESS(Plots!$K$2+A23,9,,,Plots!$A$26))</f>
        <v>0</v>
      </c>
      <c r="Q41">
        <f ca="1">INDIRECT(ADDRESS(Plots!$K$2+$A23,9,,,Plots!$A$27))</f>
        <v>0</v>
      </c>
      <c r="R41">
        <f ca="1">INDIRECT(ADDRESS(Plots!$K$2+$A23,9,,,Plots!$A$28))</f>
        <v>0</v>
      </c>
      <c r="S41">
        <f ca="1">INDIRECT(ADDRESS(Plots!$K$2+$A23,9,,,Plots!$A$29))</f>
        <v>0</v>
      </c>
      <c r="T41">
        <f ca="1">INDIRECT(ADDRESS(Plots!$K$2+$A23,9,,,Plots!$A$30))</f>
        <v>0</v>
      </c>
      <c r="U41">
        <f ca="1">INDIRECT(ADDRESS(Plots!$K$2+$A23,9,,,Plots!$A$31))</f>
        <v>0</v>
      </c>
    </row>
    <row r="42" spans="1:21" x14ac:dyDescent="0.35">
      <c r="D42">
        <f ca="1">INDIRECT(ADDRESS(Plots!$K$2+A24,9,,,Plots!$A$14))</f>
        <v>0</v>
      </c>
      <c r="F42">
        <f ca="1">INDIRECT(ADDRESS(Plots!$K$2+A24,9,,,Plots!$A$16))</f>
        <v>0</v>
      </c>
      <c r="I42">
        <f ca="1">INDIRECT(ADDRESS(Plots!$K$2+A24,9,,,Plots!$A$19))</f>
        <v>0</v>
      </c>
      <c r="K42">
        <f ca="1">INDIRECT(ADDRESS(Plots!$K$2+A24,9,,,Plots!$A$21))</f>
        <v>0</v>
      </c>
      <c r="L42">
        <f ca="1">INDIRECT(ADDRESS(Plots!$K$2+A24,9,,,Plots!$A$22))</f>
        <v>0</v>
      </c>
      <c r="M42">
        <f ca="1">INDIRECT(ADDRESS(Plots!$K$2+A24,9,,,Plots!$A$23))</f>
        <v>0</v>
      </c>
      <c r="N42">
        <f ca="1">INDIRECT(ADDRESS(Plots!$K$2+A24,9,,,Plots!$A$24))</f>
        <v>0</v>
      </c>
      <c r="O42">
        <f ca="1">INDIRECT(ADDRESS(Plots!$K$2+A24,9,,,Plots!$A$25))</f>
        <v>0</v>
      </c>
      <c r="P42">
        <f ca="1">INDIRECT(ADDRESS(Plots!$K$2+A24,9,,,Plots!$A$26))</f>
        <v>0</v>
      </c>
      <c r="Q42">
        <f ca="1">INDIRECT(ADDRESS(Plots!$K$2+$A24,9,,,Plots!$A$27))</f>
        <v>0</v>
      </c>
      <c r="R42">
        <f ca="1">INDIRECT(ADDRESS(Plots!$K$2+$A24,9,,,Plots!$A$28))</f>
        <v>0</v>
      </c>
      <c r="S42">
        <f ca="1">INDIRECT(ADDRESS(Plots!$K$2+$A24,9,,,Plots!$A$29))</f>
        <v>0</v>
      </c>
      <c r="T42">
        <f ca="1">INDIRECT(ADDRESS(Plots!$K$2+$A24,9,,,Plots!$A$30))</f>
        <v>0</v>
      </c>
      <c r="U42">
        <f ca="1">INDIRECT(ADDRESS(Plots!$K$2+$A24,9,,,Plots!$A$31))</f>
        <v>0</v>
      </c>
    </row>
    <row r="43" spans="1:21" x14ac:dyDescent="0.35">
      <c r="D43">
        <f ca="1">INDIRECT(ADDRESS(Plots!$K$2+A25,9,,,Plots!$A$14))</f>
        <v>0</v>
      </c>
      <c r="F43">
        <f ca="1">INDIRECT(ADDRESS(Plots!$K$2+A25,9,,,Plots!$A$16))</f>
        <v>0</v>
      </c>
      <c r="I43">
        <f ca="1">INDIRECT(ADDRESS(Plots!$K$2+A25,9,,,Plots!$A$19))</f>
        <v>0</v>
      </c>
      <c r="K43">
        <f ca="1">INDIRECT(ADDRESS(Plots!$K$2+A25,9,,,Plots!$A$21))</f>
        <v>0</v>
      </c>
      <c r="L43">
        <f ca="1">INDIRECT(ADDRESS(Plots!$K$2+A25,9,,,Plots!$A$22))</f>
        <v>0</v>
      </c>
      <c r="M43">
        <f ca="1">INDIRECT(ADDRESS(Plots!$K$2+A25,9,,,Plots!$A$23))</f>
        <v>0</v>
      </c>
      <c r="N43">
        <f ca="1">INDIRECT(ADDRESS(Plots!$K$2+A25,9,,,Plots!$A$24))</f>
        <v>0</v>
      </c>
      <c r="O43">
        <f ca="1">INDIRECT(ADDRESS(Plots!$K$2+A25,9,,,Plots!$A$25))</f>
        <v>0</v>
      </c>
      <c r="P43">
        <f ca="1">INDIRECT(ADDRESS(Plots!$K$2+A25,9,,,Plots!$A$26))</f>
        <v>0</v>
      </c>
      <c r="Q43">
        <f ca="1">INDIRECT(ADDRESS(Plots!$K$2+$A25,9,,,Plots!$A$27))</f>
        <v>0</v>
      </c>
      <c r="R43">
        <f ca="1">INDIRECT(ADDRESS(Plots!$K$2+$A25,9,,,Plots!$A$28))</f>
        <v>0</v>
      </c>
      <c r="S43">
        <f ca="1">INDIRECT(ADDRESS(Plots!$K$2+$A25,9,,,Plots!$A$29))</f>
        <v>0</v>
      </c>
      <c r="T43">
        <f ca="1">INDIRECT(ADDRESS(Plots!$K$2+$A25,9,,,Plots!$A$30))</f>
        <v>0</v>
      </c>
      <c r="U43">
        <f ca="1">INDIRECT(ADDRESS(Plots!$K$2+$A25,9,,,Plots!$A$31))</f>
        <v>0</v>
      </c>
    </row>
    <row r="44" spans="1:21" x14ac:dyDescent="0.35">
      <c r="D44">
        <f ca="1">INDIRECT(ADDRESS(Plots!$K$2+A26,9,,,Plots!$A$14))</f>
        <v>0</v>
      </c>
      <c r="F44">
        <f ca="1">INDIRECT(ADDRESS(Plots!$K$2+A26,9,,,Plots!$A$16))</f>
        <v>0</v>
      </c>
      <c r="I44">
        <f ca="1">INDIRECT(ADDRESS(Plots!$K$2+A26,9,,,Plots!$A$19))</f>
        <v>0</v>
      </c>
      <c r="K44">
        <f ca="1">INDIRECT(ADDRESS(Plots!$K$2+A26,9,,,Plots!$A$21))</f>
        <v>0</v>
      </c>
      <c r="L44">
        <f ca="1">INDIRECT(ADDRESS(Plots!$K$2+A26,9,,,Plots!$A$22))</f>
        <v>0</v>
      </c>
      <c r="M44">
        <f ca="1">INDIRECT(ADDRESS(Plots!$K$2+A26,9,,,Plots!$A$23))</f>
        <v>0</v>
      </c>
      <c r="N44">
        <f ca="1">INDIRECT(ADDRESS(Plots!$K$2+A26,9,,,Plots!$A$24))</f>
        <v>0</v>
      </c>
      <c r="O44">
        <f ca="1">INDIRECT(ADDRESS(Plots!$K$2+A26,9,,,Plots!$A$25))</f>
        <v>0</v>
      </c>
      <c r="P44">
        <f ca="1">INDIRECT(ADDRESS(Plots!$K$2+A26,9,,,Plots!$A$26))</f>
        <v>0</v>
      </c>
      <c r="Q44">
        <f ca="1">INDIRECT(ADDRESS(Plots!$K$2+$A26,9,,,Plots!$A$27))</f>
        <v>0</v>
      </c>
      <c r="R44">
        <f ca="1">INDIRECT(ADDRESS(Plots!$K$2+$A26,9,,,Plots!$A$28))</f>
        <v>0</v>
      </c>
      <c r="S44">
        <f ca="1">INDIRECT(ADDRESS(Plots!$K$2+$A26,9,,,Plots!$A$29))</f>
        <v>0</v>
      </c>
      <c r="T44">
        <f ca="1">INDIRECT(ADDRESS(Plots!$K$2+$A26,9,,,Plots!$A$30))</f>
        <v>0</v>
      </c>
      <c r="U44">
        <f ca="1">INDIRECT(ADDRESS(Plots!$K$2+$A26,9,,,Plots!$A$31))</f>
        <v>0</v>
      </c>
    </row>
    <row r="45" spans="1:21" x14ac:dyDescent="0.35">
      <c r="D45">
        <f ca="1">INDIRECT(ADDRESS(Plots!$K$2+A27,9,,,Plots!$A$14))</f>
        <v>0</v>
      </c>
      <c r="F45">
        <f ca="1">INDIRECT(ADDRESS(Plots!$K$2+A27,9,,,Plots!$A$16))</f>
        <v>0</v>
      </c>
      <c r="I45">
        <f ca="1">INDIRECT(ADDRESS(Plots!$K$2+A27,9,,,Plots!$A$19))</f>
        <v>0</v>
      </c>
      <c r="K45">
        <f ca="1">INDIRECT(ADDRESS(Plots!$K$2+A27,9,,,Plots!$A$21))</f>
        <v>0</v>
      </c>
      <c r="L45">
        <f ca="1">INDIRECT(ADDRESS(Plots!$K$2+A27,9,,,Plots!$A$22))</f>
        <v>0</v>
      </c>
      <c r="M45">
        <f ca="1">INDIRECT(ADDRESS(Plots!$K$2+A27,9,,,Plots!$A$23))</f>
        <v>0</v>
      </c>
      <c r="N45">
        <f ca="1">INDIRECT(ADDRESS(Plots!$K$2+A27,9,,,Plots!$A$24))</f>
        <v>0</v>
      </c>
      <c r="O45">
        <f ca="1">INDIRECT(ADDRESS(Plots!$K$2+A27,9,,,Plots!$A$25))</f>
        <v>0</v>
      </c>
      <c r="P45">
        <f ca="1">INDIRECT(ADDRESS(Plots!$K$2+A27,9,,,Plots!$A$26))</f>
        <v>0</v>
      </c>
      <c r="Q45">
        <f ca="1">INDIRECT(ADDRESS(Plots!$K$2+$A27,9,,,Plots!$A$27))</f>
        <v>0</v>
      </c>
      <c r="R45">
        <f ca="1">INDIRECT(ADDRESS(Plots!$K$2+$A27,9,,,Plots!$A$28))</f>
        <v>0</v>
      </c>
      <c r="S45">
        <f ca="1">INDIRECT(ADDRESS(Plots!$K$2+$A27,9,,,Plots!$A$29))</f>
        <v>0</v>
      </c>
      <c r="T45">
        <f ca="1">INDIRECT(ADDRESS(Plots!$K$2+$A27,9,,,Plots!$A$30))</f>
        <v>0</v>
      </c>
      <c r="U45">
        <f ca="1">INDIRECT(ADDRESS(Plots!$K$2+$A27,9,,,Plots!$A$31))</f>
        <v>0</v>
      </c>
    </row>
    <row r="46" spans="1:21" x14ac:dyDescent="0.35">
      <c r="D46">
        <f ca="1">INDIRECT(ADDRESS(Plots!$K$2+A28,9,,,Plots!$A$14))</f>
        <v>0</v>
      </c>
      <c r="F46">
        <f ca="1">INDIRECT(ADDRESS(Plots!$K$2+A28,9,,,Plots!$A$16))</f>
        <v>0</v>
      </c>
      <c r="I46">
        <f ca="1">INDIRECT(ADDRESS(Plots!$K$2+A28,9,,,Plots!$A$19))</f>
        <v>0</v>
      </c>
      <c r="K46">
        <f ca="1">INDIRECT(ADDRESS(Plots!$K$2+A28,9,,,Plots!$A$21))</f>
        <v>0</v>
      </c>
      <c r="L46">
        <f ca="1">INDIRECT(ADDRESS(Plots!$K$2+A28,9,,,Plots!$A$22))</f>
        <v>0</v>
      </c>
      <c r="M46">
        <f ca="1">INDIRECT(ADDRESS(Plots!$K$2+A28,9,,,Plots!$A$23))</f>
        <v>0</v>
      </c>
      <c r="N46">
        <f ca="1">INDIRECT(ADDRESS(Plots!$K$2+A28,9,,,Plots!$A$24))</f>
        <v>0</v>
      </c>
      <c r="O46">
        <f ca="1">INDIRECT(ADDRESS(Plots!$K$2+A28,9,,,Plots!$A$25))</f>
        <v>0</v>
      </c>
      <c r="P46">
        <f ca="1">INDIRECT(ADDRESS(Plots!$K$2+A28,9,,,Plots!$A$26))</f>
        <v>0</v>
      </c>
      <c r="Q46">
        <f ca="1">INDIRECT(ADDRESS(Plots!$K$2+$A28,9,,,Plots!$A$27))</f>
        <v>0</v>
      </c>
      <c r="R46">
        <f ca="1">INDIRECT(ADDRESS(Plots!$K$2+$A28,9,,,Plots!$A$28))</f>
        <v>0</v>
      </c>
      <c r="S46">
        <f ca="1">INDIRECT(ADDRESS(Plots!$K$2+$A28,9,,,Plots!$A$29))</f>
        <v>0</v>
      </c>
      <c r="T46">
        <f ca="1">INDIRECT(ADDRESS(Plots!$K$2+$A28,9,,,Plots!$A$30))</f>
        <v>0</v>
      </c>
      <c r="U46">
        <f ca="1">INDIRECT(ADDRESS(Plots!$K$2+$A28,9,,,Plots!$A$31))</f>
        <v>0</v>
      </c>
    </row>
    <row r="47" spans="1:21" x14ac:dyDescent="0.35">
      <c r="D47">
        <f ca="1">INDIRECT(ADDRESS(Plots!$K$2+A29,9,,,Plots!$A$14))</f>
        <v>0</v>
      </c>
      <c r="F47">
        <f ca="1">INDIRECT(ADDRESS(Plots!$K$2+A29,9,,,Plots!$A$16))</f>
        <v>0</v>
      </c>
      <c r="I47">
        <f ca="1">INDIRECT(ADDRESS(Plots!$K$2+A29,9,,,Plots!$A$19))</f>
        <v>0</v>
      </c>
      <c r="K47">
        <f ca="1">INDIRECT(ADDRESS(Plots!$K$2+A29,9,,,Plots!$A$21))</f>
        <v>0</v>
      </c>
      <c r="L47">
        <f ca="1">INDIRECT(ADDRESS(Plots!$K$2+A29,9,,,Plots!$A$22))</f>
        <v>0</v>
      </c>
      <c r="M47">
        <f ca="1">INDIRECT(ADDRESS(Plots!$K$2+A29,9,,,Plots!$A$23))</f>
        <v>0</v>
      </c>
      <c r="N47">
        <f ca="1">INDIRECT(ADDRESS(Plots!$K$2+A29,9,,,Plots!$A$24))</f>
        <v>0</v>
      </c>
      <c r="O47">
        <f ca="1">INDIRECT(ADDRESS(Plots!$K$2+A29,9,,,Plots!$A$25))</f>
        <v>0</v>
      </c>
      <c r="P47">
        <f ca="1">INDIRECT(ADDRESS(Plots!$K$2+A29,9,,,Plots!$A$26))</f>
        <v>0</v>
      </c>
      <c r="Q47">
        <f ca="1">INDIRECT(ADDRESS(Plots!$K$2+$A29,9,,,Plots!$A$27))</f>
        <v>0</v>
      </c>
      <c r="R47">
        <f ca="1">INDIRECT(ADDRESS(Plots!$K$2+$A29,9,,,Plots!$A$28))</f>
        <v>0</v>
      </c>
      <c r="S47">
        <f ca="1">INDIRECT(ADDRESS(Plots!$K$2+$A29,9,,,Plots!$A$29))</f>
        <v>0</v>
      </c>
      <c r="T47">
        <f ca="1">INDIRECT(ADDRESS(Plots!$K$2+$A29,9,,,Plots!$A$30))</f>
        <v>0</v>
      </c>
      <c r="U47">
        <f ca="1">INDIRECT(ADDRESS(Plots!$K$2+$A29,9,,,Plots!$A$31))</f>
        <v>0</v>
      </c>
    </row>
    <row r="48" spans="1:21" x14ac:dyDescent="0.35">
      <c r="D48">
        <f ca="1">INDIRECT(ADDRESS(Plots!$K$2+A30,9,,,Plots!$A$14))</f>
        <v>0</v>
      </c>
      <c r="F48">
        <f ca="1">INDIRECT(ADDRESS(Plots!$K$2+A30,9,,,Plots!$A$16))</f>
        <v>0</v>
      </c>
      <c r="I48">
        <f ca="1">INDIRECT(ADDRESS(Plots!$K$2+A30,9,,,Plots!$A$19))</f>
        <v>0</v>
      </c>
      <c r="K48">
        <f ca="1">INDIRECT(ADDRESS(Plots!$K$2+A30,9,,,Plots!$A$21))</f>
        <v>0</v>
      </c>
      <c r="L48">
        <f ca="1">INDIRECT(ADDRESS(Plots!$K$2+A30,9,,,Plots!$A$22))</f>
        <v>0</v>
      </c>
      <c r="M48">
        <f ca="1">INDIRECT(ADDRESS(Plots!$K$2+A30,9,,,Plots!$A$23))</f>
        <v>0</v>
      </c>
      <c r="N48">
        <f ca="1">INDIRECT(ADDRESS(Plots!$K$2+A30,9,,,Plots!$A$24))</f>
        <v>0</v>
      </c>
      <c r="O48">
        <f ca="1">INDIRECT(ADDRESS(Plots!$K$2+A30,9,,,Plots!$A$25))</f>
        <v>0</v>
      </c>
      <c r="P48">
        <f ca="1">INDIRECT(ADDRESS(Plots!$K$2+A30,9,,,Plots!$A$26))</f>
        <v>0</v>
      </c>
      <c r="Q48">
        <f ca="1">INDIRECT(ADDRESS(Plots!$K$2+$A30,9,,,Plots!$A$27))</f>
        <v>0</v>
      </c>
      <c r="R48">
        <f ca="1">INDIRECT(ADDRESS(Plots!$K$2+$A30,9,,,Plots!$A$28))</f>
        <v>0</v>
      </c>
      <c r="S48">
        <f ca="1">INDIRECT(ADDRESS(Plots!$K$2+$A30,9,,,Plots!$A$29))</f>
        <v>0</v>
      </c>
      <c r="T48">
        <f ca="1">INDIRECT(ADDRESS(Plots!$K$2+$A30,9,,,Plots!$A$30))</f>
        <v>0</v>
      </c>
      <c r="U48">
        <f ca="1">INDIRECT(ADDRESS(Plots!$K$2+$A30,9,,,Plots!$A$31))</f>
        <v>0</v>
      </c>
    </row>
    <row r="49" spans="4:21" x14ac:dyDescent="0.35">
      <c r="D49">
        <f ca="1">INDIRECT(ADDRESS(Plots!$K$2+A31,9,,,Plots!$A$14))</f>
        <v>0</v>
      </c>
      <c r="F49">
        <f ca="1">INDIRECT(ADDRESS(Plots!$K$2+A31,9,,,Plots!$A$16))</f>
        <v>0</v>
      </c>
      <c r="I49">
        <f ca="1">INDIRECT(ADDRESS(Plots!$K$2+A31,9,,,Plots!$A$19))</f>
        <v>0</v>
      </c>
      <c r="K49">
        <f ca="1">INDIRECT(ADDRESS(Plots!$K$2+A31,9,,,Plots!$A$21))</f>
        <v>0</v>
      </c>
      <c r="L49">
        <f ca="1">INDIRECT(ADDRESS(Plots!$K$2+A31,9,,,Plots!$A$22))</f>
        <v>0</v>
      </c>
      <c r="M49">
        <f ca="1">INDIRECT(ADDRESS(Plots!$K$2+A31,9,,,Plots!$A$23))</f>
        <v>0</v>
      </c>
      <c r="N49">
        <f ca="1">INDIRECT(ADDRESS(Plots!$K$2+A31,9,,,Plots!$A$24))</f>
        <v>0</v>
      </c>
      <c r="O49">
        <f ca="1">INDIRECT(ADDRESS(Plots!$K$2+A31,9,,,Plots!$A$25))</f>
        <v>0</v>
      </c>
      <c r="P49">
        <f ca="1">INDIRECT(ADDRESS(Plots!$K$2+A31,9,,,Plots!$A$26))</f>
        <v>0</v>
      </c>
      <c r="Q49">
        <f ca="1">INDIRECT(ADDRESS(Plots!$K$2+$A31,9,,,Plots!$A$27))</f>
        <v>0</v>
      </c>
      <c r="R49">
        <f ca="1">INDIRECT(ADDRESS(Plots!$K$2+$A31,9,,,Plots!$A$28))</f>
        <v>0</v>
      </c>
      <c r="S49">
        <f ca="1">INDIRECT(ADDRESS(Plots!$K$2+$A31,9,,,Plots!$A$29))</f>
        <v>0</v>
      </c>
      <c r="T49">
        <f ca="1">INDIRECT(ADDRESS(Plots!$K$2+$A31,9,,,Plots!$A$30))</f>
        <v>0</v>
      </c>
      <c r="U49">
        <f ca="1">INDIRECT(ADDRESS(Plots!$K$2+$A31,9,,,Plots!$A$31))</f>
        <v>0</v>
      </c>
    </row>
    <row r="50" spans="4:21" x14ac:dyDescent="0.35">
      <c r="D50">
        <f ca="1">INDIRECT(ADDRESS(Plots!$K$2+A32,9,,,Plots!$A$14))</f>
        <v>0</v>
      </c>
      <c r="F50">
        <f ca="1">INDIRECT(ADDRESS(Plots!$K$2+A32,9,,,Plots!$A$16))</f>
        <v>0</v>
      </c>
      <c r="I50">
        <f ca="1">INDIRECT(ADDRESS(Plots!$K$2+A32,9,,,Plots!$A$19))</f>
        <v>0</v>
      </c>
      <c r="K50">
        <f ca="1">INDIRECT(ADDRESS(Plots!$K$2+A32,9,,,Plots!$A$21))</f>
        <v>0</v>
      </c>
      <c r="L50">
        <f ca="1">INDIRECT(ADDRESS(Plots!$K$2+A32,9,,,Plots!$A$22))</f>
        <v>0</v>
      </c>
      <c r="M50">
        <f ca="1">INDIRECT(ADDRESS(Plots!$K$2+A32,9,,,Plots!$A$23))</f>
        <v>0</v>
      </c>
      <c r="N50">
        <f ca="1">INDIRECT(ADDRESS(Plots!$K$2+A32,9,,,Plots!$A$24))</f>
        <v>0</v>
      </c>
      <c r="O50">
        <f ca="1">INDIRECT(ADDRESS(Plots!$K$2+A32,9,,,Plots!$A$25))</f>
        <v>0</v>
      </c>
      <c r="P50">
        <f ca="1">INDIRECT(ADDRESS(Plots!$K$2+A32,9,,,Plots!$A$26))</f>
        <v>0</v>
      </c>
      <c r="Q50">
        <f ca="1">INDIRECT(ADDRESS(Plots!$K$2+$A32,9,,,Plots!$A$27))</f>
        <v>0</v>
      </c>
      <c r="R50">
        <f ca="1">INDIRECT(ADDRESS(Plots!$K$2+$A32,9,,,Plots!$A$28))</f>
        <v>0</v>
      </c>
      <c r="S50">
        <f ca="1">INDIRECT(ADDRESS(Plots!$K$2+$A32,9,,,Plots!$A$29))</f>
        <v>0</v>
      </c>
      <c r="T50">
        <f ca="1">INDIRECT(ADDRESS(Plots!$K$2+$A32,9,,,Plots!$A$30))</f>
        <v>0</v>
      </c>
      <c r="U50">
        <f ca="1">INDIRECT(ADDRESS(Plots!$K$2+$A32,9,,,Plots!$A$31))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8</vt:i4>
      </vt:variant>
    </vt:vector>
  </HeadingPairs>
  <TitlesOfParts>
    <vt:vector size="33" baseType="lpstr">
      <vt:lpstr>Delay BW Product</vt:lpstr>
      <vt:lpstr>Histograms</vt:lpstr>
      <vt:lpstr>padding</vt:lpstr>
      <vt:lpstr>Flow Time Series</vt:lpstr>
      <vt:lpstr>Plots</vt:lpstr>
      <vt:lpstr>DTNlon-RALxrootd01_tcpmon_m_01</vt:lpstr>
      <vt:lpstr>DTNlon-RALxrootd01_tcpmon_m_02</vt:lpstr>
      <vt:lpstr>DTNlon-RALxrootd01_tcpmon_m_03</vt:lpstr>
      <vt:lpstr>DTNlon-RALxrootd01_tcpmon_m_04</vt:lpstr>
      <vt:lpstr>DTNlon-RALxrootd01_tcpmon_m_05</vt:lpstr>
      <vt:lpstr>DTNlon-RALxrootd01_tcpmon_m_06</vt:lpstr>
      <vt:lpstr>DTNlon-RALxrootd01_tcpmon_m_07</vt:lpstr>
      <vt:lpstr>DTNlon-RALxrootd01_tcpmon_m_08</vt:lpstr>
      <vt:lpstr>DTNlon-RALxrootd01_tcpmon_m_09</vt:lpstr>
      <vt:lpstr>DTNlon-RALxrootd01_tcpmon_m_10</vt:lpstr>
      <vt:lpstr>DTNlon-RALxrootd01_tcpmon_m_11</vt:lpstr>
      <vt:lpstr>DTNlon-RALxrootd01_tcpmon_m_12</vt:lpstr>
      <vt:lpstr>DTNlon-RALxrootd01_tcpmon_m_13</vt:lpstr>
      <vt:lpstr>DTNlon-RALxrootd01_tcpmon_m_14</vt:lpstr>
      <vt:lpstr>DTNlon-RALxrootd01_tcpmon_m_15</vt:lpstr>
      <vt:lpstr>DTNlon-RALxrootd01_tcpmon_m_16</vt:lpstr>
      <vt:lpstr>DTNlon-RALxrootd01_tcpmon_m_17</vt:lpstr>
      <vt:lpstr>DTNlon-RALxrootd01_tcpmon_m_18</vt:lpstr>
      <vt:lpstr>DTNlon-RALxrootd01_tcpmon_m_19</vt:lpstr>
      <vt:lpstr>BW vs time in flow</vt:lpstr>
      <vt:lpstr>Flow_end</vt:lpstr>
      <vt:lpstr>Flow_start</vt:lpstr>
      <vt:lpstr>Histo_1_bin0</vt:lpstr>
      <vt:lpstr>Histo_1_lastbin</vt:lpstr>
      <vt:lpstr>Histo_2_bin0</vt:lpstr>
      <vt:lpstr>Histo_2_lastbin</vt:lpstr>
      <vt:lpstr>InfoStore_fromRow</vt:lpstr>
      <vt:lpstr>InfoStore_toRow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R.Hughes-Jones</dc:creator>
  <cp:lastModifiedBy>Richard Hughes-Jones</cp:lastModifiedBy>
  <dcterms:created xsi:type="dcterms:W3CDTF">2009-05-17T21:07:01Z</dcterms:created>
  <dcterms:modified xsi:type="dcterms:W3CDTF">2024-03-13T17:06:55Z</dcterms:modified>
</cp:coreProperties>
</file>