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DANTE\100Gig\GEANT DTN\TCP\"/>
    </mc:Choice>
  </mc:AlternateContent>
  <xr:revisionPtr revIDLastSave="0" documentId="13_ncr:1_{3A9491BD-A760-4C3D-91F5-EBECE64C6109}" xr6:coauthVersionLast="47" xr6:coauthVersionMax="47" xr10:uidLastSave="{00000000-0000-0000-0000-000000000000}"/>
  <bookViews>
    <workbookView xWindow="560" yWindow="540" windowWidth="18320" windowHeight="9310" xr2:uid="{00000000-000D-0000-FFFF-FFFF00000000}"/>
  </bookViews>
  <sheets>
    <sheet name="Plots" sheetId="2" r:id="rId1"/>
    <sheet name="Summary" sheetId="32" r:id="rId2"/>
    <sheet name="convert time" sheetId="17" r:id="rId3"/>
    <sheet name="AARnetCBR-CamDTN1_tcpmon_ts_11" sheetId="8" r:id="rId4"/>
    <sheet name="AARnetCBR-CamDTN1_tcpmon_ts_21" sheetId="3" r:id="rId5"/>
    <sheet name="AARnetCBR-CamDTN1_tcpmon_ts_22" sheetId="18" r:id="rId6"/>
    <sheet name="AARnetCBR-CamDTN1_tcpmon_ts_31" sheetId="19" r:id="rId7"/>
    <sheet name="AARnetCBR-CamDTN1_tcpmon_ts_32" sheetId="20" r:id="rId8"/>
    <sheet name="AARnetCBR-CamDTN1_tcpmon_ts_33" sheetId="21" r:id="rId9"/>
    <sheet name="AARnetCBR-CamDTN1_tcpmon_ts_41" sheetId="22" r:id="rId10"/>
    <sheet name="AARnetCBR-CamDTN1_tcpmon_ts_42" sheetId="26" r:id="rId11"/>
    <sheet name="AARnetCBR-CamDTN1_tcpmon_ts_43" sheetId="23" r:id="rId12"/>
    <sheet name="AARnetCBR-CamDTN1_tcpmon_ts_44" sheetId="24" r:id="rId13"/>
    <sheet name="AARnetCBR-CamDTN1_tcpmon_ts_51" sheetId="33" r:id="rId14"/>
    <sheet name="AARnetCBR-CamDTN1_tcpmon_ts_52" sheetId="34" r:id="rId15"/>
    <sheet name="AARnetCBR-CamDTN1_tcpmon_ts_53" sheetId="35" r:id="rId16"/>
    <sheet name="AARnetCBR-CamDTN1_tcpmon_ts_54" sheetId="36" r:id="rId17"/>
    <sheet name="AARnetCBR-CamDTN1_tcpmon_ts_55" sheetId="37" r:id="rId18"/>
    <sheet name="AARnetCBR-CamDTN1_tcpmon_ts_61" sheetId="25" r:id="rId19"/>
    <sheet name="AARnetCBR-CamDTN1_tcpmon_ts_62" sheetId="27" r:id="rId20"/>
    <sheet name="AARnetCBR-CamDTN1_tcpmon_ts_63" sheetId="28" r:id="rId21"/>
    <sheet name="AARnetCBR-CamDTN1_tcpmon_ts_64" sheetId="29" r:id="rId22"/>
    <sheet name="AARnetCBR-CamDTN1_tcpmon_ts_65" sheetId="30" r:id="rId23"/>
    <sheet name="AARnetCBR-CamDTN1_tcpmon_ts_66" sheetId="31" r:id="rId24"/>
    <sheet name="AARnetCBR-CamDTN1_tcpmon_ts_81" sheetId="38" r:id="rId25"/>
    <sheet name="AARnetCBR-CamDTN1_tcpmon_ts_82" sheetId="39" r:id="rId26"/>
    <sheet name="AARnetCBR-CamDTN1_tcpmon_ts_83" sheetId="40" r:id="rId27"/>
    <sheet name="AARnetCBR-CamDTN1_tcpmon_ts_84" sheetId="41" r:id="rId28"/>
    <sheet name="AARnetCBR-CamDTN1_tcpmon_ts_85" sheetId="42" r:id="rId29"/>
    <sheet name="AARnetCBR-CamDTN1_tcpmon_ts_86" sheetId="43" r:id="rId30"/>
    <sheet name="AARnetCBR-CamDTN1_tcpmon_ts_87" sheetId="44" r:id="rId31"/>
    <sheet name="AARnetCBR-CamDTN1_tcpmon_ts_88" sheetId="45" r:id="rId32"/>
  </sheets>
  <definedNames>
    <definedName name="_xlnm._FilterDatabase" localSheetId="3" hidden="1">'AARnetCBR-CamDTN1_tcpmon_ts_11'!$A$9:$HP$3486</definedName>
    <definedName name="_xlnm._FilterDatabase" localSheetId="4" hidden="1">'AARnetCBR-CamDTN1_tcpmon_ts_21'!$A$1:$D$3731</definedName>
    <definedName name="flowEndRow">Plots!$C$4</definedName>
    <definedName name="flowStartRow">Plots!$C$3</definedName>
    <definedName name="sys_gig_udp_31" localSheetId="3">'AARnetCBR-CamDTN1_tcpmon_ts_11'!$A$1:$HC$236</definedName>
    <definedName name="sys_gig_udp_31" localSheetId="4">'AARnetCBR-CamDTN1_tcpmon_ts_21'!$A$1:$HC$236</definedName>
    <definedName name="sys_gig_udp_31" localSheetId="5">'AARnetCBR-CamDTN1_tcpmon_ts_22'!$A$1:$HC$236</definedName>
    <definedName name="sys_gig_udp_31" localSheetId="6">'AARnetCBR-CamDTN1_tcpmon_ts_31'!$A$1:$HC$236</definedName>
    <definedName name="sys_gig_udp_31" localSheetId="7">'AARnetCBR-CamDTN1_tcpmon_ts_32'!$A$1:$HC$236</definedName>
    <definedName name="sys_gig_udp_31" localSheetId="8">'AARnetCBR-CamDTN1_tcpmon_ts_33'!$A$1:$HC$236</definedName>
    <definedName name="sys_gig_udp_31" localSheetId="9">'AARnetCBR-CamDTN1_tcpmon_ts_41'!$A$1:$HC$236</definedName>
    <definedName name="sys_gig_udp_31" localSheetId="10">'AARnetCBR-CamDTN1_tcpmon_ts_42'!$A$1:$HC$236</definedName>
    <definedName name="sys_gig_udp_31" localSheetId="11">'AARnetCBR-CamDTN1_tcpmon_ts_43'!$A$1:$HC$236</definedName>
    <definedName name="sys_gig_udp_31" localSheetId="12">'AARnetCBR-CamDTN1_tcpmon_ts_44'!$A$1:$HC$236</definedName>
    <definedName name="sys_gig_udp_31" localSheetId="13">'AARnetCBR-CamDTN1_tcpmon_ts_51'!$A$1:$HC$236</definedName>
    <definedName name="sys_gig_udp_31" localSheetId="14">'AARnetCBR-CamDTN1_tcpmon_ts_52'!$A$1:$HC$236</definedName>
    <definedName name="sys_gig_udp_31" localSheetId="15">'AARnetCBR-CamDTN1_tcpmon_ts_53'!$A$1:$HC$236</definedName>
    <definedName name="sys_gig_udp_31" localSheetId="16">'AARnetCBR-CamDTN1_tcpmon_ts_54'!$A$1:$HC$236</definedName>
    <definedName name="sys_gig_udp_31" localSheetId="17">'AARnetCBR-CamDTN1_tcpmon_ts_55'!$A$1:$HC$236</definedName>
    <definedName name="sys_gig_udp_31_1" localSheetId="3">'AARnetCBR-CamDTN1_tcpmon_ts_11'!$A$1:$HR$236</definedName>
    <definedName name="sys_gig_udp_31_1" localSheetId="4">'AARnetCBR-CamDTN1_tcpmon_ts_21'!$A$1:$HR$236</definedName>
    <definedName name="sys_gig_udp_31_1" localSheetId="5">'AARnetCBR-CamDTN1_tcpmon_ts_22'!$A$1:$HR$236</definedName>
    <definedName name="sys_gig_udp_31_1" localSheetId="6">'AARnetCBR-CamDTN1_tcpmon_ts_31'!$A$1:$HR$236</definedName>
    <definedName name="sys_gig_udp_31_1" localSheetId="7">'AARnetCBR-CamDTN1_tcpmon_ts_32'!$A$1:$HR$236</definedName>
    <definedName name="sys_gig_udp_31_1" localSheetId="8">'AARnetCBR-CamDTN1_tcpmon_ts_33'!$A$1:$HR$236</definedName>
    <definedName name="sys_gig_udp_31_1" localSheetId="9">'AARnetCBR-CamDTN1_tcpmon_ts_41'!$A$1:$HR$236</definedName>
    <definedName name="sys_gig_udp_31_1" localSheetId="10">'AARnetCBR-CamDTN1_tcpmon_ts_42'!$A$1:$HR$236</definedName>
    <definedName name="sys_gig_udp_31_1" localSheetId="11">'AARnetCBR-CamDTN1_tcpmon_ts_43'!$A$1:$HR$236</definedName>
    <definedName name="sys_gig_udp_31_1" localSheetId="12">'AARnetCBR-CamDTN1_tcpmon_ts_44'!$A$1:$HR$236</definedName>
    <definedName name="sys_gig_udp_31_1" localSheetId="13">'AARnetCBR-CamDTN1_tcpmon_ts_51'!$A$1:$HR$236</definedName>
    <definedName name="sys_gig_udp_31_1" localSheetId="14">'AARnetCBR-CamDTN1_tcpmon_ts_52'!$A$1:$HR$236</definedName>
    <definedName name="sys_gig_udp_31_1" localSheetId="15">'AARnetCBR-CamDTN1_tcpmon_ts_53'!$A$1:$HR$236</definedName>
    <definedName name="sys_gig_udp_31_1" localSheetId="16">'AARnetCBR-CamDTN1_tcpmon_ts_54'!$A$1:$HR$236</definedName>
    <definedName name="sys_gig_udp_31_1" localSheetId="17">'AARnetCBR-CamDTN1_tcpmon_ts_55'!$A$1:$HR$236</definedName>
    <definedName name="sys_gig_udp_31_2" localSheetId="3">'AARnetCBR-CamDTN1_tcpmon_ts_11'!$A$1:$JO$154</definedName>
    <definedName name="sys_gig_udp_31_2" localSheetId="4">'AARnetCBR-CamDTN1_tcpmon_ts_21'!$A$1:$JO$154</definedName>
    <definedName name="sys_gig_udp_31_2" localSheetId="5">'AARnetCBR-CamDTN1_tcpmon_ts_22'!$A$1:$JO$154</definedName>
    <definedName name="sys_gig_udp_31_2" localSheetId="6">'AARnetCBR-CamDTN1_tcpmon_ts_31'!$A$1:$JO$154</definedName>
    <definedName name="sys_gig_udp_31_2" localSheetId="7">'AARnetCBR-CamDTN1_tcpmon_ts_32'!$A$1:$JO$154</definedName>
    <definedName name="sys_gig_udp_31_2" localSheetId="8">'AARnetCBR-CamDTN1_tcpmon_ts_33'!$A$1:$JO$154</definedName>
    <definedName name="sys_gig_udp_31_2" localSheetId="9">'AARnetCBR-CamDTN1_tcpmon_ts_41'!$A$1:$JO$154</definedName>
    <definedName name="sys_gig_udp_31_2" localSheetId="10">'AARnetCBR-CamDTN1_tcpmon_ts_42'!$A$1:$JO$154</definedName>
    <definedName name="sys_gig_udp_31_2" localSheetId="11">'AARnetCBR-CamDTN1_tcpmon_ts_43'!$A$1:$JO$154</definedName>
    <definedName name="sys_gig_udp_31_2" localSheetId="12">'AARnetCBR-CamDTN1_tcpmon_ts_44'!$A$1:$JO$154</definedName>
    <definedName name="sys_gig_udp_31_2" localSheetId="13">'AARnetCBR-CamDTN1_tcpmon_ts_51'!$A$1:$JO$154</definedName>
    <definedName name="sys_gig_udp_31_2" localSheetId="14">'AARnetCBR-CamDTN1_tcpmon_ts_52'!$A$1:$JO$154</definedName>
    <definedName name="sys_gig_udp_31_2" localSheetId="15">'AARnetCBR-CamDTN1_tcpmon_ts_53'!$A$1:$JO$154</definedName>
    <definedName name="sys_gig_udp_31_2" localSheetId="16">'AARnetCBR-CamDTN1_tcpmon_ts_54'!$A$1:$JO$154</definedName>
    <definedName name="sys_gig_udp_31_2" localSheetId="17">'AARnetCBR-CamDTN1_tcpmon_ts_55'!$A$1:$JO$154</definedName>
    <definedName name="sys_gig_udp_31_3" localSheetId="3">'AARnetCBR-CamDTN1_tcpmon_ts_11'!$A$1:$JO$184</definedName>
    <definedName name="sys_gig_udp_31_3" localSheetId="4">'AARnetCBR-CamDTN1_tcpmon_ts_21'!$A$1:$JO$184</definedName>
    <definedName name="sys_gig_udp_31_3" localSheetId="5">'AARnetCBR-CamDTN1_tcpmon_ts_22'!$A$1:$JO$184</definedName>
    <definedName name="sys_gig_udp_31_3" localSheetId="6">'AARnetCBR-CamDTN1_tcpmon_ts_31'!$A$1:$JO$184</definedName>
    <definedName name="sys_gig_udp_31_3" localSheetId="7">'AARnetCBR-CamDTN1_tcpmon_ts_32'!$A$1:$JO$184</definedName>
    <definedName name="sys_gig_udp_31_3" localSheetId="8">'AARnetCBR-CamDTN1_tcpmon_ts_33'!$A$1:$JO$184</definedName>
    <definedName name="sys_gig_udp_31_3" localSheetId="9">'AARnetCBR-CamDTN1_tcpmon_ts_41'!$A$1:$JO$184</definedName>
    <definedName name="sys_gig_udp_31_3" localSheetId="10">'AARnetCBR-CamDTN1_tcpmon_ts_42'!$A$1:$JO$184</definedName>
    <definedName name="sys_gig_udp_31_3" localSheetId="11">'AARnetCBR-CamDTN1_tcpmon_ts_43'!$A$1:$JO$184</definedName>
    <definedName name="sys_gig_udp_31_3" localSheetId="12">'AARnetCBR-CamDTN1_tcpmon_ts_44'!$A$1:$JO$184</definedName>
    <definedName name="sys_gig_udp_31_3" localSheetId="13">'AARnetCBR-CamDTN1_tcpmon_ts_51'!$A$1:$JO$184</definedName>
    <definedName name="sys_gig_udp_31_3" localSheetId="14">'AARnetCBR-CamDTN1_tcpmon_ts_52'!$A$1:$JO$184</definedName>
    <definedName name="sys_gig_udp_31_3" localSheetId="15">'AARnetCBR-CamDTN1_tcpmon_ts_53'!$A$1:$JO$184</definedName>
    <definedName name="sys_gig_udp_31_3" localSheetId="16">'AARnetCBR-CamDTN1_tcpmon_ts_54'!$A$1:$JO$184</definedName>
    <definedName name="sys_gig_udp_31_3" localSheetId="17">'AARnetCBR-CamDTN1_tcpmon_ts_55'!$A$1:$JO$184</definedName>
    <definedName name="sys_gig_udp_31_4" localSheetId="3">'AARnetCBR-CamDTN1_tcpmon_ts_11'!$A$1:$EZ$228</definedName>
    <definedName name="sys_gig_udp_31_4" localSheetId="4">'AARnetCBR-CamDTN1_tcpmon_ts_21'!$A$1:$EZ$228</definedName>
    <definedName name="sys_gig_udp_31_4" localSheetId="5">'AARnetCBR-CamDTN1_tcpmon_ts_22'!$A$1:$EZ$228</definedName>
    <definedName name="sys_gig_udp_31_4" localSheetId="6">'AARnetCBR-CamDTN1_tcpmon_ts_31'!$A$1:$EZ$228</definedName>
    <definedName name="sys_gig_udp_31_4" localSheetId="7">'AARnetCBR-CamDTN1_tcpmon_ts_32'!$A$1:$EZ$228</definedName>
    <definedName name="sys_gig_udp_31_4" localSheetId="8">'AARnetCBR-CamDTN1_tcpmon_ts_33'!$A$1:$EZ$228</definedName>
    <definedName name="sys_gig_udp_31_4" localSheetId="9">'AARnetCBR-CamDTN1_tcpmon_ts_41'!$A$1:$EZ$228</definedName>
    <definedName name="sys_gig_udp_31_4" localSheetId="10">'AARnetCBR-CamDTN1_tcpmon_ts_42'!$A$1:$EZ$228</definedName>
    <definedName name="sys_gig_udp_31_4" localSheetId="11">'AARnetCBR-CamDTN1_tcpmon_ts_43'!$A$1:$EZ$228</definedName>
    <definedName name="sys_gig_udp_31_4" localSheetId="12">'AARnetCBR-CamDTN1_tcpmon_ts_44'!$A$1:$EZ$228</definedName>
    <definedName name="sys_gig_udp_31_5" localSheetId="3">'AARnetCBR-CamDTN1_tcpmon_ts_11'!$A$1:$EZ$228</definedName>
    <definedName name="sys_gig_udp_31_5" localSheetId="4">'AARnetCBR-CamDTN1_tcpmon_ts_21'!$A$1:$EZ$228</definedName>
    <definedName name="sys_gig_udp_31_5" localSheetId="5">'AARnetCBR-CamDTN1_tcpmon_ts_22'!$A$1:$EZ$228</definedName>
    <definedName name="sys_gig_udp_31_5" localSheetId="6">'AARnetCBR-CamDTN1_tcpmon_ts_31'!$A$1:$EZ$228</definedName>
    <definedName name="sys_gig_udp_31_5" localSheetId="7">'AARnetCBR-CamDTN1_tcpmon_ts_32'!$A$1:$EZ$228</definedName>
    <definedName name="sys_gig_udp_31_5" localSheetId="8">'AARnetCBR-CamDTN1_tcpmon_ts_33'!$A$1:$EZ$228</definedName>
    <definedName name="sys_gig_udp_31_5" localSheetId="9">'AARnetCBR-CamDTN1_tcpmon_ts_41'!$A$1:$EZ$228</definedName>
    <definedName name="sys_gig_udp_31_5" localSheetId="10">'AARnetCBR-CamDTN1_tcpmon_ts_42'!$A$1:$EZ$228</definedName>
    <definedName name="sys_gig_udp_31_5" localSheetId="11">'AARnetCBR-CamDTN1_tcpmon_ts_43'!$A$1:$EZ$228</definedName>
    <definedName name="sys_gig_udp_31_5" localSheetId="12">'AARnetCBR-CamDTN1_tcpmon_ts_44'!$A$1:$EZ$228</definedName>
    <definedName name="Tab11_elapsed_time">INDIRECT(Plots!$M$46)</definedName>
    <definedName name="Tab11_flow_rate">INDIRECT(Plots!$M$47)</definedName>
    <definedName name="Tab11_flow_retrans">INDIRECT(Plots!$M$48)</definedName>
    <definedName name="Tab21_elapsed_time">INDIRECT(Plots!$M$50)</definedName>
    <definedName name="Tab21_flow_rate">INDIRECT(Plots!$M$51)</definedName>
    <definedName name="Tab21_flow_retrans">INDIRECT(Plots!$M$52)</definedName>
    <definedName name="Tab22_flow_rate">INDIRECT(Plots!$M$56)</definedName>
    <definedName name="Tab22_flow_retrans">INDIRECT(Plots!$M$57)</definedName>
    <definedName name="Tab31_elapsed_time">INDIRECT(Plots!$M$60)</definedName>
    <definedName name="Tab31_flow_rate">INDIRECT(Plots!$M$61)</definedName>
    <definedName name="Tab31_flow_retrans">INDIRECT(Plots!$M$62)</definedName>
    <definedName name="Tab32_flow_rate">INDIRECT(Plots!$M$66)</definedName>
    <definedName name="Tab32_flow_retrans">INDIRECT(Plots!$M$67)</definedName>
    <definedName name="Tab33_flow_rate">INDIRECT(Plots!$M$71)</definedName>
    <definedName name="Tab33_flow_retrans">INDIRECT(Plots!$M$72)</definedName>
    <definedName name="Tab41_elapsed_time">INDIRECT(Plots!$M$75)</definedName>
    <definedName name="Tab41_flow_rate">INDIRECT(Plots!$M$76)</definedName>
    <definedName name="Tab41_flow_retrans">INDIRECT(Plots!$M$77)</definedName>
    <definedName name="Tab42_flow_rate">INDIRECT(Plots!$M$81)</definedName>
    <definedName name="Tab42_flow_retrans">INDIRECT(Plots!$M$82)</definedName>
    <definedName name="Tab43_flow_rate">INDIRECT(Plots!$M$86)</definedName>
    <definedName name="Tab43_flow_retrans">INDIRECT(Plots!$M$87)</definedName>
    <definedName name="Tab44_flow_rate">INDIRECT(Plots!$M$91)</definedName>
    <definedName name="Tab44_flow_retrans">INDIRECT(Plots!$M$92)</definedName>
    <definedName name="Tab51_elapsed_time">INDIRECT(Plots!$M$95)</definedName>
    <definedName name="Tab51_flow_rate">INDIRECT(Plots!$M$96)</definedName>
    <definedName name="Tab51_flow_retrans">INDIRECT(Plots!$M$97)</definedName>
    <definedName name="Tab52_flow_rate">INDIRECT(Plots!$M$100)</definedName>
    <definedName name="Tab52_flow_retrans">INDIRECT(Plots!$M$101)</definedName>
    <definedName name="Tab53_flow_rate">INDIRECT(Plots!$M$105)</definedName>
    <definedName name="Tab53_flow_retrans">INDIRECT(Plots!$M$106)</definedName>
    <definedName name="Tab54_flow_rate">INDIRECT(Plots!$M$110)</definedName>
    <definedName name="Tab54_flow_retrans">INDIRECT(Plots!$M$111)</definedName>
    <definedName name="Tab55_flow_rate">INDIRECT(Plots!$M$115)</definedName>
    <definedName name="Tab55_flow_retrans">INDIRECT(Plots!$M$116)</definedName>
    <definedName name="Tab61_elapsed_time">INDIRECT(Plots!$M$119)</definedName>
    <definedName name="Tab61_flow_rate">INDIRECT(Plots!$M$120)</definedName>
    <definedName name="Tab61_flow_retrans">INDIRECT(Plots!$M$121)</definedName>
    <definedName name="Tab62_flow_rate">INDIRECT(Plots!$M$125)</definedName>
    <definedName name="Tab62_flow_retrans">INDIRECT(Plots!$M$126)</definedName>
    <definedName name="Tab63_flow_rate">INDIRECT(Plots!$M$130)</definedName>
    <definedName name="Tab63_flow_retrans">INDIRECT(Plots!$M$131)</definedName>
    <definedName name="Tab64_flow_rate">INDIRECT(Plots!$M$135)</definedName>
    <definedName name="Tab64_flow_retrans">INDIRECT(Plots!$M$136)</definedName>
    <definedName name="Tab65_flow_rate">INDIRECT(Plots!$M$139)</definedName>
    <definedName name="Tab65_flow_retrans">INDIRECT(Plots!$M$140)</definedName>
    <definedName name="Tab66_flow_rate">INDIRECT(Plots!$M$145)</definedName>
    <definedName name="Tab66_flow_retrans">INDIRECT(Plots!$M$146)</definedName>
    <definedName name="TabSum_retrans1">INDIRECT(Plots!$T$41)</definedName>
    <definedName name="TabSum_retrans2">INDIRECT(Plots!$T$42)</definedName>
    <definedName name="TabSum_retrans3">INDIRECT(Plots!$T$43)</definedName>
    <definedName name="TabSum_retrans4">INDIRECT(Plots!$T$44)</definedName>
    <definedName name="TabSum_retrans5">INDIRECT(Plots!$X$41)</definedName>
    <definedName name="TabSum_retrans6">INDIRECT(Plots!$X$42)</definedName>
    <definedName name="TabSum_sum1">INDIRECT(Plots!$L$41)</definedName>
    <definedName name="TabSum_sum2">INDIRECT(Plots!$L$42)</definedName>
    <definedName name="TabSum_sum3">INDIRECT(Plots!$L$43)</definedName>
    <definedName name="TabSum_sum4">INDIRECT(Plots!$L$44)</definedName>
    <definedName name="TabSum_sum5">INDIRECT(Plots!$P$41)</definedName>
    <definedName name="TabSum_sum6">INDIRECT(Plots!$P$42)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60" i="22" l="1"/>
  <c r="L160" i="22"/>
  <c r="J160" i="22"/>
  <c r="A14" i="32" l="1"/>
  <c r="A13" i="32"/>
  <c r="X42" i="2"/>
  <c r="X41" i="2"/>
  <c r="T44" i="2"/>
  <c r="T43" i="2"/>
  <c r="T42" i="2"/>
  <c r="P42" i="2"/>
  <c r="P41" i="2"/>
  <c r="T41" i="2"/>
  <c r="L44" i="2"/>
  <c r="L43" i="2"/>
  <c r="L42" i="2"/>
  <c r="L41" i="2"/>
  <c r="A301" i="32"/>
  <c r="A302" i="32"/>
  <c r="A303" i="32"/>
  <c r="A304" i="32"/>
  <c r="A305" i="32"/>
  <c r="A306" i="32"/>
  <c r="A307" i="32"/>
  <c r="A308" i="32"/>
  <c r="A309" i="32"/>
  <c r="A310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88" i="32"/>
  <c r="A289" i="32"/>
  <c r="A290" i="32"/>
  <c r="A291" i="32"/>
  <c r="A292" i="32"/>
  <c r="A293" i="32"/>
  <c r="A294" i="32"/>
  <c r="A295" i="32"/>
  <c r="A296" i="32"/>
  <c r="A297" i="32"/>
  <c r="A298" i="32"/>
  <c r="A299" i="32"/>
  <c r="A300" i="32"/>
  <c r="B13" i="32"/>
  <c r="B4" i="32"/>
  <c r="I51" i="32"/>
  <c r="I52" i="32"/>
  <c r="I53" i="32"/>
  <c r="I54" i="32"/>
  <c r="I55" i="32"/>
  <c r="I56" i="32"/>
  <c r="I57" i="32"/>
  <c r="I58" i="32"/>
  <c r="I59" i="32"/>
  <c r="I60" i="32"/>
  <c r="I61" i="32"/>
  <c r="I62" i="32"/>
  <c r="I63" i="32"/>
  <c r="I64" i="32"/>
  <c r="I65" i="32"/>
  <c r="I66" i="32"/>
  <c r="I67" i="32"/>
  <c r="I68" i="32"/>
  <c r="I69" i="32"/>
  <c r="I70" i="32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85" i="32"/>
  <c r="I86" i="32"/>
  <c r="I87" i="32"/>
  <c r="I88" i="32"/>
  <c r="I89" i="32"/>
  <c r="I90" i="32"/>
  <c r="I91" i="32"/>
  <c r="I92" i="32"/>
  <c r="I93" i="32"/>
  <c r="I94" i="32"/>
  <c r="I95" i="32"/>
  <c r="I96" i="32"/>
  <c r="I97" i="32"/>
  <c r="I98" i="32"/>
  <c r="I99" i="32"/>
  <c r="I100" i="32"/>
  <c r="I101" i="32"/>
  <c r="I102" i="32"/>
  <c r="I103" i="32"/>
  <c r="I104" i="32"/>
  <c r="I105" i="32"/>
  <c r="I106" i="32"/>
  <c r="I107" i="32"/>
  <c r="I108" i="32"/>
  <c r="I109" i="32"/>
  <c r="I110" i="32"/>
  <c r="I111" i="32"/>
  <c r="I112" i="32"/>
  <c r="I113" i="32"/>
  <c r="I114" i="32"/>
  <c r="I115" i="32"/>
  <c r="I116" i="32"/>
  <c r="I117" i="32"/>
  <c r="I118" i="32"/>
  <c r="I119" i="32"/>
  <c r="I120" i="32"/>
  <c r="I121" i="32"/>
  <c r="I122" i="32"/>
  <c r="I123" i="32"/>
  <c r="I124" i="32"/>
  <c r="I125" i="32"/>
  <c r="I126" i="32"/>
  <c r="I127" i="32"/>
  <c r="I128" i="32"/>
  <c r="I129" i="32"/>
  <c r="I130" i="32"/>
  <c r="I131" i="32"/>
  <c r="I132" i="32"/>
  <c r="I133" i="32"/>
  <c r="I134" i="32"/>
  <c r="I135" i="32"/>
  <c r="I136" i="32"/>
  <c r="I137" i="32"/>
  <c r="I138" i="32"/>
  <c r="I139" i="32"/>
  <c r="I140" i="32"/>
  <c r="I141" i="32"/>
  <c r="I142" i="32"/>
  <c r="I143" i="32"/>
  <c r="I144" i="32"/>
  <c r="I145" i="32"/>
  <c r="I146" i="32"/>
  <c r="I147" i="32"/>
  <c r="I148" i="32"/>
  <c r="I149" i="32"/>
  <c r="I150" i="32"/>
  <c r="I151" i="32"/>
  <c r="I152" i="32"/>
  <c r="I153" i="32"/>
  <c r="I154" i="32"/>
  <c r="I155" i="32"/>
  <c r="I156" i="32"/>
  <c r="I157" i="32"/>
  <c r="I158" i="32"/>
  <c r="I159" i="32"/>
  <c r="I160" i="32"/>
  <c r="I161" i="32"/>
  <c r="I162" i="32"/>
  <c r="I163" i="32"/>
  <c r="I164" i="32"/>
  <c r="I165" i="32"/>
  <c r="I166" i="32"/>
  <c r="I167" i="32"/>
  <c r="I168" i="32"/>
  <c r="I169" i="32"/>
  <c r="I170" i="32"/>
  <c r="I171" i="32"/>
  <c r="I172" i="32"/>
  <c r="I173" i="32"/>
  <c r="I174" i="32"/>
  <c r="I175" i="32"/>
  <c r="I176" i="32"/>
  <c r="I177" i="32"/>
  <c r="I178" i="32"/>
  <c r="I179" i="32"/>
  <c r="I180" i="32"/>
  <c r="I181" i="32"/>
  <c r="I182" i="32"/>
  <c r="I183" i="32"/>
  <c r="I184" i="32"/>
  <c r="I185" i="32"/>
  <c r="I186" i="32"/>
  <c r="I187" i="32"/>
  <c r="I188" i="32"/>
  <c r="I189" i="32"/>
  <c r="I190" i="32"/>
  <c r="I191" i="32"/>
  <c r="I192" i="32"/>
  <c r="I193" i="32"/>
  <c r="I194" i="32"/>
  <c r="I195" i="32"/>
  <c r="I196" i="32"/>
  <c r="I197" i="32"/>
  <c r="I198" i="32"/>
  <c r="I199" i="32"/>
  <c r="I200" i="32"/>
  <c r="I201" i="32"/>
  <c r="I202" i="32"/>
  <c r="I203" i="32"/>
  <c r="I204" i="32"/>
  <c r="I205" i="32"/>
  <c r="I206" i="32"/>
  <c r="I207" i="32"/>
  <c r="I208" i="32"/>
  <c r="I209" i="32"/>
  <c r="I210" i="32"/>
  <c r="I211" i="32"/>
  <c r="I212" i="32"/>
  <c r="I213" i="32"/>
  <c r="I214" i="32"/>
  <c r="I215" i="32"/>
  <c r="I216" i="32"/>
  <c r="I217" i="32"/>
  <c r="I218" i="32"/>
  <c r="I219" i="32"/>
  <c r="I220" i="32"/>
  <c r="I221" i="32"/>
  <c r="I222" i="32"/>
  <c r="I223" i="32"/>
  <c r="I224" i="32"/>
  <c r="I225" i="32"/>
  <c r="I226" i="32"/>
  <c r="I227" i="32"/>
  <c r="I228" i="32"/>
  <c r="I229" i="32"/>
  <c r="I230" i="32"/>
  <c r="I231" i="32"/>
  <c r="I232" i="32"/>
  <c r="I233" i="32"/>
  <c r="I234" i="32"/>
  <c r="I235" i="32"/>
  <c r="I236" i="32"/>
  <c r="I237" i="32"/>
  <c r="I238" i="32"/>
  <c r="I239" i="32"/>
  <c r="I240" i="32"/>
  <c r="I241" i="32"/>
  <c r="I242" i="32"/>
  <c r="I243" i="32"/>
  <c r="I244" i="32"/>
  <c r="I245" i="32"/>
  <c r="I246" i="32"/>
  <c r="I247" i="32"/>
  <c r="I248" i="32"/>
  <c r="I249" i="32"/>
  <c r="I250" i="32"/>
  <c r="I251" i="32"/>
  <c r="I252" i="32"/>
  <c r="I253" i="32"/>
  <c r="I254" i="32"/>
  <c r="I255" i="32"/>
  <c r="I256" i="32"/>
  <c r="I257" i="32"/>
  <c r="I258" i="32"/>
  <c r="I259" i="32"/>
  <c r="I260" i="32"/>
  <c r="I261" i="32"/>
  <c r="I262" i="32"/>
  <c r="I263" i="32"/>
  <c r="I264" i="32"/>
  <c r="I265" i="32"/>
  <c r="I266" i="32"/>
  <c r="I267" i="32"/>
  <c r="I268" i="32"/>
  <c r="I269" i="32"/>
  <c r="I270" i="32"/>
  <c r="I271" i="32"/>
  <c r="I272" i="32"/>
  <c r="I273" i="32"/>
  <c r="I274" i="32"/>
  <c r="I275" i="32"/>
  <c r="I276" i="32"/>
  <c r="I277" i="32"/>
  <c r="I278" i="32"/>
  <c r="I279" i="32"/>
  <c r="I280" i="32"/>
  <c r="I281" i="32"/>
  <c r="I282" i="32"/>
  <c r="I283" i="32"/>
  <c r="I284" i="32"/>
  <c r="I285" i="32"/>
  <c r="I286" i="32"/>
  <c r="I287" i="32"/>
  <c r="I288" i="32"/>
  <c r="I289" i="32"/>
  <c r="I290" i="32"/>
  <c r="I291" i="32"/>
  <c r="I292" i="32"/>
  <c r="I293" i="32"/>
  <c r="I294" i="32"/>
  <c r="I295" i="32"/>
  <c r="I296" i="32"/>
  <c r="I297" i="32"/>
  <c r="I4" i="32" l="1"/>
  <c r="M50" i="2"/>
  <c r="M60" i="2"/>
  <c r="B5" i="32"/>
  <c r="B6" i="32" s="1"/>
  <c r="B7" i="32" s="1"/>
  <c r="M95" i="2"/>
  <c r="M75" i="2"/>
  <c r="M119" i="2"/>
  <c r="H3" i="2" a="1"/>
  <c r="H4" i="2" a="1"/>
  <c r="B8" i="32" l="1"/>
  <c r="H4" i="2"/>
  <c r="H3" i="2"/>
  <c r="O4" i="32" a="1"/>
  <c r="P4" i="32" a="1"/>
  <c r="Q4" i="32" a="1"/>
  <c r="P4" i="32" l="1"/>
  <c r="Q4" i="32"/>
  <c r="O4" i="32"/>
  <c r="M146" i="2"/>
  <c r="M145" i="2"/>
  <c r="M136" i="2"/>
  <c r="M140" i="2"/>
  <c r="M135" i="2"/>
  <c r="M139" i="2"/>
  <c r="M126" i="2"/>
  <c r="M131" i="2"/>
  <c r="M125" i="2"/>
  <c r="M130" i="2"/>
  <c r="M47" i="2"/>
  <c r="M48" i="2"/>
  <c r="M56" i="2"/>
  <c r="M57" i="2"/>
  <c r="M52" i="2"/>
  <c r="M51" i="2"/>
  <c r="M71" i="2"/>
  <c r="M72" i="2"/>
  <c r="M62" i="2"/>
  <c r="M67" i="2"/>
  <c r="M61" i="2"/>
  <c r="M66" i="2"/>
  <c r="M91" i="2"/>
  <c r="M92" i="2"/>
  <c r="M87" i="2"/>
  <c r="M86" i="2"/>
  <c r="M81" i="2"/>
  <c r="M82" i="2"/>
  <c r="M76" i="2"/>
  <c r="M77" i="2"/>
  <c r="M116" i="2"/>
  <c r="B9" i="32"/>
  <c r="M115" i="2"/>
  <c r="M110" i="2"/>
  <c r="M111" i="2"/>
  <c r="M106" i="2"/>
  <c r="M105" i="2"/>
  <c r="M100" i="2"/>
  <c r="M101" i="2"/>
  <c r="M96" i="2"/>
  <c r="M97" i="2"/>
  <c r="M120" i="2"/>
  <c r="M121" i="2"/>
  <c r="H6" i="32" a="1"/>
  <c r="M8" i="32" a="1"/>
  <c r="C5" i="32" a="1"/>
  <c r="L9" i="32" a="1"/>
  <c r="D6" i="32" a="1"/>
  <c r="C6" i="32" a="1"/>
  <c r="G6" i="32" a="1"/>
  <c r="C7" i="32" a="1"/>
  <c r="O6" i="32" a="1"/>
  <c r="E7" i="32" a="1"/>
  <c r="G4" i="32" a="1"/>
  <c r="H5" i="32" a="1"/>
  <c r="C4" i="32" a="1"/>
  <c r="L7" i="32" a="1"/>
  <c r="M6" i="32" a="1"/>
  <c r="F4" i="32" a="1"/>
  <c r="N8" i="32" a="1"/>
  <c r="L5" i="32" a="1"/>
  <c r="G5" i="32" a="1"/>
  <c r="P5" i="32" a="1"/>
  <c r="D7" i="32" a="1"/>
  <c r="M5" i="32" a="1"/>
  <c r="N9" i="32" a="1"/>
  <c r="M4" i="32" a="1"/>
  <c r="N7" i="32" a="1"/>
  <c r="E9" i="32" a="1"/>
  <c r="D5" i="32" a="1"/>
  <c r="L4" i="32" a="1"/>
  <c r="E6" i="32" a="1"/>
  <c r="D4" i="32" a="1"/>
  <c r="Q8" i="32" a="1"/>
  <c r="L6" i="32" a="1"/>
  <c r="N5" i="32" a="1"/>
  <c r="E8" i="32" a="1"/>
  <c r="F8" i="32" a="1"/>
  <c r="G9" i="32" a="1"/>
  <c r="H9" i="32" a="1"/>
  <c r="P6" i="32" a="1"/>
  <c r="Q9" i="32" a="1"/>
  <c r="G7" i="32" a="1"/>
  <c r="H4" i="32" a="1"/>
  <c r="L8" i="32" a="1"/>
  <c r="G8" i="32" a="1"/>
  <c r="F9" i="32" a="1"/>
  <c r="O7" i="32" a="1"/>
  <c r="O8" i="32" a="1"/>
  <c r="C9" i="32" a="1"/>
  <c r="P7" i="32" a="1"/>
  <c r="E5" i="32" a="1"/>
  <c r="C8" i="32" a="1"/>
  <c r="Q6" i="32" a="1"/>
  <c r="F6" i="32" a="1"/>
  <c r="H8" i="32" a="1"/>
  <c r="D8" i="32" a="1"/>
  <c r="H7" i="32" a="1"/>
  <c r="O9" i="32" a="1"/>
  <c r="D9" i="32" a="1"/>
  <c r="M9" i="32" a="1"/>
  <c r="P8" i="32" a="1"/>
  <c r="N4" i="32" a="1"/>
  <c r="P9" i="32" a="1"/>
  <c r="E4" i="32" a="1"/>
  <c r="M7" i="32" a="1"/>
  <c r="O5" i="32" a="1"/>
  <c r="Q5" i="32" a="1"/>
  <c r="F5" i="32" a="1"/>
  <c r="F7" i="32" a="1"/>
  <c r="Q7" i="32" a="1"/>
  <c r="N6" i="32" a="1"/>
  <c r="L4" i="32" l="1"/>
  <c r="N4" i="32"/>
  <c r="N9" i="32"/>
  <c r="M9" i="32"/>
  <c r="P7" i="32"/>
  <c r="O9" i="32"/>
  <c r="N7" i="32"/>
  <c r="M8" i="32"/>
  <c r="P5" i="32"/>
  <c r="O8" i="32"/>
  <c r="N5" i="32"/>
  <c r="M7" i="32"/>
  <c r="M6" i="32"/>
  <c r="L9" i="32"/>
  <c r="O7" i="32"/>
  <c r="Q9" i="32"/>
  <c r="O6" i="32"/>
  <c r="M5" i="32"/>
  <c r="L8" i="32"/>
  <c r="Q8" i="32"/>
  <c r="P9" i="32"/>
  <c r="O5" i="32"/>
  <c r="L7" i="32"/>
  <c r="Q7" i="32"/>
  <c r="P8" i="32"/>
  <c r="N8" i="32"/>
  <c r="L6" i="32"/>
  <c r="Q5" i="32"/>
  <c r="Q6" i="32"/>
  <c r="P6" i="32"/>
  <c r="N6" i="32"/>
  <c r="L5" i="32"/>
  <c r="M4" i="32"/>
  <c r="H8" i="32"/>
  <c r="D5" i="32"/>
  <c r="F4" i="32"/>
  <c r="H9" i="32"/>
  <c r="D9" i="32"/>
  <c r="D7" i="32"/>
  <c r="F5" i="32"/>
  <c r="E4" i="32"/>
  <c r="C6" i="32"/>
  <c r="E5" i="32"/>
  <c r="C5" i="32"/>
  <c r="G5" i="32"/>
  <c r="D4" i="32"/>
  <c r="E6" i="32"/>
  <c r="G8" i="32"/>
  <c r="D6" i="32"/>
  <c r="E7" i="32"/>
  <c r="C8" i="32"/>
  <c r="F6" i="32"/>
  <c r="D8" i="32"/>
  <c r="E8" i="32"/>
  <c r="F9" i="32"/>
  <c r="H4" i="32"/>
  <c r="E9" i="32"/>
  <c r="F8" i="32"/>
  <c r="G4" i="32"/>
  <c r="G6" i="32"/>
  <c r="H5" i="32"/>
  <c r="C7" i="32"/>
  <c r="G7" i="32"/>
  <c r="H6" i="32"/>
  <c r="F7" i="32"/>
  <c r="C9" i="32"/>
  <c r="G9" i="32"/>
  <c r="C4" i="32"/>
  <c r="H7" i="32"/>
  <c r="B10" i="32"/>
  <c r="M10" i="32" a="1"/>
  <c r="F10" i="32" a="1"/>
  <c r="G10" i="32" a="1"/>
  <c r="C10" i="32" a="1"/>
  <c r="N10" i="32" a="1"/>
  <c r="Q10" i="32" a="1"/>
  <c r="E10" i="32" a="1"/>
  <c r="O10" i="32" a="1"/>
  <c r="L10" i="32" a="1"/>
  <c r="D10" i="32" a="1"/>
  <c r="P10" i="32" a="1"/>
  <c r="H10" i="32" a="1"/>
  <c r="O10" i="32" l="1"/>
  <c r="C10" i="32"/>
  <c r="G10" i="32"/>
  <c r="E10" i="32"/>
  <c r="N10" i="32"/>
  <c r="H10" i="32"/>
  <c r="M10" i="32"/>
  <c r="D10" i="32"/>
  <c r="Q10" i="32"/>
  <c r="P10" i="32"/>
  <c r="F10" i="32"/>
  <c r="L10" i="32"/>
  <c r="B11" i="32"/>
  <c r="E11" i="32" a="1"/>
  <c r="G11" i="32" a="1"/>
  <c r="F11" i="32" a="1"/>
  <c r="M11" i="32" a="1"/>
  <c r="N11" i="32" a="1"/>
  <c r="D11" i="32" a="1"/>
  <c r="P11" i="32" a="1"/>
  <c r="O11" i="32" a="1"/>
  <c r="Q11" i="32" a="1"/>
  <c r="L11" i="32" a="1"/>
  <c r="H11" i="32" a="1"/>
  <c r="C11" i="32" a="1"/>
  <c r="M11" i="32" l="1"/>
  <c r="F11" i="32"/>
  <c r="D11" i="32"/>
  <c r="L11" i="32"/>
  <c r="N11" i="32"/>
  <c r="C11" i="32"/>
  <c r="E11" i="32"/>
  <c r="G11" i="32"/>
  <c r="P11" i="32"/>
  <c r="O11" i="32"/>
  <c r="Q11" i="32"/>
  <c r="H11" i="32"/>
  <c r="B12" i="32"/>
  <c r="G12" i="32" a="1"/>
  <c r="C12" i="32" a="1"/>
  <c r="P12" i="32" a="1"/>
  <c r="D12" i="32" a="1"/>
  <c r="E12" i="32" a="1"/>
  <c r="O12" i="32" a="1"/>
  <c r="M12" i="32" a="1"/>
  <c r="H12" i="32" a="1"/>
  <c r="F12" i="32" a="1"/>
  <c r="L12" i="32" a="1"/>
  <c r="Q12" i="32" a="1"/>
  <c r="N12" i="32" a="1"/>
  <c r="C12" i="32" l="1"/>
  <c r="E12" i="32"/>
  <c r="D12" i="32"/>
  <c r="Q12" i="32"/>
  <c r="M12" i="32"/>
  <c r="N12" i="32"/>
  <c r="H12" i="32"/>
  <c r="F12" i="32"/>
  <c r="G12" i="32"/>
  <c r="L12" i="32"/>
  <c r="O12" i="32"/>
  <c r="P12" i="32"/>
  <c r="D13" i="32" a="1"/>
  <c r="F13" i="32" a="1"/>
  <c r="C13" i="32" a="1"/>
  <c r="P13" i="32" a="1"/>
  <c r="O13" i="32" a="1"/>
  <c r="N13" i="32" a="1"/>
  <c r="E13" i="32" a="1"/>
  <c r="M13" i="32" a="1"/>
  <c r="L13" i="32" a="1"/>
  <c r="H13" i="32" a="1"/>
  <c r="Q13" i="32" a="1"/>
  <c r="G13" i="32" a="1"/>
  <c r="H13" i="32" l="1"/>
  <c r="M13" i="32"/>
  <c r="Q13" i="32"/>
  <c r="F13" i="32"/>
  <c r="E13" i="32"/>
  <c r="L13" i="32"/>
  <c r="O13" i="32"/>
  <c r="N13" i="32"/>
  <c r="G13" i="32"/>
  <c r="P13" i="32"/>
  <c r="D13" i="32"/>
  <c r="C13" i="32"/>
  <c r="B14" i="32"/>
  <c r="F14" i="32" a="1"/>
  <c r="D14" i="32" a="1"/>
  <c r="O14" i="32" a="1"/>
  <c r="M14" i="32" a="1"/>
  <c r="N14" i="32" a="1"/>
  <c r="H14" i="32" a="1"/>
  <c r="P14" i="32" a="1"/>
  <c r="G14" i="32" a="1"/>
  <c r="C14" i="32" a="1"/>
  <c r="Q14" i="32" a="1"/>
  <c r="E14" i="32" a="1"/>
  <c r="L14" i="32" a="1"/>
  <c r="N14" i="32" l="1"/>
  <c r="P14" i="32"/>
  <c r="O14" i="32"/>
  <c r="G14" i="32"/>
  <c r="F14" i="32"/>
  <c r="E14" i="32"/>
  <c r="Q14" i="32"/>
  <c r="H14" i="32"/>
  <c r="D14" i="32"/>
  <c r="M14" i="32"/>
  <c r="L14" i="32"/>
  <c r="C14" i="32"/>
  <c r="B15" i="32"/>
  <c r="L15" i="32" a="1"/>
  <c r="C15" i="32" a="1"/>
  <c r="O15" i="32" a="1"/>
  <c r="E15" i="32" a="1"/>
  <c r="N15" i="32" a="1"/>
  <c r="D15" i="32" a="1"/>
  <c r="G15" i="32" a="1"/>
  <c r="H15" i="32" a="1"/>
  <c r="Q15" i="32" a="1"/>
  <c r="M15" i="32" a="1"/>
  <c r="F15" i="32" a="1"/>
  <c r="P15" i="32" a="1"/>
  <c r="C15" i="32" l="1"/>
  <c r="O15" i="32"/>
  <c r="N15" i="32"/>
  <c r="F15" i="32"/>
  <c r="E15" i="32"/>
  <c r="G15" i="32"/>
  <c r="H15" i="32"/>
  <c r="P15" i="32"/>
  <c r="Q15" i="32"/>
  <c r="L15" i="32"/>
  <c r="M15" i="32"/>
  <c r="D15" i="32"/>
  <c r="B16" i="32"/>
  <c r="E16" i="32" a="1"/>
  <c r="P16" i="32" a="1"/>
  <c r="C16" i="32" a="1"/>
  <c r="O16" i="32" a="1"/>
  <c r="L16" i="32" a="1"/>
  <c r="F16" i="32" a="1"/>
  <c r="G16" i="32" a="1"/>
  <c r="H16" i="32" a="1"/>
  <c r="D16" i="32" a="1"/>
  <c r="M16" i="32" a="1"/>
  <c r="N16" i="32" a="1"/>
  <c r="Q16" i="32" a="1"/>
  <c r="C16" i="32" l="1"/>
  <c r="D16" i="32"/>
  <c r="M16" i="32"/>
  <c r="G16" i="32"/>
  <c r="F16" i="32"/>
  <c r="O16" i="32"/>
  <c r="H16" i="32"/>
  <c r="E16" i="32"/>
  <c r="N16" i="32"/>
  <c r="Q16" i="32"/>
  <c r="L16" i="32"/>
  <c r="P16" i="32"/>
  <c r="B17" i="32"/>
  <c r="A598" i="32"/>
  <c r="C598" i="32"/>
  <c r="D598" i="32"/>
  <c r="E598" i="32"/>
  <c r="F598" i="32"/>
  <c r="R52" i="32"/>
  <c r="R53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4" i="32"/>
  <c r="N17" i="32" a="1"/>
  <c r="F17" i="32" a="1"/>
  <c r="E17" i="32" a="1"/>
  <c r="L17" i="32" a="1"/>
  <c r="O17" i="32" a="1"/>
  <c r="H17" i="32" a="1"/>
  <c r="G17" i="32" a="1"/>
  <c r="D17" i="32" a="1"/>
  <c r="Q17" i="32" a="1"/>
  <c r="P17" i="32" a="1"/>
  <c r="C17" i="32" a="1"/>
  <c r="M17" i="32" a="1"/>
  <c r="D17" i="32" l="1"/>
  <c r="L17" i="32"/>
  <c r="E17" i="32"/>
  <c r="C17" i="32"/>
  <c r="N17" i="32"/>
  <c r="H17" i="32"/>
  <c r="O17" i="32"/>
  <c r="Q17" i="32"/>
  <c r="P17" i="32"/>
  <c r="G17" i="32"/>
  <c r="M17" i="32"/>
  <c r="F17" i="32"/>
  <c r="B18" i="32"/>
  <c r="R36" i="32"/>
  <c r="Q18" i="32" a="1"/>
  <c r="N18" i="32" a="1"/>
  <c r="C18" i="32" a="1"/>
  <c r="P18" i="32" a="1"/>
  <c r="E18" i="32" a="1"/>
  <c r="O18" i="32" a="1"/>
  <c r="M18" i="32" a="1"/>
  <c r="H18" i="32" a="1"/>
  <c r="D18" i="32" a="1"/>
  <c r="F18" i="32" a="1"/>
  <c r="L18" i="32" a="1"/>
  <c r="G18" i="32" a="1"/>
  <c r="O18" i="32" l="1"/>
  <c r="N18" i="32"/>
  <c r="C18" i="32"/>
  <c r="L18" i="32"/>
  <c r="M18" i="32"/>
  <c r="H18" i="32"/>
  <c r="P18" i="32"/>
  <c r="E18" i="32"/>
  <c r="D18" i="32"/>
  <c r="G18" i="32"/>
  <c r="F18" i="32"/>
  <c r="Q18" i="32"/>
  <c r="B19" i="32"/>
  <c r="L311" i="32"/>
  <c r="M311" i="32"/>
  <c r="N311" i="32"/>
  <c r="O311" i="32"/>
  <c r="P311" i="32"/>
  <c r="L312" i="32"/>
  <c r="M312" i="32"/>
  <c r="N312" i="32"/>
  <c r="O312" i="32"/>
  <c r="P312" i="32"/>
  <c r="L313" i="32"/>
  <c r="M313" i="32"/>
  <c r="N313" i="32"/>
  <c r="O313" i="32"/>
  <c r="P313" i="32"/>
  <c r="L314" i="32"/>
  <c r="M314" i="32"/>
  <c r="N314" i="32"/>
  <c r="O314" i="32"/>
  <c r="P314" i="32"/>
  <c r="L315" i="32"/>
  <c r="M315" i="32"/>
  <c r="N315" i="32"/>
  <c r="O315" i="32"/>
  <c r="P315" i="32"/>
  <c r="L316" i="32"/>
  <c r="M316" i="32"/>
  <c r="N316" i="32"/>
  <c r="O316" i="32"/>
  <c r="P316" i="32"/>
  <c r="L317" i="32"/>
  <c r="M317" i="32"/>
  <c r="N317" i="32"/>
  <c r="O317" i="32"/>
  <c r="P317" i="32"/>
  <c r="L318" i="32"/>
  <c r="M318" i="32"/>
  <c r="N318" i="32"/>
  <c r="O318" i="32"/>
  <c r="P318" i="32"/>
  <c r="L319" i="32"/>
  <c r="M319" i="32"/>
  <c r="N319" i="32"/>
  <c r="O319" i="32"/>
  <c r="P319" i="32"/>
  <c r="L320" i="32"/>
  <c r="M320" i="32"/>
  <c r="N320" i="32"/>
  <c r="O320" i="32"/>
  <c r="P320" i="32"/>
  <c r="L321" i="32"/>
  <c r="M321" i="32"/>
  <c r="N321" i="32"/>
  <c r="O321" i="32"/>
  <c r="P321" i="32"/>
  <c r="L322" i="32"/>
  <c r="M322" i="32"/>
  <c r="N322" i="32"/>
  <c r="O322" i="32"/>
  <c r="P322" i="32"/>
  <c r="L323" i="32"/>
  <c r="M323" i="32"/>
  <c r="N323" i="32"/>
  <c r="O323" i="32"/>
  <c r="P323" i="32"/>
  <c r="L324" i="32"/>
  <c r="M324" i="32"/>
  <c r="N324" i="32"/>
  <c r="O324" i="32"/>
  <c r="P324" i="32"/>
  <c r="L325" i="32"/>
  <c r="M325" i="32"/>
  <c r="N325" i="32"/>
  <c r="O325" i="32"/>
  <c r="P325" i="32"/>
  <c r="L326" i="32"/>
  <c r="M326" i="32"/>
  <c r="N326" i="32"/>
  <c r="O326" i="32"/>
  <c r="P326" i="32"/>
  <c r="L327" i="32"/>
  <c r="M327" i="32"/>
  <c r="N327" i="32"/>
  <c r="O327" i="32"/>
  <c r="P327" i="32"/>
  <c r="L328" i="32"/>
  <c r="M328" i="32"/>
  <c r="N328" i="32"/>
  <c r="O328" i="32"/>
  <c r="P328" i="32"/>
  <c r="L329" i="32"/>
  <c r="M329" i="32"/>
  <c r="N329" i="32"/>
  <c r="O329" i="32"/>
  <c r="P329" i="32"/>
  <c r="L330" i="32"/>
  <c r="M330" i="32"/>
  <c r="N330" i="32"/>
  <c r="O330" i="32"/>
  <c r="P330" i="32"/>
  <c r="L331" i="32"/>
  <c r="M331" i="32"/>
  <c r="N331" i="32"/>
  <c r="O331" i="32"/>
  <c r="P331" i="32"/>
  <c r="L332" i="32"/>
  <c r="M332" i="32"/>
  <c r="N332" i="32"/>
  <c r="O332" i="32"/>
  <c r="P332" i="32"/>
  <c r="L333" i="32"/>
  <c r="M333" i="32"/>
  <c r="N333" i="32"/>
  <c r="O333" i="32"/>
  <c r="P333" i="32"/>
  <c r="L334" i="32"/>
  <c r="M334" i="32"/>
  <c r="N334" i="32"/>
  <c r="O334" i="32"/>
  <c r="P334" i="32"/>
  <c r="L335" i="32"/>
  <c r="M335" i="32"/>
  <c r="N335" i="32"/>
  <c r="O335" i="32"/>
  <c r="P335" i="32"/>
  <c r="L336" i="32"/>
  <c r="M336" i="32"/>
  <c r="N336" i="32"/>
  <c r="O336" i="32"/>
  <c r="P336" i="32"/>
  <c r="L337" i="32"/>
  <c r="M337" i="32"/>
  <c r="N337" i="32"/>
  <c r="O337" i="32"/>
  <c r="P337" i="32"/>
  <c r="L338" i="32"/>
  <c r="M338" i="32"/>
  <c r="N338" i="32"/>
  <c r="O338" i="32"/>
  <c r="P338" i="32"/>
  <c r="L339" i="32"/>
  <c r="M339" i="32"/>
  <c r="N339" i="32"/>
  <c r="O339" i="32"/>
  <c r="P339" i="32"/>
  <c r="L340" i="32"/>
  <c r="M340" i="32"/>
  <c r="N340" i="32"/>
  <c r="O340" i="32"/>
  <c r="P340" i="32"/>
  <c r="L341" i="32"/>
  <c r="M341" i="32"/>
  <c r="N341" i="32"/>
  <c r="O341" i="32"/>
  <c r="P341" i="32"/>
  <c r="L342" i="32"/>
  <c r="M342" i="32"/>
  <c r="N342" i="32"/>
  <c r="O342" i="32"/>
  <c r="P342" i="32"/>
  <c r="L343" i="32"/>
  <c r="M343" i="32"/>
  <c r="N343" i="32"/>
  <c r="O343" i="32"/>
  <c r="P343" i="32"/>
  <c r="L344" i="32"/>
  <c r="M344" i="32"/>
  <c r="N344" i="32"/>
  <c r="O344" i="32"/>
  <c r="P344" i="32"/>
  <c r="L345" i="32"/>
  <c r="M345" i="32"/>
  <c r="N345" i="32"/>
  <c r="O345" i="32"/>
  <c r="P345" i="32"/>
  <c r="L346" i="32"/>
  <c r="M346" i="32"/>
  <c r="N346" i="32"/>
  <c r="O346" i="32"/>
  <c r="P346" i="32"/>
  <c r="L347" i="32"/>
  <c r="M347" i="32"/>
  <c r="N347" i="32"/>
  <c r="O347" i="32"/>
  <c r="P347" i="32"/>
  <c r="L348" i="32"/>
  <c r="M348" i="32"/>
  <c r="N348" i="32"/>
  <c r="O348" i="32"/>
  <c r="P348" i="32"/>
  <c r="L349" i="32"/>
  <c r="M349" i="32"/>
  <c r="N349" i="32"/>
  <c r="O349" i="32"/>
  <c r="P349" i="32"/>
  <c r="L350" i="32"/>
  <c r="M350" i="32"/>
  <c r="N350" i="32"/>
  <c r="O350" i="32"/>
  <c r="P350" i="32"/>
  <c r="L351" i="32"/>
  <c r="M351" i="32"/>
  <c r="N351" i="32"/>
  <c r="O351" i="32"/>
  <c r="P351" i="32"/>
  <c r="L352" i="32"/>
  <c r="M352" i="32"/>
  <c r="N352" i="32"/>
  <c r="O352" i="32"/>
  <c r="P352" i="32"/>
  <c r="L353" i="32"/>
  <c r="M353" i="32"/>
  <c r="N353" i="32"/>
  <c r="O353" i="32"/>
  <c r="P353" i="32"/>
  <c r="L354" i="32"/>
  <c r="M354" i="32"/>
  <c r="N354" i="32"/>
  <c r="O354" i="32"/>
  <c r="P354" i="32"/>
  <c r="L355" i="32"/>
  <c r="M355" i="32"/>
  <c r="N355" i="32"/>
  <c r="O355" i="32"/>
  <c r="P355" i="32"/>
  <c r="L356" i="32"/>
  <c r="M356" i="32"/>
  <c r="N356" i="32"/>
  <c r="O356" i="32"/>
  <c r="P356" i="32"/>
  <c r="L357" i="32"/>
  <c r="M357" i="32"/>
  <c r="N357" i="32"/>
  <c r="O357" i="32"/>
  <c r="P357" i="32"/>
  <c r="L358" i="32"/>
  <c r="M358" i="32"/>
  <c r="N358" i="32"/>
  <c r="O358" i="32"/>
  <c r="P358" i="32"/>
  <c r="L359" i="32"/>
  <c r="M359" i="32"/>
  <c r="N359" i="32"/>
  <c r="O359" i="32"/>
  <c r="P359" i="32"/>
  <c r="L360" i="32"/>
  <c r="M360" i="32"/>
  <c r="N360" i="32"/>
  <c r="O360" i="32"/>
  <c r="P360" i="32"/>
  <c r="L361" i="32"/>
  <c r="M361" i="32"/>
  <c r="N361" i="32"/>
  <c r="O361" i="32"/>
  <c r="P361" i="32"/>
  <c r="L362" i="32"/>
  <c r="M362" i="32"/>
  <c r="N362" i="32"/>
  <c r="O362" i="32"/>
  <c r="P362" i="32"/>
  <c r="L363" i="32"/>
  <c r="M363" i="32"/>
  <c r="N363" i="32"/>
  <c r="O363" i="32"/>
  <c r="P363" i="32"/>
  <c r="L364" i="32"/>
  <c r="M364" i="32"/>
  <c r="N364" i="32"/>
  <c r="O364" i="32"/>
  <c r="P364" i="32"/>
  <c r="L365" i="32"/>
  <c r="M365" i="32"/>
  <c r="N365" i="32"/>
  <c r="O365" i="32"/>
  <c r="P365" i="32"/>
  <c r="L366" i="32"/>
  <c r="M366" i="32"/>
  <c r="N366" i="32"/>
  <c r="O366" i="32"/>
  <c r="P366" i="32"/>
  <c r="L367" i="32"/>
  <c r="M367" i="32"/>
  <c r="N367" i="32"/>
  <c r="O367" i="32"/>
  <c r="P367" i="32"/>
  <c r="L368" i="32"/>
  <c r="M368" i="32"/>
  <c r="N368" i="32"/>
  <c r="O368" i="32"/>
  <c r="P368" i="32"/>
  <c r="L369" i="32"/>
  <c r="M369" i="32"/>
  <c r="N369" i="32"/>
  <c r="O369" i="32"/>
  <c r="P369" i="32"/>
  <c r="L370" i="32"/>
  <c r="M370" i="32"/>
  <c r="N370" i="32"/>
  <c r="O370" i="32"/>
  <c r="P370" i="32"/>
  <c r="L371" i="32"/>
  <c r="M371" i="32"/>
  <c r="N371" i="32"/>
  <c r="O371" i="32"/>
  <c r="P371" i="32"/>
  <c r="L372" i="32"/>
  <c r="M372" i="32"/>
  <c r="N372" i="32"/>
  <c r="O372" i="32"/>
  <c r="P372" i="32"/>
  <c r="L373" i="32"/>
  <c r="M373" i="32"/>
  <c r="N373" i="32"/>
  <c r="O373" i="32"/>
  <c r="P373" i="32"/>
  <c r="L374" i="32"/>
  <c r="M374" i="32"/>
  <c r="N374" i="32"/>
  <c r="O374" i="32"/>
  <c r="P374" i="32"/>
  <c r="L375" i="32"/>
  <c r="M375" i="32"/>
  <c r="N375" i="32"/>
  <c r="O375" i="32"/>
  <c r="P375" i="32"/>
  <c r="L376" i="32"/>
  <c r="M376" i="32"/>
  <c r="N376" i="32"/>
  <c r="O376" i="32"/>
  <c r="P376" i="32"/>
  <c r="L377" i="32"/>
  <c r="M377" i="32"/>
  <c r="N377" i="32"/>
  <c r="O377" i="32"/>
  <c r="P377" i="32"/>
  <c r="L378" i="32"/>
  <c r="M378" i="32"/>
  <c r="N378" i="32"/>
  <c r="O378" i="32"/>
  <c r="P378" i="32"/>
  <c r="L379" i="32"/>
  <c r="M379" i="32"/>
  <c r="N379" i="32"/>
  <c r="O379" i="32"/>
  <c r="P379" i="32"/>
  <c r="L380" i="32"/>
  <c r="M380" i="32"/>
  <c r="N380" i="32"/>
  <c r="O380" i="32"/>
  <c r="P380" i="32"/>
  <c r="L381" i="32"/>
  <c r="M381" i="32"/>
  <c r="N381" i="32"/>
  <c r="O381" i="32"/>
  <c r="P381" i="32"/>
  <c r="L382" i="32"/>
  <c r="M382" i="32"/>
  <c r="N382" i="32"/>
  <c r="O382" i="32"/>
  <c r="P382" i="32"/>
  <c r="L383" i="32"/>
  <c r="M383" i="32"/>
  <c r="N383" i="32"/>
  <c r="O383" i="32"/>
  <c r="P383" i="32"/>
  <c r="L384" i="32"/>
  <c r="M384" i="32"/>
  <c r="N384" i="32"/>
  <c r="O384" i="32"/>
  <c r="P384" i="32"/>
  <c r="L385" i="32"/>
  <c r="M385" i="32"/>
  <c r="N385" i="32"/>
  <c r="O385" i="32"/>
  <c r="P385" i="32"/>
  <c r="L386" i="32"/>
  <c r="M386" i="32"/>
  <c r="N386" i="32"/>
  <c r="O386" i="32"/>
  <c r="P386" i="32"/>
  <c r="L387" i="32"/>
  <c r="M387" i="32"/>
  <c r="N387" i="32"/>
  <c r="O387" i="32"/>
  <c r="P387" i="32"/>
  <c r="L388" i="32"/>
  <c r="M388" i="32"/>
  <c r="N388" i="32"/>
  <c r="O388" i="32"/>
  <c r="P388" i="32"/>
  <c r="L389" i="32"/>
  <c r="M389" i="32"/>
  <c r="N389" i="32"/>
  <c r="O389" i="32"/>
  <c r="P389" i="32"/>
  <c r="L390" i="32"/>
  <c r="M390" i="32"/>
  <c r="N390" i="32"/>
  <c r="O390" i="32"/>
  <c r="P390" i="32"/>
  <c r="L391" i="32"/>
  <c r="M391" i="32"/>
  <c r="N391" i="32"/>
  <c r="O391" i="32"/>
  <c r="P391" i="32"/>
  <c r="L392" i="32"/>
  <c r="M392" i="32"/>
  <c r="N392" i="32"/>
  <c r="O392" i="32"/>
  <c r="P392" i="32"/>
  <c r="L393" i="32"/>
  <c r="M393" i="32"/>
  <c r="N393" i="32"/>
  <c r="O393" i="32"/>
  <c r="P393" i="32"/>
  <c r="L394" i="32"/>
  <c r="M394" i="32"/>
  <c r="N394" i="32"/>
  <c r="O394" i="32"/>
  <c r="P394" i="32"/>
  <c r="L395" i="32"/>
  <c r="M395" i="32"/>
  <c r="N395" i="32"/>
  <c r="O395" i="32"/>
  <c r="P395" i="32"/>
  <c r="L396" i="32"/>
  <c r="M396" i="32"/>
  <c r="N396" i="32"/>
  <c r="O396" i="32"/>
  <c r="P396" i="32"/>
  <c r="L397" i="32"/>
  <c r="M397" i="32"/>
  <c r="N397" i="32"/>
  <c r="O397" i="32"/>
  <c r="P397" i="32"/>
  <c r="L398" i="32"/>
  <c r="M398" i="32"/>
  <c r="N398" i="32"/>
  <c r="O398" i="32"/>
  <c r="P398" i="32"/>
  <c r="L399" i="32"/>
  <c r="M399" i="32"/>
  <c r="N399" i="32"/>
  <c r="O399" i="32"/>
  <c r="P399" i="32"/>
  <c r="L400" i="32"/>
  <c r="M400" i="32"/>
  <c r="N400" i="32"/>
  <c r="O400" i="32"/>
  <c r="P400" i="32"/>
  <c r="L401" i="32"/>
  <c r="M401" i="32"/>
  <c r="N401" i="32"/>
  <c r="O401" i="32"/>
  <c r="P401" i="32"/>
  <c r="L402" i="32"/>
  <c r="M402" i="32"/>
  <c r="N402" i="32"/>
  <c r="O402" i="32"/>
  <c r="P402" i="32"/>
  <c r="L403" i="32"/>
  <c r="M403" i="32"/>
  <c r="N403" i="32"/>
  <c r="O403" i="32"/>
  <c r="P403" i="32"/>
  <c r="L404" i="32"/>
  <c r="M404" i="32"/>
  <c r="N404" i="32"/>
  <c r="O404" i="32"/>
  <c r="P404" i="32"/>
  <c r="L405" i="32"/>
  <c r="M405" i="32"/>
  <c r="N405" i="32"/>
  <c r="O405" i="32"/>
  <c r="P405" i="32"/>
  <c r="L406" i="32"/>
  <c r="M406" i="32"/>
  <c r="N406" i="32"/>
  <c r="O406" i="32"/>
  <c r="P406" i="32"/>
  <c r="L407" i="32"/>
  <c r="M407" i="32"/>
  <c r="N407" i="32"/>
  <c r="O407" i="32"/>
  <c r="P407" i="32"/>
  <c r="L408" i="32"/>
  <c r="M408" i="32"/>
  <c r="N408" i="32"/>
  <c r="O408" i="32"/>
  <c r="P408" i="32"/>
  <c r="L409" i="32"/>
  <c r="M409" i="32"/>
  <c r="N409" i="32"/>
  <c r="O409" i="32"/>
  <c r="P409" i="32"/>
  <c r="L410" i="32"/>
  <c r="M410" i="32"/>
  <c r="N410" i="32"/>
  <c r="O410" i="32"/>
  <c r="P410" i="32"/>
  <c r="L411" i="32"/>
  <c r="M411" i="32"/>
  <c r="N411" i="32"/>
  <c r="O411" i="32"/>
  <c r="P411" i="32"/>
  <c r="L412" i="32"/>
  <c r="M412" i="32"/>
  <c r="N412" i="32"/>
  <c r="O412" i="32"/>
  <c r="P412" i="32"/>
  <c r="L413" i="32"/>
  <c r="M413" i="32"/>
  <c r="N413" i="32"/>
  <c r="O413" i="32"/>
  <c r="P413" i="32"/>
  <c r="L414" i="32"/>
  <c r="M414" i="32"/>
  <c r="N414" i="32"/>
  <c r="O414" i="32"/>
  <c r="P414" i="32"/>
  <c r="L415" i="32"/>
  <c r="M415" i="32"/>
  <c r="N415" i="32"/>
  <c r="O415" i="32"/>
  <c r="P415" i="32"/>
  <c r="L416" i="32"/>
  <c r="M416" i="32"/>
  <c r="N416" i="32"/>
  <c r="O416" i="32"/>
  <c r="P416" i="32"/>
  <c r="L417" i="32"/>
  <c r="M417" i="32"/>
  <c r="N417" i="32"/>
  <c r="O417" i="32"/>
  <c r="P417" i="32"/>
  <c r="L418" i="32"/>
  <c r="M418" i="32"/>
  <c r="N418" i="32"/>
  <c r="O418" i="32"/>
  <c r="P418" i="32"/>
  <c r="L419" i="32"/>
  <c r="M419" i="32"/>
  <c r="N419" i="32"/>
  <c r="O419" i="32"/>
  <c r="P419" i="32"/>
  <c r="L420" i="32"/>
  <c r="M420" i="32"/>
  <c r="N420" i="32"/>
  <c r="O420" i="32"/>
  <c r="P420" i="32"/>
  <c r="L421" i="32"/>
  <c r="M421" i="32"/>
  <c r="N421" i="32"/>
  <c r="O421" i="32"/>
  <c r="P421" i="32"/>
  <c r="L422" i="32"/>
  <c r="M422" i="32"/>
  <c r="N422" i="32"/>
  <c r="O422" i="32"/>
  <c r="P422" i="32"/>
  <c r="L423" i="32"/>
  <c r="M423" i="32"/>
  <c r="N423" i="32"/>
  <c r="O423" i="32"/>
  <c r="P423" i="32"/>
  <c r="L424" i="32"/>
  <c r="M424" i="32"/>
  <c r="N424" i="32"/>
  <c r="O424" i="32"/>
  <c r="P424" i="32"/>
  <c r="L425" i="32"/>
  <c r="M425" i="32"/>
  <c r="N425" i="32"/>
  <c r="O425" i="32"/>
  <c r="P425" i="32"/>
  <c r="L426" i="32"/>
  <c r="M426" i="32"/>
  <c r="N426" i="32"/>
  <c r="O426" i="32"/>
  <c r="P426" i="32"/>
  <c r="L427" i="32"/>
  <c r="M427" i="32"/>
  <c r="N427" i="32"/>
  <c r="O427" i="32"/>
  <c r="P427" i="32"/>
  <c r="L428" i="32"/>
  <c r="M428" i="32"/>
  <c r="N428" i="32"/>
  <c r="O428" i="32"/>
  <c r="P428" i="32"/>
  <c r="L429" i="32"/>
  <c r="M429" i="32"/>
  <c r="N429" i="32"/>
  <c r="O429" i="32"/>
  <c r="P429" i="32"/>
  <c r="L430" i="32"/>
  <c r="M430" i="32"/>
  <c r="N430" i="32"/>
  <c r="O430" i="32"/>
  <c r="P430" i="32"/>
  <c r="L431" i="32"/>
  <c r="M431" i="32"/>
  <c r="N431" i="32"/>
  <c r="O431" i="32"/>
  <c r="P431" i="32"/>
  <c r="L432" i="32"/>
  <c r="M432" i="32"/>
  <c r="N432" i="32"/>
  <c r="O432" i="32"/>
  <c r="P432" i="32"/>
  <c r="L433" i="32"/>
  <c r="M433" i="32"/>
  <c r="N433" i="32"/>
  <c r="O433" i="32"/>
  <c r="P433" i="32"/>
  <c r="L434" i="32"/>
  <c r="M434" i="32"/>
  <c r="N434" i="32"/>
  <c r="O434" i="32"/>
  <c r="P434" i="32"/>
  <c r="L435" i="32"/>
  <c r="M435" i="32"/>
  <c r="N435" i="32"/>
  <c r="O435" i="32"/>
  <c r="P435" i="32"/>
  <c r="L436" i="32"/>
  <c r="M436" i="32"/>
  <c r="N436" i="32"/>
  <c r="O436" i="32"/>
  <c r="P436" i="32"/>
  <c r="L437" i="32"/>
  <c r="M437" i="32"/>
  <c r="N437" i="32"/>
  <c r="O437" i="32"/>
  <c r="P437" i="32"/>
  <c r="L438" i="32"/>
  <c r="M438" i="32"/>
  <c r="N438" i="32"/>
  <c r="O438" i="32"/>
  <c r="P438" i="32"/>
  <c r="L439" i="32"/>
  <c r="M439" i="32"/>
  <c r="N439" i="32"/>
  <c r="O439" i="32"/>
  <c r="P439" i="32"/>
  <c r="L440" i="32"/>
  <c r="M440" i="32"/>
  <c r="N440" i="32"/>
  <c r="O440" i="32"/>
  <c r="P440" i="32"/>
  <c r="L441" i="32"/>
  <c r="M441" i="32"/>
  <c r="N441" i="32"/>
  <c r="O441" i="32"/>
  <c r="P441" i="32"/>
  <c r="L442" i="32"/>
  <c r="M442" i="32"/>
  <c r="N442" i="32"/>
  <c r="O442" i="32"/>
  <c r="P442" i="32"/>
  <c r="L443" i="32"/>
  <c r="M443" i="32"/>
  <c r="N443" i="32"/>
  <c r="O443" i="32"/>
  <c r="P443" i="32"/>
  <c r="L444" i="32"/>
  <c r="M444" i="32"/>
  <c r="N444" i="32"/>
  <c r="O444" i="32"/>
  <c r="P444" i="32"/>
  <c r="L445" i="32"/>
  <c r="M445" i="32"/>
  <c r="N445" i="32"/>
  <c r="O445" i="32"/>
  <c r="P445" i="32"/>
  <c r="L446" i="32"/>
  <c r="M446" i="32"/>
  <c r="N446" i="32"/>
  <c r="O446" i="32"/>
  <c r="P446" i="32"/>
  <c r="L447" i="32"/>
  <c r="M447" i="32"/>
  <c r="N447" i="32"/>
  <c r="O447" i="32"/>
  <c r="P447" i="32"/>
  <c r="L448" i="32"/>
  <c r="M448" i="32"/>
  <c r="N448" i="32"/>
  <c r="O448" i="32"/>
  <c r="P448" i="32"/>
  <c r="L449" i="32"/>
  <c r="M449" i="32"/>
  <c r="N449" i="32"/>
  <c r="O449" i="32"/>
  <c r="P449" i="32"/>
  <c r="L450" i="32"/>
  <c r="M450" i="32"/>
  <c r="N450" i="32"/>
  <c r="O450" i="32"/>
  <c r="P450" i="32"/>
  <c r="L451" i="32"/>
  <c r="M451" i="32"/>
  <c r="N451" i="32"/>
  <c r="O451" i="32"/>
  <c r="P451" i="32"/>
  <c r="L452" i="32"/>
  <c r="M452" i="32"/>
  <c r="N452" i="32"/>
  <c r="O452" i="32"/>
  <c r="P452" i="32"/>
  <c r="L453" i="32"/>
  <c r="M453" i="32"/>
  <c r="N453" i="32"/>
  <c r="O453" i="32"/>
  <c r="P453" i="32"/>
  <c r="L454" i="32"/>
  <c r="M454" i="32"/>
  <c r="N454" i="32"/>
  <c r="O454" i="32"/>
  <c r="P454" i="32"/>
  <c r="L455" i="32"/>
  <c r="M455" i="32"/>
  <c r="N455" i="32"/>
  <c r="O455" i="32"/>
  <c r="P455" i="32"/>
  <c r="L456" i="32"/>
  <c r="M456" i="32"/>
  <c r="N456" i="32"/>
  <c r="O456" i="32"/>
  <c r="P456" i="32"/>
  <c r="L457" i="32"/>
  <c r="M457" i="32"/>
  <c r="N457" i="32"/>
  <c r="O457" i="32"/>
  <c r="P457" i="32"/>
  <c r="L458" i="32"/>
  <c r="M458" i="32"/>
  <c r="N458" i="32"/>
  <c r="O458" i="32"/>
  <c r="P458" i="32"/>
  <c r="L459" i="32"/>
  <c r="M459" i="32"/>
  <c r="N459" i="32"/>
  <c r="O459" i="32"/>
  <c r="P459" i="32"/>
  <c r="L460" i="32"/>
  <c r="M460" i="32"/>
  <c r="N460" i="32"/>
  <c r="O460" i="32"/>
  <c r="P460" i="32"/>
  <c r="L461" i="32"/>
  <c r="M461" i="32"/>
  <c r="N461" i="32"/>
  <c r="O461" i="32"/>
  <c r="P461" i="32"/>
  <c r="L462" i="32"/>
  <c r="M462" i="32"/>
  <c r="N462" i="32"/>
  <c r="O462" i="32"/>
  <c r="P462" i="32"/>
  <c r="L463" i="32"/>
  <c r="M463" i="32"/>
  <c r="N463" i="32"/>
  <c r="O463" i="32"/>
  <c r="P463" i="32"/>
  <c r="L464" i="32"/>
  <c r="M464" i="32"/>
  <c r="N464" i="32"/>
  <c r="O464" i="32"/>
  <c r="P464" i="32"/>
  <c r="L465" i="32"/>
  <c r="M465" i="32"/>
  <c r="N465" i="32"/>
  <c r="O465" i="32"/>
  <c r="P465" i="32"/>
  <c r="L466" i="32"/>
  <c r="M466" i="32"/>
  <c r="N466" i="32"/>
  <c r="O466" i="32"/>
  <c r="P466" i="32"/>
  <c r="L467" i="32"/>
  <c r="M467" i="32"/>
  <c r="N467" i="32"/>
  <c r="O467" i="32"/>
  <c r="P467" i="32"/>
  <c r="L468" i="32"/>
  <c r="M468" i="32"/>
  <c r="N468" i="32"/>
  <c r="O468" i="32"/>
  <c r="P468" i="32"/>
  <c r="L469" i="32"/>
  <c r="M469" i="32"/>
  <c r="N469" i="32"/>
  <c r="O469" i="32"/>
  <c r="P469" i="32"/>
  <c r="L470" i="32"/>
  <c r="M470" i="32"/>
  <c r="N470" i="32"/>
  <c r="O470" i="32"/>
  <c r="P470" i="32"/>
  <c r="L471" i="32"/>
  <c r="M471" i="32"/>
  <c r="N471" i="32"/>
  <c r="O471" i="32"/>
  <c r="P471" i="32"/>
  <c r="L472" i="32"/>
  <c r="M472" i="32"/>
  <c r="N472" i="32"/>
  <c r="O472" i="32"/>
  <c r="P472" i="32"/>
  <c r="L473" i="32"/>
  <c r="M473" i="32"/>
  <c r="N473" i="32"/>
  <c r="O473" i="32"/>
  <c r="P473" i="32"/>
  <c r="L474" i="32"/>
  <c r="M474" i="32"/>
  <c r="N474" i="32"/>
  <c r="O474" i="32"/>
  <c r="P474" i="32"/>
  <c r="L475" i="32"/>
  <c r="M475" i="32"/>
  <c r="N475" i="32"/>
  <c r="O475" i="32"/>
  <c r="P475" i="32"/>
  <c r="L476" i="32"/>
  <c r="M476" i="32"/>
  <c r="N476" i="32"/>
  <c r="O476" i="32"/>
  <c r="P476" i="32"/>
  <c r="L477" i="32"/>
  <c r="M477" i="32"/>
  <c r="N477" i="32"/>
  <c r="O477" i="32"/>
  <c r="P477" i="32"/>
  <c r="L478" i="32"/>
  <c r="M478" i="32"/>
  <c r="N478" i="32"/>
  <c r="O478" i="32"/>
  <c r="P478" i="32"/>
  <c r="L479" i="32"/>
  <c r="M479" i="32"/>
  <c r="N479" i="32"/>
  <c r="O479" i="32"/>
  <c r="P479" i="32"/>
  <c r="L480" i="32"/>
  <c r="M480" i="32"/>
  <c r="N480" i="32"/>
  <c r="O480" i="32"/>
  <c r="P480" i="32"/>
  <c r="L481" i="32"/>
  <c r="M481" i="32"/>
  <c r="N481" i="32"/>
  <c r="O481" i="32"/>
  <c r="P481" i="32"/>
  <c r="L482" i="32"/>
  <c r="M482" i="32"/>
  <c r="N482" i="32"/>
  <c r="O482" i="32"/>
  <c r="P482" i="32"/>
  <c r="L483" i="32"/>
  <c r="M483" i="32"/>
  <c r="N483" i="32"/>
  <c r="O483" i="32"/>
  <c r="P483" i="32"/>
  <c r="L484" i="32"/>
  <c r="M484" i="32"/>
  <c r="N484" i="32"/>
  <c r="O484" i="32"/>
  <c r="P484" i="32"/>
  <c r="L485" i="32"/>
  <c r="M485" i="32"/>
  <c r="N485" i="32"/>
  <c r="O485" i="32"/>
  <c r="P485" i="32"/>
  <c r="L486" i="32"/>
  <c r="M486" i="32"/>
  <c r="N486" i="32"/>
  <c r="O486" i="32"/>
  <c r="P486" i="32"/>
  <c r="L487" i="32"/>
  <c r="M487" i="32"/>
  <c r="N487" i="32"/>
  <c r="O487" i="32"/>
  <c r="P487" i="32"/>
  <c r="L488" i="32"/>
  <c r="M488" i="32"/>
  <c r="N488" i="32"/>
  <c r="O488" i="32"/>
  <c r="P488" i="32"/>
  <c r="L489" i="32"/>
  <c r="M489" i="32"/>
  <c r="N489" i="32"/>
  <c r="O489" i="32"/>
  <c r="P489" i="32"/>
  <c r="L490" i="32"/>
  <c r="M490" i="32"/>
  <c r="N490" i="32"/>
  <c r="O490" i="32"/>
  <c r="P490" i="32"/>
  <c r="L491" i="32"/>
  <c r="M491" i="32"/>
  <c r="N491" i="32"/>
  <c r="O491" i="32"/>
  <c r="P491" i="32"/>
  <c r="L492" i="32"/>
  <c r="M492" i="32"/>
  <c r="N492" i="32"/>
  <c r="O492" i="32"/>
  <c r="P492" i="32"/>
  <c r="L493" i="32"/>
  <c r="M493" i="32"/>
  <c r="N493" i="32"/>
  <c r="O493" i="32"/>
  <c r="P493" i="32"/>
  <c r="L494" i="32"/>
  <c r="M494" i="32"/>
  <c r="N494" i="32"/>
  <c r="O494" i="32"/>
  <c r="P494" i="32"/>
  <c r="L495" i="32"/>
  <c r="M495" i="32"/>
  <c r="N495" i="32"/>
  <c r="O495" i="32"/>
  <c r="P495" i="32"/>
  <c r="L496" i="32"/>
  <c r="M496" i="32"/>
  <c r="N496" i="32"/>
  <c r="O496" i="32"/>
  <c r="P496" i="32"/>
  <c r="L497" i="32"/>
  <c r="M497" i="32"/>
  <c r="N497" i="32"/>
  <c r="O497" i="32"/>
  <c r="P497" i="32"/>
  <c r="L498" i="32"/>
  <c r="M498" i="32"/>
  <c r="N498" i="32"/>
  <c r="O498" i="32"/>
  <c r="P498" i="32"/>
  <c r="L499" i="32"/>
  <c r="M499" i="32"/>
  <c r="N499" i="32"/>
  <c r="O499" i="32"/>
  <c r="P499" i="32"/>
  <c r="L500" i="32"/>
  <c r="M500" i="32"/>
  <c r="N500" i="32"/>
  <c r="O500" i="32"/>
  <c r="P500" i="32"/>
  <c r="L501" i="32"/>
  <c r="M501" i="32"/>
  <c r="N501" i="32"/>
  <c r="O501" i="32"/>
  <c r="P501" i="32"/>
  <c r="L502" i="32"/>
  <c r="M502" i="32"/>
  <c r="N502" i="32"/>
  <c r="O502" i="32"/>
  <c r="P502" i="32"/>
  <c r="L503" i="32"/>
  <c r="M503" i="32"/>
  <c r="N503" i="32"/>
  <c r="O503" i="32"/>
  <c r="P503" i="32"/>
  <c r="L504" i="32"/>
  <c r="M504" i="32"/>
  <c r="N504" i="32"/>
  <c r="O504" i="32"/>
  <c r="P504" i="32"/>
  <c r="L505" i="32"/>
  <c r="M505" i="32"/>
  <c r="N505" i="32"/>
  <c r="O505" i="32"/>
  <c r="P505" i="32"/>
  <c r="L506" i="32"/>
  <c r="M506" i="32"/>
  <c r="N506" i="32"/>
  <c r="O506" i="32"/>
  <c r="P506" i="32"/>
  <c r="L507" i="32"/>
  <c r="M507" i="32"/>
  <c r="N507" i="32"/>
  <c r="O507" i="32"/>
  <c r="P507" i="32"/>
  <c r="L508" i="32"/>
  <c r="M508" i="32"/>
  <c r="N508" i="32"/>
  <c r="O508" i="32"/>
  <c r="P508" i="32"/>
  <c r="L509" i="32"/>
  <c r="M509" i="32"/>
  <c r="N509" i="32"/>
  <c r="O509" i="32"/>
  <c r="P509" i="32"/>
  <c r="L510" i="32"/>
  <c r="M510" i="32"/>
  <c r="N510" i="32"/>
  <c r="O510" i="32"/>
  <c r="P510" i="32"/>
  <c r="L511" i="32"/>
  <c r="M511" i="32"/>
  <c r="N511" i="32"/>
  <c r="O511" i="32"/>
  <c r="P511" i="32"/>
  <c r="L512" i="32"/>
  <c r="M512" i="32"/>
  <c r="N512" i="32"/>
  <c r="O512" i="32"/>
  <c r="P512" i="32"/>
  <c r="L513" i="32"/>
  <c r="M513" i="32"/>
  <c r="N513" i="32"/>
  <c r="O513" i="32"/>
  <c r="P513" i="32"/>
  <c r="L514" i="32"/>
  <c r="M514" i="32"/>
  <c r="N514" i="32"/>
  <c r="O514" i="32"/>
  <c r="P514" i="32"/>
  <c r="L515" i="32"/>
  <c r="M515" i="32"/>
  <c r="N515" i="32"/>
  <c r="O515" i="32"/>
  <c r="P515" i="32"/>
  <c r="L516" i="32"/>
  <c r="M516" i="32"/>
  <c r="N516" i="32"/>
  <c r="O516" i="32"/>
  <c r="P516" i="32"/>
  <c r="L517" i="32"/>
  <c r="M517" i="32"/>
  <c r="N517" i="32"/>
  <c r="O517" i="32"/>
  <c r="P517" i="32"/>
  <c r="L518" i="32"/>
  <c r="M518" i="32"/>
  <c r="N518" i="32"/>
  <c r="O518" i="32"/>
  <c r="P518" i="32"/>
  <c r="L519" i="32"/>
  <c r="M519" i="32"/>
  <c r="N519" i="32"/>
  <c r="O519" i="32"/>
  <c r="P519" i="32"/>
  <c r="L520" i="32"/>
  <c r="M520" i="32"/>
  <c r="N520" i="32"/>
  <c r="O520" i="32"/>
  <c r="P520" i="32"/>
  <c r="L521" i="32"/>
  <c r="M521" i="32"/>
  <c r="N521" i="32"/>
  <c r="O521" i="32"/>
  <c r="P521" i="32"/>
  <c r="L522" i="32"/>
  <c r="M522" i="32"/>
  <c r="N522" i="32"/>
  <c r="O522" i="32"/>
  <c r="P522" i="32"/>
  <c r="L523" i="32"/>
  <c r="M523" i="32"/>
  <c r="N523" i="32"/>
  <c r="O523" i="32"/>
  <c r="P523" i="32"/>
  <c r="L524" i="32"/>
  <c r="M524" i="32"/>
  <c r="N524" i="32"/>
  <c r="O524" i="32"/>
  <c r="P524" i="32"/>
  <c r="L525" i="32"/>
  <c r="M525" i="32"/>
  <c r="N525" i="32"/>
  <c r="O525" i="32"/>
  <c r="P525" i="32"/>
  <c r="L526" i="32"/>
  <c r="M526" i="32"/>
  <c r="N526" i="32"/>
  <c r="O526" i="32"/>
  <c r="P526" i="32"/>
  <c r="L527" i="32"/>
  <c r="M527" i="32"/>
  <c r="N527" i="32"/>
  <c r="O527" i="32"/>
  <c r="P527" i="32"/>
  <c r="L528" i="32"/>
  <c r="M528" i="32"/>
  <c r="N528" i="32"/>
  <c r="O528" i="32"/>
  <c r="P528" i="32"/>
  <c r="L529" i="32"/>
  <c r="M529" i="32"/>
  <c r="N529" i="32"/>
  <c r="O529" i="32"/>
  <c r="P529" i="32"/>
  <c r="L530" i="32"/>
  <c r="M530" i="32"/>
  <c r="N530" i="32"/>
  <c r="O530" i="32"/>
  <c r="P530" i="32"/>
  <c r="L531" i="32"/>
  <c r="M531" i="32"/>
  <c r="N531" i="32"/>
  <c r="O531" i="32"/>
  <c r="P531" i="32"/>
  <c r="L532" i="32"/>
  <c r="M532" i="32"/>
  <c r="N532" i="32"/>
  <c r="O532" i="32"/>
  <c r="P532" i="32"/>
  <c r="L533" i="32"/>
  <c r="M533" i="32"/>
  <c r="N533" i="32"/>
  <c r="O533" i="32"/>
  <c r="P533" i="32"/>
  <c r="L534" i="32"/>
  <c r="M534" i="32"/>
  <c r="N534" i="32"/>
  <c r="O534" i="32"/>
  <c r="P534" i="32"/>
  <c r="L535" i="32"/>
  <c r="M535" i="32"/>
  <c r="N535" i="32"/>
  <c r="O535" i="32"/>
  <c r="P535" i="32"/>
  <c r="L536" i="32"/>
  <c r="M536" i="32"/>
  <c r="N536" i="32"/>
  <c r="O536" i="32"/>
  <c r="P536" i="32"/>
  <c r="L537" i="32"/>
  <c r="M537" i="32"/>
  <c r="N537" i="32"/>
  <c r="O537" i="32"/>
  <c r="P537" i="32"/>
  <c r="L538" i="32"/>
  <c r="M538" i="32"/>
  <c r="N538" i="32"/>
  <c r="O538" i="32"/>
  <c r="P538" i="32"/>
  <c r="L539" i="32"/>
  <c r="M539" i="32"/>
  <c r="N539" i="32"/>
  <c r="O539" i="32"/>
  <c r="P539" i="32"/>
  <c r="L540" i="32"/>
  <c r="M540" i="32"/>
  <c r="N540" i="32"/>
  <c r="O540" i="32"/>
  <c r="P540" i="32"/>
  <c r="L541" i="32"/>
  <c r="M541" i="32"/>
  <c r="N541" i="32"/>
  <c r="O541" i="32"/>
  <c r="P541" i="32"/>
  <c r="L542" i="32"/>
  <c r="M542" i="32"/>
  <c r="N542" i="32"/>
  <c r="O542" i="32"/>
  <c r="P542" i="32"/>
  <c r="L543" i="32"/>
  <c r="M543" i="32"/>
  <c r="N543" i="32"/>
  <c r="O543" i="32"/>
  <c r="P543" i="32"/>
  <c r="L544" i="32"/>
  <c r="M544" i="32"/>
  <c r="N544" i="32"/>
  <c r="O544" i="32"/>
  <c r="P544" i="32"/>
  <c r="L545" i="32"/>
  <c r="M545" i="32"/>
  <c r="N545" i="32"/>
  <c r="O545" i="32"/>
  <c r="P545" i="32"/>
  <c r="L546" i="32"/>
  <c r="M546" i="32"/>
  <c r="N546" i="32"/>
  <c r="O546" i="32"/>
  <c r="P546" i="32"/>
  <c r="L547" i="32"/>
  <c r="M547" i="32"/>
  <c r="N547" i="32"/>
  <c r="O547" i="32"/>
  <c r="P547" i="32"/>
  <c r="L548" i="32"/>
  <c r="M548" i="32"/>
  <c r="N548" i="32"/>
  <c r="O548" i="32"/>
  <c r="P548" i="32"/>
  <c r="L549" i="32"/>
  <c r="M549" i="32"/>
  <c r="N549" i="32"/>
  <c r="O549" i="32"/>
  <c r="P549" i="32"/>
  <c r="L550" i="32"/>
  <c r="M550" i="32"/>
  <c r="N550" i="32"/>
  <c r="O550" i="32"/>
  <c r="P550" i="32"/>
  <c r="L551" i="32"/>
  <c r="M551" i="32"/>
  <c r="N551" i="32"/>
  <c r="O551" i="32"/>
  <c r="P551" i="32"/>
  <c r="L552" i="32"/>
  <c r="M552" i="32"/>
  <c r="N552" i="32"/>
  <c r="O552" i="32"/>
  <c r="P552" i="32"/>
  <c r="L553" i="32"/>
  <c r="M553" i="32"/>
  <c r="N553" i="32"/>
  <c r="O553" i="32"/>
  <c r="P553" i="32"/>
  <c r="L554" i="32"/>
  <c r="M554" i="32"/>
  <c r="N554" i="32"/>
  <c r="O554" i="32"/>
  <c r="P554" i="32"/>
  <c r="L555" i="32"/>
  <c r="M555" i="32"/>
  <c r="N555" i="32"/>
  <c r="O555" i="32"/>
  <c r="P555" i="32"/>
  <c r="L556" i="32"/>
  <c r="M556" i="32"/>
  <c r="N556" i="32"/>
  <c r="O556" i="32"/>
  <c r="P556" i="32"/>
  <c r="L557" i="32"/>
  <c r="M557" i="32"/>
  <c r="N557" i="32"/>
  <c r="O557" i="32"/>
  <c r="P557" i="32"/>
  <c r="L558" i="32"/>
  <c r="M558" i="32"/>
  <c r="N558" i="32"/>
  <c r="O558" i="32"/>
  <c r="P558" i="32"/>
  <c r="L559" i="32"/>
  <c r="M559" i="32"/>
  <c r="N559" i="32"/>
  <c r="O559" i="32"/>
  <c r="P559" i="32"/>
  <c r="L560" i="32"/>
  <c r="M560" i="32"/>
  <c r="N560" i="32"/>
  <c r="O560" i="32"/>
  <c r="P560" i="32"/>
  <c r="L561" i="32"/>
  <c r="M561" i="32"/>
  <c r="N561" i="32"/>
  <c r="O561" i="32"/>
  <c r="P561" i="32"/>
  <c r="L562" i="32"/>
  <c r="M562" i="32"/>
  <c r="N562" i="32"/>
  <c r="O562" i="32"/>
  <c r="P562" i="32"/>
  <c r="L563" i="32"/>
  <c r="M563" i="32"/>
  <c r="N563" i="32"/>
  <c r="O563" i="32"/>
  <c r="P563" i="32"/>
  <c r="L564" i="32"/>
  <c r="M564" i="32"/>
  <c r="N564" i="32"/>
  <c r="O564" i="32"/>
  <c r="P564" i="32"/>
  <c r="L565" i="32"/>
  <c r="M565" i="32"/>
  <c r="N565" i="32"/>
  <c r="O565" i="32"/>
  <c r="P565" i="32"/>
  <c r="L566" i="32"/>
  <c r="M566" i="32"/>
  <c r="N566" i="32"/>
  <c r="O566" i="32"/>
  <c r="P566" i="32"/>
  <c r="L567" i="32"/>
  <c r="M567" i="32"/>
  <c r="N567" i="32"/>
  <c r="O567" i="32"/>
  <c r="P567" i="32"/>
  <c r="L568" i="32"/>
  <c r="M568" i="32"/>
  <c r="N568" i="32"/>
  <c r="O568" i="32"/>
  <c r="P568" i="32"/>
  <c r="L569" i="32"/>
  <c r="M569" i="32"/>
  <c r="N569" i="32"/>
  <c r="O569" i="32"/>
  <c r="P569" i="32"/>
  <c r="L570" i="32"/>
  <c r="M570" i="32"/>
  <c r="N570" i="32"/>
  <c r="O570" i="32"/>
  <c r="P570" i="32"/>
  <c r="L571" i="32"/>
  <c r="M571" i="32"/>
  <c r="N571" i="32"/>
  <c r="O571" i="32"/>
  <c r="P571" i="32"/>
  <c r="L572" i="32"/>
  <c r="M572" i="32"/>
  <c r="N572" i="32"/>
  <c r="O572" i="32"/>
  <c r="P572" i="32"/>
  <c r="L573" i="32"/>
  <c r="M573" i="32"/>
  <c r="N573" i="32"/>
  <c r="O573" i="32"/>
  <c r="P573" i="32"/>
  <c r="L574" i="32"/>
  <c r="M574" i="32"/>
  <c r="N574" i="32"/>
  <c r="O574" i="32"/>
  <c r="P574" i="32"/>
  <c r="L575" i="32"/>
  <c r="M575" i="32"/>
  <c r="N575" i="32"/>
  <c r="O575" i="32"/>
  <c r="P575" i="32"/>
  <c r="L576" i="32"/>
  <c r="M576" i="32"/>
  <c r="N576" i="32"/>
  <c r="O576" i="32"/>
  <c r="P576" i="32"/>
  <c r="L577" i="32"/>
  <c r="M577" i="32"/>
  <c r="N577" i="32"/>
  <c r="O577" i="32"/>
  <c r="P577" i="32"/>
  <c r="L578" i="32"/>
  <c r="M578" i="32"/>
  <c r="N578" i="32"/>
  <c r="O578" i="32"/>
  <c r="P578" i="32"/>
  <c r="L579" i="32"/>
  <c r="M579" i="32"/>
  <c r="N579" i="32"/>
  <c r="O579" i="32"/>
  <c r="P579" i="32"/>
  <c r="L580" i="32"/>
  <c r="M580" i="32"/>
  <c r="N580" i="32"/>
  <c r="O580" i="32"/>
  <c r="P580" i="32"/>
  <c r="L581" i="32"/>
  <c r="M581" i="32"/>
  <c r="N581" i="32"/>
  <c r="O581" i="32"/>
  <c r="P581" i="32"/>
  <c r="L582" i="32"/>
  <c r="M582" i="32"/>
  <c r="N582" i="32"/>
  <c r="O582" i="32"/>
  <c r="P582" i="32"/>
  <c r="L583" i="32"/>
  <c r="M583" i="32"/>
  <c r="N583" i="32"/>
  <c r="O583" i="32"/>
  <c r="P583" i="32"/>
  <c r="L584" i="32"/>
  <c r="M584" i="32"/>
  <c r="N584" i="32"/>
  <c r="O584" i="32"/>
  <c r="P584" i="32"/>
  <c r="L585" i="32"/>
  <c r="M585" i="32"/>
  <c r="N585" i="32"/>
  <c r="O585" i="32"/>
  <c r="P585" i="32"/>
  <c r="L586" i="32"/>
  <c r="M586" i="32"/>
  <c r="N586" i="32"/>
  <c r="O586" i="32"/>
  <c r="P586" i="32"/>
  <c r="L587" i="32"/>
  <c r="M587" i="32"/>
  <c r="N587" i="32"/>
  <c r="O587" i="32"/>
  <c r="P587" i="32"/>
  <c r="L588" i="32"/>
  <c r="M588" i="32"/>
  <c r="N588" i="32"/>
  <c r="O588" i="32"/>
  <c r="P588" i="32"/>
  <c r="L589" i="32"/>
  <c r="M589" i="32"/>
  <c r="N589" i="32"/>
  <c r="O589" i="32"/>
  <c r="P589" i="32"/>
  <c r="L590" i="32"/>
  <c r="M590" i="32"/>
  <c r="N590" i="32"/>
  <c r="O590" i="32"/>
  <c r="P590" i="32"/>
  <c r="L591" i="32"/>
  <c r="M591" i="32"/>
  <c r="N591" i="32"/>
  <c r="O591" i="32"/>
  <c r="P591" i="32"/>
  <c r="L592" i="32"/>
  <c r="M592" i="32"/>
  <c r="N592" i="32"/>
  <c r="O592" i="32"/>
  <c r="P592" i="32"/>
  <c r="L593" i="32"/>
  <c r="M593" i="32"/>
  <c r="N593" i="32"/>
  <c r="O593" i="32"/>
  <c r="P593" i="32"/>
  <c r="L594" i="32"/>
  <c r="M594" i="32"/>
  <c r="N594" i="32"/>
  <c r="O594" i="32"/>
  <c r="P594" i="32"/>
  <c r="L595" i="32"/>
  <c r="M595" i="32"/>
  <c r="N595" i="32"/>
  <c r="O595" i="32"/>
  <c r="P595" i="32"/>
  <c r="L596" i="32"/>
  <c r="M596" i="32"/>
  <c r="N596" i="32"/>
  <c r="O596" i="32"/>
  <c r="P596" i="32"/>
  <c r="L597" i="32"/>
  <c r="M597" i="32"/>
  <c r="N597" i="32"/>
  <c r="O597" i="32"/>
  <c r="P597" i="32"/>
  <c r="L598" i="32"/>
  <c r="M598" i="32"/>
  <c r="N598" i="32"/>
  <c r="O598" i="32"/>
  <c r="P598" i="32"/>
  <c r="L599" i="32"/>
  <c r="M599" i="32"/>
  <c r="N599" i="32"/>
  <c r="O599" i="32"/>
  <c r="P599" i="32"/>
  <c r="L600" i="32"/>
  <c r="M600" i="32"/>
  <c r="N600" i="32"/>
  <c r="O600" i="32"/>
  <c r="P600" i="32"/>
  <c r="A3" i="32"/>
  <c r="A4" i="32"/>
  <c r="A5" i="32"/>
  <c r="A6" i="32"/>
  <c r="A7" i="32"/>
  <c r="A8" i="32"/>
  <c r="A9" i="32"/>
  <c r="A10" i="32"/>
  <c r="A11" i="32"/>
  <c r="A12" i="32"/>
  <c r="A2" i="32"/>
  <c r="L19" i="32" a="1"/>
  <c r="P19" i="32" a="1"/>
  <c r="F19" i="32" a="1"/>
  <c r="Q19" i="32" a="1"/>
  <c r="C19" i="32" a="1"/>
  <c r="D19" i="32" a="1"/>
  <c r="O19" i="32" a="1"/>
  <c r="G19" i="32" a="1"/>
  <c r="N19" i="32" a="1"/>
  <c r="E19" i="32" a="1"/>
  <c r="M19" i="32" a="1"/>
  <c r="H19" i="32" a="1"/>
  <c r="N19" i="32" l="1"/>
  <c r="F19" i="32"/>
  <c r="P19" i="32"/>
  <c r="C19" i="32"/>
  <c r="G19" i="32"/>
  <c r="O19" i="32"/>
  <c r="M19" i="32"/>
  <c r="L19" i="32"/>
  <c r="H19" i="32"/>
  <c r="D19" i="32"/>
  <c r="E19" i="32"/>
  <c r="Q19" i="32"/>
  <c r="B20" i="32"/>
  <c r="X2" i="32"/>
  <c r="W2" i="32"/>
  <c r="V2" i="32"/>
  <c r="U2" i="32"/>
  <c r="P20" i="32" a="1"/>
  <c r="E20" i="32" a="1"/>
  <c r="M20" i="32" a="1"/>
  <c r="F20" i="32" a="1"/>
  <c r="L20" i="32" a="1"/>
  <c r="N20" i="32" a="1"/>
  <c r="G20" i="32" a="1"/>
  <c r="D20" i="32" a="1"/>
  <c r="O20" i="32" a="1"/>
  <c r="Q20" i="32" a="1"/>
  <c r="C20" i="32" a="1"/>
  <c r="H20" i="32" a="1"/>
  <c r="O20" i="32" l="1"/>
  <c r="Q20" i="32"/>
  <c r="F20" i="32"/>
  <c r="G20" i="32"/>
  <c r="D20" i="32"/>
  <c r="C20" i="32"/>
  <c r="M20" i="32"/>
  <c r="H20" i="32"/>
  <c r="P20" i="32"/>
  <c r="L20" i="32"/>
  <c r="E20" i="32"/>
  <c r="N20" i="32"/>
  <c r="B21" i="32"/>
  <c r="A313" i="32"/>
  <c r="C313" i="32"/>
  <c r="D313" i="32"/>
  <c r="E313" i="32"/>
  <c r="F313" i="32"/>
  <c r="A314" i="32"/>
  <c r="C314" i="32"/>
  <c r="D314" i="32"/>
  <c r="E314" i="32"/>
  <c r="F314" i="32"/>
  <c r="A315" i="32"/>
  <c r="C315" i="32"/>
  <c r="D315" i="32"/>
  <c r="E315" i="32"/>
  <c r="F315" i="32"/>
  <c r="A316" i="32"/>
  <c r="C316" i="32"/>
  <c r="D316" i="32"/>
  <c r="E316" i="32"/>
  <c r="F316" i="32"/>
  <c r="A317" i="32"/>
  <c r="C317" i="32"/>
  <c r="D317" i="32"/>
  <c r="E317" i="32"/>
  <c r="F317" i="32"/>
  <c r="A318" i="32"/>
  <c r="C318" i="32"/>
  <c r="D318" i="32"/>
  <c r="E318" i="32"/>
  <c r="F318" i="32"/>
  <c r="A319" i="32"/>
  <c r="C319" i="32"/>
  <c r="D319" i="32"/>
  <c r="E319" i="32"/>
  <c r="F319" i="32"/>
  <c r="A320" i="32"/>
  <c r="C320" i="32"/>
  <c r="D320" i="32"/>
  <c r="E320" i="32"/>
  <c r="F320" i="32"/>
  <c r="A321" i="32"/>
  <c r="C321" i="32"/>
  <c r="D321" i="32"/>
  <c r="E321" i="32"/>
  <c r="F321" i="32"/>
  <c r="A322" i="32"/>
  <c r="C322" i="32"/>
  <c r="D322" i="32"/>
  <c r="E322" i="32"/>
  <c r="F322" i="32"/>
  <c r="A323" i="32"/>
  <c r="C323" i="32"/>
  <c r="D323" i="32"/>
  <c r="E323" i="32"/>
  <c r="F323" i="32"/>
  <c r="A324" i="32"/>
  <c r="C324" i="32"/>
  <c r="D324" i="32"/>
  <c r="E324" i="32"/>
  <c r="F324" i="32"/>
  <c r="A325" i="32"/>
  <c r="C325" i="32"/>
  <c r="D325" i="32"/>
  <c r="E325" i="32"/>
  <c r="F325" i="32"/>
  <c r="A326" i="32"/>
  <c r="C326" i="32"/>
  <c r="D326" i="32"/>
  <c r="E326" i="32"/>
  <c r="F326" i="32"/>
  <c r="A327" i="32"/>
  <c r="C327" i="32"/>
  <c r="D327" i="32"/>
  <c r="E327" i="32"/>
  <c r="F327" i="32"/>
  <c r="A328" i="32"/>
  <c r="C328" i="32"/>
  <c r="D328" i="32"/>
  <c r="E328" i="32"/>
  <c r="F328" i="32"/>
  <c r="A329" i="32"/>
  <c r="C329" i="32"/>
  <c r="D329" i="32"/>
  <c r="E329" i="32"/>
  <c r="F329" i="32"/>
  <c r="A330" i="32"/>
  <c r="C330" i="32"/>
  <c r="D330" i="32"/>
  <c r="E330" i="32"/>
  <c r="F330" i="32"/>
  <c r="A331" i="32"/>
  <c r="C331" i="32"/>
  <c r="D331" i="32"/>
  <c r="E331" i="32"/>
  <c r="F331" i="32"/>
  <c r="A332" i="32"/>
  <c r="C332" i="32"/>
  <c r="D332" i="32"/>
  <c r="E332" i="32"/>
  <c r="F332" i="32"/>
  <c r="A333" i="32"/>
  <c r="C333" i="32"/>
  <c r="D333" i="32"/>
  <c r="E333" i="32"/>
  <c r="F333" i="32"/>
  <c r="A334" i="32"/>
  <c r="C334" i="32"/>
  <c r="D334" i="32"/>
  <c r="E334" i="32"/>
  <c r="F334" i="32"/>
  <c r="A335" i="32"/>
  <c r="C335" i="32"/>
  <c r="D335" i="32"/>
  <c r="E335" i="32"/>
  <c r="F335" i="32"/>
  <c r="A336" i="32"/>
  <c r="C336" i="32"/>
  <c r="D336" i="32"/>
  <c r="E336" i="32"/>
  <c r="F336" i="32"/>
  <c r="A337" i="32"/>
  <c r="C337" i="32"/>
  <c r="D337" i="32"/>
  <c r="E337" i="32"/>
  <c r="F337" i="32"/>
  <c r="A338" i="32"/>
  <c r="C338" i="32"/>
  <c r="D338" i="32"/>
  <c r="E338" i="32"/>
  <c r="F338" i="32"/>
  <c r="A339" i="32"/>
  <c r="C339" i="32"/>
  <c r="D339" i="32"/>
  <c r="E339" i="32"/>
  <c r="F339" i="32"/>
  <c r="A340" i="32"/>
  <c r="C340" i="32"/>
  <c r="D340" i="32"/>
  <c r="E340" i="32"/>
  <c r="F340" i="32"/>
  <c r="A341" i="32"/>
  <c r="C341" i="32"/>
  <c r="D341" i="32"/>
  <c r="E341" i="32"/>
  <c r="F341" i="32"/>
  <c r="A342" i="32"/>
  <c r="C342" i="32"/>
  <c r="D342" i="32"/>
  <c r="E342" i="32"/>
  <c r="F342" i="32"/>
  <c r="A343" i="32"/>
  <c r="C343" i="32"/>
  <c r="D343" i="32"/>
  <c r="E343" i="32"/>
  <c r="F343" i="32"/>
  <c r="A344" i="32"/>
  <c r="C344" i="32"/>
  <c r="D344" i="32"/>
  <c r="E344" i="32"/>
  <c r="F344" i="32"/>
  <c r="A345" i="32"/>
  <c r="C345" i="32"/>
  <c r="D345" i="32"/>
  <c r="E345" i="32"/>
  <c r="F345" i="32"/>
  <c r="A346" i="32"/>
  <c r="C346" i="32"/>
  <c r="D346" i="32"/>
  <c r="E346" i="32"/>
  <c r="F346" i="32"/>
  <c r="A347" i="32"/>
  <c r="C347" i="32"/>
  <c r="D347" i="32"/>
  <c r="E347" i="32"/>
  <c r="F347" i="32"/>
  <c r="A348" i="32"/>
  <c r="C348" i="32"/>
  <c r="D348" i="32"/>
  <c r="E348" i="32"/>
  <c r="F348" i="32"/>
  <c r="A349" i="32"/>
  <c r="C349" i="32"/>
  <c r="D349" i="32"/>
  <c r="E349" i="32"/>
  <c r="F349" i="32"/>
  <c r="A350" i="32"/>
  <c r="C350" i="32"/>
  <c r="D350" i="32"/>
  <c r="E350" i="32"/>
  <c r="F350" i="32"/>
  <c r="A351" i="32"/>
  <c r="C351" i="32"/>
  <c r="D351" i="32"/>
  <c r="E351" i="32"/>
  <c r="F351" i="32"/>
  <c r="A352" i="32"/>
  <c r="C352" i="32"/>
  <c r="D352" i="32"/>
  <c r="E352" i="32"/>
  <c r="F352" i="32"/>
  <c r="A353" i="32"/>
  <c r="C353" i="32"/>
  <c r="D353" i="32"/>
  <c r="E353" i="32"/>
  <c r="F353" i="32"/>
  <c r="A354" i="32"/>
  <c r="C354" i="32"/>
  <c r="D354" i="32"/>
  <c r="E354" i="32"/>
  <c r="F354" i="32"/>
  <c r="A355" i="32"/>
  <c r="C355" i="32"/>
  <c r="D355" i="32"/>
  <c r="E355" i="32"/>
  <c r="F355" i="32"/>
  <c r="A356" i="32"/>
  <c r="C356" i="32"/>
  <c r="D356" i="32"/>
  <c r="E356" i="32"/>
  <c r="F356" i="32"/>
  <c r="A357" i="32"/>
  <c r="C357" i="32"/>
  <c r="D357" i="32"/>
  <c r="E357" i="32"/>
  <c r="F357" i="32"/>
  <c r="A358" i="32"/>
  <c r="C358" i="32"/>
  <c r="D358" i="32"/>
  <c r="E358" i="32"/>
  <c r="F358" i="32"/>
  <c r="A359" i="32"/>
  <c r="C359" i="32"/>
  <c r="D359" i="32"/>
  <c r="E359" i="32"/>
  <c r="F359" i="32"/>
  <c r="A360" i="32"/>
  <c r="C360" i="32"/>
  <c r="D360" i="32"/>
  <c r="E360" i="32"/>
  <c r="F360" i="32"/>
  <c r="A361" i="32"/>
  <c r="C361" i="32"/>
  <c r="D361" i="32"/>
  <c r="E361" i="32"/>
  <c r="F361" i="32"/>
  <c r="A362" i="32"/>
  <c r="C362" i="32"/>
  <c r="D362" i="32"/>
  <c r="E362" i="32"/>
  <c r="F362" i="32"/>
  <c r="A363" i="32"/>
  <c r="C363" i="32"/>
  <c r="D363" i="32"/>
  <c r="E363" i="32"/>
  <c r="F363" i="32"/>
  <c r="A364" i="32"/>
  <c r="C364" i="32"/>
  <c r="D364" i="32"/>
  <c r="E364" i="32"/>
  <c r="F364" i="32"/>
  <c r="A365" i="32"/>
  <c r="C365" i="32"/>
  <c r="D365" i="32"/>
  <c r="E365" i="32"/>
  <c r="F365" i="32"/>
  <c r="A366" i="32"/>
  <c r="C366" i="32"/>
  <c r="D366" i="32"/>
  <c r="E366" i="32"/>
  <c r="F366" i="32"/>
  <c r="A367" i="32"/>
  <c r="C367" i="32"/>
  <c r="D367" i="32"/>
  <c r="E367" i="32"/>
  <c r="F367" i="32"/>
  <c r="A368" i="32"/>
  <c r="C368" i="32"/>
  <c r="D368" i="32"/>
  <c r="E368" i="32"/>
  <c r="F368" i="32"/>
  <c r="A369" i="32"/>
  <c r="C369" i="32"/>
  <c r="D369" i="32"/>
  <c r="E369" i="32"/>
  <c r="F369" i="32"/>
  <c r="A370" i="32"/>
  <c r="C370" i="32"/>
  <c r="D370" i="32"/>
  <c r="E370" i="32"/>
  <c r="F370" i="32"/>
  <c r="A371" i="32"/>
  <c r="C371" i="32"/>
  <c r="D371" i="32"/>
  <c r="E371" i="32"/>
  <c r="F371" i="32"/>
  <c r="A372" i="32"/>
  <c r="C372" i="32"/>
  <c r="D372" i="32"/>
  <c r="E372" i="32"/>
  <c r="F372" i="32"/>
  <c r="A373" i="32"/>
  <c r="C373" i="32"/>
  <c r="D373" i="32"/>
  <c r="E373" i="32"/>
  <c r="F373" i="32"/>
  <c r="A374" i="32"/>
  <c r="C374" i="32"/>
  <c r="D374" i="32"/>
  <c r="E374" i="32"/>
  <c r="F374" i="32"/>
  <c r="A375" i="32"/>
  <c r="C375" i="32"/>
  <c r="D375" i="32"/>
  <c r="E375" i="32"/>
  <c r="F375" i="32"/>
  <c r="A376" i="32"/>
  <c r="C376" i="32"/>
  <c r="D376" i="32"/>
  <c r="E376" i="32"/>
  <c r="F376" i="32"/>
  <c r="A377" i="32"/>
  <c r="C377" i="32"/>
  <c r="D377" i="32"/>
  <c r="E377" i="32"/>
  <c r="F377" i="32"/>
  <c r="A378" i="32"/>
  <c r="C378" i="32"/>
  <c r="D378" i="32"/>
  <c r="E378" i="32"/>
  <c r="F378" i="32"/>
  <c r="A379" i="32"/>
  <c r="C379" i="32"/>
  <c r="D379" i="32"/>
  <c r="E379" i="32"/>
  <c r="F379" i="32"/>
  <c r="A380" i="32"/>
  <c r="C380" i="32"/>
  <c r="D380" i="32"/>
  <c r="E380" i="32"/>
  <c r="F380" i="32"/>
  <c r="A381" i="32"/>
  <c r="C381" i="32"/>
  <c r="D381" i="32"/>
  <c r="E381" i="32"/>
  <c r="F381" i="32"/>
  <c r="A382" i="32"/>
  <c r="C382" i="32"/>
  <c r="D382" i="32"/>
  <c r="E382" i="32"/>
  <c r="F382" i="32"/>
  <c r="A383" i="32"/>
  <c r="C383" i="32"/>
  <c r="D383" i="32"/>
  <c r="E383" i="32"/>
  <c r="F383" i="32"/>
  <c r="A384" i="32"/>
  <c r="C384" i="32"/>
  <c r="D384" i="32"/>
  <c r="E384" i="32"/>
  <c r="F384" i="32"/>
  <c r="A385" i="32"/>
  <c r="C385" i="32"/>
  <c r="D385" i="32"/>
  <c r="E385" i="32"/>
  <c r="F385" i="32"/>
  <c r="A386" i="32"/>
  <c r="C386" i="32"/>
  <c r="D386" i="32"/>
  <c r="E386" i="32"/>
  <c r="F386" i="32"/>
  <c r="A387" i="32"/>
  <c r="C387" i="32"/>
  <c r="D387" i="32"/>
  <c r="E387" i="32"/>
  <c r="F387" i="32"/>
  <c r="A388" i="32"/>
  <c r="C388" i="32"/>
  <c r="D388" i="32"/>
  <c r="E388" i="32"/>
  <c r="F388" i="32"/>
  <c r="A389" i="32"/>
  <c r="C389" i="32"/>
  <c r="D389" i="32"/>
  <c r="E389" i="32"/>
  <c r="F389" i="32"/>
  <c r="A390" i="32"/>
  <c r="C390" i="32"/>
  <c r="D390" i="32"/>
  <c r="E390" i="32"/>
  <c r="F390" i="32"/>
  <c r="A391" i="32"/>
  <c r="C391" i="32"/>
  <c r="D391" i="32"/>
  <c r="E391" i="32"/>
  <c r="F391" i="32"/>
  <c r="A392" i="32"/>
  <c r="C392" i="32"/>
  <c r="D392" i="32"/>
  <c r="E392" i="32"/>
  <c r="F392" i="32"/>
  <c r="A393" i="32"/>
  <c r="C393" i="32"/>
  <c r="D393" i="32"/>
  <c r="E393" i="32"/>
  <c r="F393" i="32"/>
  <c r="A394" i="32"/>
  <c r="C394" i="32"/>
  <c r="D394" i="32"/>
  <c r="E394" i="32"/>
  <c r="F394" i="32"/>
  <c r="A395" i="32"/>
  <c r="C395" i="32"/>
  <c r="D395" i="32"/>
  <c r="E395" i="32"/>
  <c r="F395" i="32"/>
  <c r="A396" i="32"/>
  <c r="C396" i="32"/>
  <c r="D396" i="32"/>
  <c r="E396" i="32"/>
  <c r="F396" i="32"/>
  <c r="A397" i="32"/>
  <c r="C397" i="32"/>
  <c r="D397" i="32"/>
  <c r="E397" i="32"/>
  <c r="F397" i="32"/>
  <c r="A398" i="32"/>
  <c r="C398" i="32"/>
  <c r="D398" i="32"/>
  <c r="E398" i="32"/>
  <c r="F398" i="32"/>
  <c r="A399" i="32"/>
  <c r="C399" i="32"/>
  <c r="D399" i="32"/>
  <c r="E399" i="32"/>
  <c r="F399" i="32"/>
  <c r="A400" i="32"/>
  <c r="C400" i="32"/>
  <c r="D400" i="32"/>
  <c r="E400" i="32"/>
  <c r="F400" i="32"/>
  <c r="A401" i="32"/>
  <c r="C401" i="32"/>
  <c r="D401" i="32"/>
  <c r="E401" i="32"/>
  <c r="F401" i="32"/>
  <c r="A402" i="32"/>
  <c r="C402" i="32"/>
  <c r="D402" i="32"/>
  <c r="E402" i="32"/>
  <c r="F402" i="32"/>
  <c r="A403" i="32"/>
  <c r="C403" i="32"/>
  <c r="D403" i="32"/>
  <c r="E403" i="32"/>
  <c r="F403" i="32"/>
  <c r="A404" i="32"/>
  <c r="C404" i="32"/>
  <c r="D404" i="32"/>
  <c r="E404" i="32"/>
  <c r="F404" i="32"/>
  <c r="A405" i="32"/>
  <c r="C405" i="32"/>
  <c r="D405" i="32"/>
  <c r="E405" i="32"/>
  <c r="F405" i="32"/>
  <c r="A406" i="32"/>
  <c r="C406" i="32"/>
  <c r="D406" i="32"/>
  <c r="E406" i="32"/>
  <c r="F406" i="32"/>
  <c r="A407" i="32"/>
  <c r="C407" i="32"/>
  <c r="D407" i="32"/>
  <c r="E407" i="32"/>
  <c r="F407" i="32"/>
  <c r="A408" i="32"/>
  <c r="C408" i="32"/>
  <c r="D408" i="32"/>
  <c r="E408" i="32"/>
  <c r="F408" i="32"/>
  <c r="A409" i="32"/>
  <c r="C409" i="32"/>
  <c r="D409" i="32"/>
  <c r="E409" i="32"/>
  <c r="F409" i="32"/>
  <c r="A410" i="32"/>
  <c r="C410" i="32"/>
  <c r="D410" i="32"/>
  <c r="E410" i="32"/>
  <c r="F410" i="32"/>
  <c r="A411" i="32"/>
  <c r="C411" i="32"/>
  <c r="D411" i="32"/>
  <c r="E411" i="32"/>
  <c r="F411" i="32"/>
  <c r="A412" i="32"/>
  <c r="C412" i="32"/>
  <c r="D412" i="32"/>
  <c r="E412" i="32"/>
  <c r="F412" i="32"/>
  <c r="A413" i="32"/>
  <c r="C413" i="32"/>
  <c r="D413" i="32"/>
  <c r="E413" i="32"/>
  <c r="F413" i="32"/>
  <c r="A414" i="32"/>
  <c r="C414" i="32"/>
  <c r="D414" i="32"/>
  <c r="E414" i="32"/>
  <c r="F414" i="32"/>
  <c r="A415" i="32"/>
  <c r="C415" i="32"/>
  <c r="D415" i="32"/>
  <c r="E415" i="32"/>
  <c r="F415" i="32"/>
  <c r="A416" i="32"/>
  <c r="C416" i="32"/>
  <c r="D416" i="32"/>
  <c r="E416" i="32"/>
  <c r="F416" i="32"/>
  <c r="A417" i="32"/>
  <c r="C417" i="32"/>
  <c r="D417" i="32"/>
  <c r="E417" i="32"/>
  <c r="F417" i="32"/>
  <c r="A418" i="32"/>
  <c r="C418" i="32"/>
  <c r="D418" i="32"/>
  <c r="E418" i="32"/>
  <c r="F418" i="32"/>
  <c r="A419" i="32"/>
  <c r="C419" i="32"/>
  <c r="D419" i="32"/>
  <c r="E419" i="32"/>
  <c r="F419" i="32"/>
  <c r="A420" i="32"/>
  <c r="C420" i="32"/>
  <c r="D420" i="32"/>
  <c r="E420" i="32"/>
  <c r="F420" i="32"/>
  <c r="A421" i="32"/>
  <c r="C421" i="32"/>
  <c r="D421" i="32"/>
  <c r="E421" i="32"/>
  <c r="F421" i="32"/>
  <c r="A422" i="32"/>
  <c r="C422" i="32"/>
  <c r="D422" i="32"/>
  <c r="E422" i="32"/>
  <c r="F422" i="32"/>
  <c r="A423" i="32"/>
  <c r="C423" i="32"/>
  <c r="D423" i="32"/>
  <c r="E423" i="32"/>
  <c r="F423" i="32"/>
  <c r="A424" i="32"/>
  <c r="C424" i="32"/>
  <c r="D424" i="32"/>
  <c r="E424" i="32"/>
  <c r="F424" i="32"/>
  <c r="A425" i="32"/>
  <c r="C425" i="32"/>
  <c r="D425" i="32"/>
  <c r="E425" i="32"/>
  <c r="F425" i="32"/>
  <c r="A426" i="32"/>
  <c r="C426" i="32"/>
  <c r="D426" i="32"/>
  <c r="E426" i="32"/>
  <c r="F426" i="32"/>
  <c r="A427" i="32"/>
  <c r="C427" i="32"/>
  <c r="D427" i="32"/>
  <c r="E427" i="32"/>
  <c r="F427" i="32"/>
  <c r="A428" i="32"/>
  <c r="C428" i="32"/>
  <c r="D428" i="32"/>
  <c r="E428" i="32"/>
  <c r="F428" i="32"/>
  <c r="A429" i="32"/>
  <c r="C429" i="32"/>
  <c r="D429" i="32"/>
  <c r="E429" i="32"/>
  <c r="F429" i="32"/>
  <c r="A430" i="32"/>
  <c r="C430" i="32"/>
  <c r="D430" i="32"/>
  <c r="E430" i="32"/>
  <c r="F430" i="32"/>
  <c r="A431" i="32"/>
  <c r="C431" i="32"/>
  <c r="D431" i="32"/>
  <c r="E431" i="32"/>
  <c r="F431" i="32"/>
  <c r="A432" i="32"/>
  <c r="C432" i="32"/>
  <c r="D432" i="32"/>
  <c r="E432" i="32"/>
  <c r="F432" i="32"/>
  <c r="A433" i="32"/>
  <c r="C433" i="32"/>
  <c r="D433" i="32"/>
  <c r="E433" i="32"/>
  <c r="F433" i="32"/>
  <c r="A434" i="32"/>
  <c r="C434" i="32"/>
  <c r="D434" i="32"/>
  <c r="E434" i="32"/>
  <c r="F434" i="32"/>
  <c r="A435" i="32"/>
  <c r="C435" i="32"/>
  <c r="D435" i="32"/>
  <c r="E435" i="32"/>
  <c r="F435" i="32"/>
  <c r="A436" i="32"/>
  <c r="C436" i="32"/>
  <c r="D436" i="32"/>
  <c r="E436" i="32"/>
  <c r="F436" i="32"/>
  <c r="A437" i="32"/>
  <c r="C437" i="32"/>
  <c r="D437" i="32"/>
  <c r="E437" i="32"/>
  <c r="F437" i="32"/>
  <c r="A438" i="32"/>
  <c r="C438" i="32"/>
  <c r="D438" i="32"/>
  <c r="E438" i="32"/>
  <c r="F438" i="32"/>
  <c r="A439" i="32"/>
  <c r="C439" i="32"/>
  <c r="D439" i="32"/>
  <c r="E439" i="32"/>
  <c r="F439" i="32"/>
  <c r="A440" i="32"/>
  <c r="C440" i="32"/>
  <c r="D440" i="32"/>
  <c r="E440" i="32"/>
  <c r="F440" i="32"/>
  <c r="A441" i="32"/>
  <c r="C441" i="32"/>
  <c r="D441" i="32"/>
  <c r="E441" i="32"/>
  <c r="F441" i="32"/>
  <c r="A442" i="32"/>
  <c r="C442" i="32"/>
  <c r="D442" i="32"/>
  <c r="E442" i="32"/>
  <c r="F442" i="32"/>
  <c r="A443" i="32"/>
  <c r="C443" i="32"/>
  <c r="D443" i="32"/>
  <c r="E443" i="32"/>
  <c r="F443" i="32"/>
  <c r="A444" i="32"/>
  <c r="C444" i="32"/>
  <c r="D444" i="32"/>
  <c r="E444" i="32"/>
  <c r="F444" i="32"/>
  <c r="A445" i="32"/>
  <c r="C445" i="32"/>
  <c r="D445" i="32"/>
  <c r="E445" i="32"/>
  <c r="F445" i="32"/>
  <c r="A446" i="32"/>
  <c r="C446" i="32"/>
  <c r="D446" i="32"/>
  <c r="E446" i="32"/>
  <c r="F446" i="32"/>
  <c r="A447" i="32"/>
  <c r="C447" i="32"/>
  <c r="D447" i="32"/>
  <c r="E447" i="32"/>
  <c r="F447" i="32"/>
  <c r="A448" i="32"/>
  <c r="C448" i="32"/>
  <c r="D448" i="32"/>
  <c r="E448" i="32"/>
  <c r="F448" i="32"/>
  <c r="A449" i="32"/>
  <c r="C449" i="32"/>
  <c r="D449" i="32"/>
  <c r="E449" i="32"/>
  <c r="F449" i="32"/>
  <c r="A450" i="32"/>
  <c r="C450" i="32"/>
  <c r="D450" i="32"/>
  <c r="E450" i="32"/>
  <c r="F450" i="32"/>
  <c r="A451" i="32"/>
  <c r="C451" i="32"/>
  <c r="D451" i="32"/>
  <c r="E451" i="32"/>
  <c r="F451" i="32"/>
  <c r="A452" i="32"/>
  <c r="C452" i="32"/>
  <c r="D452" i="32"/>
  <c r="E452" i="32"/>
  <c r="F452" i="32"/>
  <c r="A453" i="32"/>
  <c r="C453" i="32"/>
  <c r="D453" i="32"/>
  <c r="E453" i="32"/>
  <c r="F453" i="32"/>
  <c r="A454" i="32"/>
  <c r="C454" i="32"/>
  <c r="D454" i="32"/>
  <c r="E454" i="32"/>
  <c r="F454" i="32"/>
  <c r="A455" i="32"/>
  <c r="C455" i="32"/>
  <c r="D455" i="32"/>
  <c r="E455" i="32"/>
  <c r="F455" i="32"/>
  <c r="A456" i="32"/>
  <c r="C456" i="32"/>
  <c r="D456" i="32"/>
  <c r="E456" i="32"/>
  <c r="F456" i="32"/>
  <c r="A457" i="32"/>
  <c r="C457" i="32"/>
  <c r="D457" i="32"/>
  <c r="E457" i="32"/>
  <c r="F457" i="32"/>
  <c r="A458" i="32"/>
  <c r="C458" i="32"/>
  <c r="D458" i="32"/>
  <c r="E458" i="32"/>
  <c r="F458" i="32"/>
  <c r="A459" i="32"/>
  <c r="C459" i="32"/>
  <c r="D459" i="32"/>
  <c r="E459" i="32"/>
  <c r="F459" i="32"/>
  <c r="A460" i="32"/>
  <c r="C460" i="32"/>
  <c r="D460" i="32"/>
  <c r="E460" i="32"/>
  <c r="F460" i="32"/>
  <c r="A461" i="32"/>
  <c r="C461" i="32"/>
  <c r="D461" i="32"/>
  <c r="E461" i="32"/>
  <c r="F461" i="32"/>
  <c r="A462" i="32"/>
  <c r="C462" i="32"/>
  <c r="D462" i="32"/>
  <c r="E462" i="32"/>
  <c r="F462" i="32"/>
  <c r="A463" i="32"/>
  <c r="C463" i="32"/>
  <c r="D463" i="32"/>
  <c r="E463" i="32"/>
  <c r="F463" i="32"/>
  <c r="A464" i="32"/>
  <c r="C464" i="32"/>
  <c r="D464" i="32"/>
  <c r="E464" i="32"/>
  <c r="F464" i="32"/>
  <c r="A465" i="32"/>
  <c r="C465" i="32"/>
  <c r="D465" i="32"/>
  <c r="E465" i="32"/>
  <c r="F465" i="32"/>
  <c r="A466" i="32"/>
  <c r="C466" i="32"/>
  <c r="D466" i="32"/>
  <c r="E466" i="32"/>
  <c r="F466" i="32"/>
  <c r="A467" i="32"/>
  <c r="C467" i="32"/>
  <c r="D467" i="32"/>
  <c r="E467" i="32"/>
  <c r="F467" i="32"/>
  <c r="A468" i="32"/>
  <c r="C468" i="32"/>
  <c r="D468" i="32"/>
  <c r="E468" i="32"/>
  <c r="F468" i="32"/>
  <c r="A469" i="32"/>
  <c r="C469" i="32"/>
  <c r="D469" i="32"/>
  <c r="E469" i="32"/>
  <c r="F469" i="32"/>
  <c r="A470" i="32"/>
  <c r="C470" i="32"/>
  <c r="D470" i="32"/>
  <c r="E470" i="32"/>
  <c r="F470" i="32"/>
  <c r="A471" i="32"/>
  <c r="C471" i="32"/>
  <c r="D471" i="32"/>
  <c r="E471" i="32"/>
  <c r="F471" i="32"/>
  <c r="A472" i="32"/>
  <c r="C472" i="32"/>
  <c r="D472" i="32"/>
  <c r="E472" i="32"/>
  <c r="F472" i="32"/>
  <c r="A473" i="32"/>
  <c r="C473" i="32"/>
  <c r="D473" i="32"/>
  <c r="E473" i="32"/>
  <c r="F473" i="32"/>
  <c r="A474" i="32"/>
  <c r="C474" i="32"/>
  <c r="D474" i="32"/>
  <c r="E474" i="32"/>
  <c r="F474" i="32"/>
  <c r="A475" i="32"/>
  <c r="C475" i="32"/>
  <c r="D475" i="32"/>
  <c r="E475" i="32"/>
  <c r="F475" i="32"/>
  <c r="A476" i="32"/>
  <c r="C476" i="32"/>
  <c r="D476" i="32"/>
  <c r="E476" i="32"/>
  <c r="F476" i="32"/>
  <c r="A477" i="32"/>
  <c r="C477" i="32"/>
  <c r="D477" i="32"/>
  <c r="E477" i="32"/>
  <c r="F477" i="32"/>
  <c r="A478" i="32"/>
  <c r="C478" i="32"/>
  <c r="D478" i="32"/>
  <c r="E478" i="32"/>
  <c r="F478" i="32"/>
  <c r="A479" i="32"/>
  <c r="C479" i="32"/>
  <c r="D479" i="32"/>
  <c r="E479" i="32"/>
  <c r="F479" i="32"/>
  <c r="A480" i="32"/>
  <c r="C480" i="32"/>
  <c r="D480" i="32"/>
  <c r="E480" i="32"/>
  <c r="F480" i="32"/>
  <c r="A481" i="32"/>
  <c r="C481" i="32"/>
  <c r="D481" i="32"/>
  <c r="E481" i="32"/>
  <c r="F481" i="32"/>
  <c r="A482" i="32"/>
  <c r="C482" i="32"/>
  <c r="D482" i="32"/>
  <c r="E482" i="32"/>
  <c r="F482" i="32"/>
  <c r="A483" i="32"/>
  <c r="C483" i="32"/>
  <c r="D483" i="32"/>
  <c r="E483" i="32"/>
  <c r="F483" i="32"/>
  <c r="A484" i="32"/>
  <c r="C484" i="32"/>
  <c r="D484" i="32"/>
  <c r="E484" i="32"/>
  <c r="F484" i="32"/>
  <c r="A485" i="32"/>
  <c r="C485" i="32"/>
  <c r="D485" i="32"/>
  <c r="E485" i="32"/>
  <c r="F485" i="32"/>
  <c r="A486" i="32"/>
  <c r="C486" i="32"/>
  <c r="D486" i="32"/>
  <c r="E486" i="32"/>
  <c r="F486" i="32"/>
  <c r="A487" i="32"/>
  <c r="C487" i="32"/>
  <c r="D487" i="32"/>
  <c r="E487" i="32"/>
  <c r="F487" i="32"/>
  <c r="A488" i="32"/>
  <c r="C488" i="32"/>
  <c r="D488" i="32"/>
  <c r="E488" i="32"/>
  <c r="F488" i="32"/>
  <c r="A489" i="32"/>
  <c r="C489" i="32"/>
  <c r="D489" i="32"/>
  <c r="E489" i="32"/>
  <c r="F489" i="32"/>
  <c r="A490" i="32"/>
  <c r="C490" i="32"/>
  <c r="D490" i="32"/>
  <c r="E490" i="32"/>
  <c r="F490" i="32"/>
  <c r="A491" i="32"/>
  <c r="C491" i="32"/>
  <c r="D491" i="32"/>
  <c r="E491" i="32"/>
  <c r="F491" i="32"/>
  <c r="A492" i="32"/>
  <c r="C492" i="32"/>
  <c r="D492" i="32"/>
  <c r="E492" i="32"/>
  <c r="F492" i="32"/>
  <c r="A493" i="32"/>
  <c r="C493" i="32"/>
  <c r="D493" i="32"/>
  <c r="E493" i="32"/>
  <c r="F493" i="32"/>
  <c r="A494" i="32"/>
  <c r="C494" i="32"/>
  <c r="D494" i="32"/>
  <c r="E494" i="32"/>
  <c r="F494" i="32"/>
  <c r="A495" i="32"/>
  <c r="C495" i="32"/>
  <c r="D495" i="32"/>
  <c r="E495" i="32"/>
  <c r="F495" i="32"/>
  <c r="A496" i="32"/>
  <c r="C496" i="32"/>
  <c r="D496" i="32"/>
  <c r="E496" i="32"/>
  <c r="F496" i="32"/>
  <c r="A497" i="32"/>
  <c r="C497" i="32"/>
  <c r="D497" i="32"/>
  <c r="E497" i="32"/>
  <c r="F497" i="32"/>
  <c r="A498" i="32"/>
  <c r="C498" i="32"/>
  <c r="D498" i="32"/>
  <c r="E498" i="32"/>
  <c r="F498" i="32"/>
  <c r="A499" i="32"/>
  <c r="C499" i="32"/>
  <c r="D499" i="32"/>
  <c r="E499" i="32"/>
  <c r="F499" i="32"/>
  <c r="A500" i="32"/>
  <c r="C500" i="32"/>
  <c r="D500" i="32"/>
  <c r="E500" i="32"/>
  <c r="F500" i="32"/>
  <c r="A501" i="32"/>
  <c r="C501" i="32"/>
  <c r="D501" i="32"/>
  <c r="E501" i="32"/>
  <c r="F501" i="32"/>
  <c r="A502" i="32"/>
  <c r="C502" i="32"/>
  <c r="D502" i="32"/>
  <c r="E502" i="32"/>
  <c r="F502" i="32"/>
  <c r="A503" i="32"/>
  <c r="C503" i="32"/>
  <c r="D503" i="32"/>
  <c r="E503" i="32"/>
  <c r="F503" i="32"/>
  <c r="A504" i="32"/>
  <c r="C504" i="32"/>
  <c r="D504" i="32"/>
  <c r="E504" i="32"/>
  <c r="F504" i="32"/>
  <c r="A505" i="32"/>
  <c r="C505" i="32"/>
  <c r="D505" i="32"/>
  <c r="E505" i="32"/>
  <c r="F505" i="32"/>
  <c r="A506" i="32"/>
  <c r="C506" i="32"/>
  <c r="D506" i="32"/>
  <c r="E506" i="32"/>
  <c r="F506" i="32"/>
  <c r="A507" i="32"/>
  <c r="C507" i="32"/>
  <c r="D507" i="32"/>
  <c r="E507" i="32"/>
  <c r="F507" i="32"/>
  <c r="A508" i="32"/>
  <c r="C508" i="32"/>
  <c r="D508" i="32"/>
  <c r="E508" i="32"/>
  <c r="F508" i="32"/>
  <c r="A509" i="32"/>
  <c r="C509" i="32"/>
  <c r="D509" i="32"/>
  <c r="E509" i="32"/>
  <c r="F509" i="32"/>
  <c r="A510" i="32"/>
  <c r="C510" i="32"/>
  <c r="D510" i="32"/>
  <c r="E510" i="32"/>
  <c r="F510" i="32"/>
  <c r="A511" i="32"/>
  <c r="C511" i="32"/>
  <c r="D511" i="32"/>
  <c r="E511" i="32"/>
  <c r="F511" i="32"/>
  <c r="A512" i="32"/>
  <c r="C512" i="32"/>
  <c r="D512" i="32"/>
  <c r="E512" i="32"/>
  <c r="F512" i="32"/>
  <c r="A513" i="32"/>
  <c r="C513" i="32"/>
  <c r="D513" i="32"/>
  <c r="E513" i="32"/>
  <c r="F513" i="32"/>
  <c r="A514" i="32"/>
  <c r="C514" i="32"/>
  <c r="D514" i="32"/>
  <c r="E514" i="32"/>
  <c r="F514" i="32"/>
  <c r="A515" i="32"/>
  <c r="C515" i="32"/>
  <c r="D515" i="32"/>
  <c r="E515" i="32"/>
  <c r="F515" i="32"/>
  <c r="A516" i="32"/>
  <c r="C516" i="32"/>
  <c r="D516" i="32"/>
  <c r="E516" i="32"/>
  <c r="F516" i="32"/>
  <c r="A517" i="32"/>
  <c r="C517" i="32"/>
  <c r="D517" i="32"/>
  <c r="E517" i="32"/>
  <c r="F517" i="32"/>
  <c r="A518" i="32"/>
  <c r="C518" i="32"/>
  <c r="D518" i="32"/>
  <c r="E518" i="32"/>
  <c r="F518" i="32"/>
  <c r="A519" i="32"/>
  <c r="C519" i="32"/>
  <c r="D519" i="32"/>
  <c r="E519" i="32"/>
  <c r="F519" i="32"/>
  <c r="A520" i="32"/>
  <c r="C520" i="32"/>
  <c r="D520" i="32"/>
  <c r="E520" i="32"/>
  <c r="F520" i="32"/>
  <c r="A521" i="32"/>
  <c r="C521" i="32"/>
  <c r="D521" i="32"/>
  <c r="E521" i="32"/>
  <c r="F521" i="32"/>
  <c r="A522" i="32"/>
  <c r="C522" i="32"/>
  <c r="D522" i="32"/>
  <c r="E522" i="32"/>
  <c r="F522" i="32"/>
  <c r="A523" i="32"/>
  <c r="C523" i="32"/>
  <c r="D523" i="32"/>
  <c r="E523" i="32"/>
  <c r="F523" i="32"/>
  <c r="A524" i="32"/>
  <c r="C524" i="32"/>
  <c r="D524" i="32"/>
  <c r="E524" i="32"/>
  <c r="F524" i="32"/>
  <c r="A525" i="32"/>
  <c r="C525" i="32"/>
  <c r="D525" i="32"/>
  <c r="E525" i="32"/>
  <c r="F525" i="32"/>
  <c r="A526" i="32"/>
  <c r="C526" i="32"/>
  <c r="D526" i="32"/>
  <c r="E526" i="32"/>
  <c r="F526" i="32"/>
  <c r="A527" i="32"/>
  <c r="C527" i="32"/>
  <c r="D527" i="32"/>
  <c r="E527" i="32"/>
  <c r="F527" i="32"/>
  <c r="A528" i="32"/>
  <c r="C528" i="32"/>
  <c r="D528" i="32"/>
  <c r="E528" i="32"/>
  <c r="F528" i="32"/>
  <c r="A529" i="32"/>
  <c r="C529" i="32"/>
  <c r="D529" i="32"/>
  <c r="E529" i="32"/>
  <c r="F529" i="32"/>
  <c r="A530" i="32"/>
  <c r="C530" i="32"/>
  <c r="D530" i="32"/>
  <c r="E530" i="32"/>
  <c r="F530" i="32"/>
  <c r="A531" i="32"/>
  <c r="C531" i="32"/>
  <c r="D531" i="32"/>
  <c r="E531" i="32"/>
  <c r="F531" i="32"/>
  <c r="A532" i="32"/>
  <c r="C532" i="32"/>
  <c r="D532" i="32"/>
  <c r="E532" i="32"/>
  <c r="F532" i="32"/>
  <c r="A533" i="32"/>
  <c r="C533" i="32"/>
  <c r="D533" i="32"/>
  <c r="E533" i="32"/>
  <c r="F533" i="32"/>
  <c r="A534" i="32"/>
  <c r="C534" i="32"/>
  <c r="D534" i="32"/>
  <c r="E534" i="32"/>
  <c r="F534" i="32"/>
  <c r="A535" i="32"/>
  <c r="C535" i="32"/>
  <c r="D535" i="32"/>
  <c r="E535" i="32"/>
  <c r="F535" i="32"/>
  <c r="A536" i="32"/>
  <c r="C536" i="32"/>
  <c r="D536" i="32"/>
  <c r="E536" i="32"/>
  <c r="F536" i="32"/>
  <c r="A537" i="32"/>
  <c r="C537" i="32"/>
  <c r="D537" i="32"/>
  <c r="E537" i="32"/>
  <c r="F537" i="32"/>
  <c r="A538" i="32"/>
  <c r="C538" i="32"/>
  <c r="D538" i="32"/>
  <c r="E538" i="32"/>
  <c r="F538" i="32"/>
  <c r="A539" i="32"/>
  <c r="C539" i="32"/>
  <c r="D539" i="32"/>
  <c r="E539" i="32"/>
  <c r="F539" i="32"/>
  <c r="A540" i="32"/>
  <c r="C540" i="32"/>
  <c r="D540" i="32"/>
  <c r="E540" i="32"/>
  <c r="F540" i="32"/>
  <c r="A541" i="32"/>
  <c r="C541" i="32"/>
  <c r="D541" i="32"/>
  <c r="E541" i="32"/>
  <c r="F541" i="32"/>
  <c r="A542" i="32"/>
  <c r="C542" i="32"/>
  <c r="D542" i="32"/>
  <c r="E542" i="32"/>
  <c r="F542" i="32"/>
  <c r="A543" i="32"/>
  <c r="C543" i="32"/>
  <c r="D543" i="32"/>
  <c r="E543" i="32"/>
  <c r="F543" i="32"/>
  <c r="A544" i="32"/>
  <c r="C544" i="32"/>
  <c r="D544" i="32"/>
  <c r="E544" i="32"/>
  <c r="F544" i="32"/>
  <c r="A545" i="32"/>
  <c r="C545" i="32"/>
  <c r="D545" i="32"/>
  <c r="E545" i="32"/>
  <c r="F545" i="32"/>
  <c r="A546" i="32"/>
  <c r="C546" i="32"/>
  <c r="D546" i="32"/>
  <c r="E546" i="32"/>
  <c r="F546" i="32"/>
  <c r="A547" i="32"/>
  <c r="C547" i="32"/>
  <c r="D547" i="32"/>
  <c r="E547" i="32"/>
  <c r="F547" i="32"/>
  <c r="A548" i="32"/>
  <c r="C548" i="32"/>
  <c r="D548" i="32"/>
  <c r="E548" i="32"/>
  <c r="F548" i="32"/>
  <c r="A549" i="32"/>
  <c r="C549" i="32"/>
  <c r="D549" i="32"/>
  <c r="E549" i="32"/>
  <c r="F549" i="32"/>
  <c r="A550" i="32"/>
  <c r="C550" i="32"/>
  <c r="D550" i="32"/>
  <c r="E550" i="32"/>
  <c r="F550" i="32"/>
  <c r="A551" i="32"/>
  <c r="C551" i="32"/>
  <c r="D551" i="32"/>
  <c r="E551" i="32"/>
  <c r="F551" i="32"/>
  <c r="A552" i="32"/>
  <c r="C552" i="32"/>
  <c r="D552" i="32"/>
  <c r="E552" i="32"/>
  <c r="F552" i="32"/>
  <c r="A553" i="32"/>
  <c r="C553" i="32"/>
  <c r="D553" i="32"/>
  <c r="E553" i="32"/>
  <c r="F553" i="32"/>
  <c r="A554" i="32"/>
  <c r="C554" i="32"/>
  <c r="D554" i="32"/>
  <c r="E554" i="32"/>
  <c r="F554" i="32"/>
  <c r="A555" i="32"/>
  <c r="C555" i="32"/>
  <c r="D555" i="32"/>
  <c r="E555" i="32"/>
  <c r="F555" i="32"/>
  <c r="A556" i="32"/>
  <c r="C556" i="32"/>
  <c r="D556" i="32"/>
  <c r="E556" i="32"/>
  <c r="F556" i="32"/>
  <c r="A557" i="32"/>
  <c r="C557" i="32"/>
  <c r="D557" i="32"/>
  <c r="E557" i="32"/>
  <c r="F557" i="32"/>
  <c r="A558" i="32"/>
  <c r="C558" i="32"/>
  <c r="D558" i="32"/>
  <c r="E558" i="32"/>
  <c r="F558" i="32"/>
  <c r="A559" i="32"/>
  <c r="C559" i="32"/>
  <c r="D559" i="32"/>
  <c r="E559" i="32"/>
  <c r="F559" i="32"/>
  <c r="A560" i="32"/>
  <c r="C560" i="32"/>
  <c r="D560" i="32"/>
  <c r="E560" i="32"/>
  <c r="F560" i="32"/>
  <c r="A561" i="32"/>
  <c r="C561" i="32"/>
  <c r="D561" i="32"/>
  <c r="E561" i="32"/>
  <c r="F561" i="32"/>
  <c r="A562" i="32"/>
  <c r="C562" i="32"/>
  <c r="D562" i="32"/>
  <c r="E562" i="32"/>
  <c r="F562" i="32"/>
  <c r="A563" i="32"/>
  <c r="C563" i="32"/>
  <c r="D563" i="32"/>
  <c r="E563" i="32"/>
  <c r="F563" i="32"/>
  <c r="A564" i="32"/>
  <c r="C564" i="32"/>
  <c r="D564" i="32"/>
  <c r="E564" i="32"/>
  <c r="F564" i="32"/>
  <c r="A565" i="32"/>
  <c r="C565" i="32"/>
  <c r="D565" i="32"/>
  <c r="E565" i="32"/>
  <c r="F565" i="32"/>
  <c r="A566" i="32"/>
  <c r="C566" i="32"/>
  <c r="D566" i="32"/>
  <c r="E566" i="32"/>
  <c r="F566" i="32"/>
  <c r="A567" i="32"/>
  <c r="C567" i="32"/>
  <c r="D567" i="32"/>
  <c r="E567" i="32"/>
  <c r="F567" i="32"/>
  <c r="A568" i="32"/>
  <c r="C568" i="32"/>
  <c r="D568" i="32"/>
  <c r="E568" i="32"/>
  <c r="F568" i="32"/>
  <c r="A569" i="32"/>
  <c r="C569" i="32"/>
  <c r="D569" i="32"/>
  <c r="E569" i="32"/>
  <c r="F569" i="32"/>
  <c r="A570" i="32"/>
  <c r="C570" i="32"/>
  <c r="D570" i="32"/>
  <c r="E570" i="32"/>
  <c r="F570" i="32"/>
  <c r="A571" i="32"/>
  <c r="C571" i="32"/>
  <c r="D571" i="32"/>
  <c r="E571" i="32"/>
  <c r="F571" i="32"/>
  <c r="A572" i="32"/>
  <c r="C572" i="32"/>
  <c r="D572" i="32"/>
  <c r="E572" i="32"/>
  <c r="F572" i="32"/>
  <c r="A573" i="32"/>
  <c r="C573" i="32"/>
  <c r="D573" i="32"/>
  <c r="E573" i="32"/>
  <c r="F573" i="32"/>
  <c r="A574" i="32"/>
  <c r="C574" i="32"/>
  <c r="D574" i="32"/>
  <c r="E574" i="32"/>
  <c r="F574" i="32"/>
  <c r="A575" i="32"/>
  <c r="C575" i="32"/>
  <c r="D575" i="32"/>
  <c r="E575" i="32"/>
  <c r="F575" i="32"/>
  <c r="A576" i="32"/>
  <c r="C576" i="32"/>
  <c r="D576" i="32"/>
  <c r="E576" i="32"/>
  <c r="F576" i="32"/>
  <c r="A577" i="32"/>
  <c r="C577" i="32"/>
  <c r="D577" i="32"/>
  <c r="E577" i="32"/>
  <c r="F577" i="32"/>
  <c r="A578" i="32"/>
  <c r="C578" i="32"/>
  <c r="D578" i="32"/>
  <c r="E578" i="32"/>
  <c r="F578" i="32"/>
  <c r="A579" i="32"/>
  <c r="C579" i="32"/>
  <c r="D579" i="32"/>
  <c r="E579" i="32"/>
  <c r="F579" i="32"/>
  <c r="A580" i="32"/>
  <c r="C580" i="32"/>
  <c r="D580" i="32"/>
  <c r="E580" i="32"/>
  <c r="F580" i="32"/>
  <c r="A581" i="32"/>
  <c r="C581" i="32"/>
  <c r="D581" i="32"/>
  <c r="E581" i="32"/>
  <c r="F581" i="32"/>
  <c r="A582" i="32"/>
  <c r="C582" i="32"/>
  <c r="D582" i="32"/>
  <c r="E582" i="32"/>
  <c r="F582" i="32"/>
  <c r="A583" i="32"/>
  <c r="C583" i="32"/>
  <c r="D583" i="32"/>
  <c r="E583" i="32"/>
  <c r="F583" i="32"/>
  <c r="A584" i="32"/>
  <c r="C584" i="32"/>
  <c r="D584" i="32"/>
  <c r="E584" i="32"/>
  <c r="F584" i="32"/>
  <c r="A585" i="32"/>
  <c r="C585" i="32"/>
  <c r="D585" i="32"/>
  <c r="E585" i="32"/>
  <c r="F585" i="32"/>
  <c r="A586" i="32"/>
  <c r="C586" i="32"/>
  <c r="D586" i="32"/>
  <c r="E586" i="32"/>
  <c r="F586" i="32"/>
  <c r="A587" i="32"/>
  <c r="C587" i="32"/>
  <c r="D587" i="32"/>
  <c r="E587" i="32"/>
  <c r="F587" i="32"/>
  <c r="A588" i="32"/>
  <c r="C588" i="32"/>
  <c r="D588" i="32"/>
  <c r="E588" i="32"/>
  <c r="F588" i="32"/>
  <c r="A589" i="32"/>
  <c r="C589" i="32"/>
  <c r="D589" i="32"/>
  <c r="E589" i="32"/>
  <c r="F589" i="32"/>
  <c r="A590" i="32"/>
  <c r="C590" i="32"/>
  <c r="D590" i="32"/>
  <c r="E590" i="32"/>
  <c r="F590" i="32"/>
  <c r="A591" i="32"/>
  <c r="C591" i="32"/>
  <c r="D591" i="32"/>
  <c r="E591" i="32"/>
  <c r="F591" i="32"/>
  <c r="A592" i="32"/>
  <c r="C592" i="32"/>
  <c r="D592" i="32"/>
  <c r="E592" i="32"/>
  <c r="F592" i="32"/>
  <c r="A593" i="32"/>
  <c r="C593" i="32"/>
  <c r="D593" i="32"/>
  <c r="E593" i="32"/>
  <c r="F593" i="32"/>
  <c r="A594" i="32"/>
  <c r="C594" i="32"/>
  <c r="D594" i="32"/>
  <c r="E594" i="32"/>
  <c r="F594" i="32"/>
  <c r="A595" i="32"/>
  <c r="C595" i="32"/>
  <c r="D595" i="32"/>
  <c r="E595" i="32"/>
  <c r="F595" i="32"/>
  <c r="A596" i="32"/>
  <c r="C596" i="32"/>
  <c r="D596" i="32"/>
  <c r="E596" i="32"/>
  <c r="F596" i="32"/>
  <c r="A597" i="32"/>
  <c r="C597" i="32"/>
  <c r="D597" i="32"/>
  <c r="E597" i="32"/>
  <c r="F597" i="32"/>
  <c r="A311" i="32"/>
  <c r="C311" i="32"/>
  <c r="D311" i="32"/>
  <c r="E311" i="32"/>
  <c r="F311" i="32"/>
  <c r="A312" i="32"/>
  <c r="C312" i="32"/>
  <c r="D312" i="32"/>
  <c r="E312" i="32"/>
  <c r="F312" i="32"/>
  <c r="A76" i="2"/>
  <c r="H21" i="32" a="1"/>
  <c r="O21" i="32" a="1"/>
  <c r="N21" i="32" a="1"/>
  <c r="Q21" i="32" a="1"/>
  <c r="M21" i="32" a="1"/>
  <c r="P21" i="32" a="1"/>
  <c r="D21" i="32" a="1"/>
  <c r="F21" i="32" a="1"/>
  <c r="G21" i="32" a="1"/>
  <c r="L21" i="32" a="1"/>
  <c r="C21" i="32" a="1"/>
  <c r="E21" i="32" a="1"/>
  <c r="F21" i="32" l="1"/>
  <c r="H21" i="32"/>
  <c r="P21" i="32"/>
  <c r="L21" i="32"/>
  <c r="D21" i="32"/>
  <c r="Q21" i="32"/>
  <c r="O21" i="32"/>
  <c r="G21" i="32"/>
  <c r="E21" i="32"/>
  <c r="M21" i="32"/>
  <c r="N21" i="32"/>
  <c r="C21" i="32"/>
  <c r="B22" i="32"/>
  <c r="M46" i="2"/>
  <c r="P22" i="32" a="1"/>
  <c r="G22" i="32" a="1"/>
  <c r="Q22" i="32" a="1"/>
  <c r="E22" i="32" a="1"/>
  <c r="N22" i="32" a="1"/>
  <c r="F22" i="32" a="1"/>
  <c r="C22" i="32" a="1"/>
  <c r="M22" i="32" a="1"/>
  <c r="O22" i="32" a="1"/>
  <c r="H22" i="32" a="1"/>
  <c r="L22" i="32" a="1"/>
  <c r="D22" i="32" a="1"/>
  <c r="N22" i="32" l="1"/>
  <c r="L22" i="32"/>
  <c r="H22" i="32"/>
  <c r="P22" i="32"/>
  <c r="M22" i="32"/>
  <c r="F22" i="32"/>
  <c r="Q22" i="32"/>
  <c r="E22" i="32"/>
  <c r="C22" i="32"/>
  <c r="O22" i="32"/>
  <c r="G22" i="32"/>
  <c r="D22" i="32"/>
  <c r="B23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51" i="32"/>
  <c r="R54" i="32"/>
  <c r="R55" i="32"/>
  <c r="R56" i="32"/>
  <c r="R57" i="32"/>
  <c r="R58" i="32"/>
  <c r="R59" i="32"/>
  <c r="R60" i="32"/>
  <c r="R61" i="32"/>
  <c r="R62" i="32"/>
  <c r="R63" i="32"/>
  <c r="E23" i="32" a="1"/>
  <c r="C23" i="32" a="1"/>
  <c r="G23" i="32" a="1"/>
  <c r="F23" i="32" a="1"/>
  <c r="P23" i="32" a="1"/>
  <c r="N23" i="32" a="1"/>
  <c r="O23" i="32" a="1"/>
  <c r="L23" i="32" a="1"/>
  <c r="M23" i="32" a="1"/>
  <c r="H23" i="32" a="1"/>
  <c r="D23" i="32" a="1"/>
  <c r="Q23" i="32" a="1"/>
  <c r="Q23" i="32" l="1"/>
  <c r="M23" i="32"/>
  <c r="G23" i="32"/>
  <c r="F23" i="32"/>
  <c r="L23" i="32"/>
  <c r="P23" i="32"/>
  <c r="N23" i="32"/>
  <c r="E23" i="32"/>
  <c r="C23" i="32"/>
  <c r="O23" i="32"/>
  <c r="H23" i="32"/>
  <c r="D23" i="32"/>
  <c r="B24" i="32"/>
  <c r="AD1" i="2"/>
  <c r="AE5" i="2" s="1"/>
  <c r="BN1" i="2"/>
  <c r="BO9" i="2" s="1"/>
  <c r="BE1" i="2"/>
  <c r="BF8" i="2" s="1"/>
  <c r="AV1" i="2"/>
  <c r="AW5" i="2" s="1"/>
  <c r="AM1" i="2"/>
  <c r="AN6" i="2" s="1"/>
  <c r="U1" i="2"/>
  <c r="M24" i="32" a="1"/>
  <c r="C24" i="32" a="1"/>
  <c r="L24" i="32" a="1"/>
  <c r="Q24" i="32" a="1"/>
  <c r="O24" i="32" a="1"/>
  <c r="P24" i="32" a="1"/>
  <c r="N24" i="32" a="1"/>
  <c r="G24" i="32" a="1"/>
  <c r="F24" i="32" a="1"/>
  <c r="E24" i="32" a="1"/>
  <c r="H24" i="32" a="1"/>
  <c r="D24" i="32" a="1"/>
  <c r="C24" i="32" l="1"/>
  <c r="E24" i="32"/>
  <c r="N24" i="32"/>
  <c r="M24" i="32"/>
  <c r="F24" i="32"/>
  <c r="H24" i="32"/>
  <c r="L24" i="32"/>
  <c r="Q24" i="32"/>
  <c r="O24" i="32"/>
  <c r="P24" i="32"/>
  <c r="G24" i="32"/>
  <c r="D24" i="32"/>
  <c r="B25" i="32"/>
  <c r="AE4" i="2"/>
  <c r="AW6" i="2"/>
  <c r="BO5" i="2"/>
  <c r="AN7" i="2"/>
  <c r="BO6" i="2"/>
  <c r="BF4" i="2"/>
  <c r="AW7" i="2"/>
  <c r="BF6" i="2"/>
  <c r="BO7" i="2"/>
  <c r="AN5" i="2"/>
  <c r="BF5" i="2"/>
  <c r="AW8" i="2"/>
  <c r="BF7" i="2"/>
  <c r="BO8" i="2"/>
  <c r="BO4" i="2"/>
  <c r="D5" i="17"/>
  <c r="D11" i="17"/>
  <c r="E11" i="17"/>
  <c r="E10" i="17"/>
  <c r="E5" i="17"/>
  <c r="E4" i="17"/>
  <c r="N25" i="32" a="1"/>
  <c r="E25" i="32" a="1"/>
  <c r="O25" i="32" a="1"/>
  <c r="Q25" i="32" a="1"/>
  <c r="L25" i="32" a="1"/>
  <c r="C25" i="32" a="1"/>
  <c r="H25" i="32" a="1"/>
  <c r="M25" i="32" a="1"/>
  <c r="P25" i="32" a="1"/>
  <c r="G25" i="32" a="1"/>
  <c r="D25" i="32" a="1"/>
  <c r="F25" i="32" a="1"/>
  <c r="M25" i="32" l="1"/>
  <c r="F25" i="32"/>
  <c r="E25" i="32"/>
  <c r="N25" i="32"/>
  <c r="O25" i="32"/>
  <c r="P25" i="32"/>
  <c r="G25" i="32"/>
  <c r="H25" i="32"/>
  <c r="C25" i="32"/>
  <c r="L25" i="32"/>
  <c r="Q25" i="32"/>
  <c r="D25" i="32"/>
  <c r="B26" i="32"/>
  <c r="L26" i="32" a="1"/>
  <c r="C26" i="32" a="1"/>
  <c r="H26" i="32" a="1"/>
  <c r="F26" i="32" a="1"/>
  <c r="E26" i="32" a="1"/>
  <c r="O26" i="32" a="1"/>
  <c r="P26" i="32" a="1"/>
  <c r="N26" i="32" a="1"/>
  <c r="D26" i="32" a="1"/>
  <c r="M26" i="32" a="1"/>
  <c r="Q26" i="32" a="1"/>
  <c r="G26" i="32" a="1"/>
  <c r="F26" i="32" l="1"/>
  <c r="M26" i="32"/>
  <c r="E26" i="32"/>
  <c r="C26" i="32"/>
  <c r="H26" i="32"/>
  <c r="Q26" i="32"/>
  <c r="P26" i="32"/>
  <c r="G26" i="32"/>
  <c r="N26" i="32"/>
  <c r="O26" i="32"/>
  <c r="L26" i="32"/>
  <c r="D26" i="32"/>
  <c r="B27" i="32"/>
  <c r="H27" i="32" a="1"/>
  <c r="L27" i="32" a="1"/>
  <c r="C27" i="32" a="1"/>
  <c r="Q27" i="32" a="1"/>
  <c r="O27" i="32" a="1"/>
  <c r="E27" i="32" a="1"/>
  <c r="D27" i="32" a="1"/>
  <c r="M27" i="32" a="1"/>
  <c r="G27" i="32" a="1"/>
  <c r="P27" i="32" a="1"/>
  <c r="F27" i="32" a="1"/>
  <c r="N27" i="32" a="1"/>
  <c r="L27" i="32" l="1"/>
  <c r="P27" i="32"/>
  <c r="M27" i="32"/>
  <c r="Q27" i="32"/>
  <c r="O27" i="32"/>
  <c r="N27" i="32"/>
  <c r="E27" i="32"/>
  <c r="F27" i="32"/>
  <c r="C27" i="32"/>
  <c r="H27" i="32"/>
  <c r="G27" i="32"/>
  <c r="D27" i="32"/>
  <c r="B28" i="32"/>
  <c r="G28" i="32" a="1"/>
  <c r="P28" i="32" a="1"/>
  <c r="C28" i="32" a="1"/>
  <c r="Q28" i="32" a="1"/>
  <c r="H28" i="32" a="1"/>
  <c r="D28" i="32" a="1"/>
  <c r="E28" i="32" a="1"/>
  <c r="L28" i="32" a="1"/>
  <c r="M28" i="32" a="1"/>
  <c r="O28" i="32" a="1"/>
  <c r="N28" i="32" a="1"/>
  <c r="F28" i="32" a="1"/>
  <c r="L28" i="32" l="1"/>
  <c r="M28" i="32"/>
  <c r="N28" i="32"/>
  <c r="Q28" i="32"/>
  <c r="P28" i="32"/>
  <c r="O28" i="32"/>
  <c r="F28" i="32"/>
  <c r="G28" i="32"/>
  <c r="H28" i="32"/>
  <c r="E28" i="32"/>
  <c r="D28" i="32"/>
  <c r="C28" i="32"/>
  <c r="B29" i="32"/>
  <c r="N29" i="32" a="1"/>
  <c r="M29" i="32" a="1"/>
  <c r="C29" i="32" a="1"/>
  <c r="E29" i="32" a="1"/>
  <c r="P29" i="32" a="1"/>
  <c r="Q29" i="32" a="1"/>
  <c r="H29" i="32" a="1"/>
  <c r="F29" i="32" a="1"/>
  <c r="D29" i="32" a="1"/>
  <c r="O29" i="32" a="1"/>
  <c r="L29" i="32" a="1"/>
  <c r="G29" i="32" a="1"/>
  <c r="O29" i="32" l="1"/>
  <c r="P29" i="32"/>
  <c r="L29" i="32"/>
  <c r="N29" i="32"/>
  <c r="M29" i="32"/>
  <c r="Q29" i="32"/>
  <c r="G29" i="32"/>
  <c r="C29" i="32"/>
  <c r="H29" i="32"/>
  <c r="E29" i="32"/>
  <c r="F29" i="32"/>
  <c r="D29" i="32"/>
  <c r="B30" i="32"/>
  <c r="O30" i="32" a="1"/>
  <c r="M30" i="32" a="1"/>
  <c r="E30" i="32" a="1"/>
  <c r="G30" i="32" a="1"/>
  <c r="P30" i="32" a="1"/>
  <c r="N30" i="32" a="1"/>
  <c r="C30" i="32" a="1"/>
  <c r="H30" i="32" a="1"/>
  <c r="L30" i="32" a="1"/>
  <c r="Q30" i="32" a="1"/>
  <c r="F30" i="32" a="1"/>
  <c r="D30" i="32" a="1"/>
  <c r="M30" i="32" l="1"/>
  <c r="N30" i="32"/>
  <c r="O30" i="32"/>
  <c r="L30" i="32"/>
  <c r="P30" i="32"/>
  <c r="Q30" i="32"/>
  <c r="C30" i="32"/>
  <c r="H30" i="32"/>
  <c r="E30" i="32"/>
  <c r="F30" i="32"/>
  <c r="D30" i="32"/>
  <c r="G30" i="32"/>
  <c r="B31" i="32"/>
  <c r="L31" i="32" a="1"/>
  <c r="P31" i="32" a="1"/>
  <c r="O31" i="32" a="1"/>
  <c r="C31" i="32" a="1"/>
  <c r="F31" i="32" a="1"/>
  <c r="D31" i="32" a="1"/>
  <c r="M31" i="32" a="1"/>
  <c r="H31" i="32" a="1"/>
  <c r="G31" i="32" a="1"/>
  <c r="E31" i="32" a="1"/>
  <c r="N31" i="32" a="1"/>
  <c r="Q31" i="32" a="1"/>
  <c r="Q31" i="32" l="1"/>
  <c r="O31" i="32"/>
  <c r="L31" i="32"/>
  <c r="M31" i="32"/>
  <c r="P31" i="32"/>
  <c r="N31" i="32"/>
  <c r="C31" i="32"/>
  <c r="H31" i="32"/>
  <c r="E31" i="32"/>
  <c r="D31" i="32"/>
  <c r="G31" i="32"/>
  <c r="F31" i="32"/>
  <c r="B32" i="32"/>
  <c r="H32" i="32" a="1"/>
  <c r="Q32" i="32" a="1"/>
  <c r="O32" i="32" a="1"/>
  <c r="C32" i="32" a="1"/>
  <c r="E32" i="32" a="1"/>
  <c r="G32" i="32" a="1"/>
  <c r="D32" i="32" a="1"/>
  <c r="P32" i="32" a="1"/>
  <c r="F32" i="32" a="1"/>
  <c r="M32" i="32" a="1"/>
  <c r="N32" i="32" a="1"/>
  <c r="L32" i="32" a="1"/>
  <c r="Q32" i="32" l="1"/>
  <c r="O32" i="32"/>
  <c r="N32" i="32"/>
  <c r="L32" i="32"/>
  <c r="P32" i="32"/>
  <c r="M32" i="32"/>
  <c r="E32" i="32"/>
  <c r="F32" i="32"/>
  <c r="C32" i="32"/>
  <c r="D32" i="32"/>
  <c r="G32" i="32"/>
  <c r="H32" i="32"/>
  <c r="B33" i="32"/>
  <c r="O33" i="32" a="1"/>
  <c r="G33" i="32" a="1"/>
  <c r="D33" i="32" a="1"/>
  <c r="N33" i="32" a="1"/>
  <c r="E33" i="32" a="1"/>
  <c r="Q33" i="32" a="1"/>
  <c r="H33" i="32" a="1"/>
  <c r="M33" i="32" a="1"/>
  <c r="C33" i="32" a="1"/>
  <c r="P33" i="32" a="1"/>
  <c r="F33" i="32" a="1"/>
  <c r="L33" i="32" a="1"/>
  <c r="Q33" i="32" l="1"/>
  <c r="O33" i="32"/>
  <c r="N33" i="32"/>
  <c r="M33" i="32"/>
  <c r="L33" i="32"/>
  <c r="P33" i="32"/>
  <c r="E33" i="32"/>
  <c r="C33" i="32"/>
  <c r="F33" i="32"/>
  <c r="G33" i="32"/>
  <c r="D33" i="32"/>
  <c r="H33" i="32"/>
  <c r="B34" i="32"/>
  <c r="P34" i="32" a="1"/>
  <c r="L34" i="32" a="1"/>
  <c r="E34" i="32" a="1"/>
  <c r="D34" i="32" a="1"/>
  <c r="O34" i="32" a="1"/>
  <c r="C34" i="32" a="1"/>
  <c r="M34" i="32" a="1"/>
  <c r="Q34" i="32" a="1"/>
  <c r="H34" i="32" a="1"/>
  <c r="G34" i="32" a="1"/>
  <c r="N34" i="32" a="1"/>
  <c r="F34" i="32" a="1"/>
  <c r="Q34" i="32" l="1"/>
  <c r="O34" i="32"/>
  <c r="M34" i="32"/>
  <c r="L34" i="32"/>
  <c r="P34" i="32"/>
  <c r="N34" i="32"/>
  <c r="H34" i="32"/>
  <c r="F34" i="32"/>
  <c r="E34" i="32"/>
  <c r="D34" i="32"/>
  <c r="G34" i="32"/>
  <c r="C34" i="32"/>
  <c r="B35" i="32"/>
  <c r="O35" i="32" a="1"/>
  <c r="P35" i="32" a="1"/>
  <c r="C35" i="32" a="1"/>
  <c r="F35" i="32" a="1"/>
  <c r="E35" i="32" a="1"/>
  <c r="G35" i="32" a="1"/>
  <c r="N35" i="32" a="1"/>
  <c r="D35" i="32" a="1"/>
  <c r="L35" i="32" a="1"/>
  <c r="M35" i="32" a="1"/>
  <c r="H35" i="32" a="1"/>
  <c r="Q35" i="32" a="1"/>
  <c r="Q35" i="32" l="1"/>
  <c r="P35" i="32"/>
  <c r="O35" i="32"/>
  <c r="N35" i="32"/>
  <c r="M35" i="32"/>
  <c r="L35" i="32"/>
  <c r="C35" i="32"/>
  <c r="F35" i="32"/>
  <c r="D35" i="32"/>
  <c r="H35" i="32"/>
  <c r="E35" i="32"/>
  <c r="G35" i="32"/>
  <c r="B36" i="32"/>
  <c r="C36" i="32" a="1"/>
  <c r="P36" i="32" a="1"/>
  <c r="O36" i="32" a="1"/>
  <c r="M36" i="32" a="1"/>
  <c r="D36" i="32" a="1"/>
  <c r="L36" i="32" a="1"/>
  <c r="N36" i="32" a="1"/>
  <c r="Q36" i="32" a="1"/>
  <c r="G36" i="32" a="1"/>
  <c r="E36" i="32" a="1"/>
  <c r="F36" i="32" a="1"/>
  <c r="H36" i="32" a="1"/>
  <c r="Q36" i="32" l="1"/>
  <c r="N36" i="32"/>
  <c r="O36" i="32"/>
  <c r="P36" i="32"/>
  <c r="L36" i="32"/>
  <c r="M36" i="32"/>
  <c r="F36" i="32"/>
  <c r="H36" i="32"/>
  <c r="E36" i="32"/>
  <c r="D36" i="32"/>
  <c r="G36" i="32"/>
  <c r="C36" i="32"/>
  <c r="B37" i="32"/>
  <c r="L37" i="32" a="1"/>
  <c r="Q37" i="32" a="1"/>
  <c r="H37" i="32" a="1"/>
  <c r="G37" i="32" a="1"/>
  <c r="C37" i="32" a="1"/>
  <c r="D37" i="32" a="1"/>
  <c r="E37" i="32" a="1"/>
  <c r="N37" i="32" a="1"/>
  <c r="O37" i="32" a="1"/>
  <c r="M37" i="32" a="1"/>
  <c r="P37" i="32" a="1"/>
  <c r="F37" i="32" a="1"/>
  <c r="Q37" i="32" l="1"/>
  <c r="O37" i="32"/>
  <c r="M37" i="32"/>
  <c r="P37" i="32"/>
  <c r="L37" i="32"/>
  <c r="N37" i="32"/>
  <c r="F37" i="32"/>
  <c r="E37" i="32"/>
  <c r="G37" i="32"/>
  <c r="H37" i="32"/>
  <c r="C37" i="32"/>
  <c r="D37" i="32"/>
  <c r="B38" i="32"/>
  <c r="P38" i="32" a="1"/>
  <c r="Q38" i="32" a="1"/>
  <c r="H38" i="32" a="1"/>
  <c r="F38" i="32" a="1"/>
  <c r="D38" i="32" a="1"/>
  <c r="G38" i="32" a="1"/>
  <c r="C38" i="32" a="1"/>
  <c r="N38" i="32" a="1"/>
  <c r="O38" i="32" a="1"/>
  <c r="L38" i="32" a="1"/>
  <c r="M38" i="32" a="1"/>
  <c r="E38" i="32" a="1"/>
  <c r="P38" i="32" l="1"/>
  <c r="Q38" i="32"/>
  <c r="M38" i="32"/>
  <c r="O38" i="32"/>
  <c r="N38" i="32"/>
  <c r="L38" i="32"/>
  <c r="F38" i="32"/>
  <c r="E38" i="32"/>
  <c r="C38" i="32"/>
  <c r="H38" i="32"/>
  <c r="G38" i="32"/>
  <c r="D38" i="32"/>
  <c r="B39" i="32"/>
  <c r="F39" i="32" a="1"/>
  <c r="O39" i="32" a="1"/>
  <c r="G39" i="32" a="1"/>
  <c r="M39" i="32" a="1"/>
  <c r="P39" i="32" a="1"/>
  <c r="N39" i="32" a="1"/>
  <c r="D39" i="32" a="1"/>
  <c r="E39" i="32" a="1"/>
  <c r="Q39" i="32" a="1"/>
  <c r="H39" i="32" a="1"/>
  <c r="C39" i="32" a="1"/>
  <c r="L39" i="32" a="1"/>
  <c r="L39" i="32" l="1"/>
  <c r="M39" i="32"/>
  <c r="N39" i="32"/>
  <c r="P39" i="32"/>
  <c r="Q39" i="32"/>
  <c r="O39" i="32"/>
  <c r="C39" i="32"/>
  <c r="F39" i="32"/>
  <c r="H39" i="32"/>
  <c r="E39" i="32"/>
  <c r="G39" i="32"/>
  <c r="D39" i="32"/>
  <c r="B40" i="32"/>
  <c r="P40" i="32" a="1"/>
  <c r="L40" i="32" a="1"/>
  <c r="O40" i="32" a="1"/>
  <c r="E40" i="32" a="1"/>
  <c r="M40" i="32" a="1"/>
  <c r="C40" i="32" a="1"/>
  <c r="Q40" i="32" a="1"/>
  <c r="H40" i="32" a="1"/>
  <c r="D40" i="32" a="1"/>
  <c r="F40" i="32" a="1"/>
  <c r="N40" i="32" a="1"/>
  <c r="G40" i="32" a="1"/>
  <c r="L40" i="32" l="1"/>
  <c r="N40" i="32"/>
  <c r="Q40" i="32"/>
  <c r="P40" i="32"/>
  <c r="M40" i="32"/>
  <c r="O40" i="32"/>
  <c r="F40" i="32"/>
  <c r="G40" i="32"/>
  <c r="H40" i="32"/>
  <c r="E40" i="32"/>
  <c r="D40" i="32"/>
  <c r="C40" i="32"/>
  <c r="B41" i="32"/>
  <c r="F41" i="32" a="1"/>
  <c r="N41" i="32" a="1"/>
  <c r="O41" i="32" a="1"/>
  <c r="P41" i="32" a="1"/>
  <c r="G41" i="32" a="1"/>
  <c r="L41" i="32" a="1"/>
  <c r="C41" i="32" a="1"/>
  <c r="M41" i="32" a="1"/>
  <c r="Q41" i="32" a="1"/>
  <c r="D41" i="32" a="1"/>
  <c r="E41" i="32" a="1"/>
  <c r="H41" i="32" a="1"/>
  <c r="O41" i="32" l="1"/>
  <c r="L41" i="32"/>
  <c r="P41" i="32"/>
  <c r="N41" i="32"/>
  <c r="M41" i="32"/>
  <c r="Q41" i="32"/>
  <c r="G41" i="32"/>
  <c r="H41" i="32"/>
  <c r="C41" i="32"/>
  <c r="E41" i="32"/>
  <c r="D41" i="32"/>
  <c r="F41" i="32"/>
  <c r="B42" i="32"/>
  <c r="E42" i="32" a="1"/>
  <c r="F42" i="32" a="1"/>
  <c r="C42" i="32" a="1"/>
  <c r="H42" i="32" a="1"/>
  <c r="O42" i="32" a="1"/>
  <c r="L42" i="32" a="1"/>
  <c r="Q42" i="32" a="1"/>
  <c r="G42" i="32" a="1"/>
  <c r="D42" i="32" a="1"/>
  <c r="N42" i="32" a="1"/>
  <c r="M42" i="32" a="1"/>
  <c r="P42" i="32" a="1"/>
  <c r="O42" i="32" l="1"/>
  <c r="L42" i="32"/>
  <c r="M42" i="32"/>
  <c r="P42" i="32"/>
  <c r="N42" i="32"/>
  <c r="Q42" i="32"/>
  <c r="F42" i="32"/>
  <c r="H42" i="32"/>
  <c r="E42" i="32"/>
  <c r="D42" i="32"/>
  <c r="C42" i="32"/>
  <c r="G42" i="32"/>
  <c r="B43" i="32"/>
  <c r="N43" i="32" a="1"/>
  <c r="O43" i="32" a="1"/>
  <c r="M43" i="32" a="1"/>
  <c r="H43" i="32" a="1"/>
  <c r="Q43" i="32" a="1"/>
  <c r="F43" i="32" a="1"/>
  <c r="G43" i="32" a="1"/>
  <c r="L43" i="32" a="1"/>
  <c r="C43" i="32" a="1"/>
  <c r="P43" i="32" a="1"/>
  <c r="E43" i="32" a="1"/>
  <c r="D43" i="32" a="1"/>
  <c r="Q43" i="32" l="1"/>
  <c r="O43" i="32"/>
  <c r="L43" i="32"/>
  <c r="M43" i="32"/>
  <c r="P43" i="32"/>
  <c r="N43" i="32"/>
  <c r="H43" i="32"/>
  <c r="C43" i="32"/>
  <c r="E43" i="32"/>
  <c r="D43" i="32"/>
  <c r="G43" i="32"/>
  <c r="F43" i="32"/>
  <c r="B44" i="32"/>
  <c r="F44" i="32" a="1"/>
  <c r="E44" i="32" a="1"/>
  <c r="P44" i="32" a="1"/>
  <c r="N44" i="32" a="1"/>
  <c r="G44" i="32" a="1"/>
  <c r="M44" i="32" a="1"/>
  <c r="Q44" i="32" a="1"/>
  <c r="C44" i="32" a="1"/>
  <c r="D44" i="32" a="1"/>
  <c r="H44" i="32" a="1"/>
  <c r="L44" i="32" a="1"/>
  <c r="O44" i="32" a="1"/>
  <c r="Q44" i="32" l="1"/>
  <c r="O44" i="32"/>
  <c r="L44" i="32"/>
  <c r="N44" i="32"/>
  <c r="P44" i="32"/>
  <c r="M44" i="32"/>
  <c r="F44" i="32"/>
  <c r="H44" i="32"/>
  <c r="E44" i="32"/>
  <c r="D44" i="32"/>
  <c r="G44" i="32"/>
  <c r="C44" i="32"/>
  <c r="B45" i="32"/>
  <c r="C45" i="32" a="1"/>
  <c r="N45" i="32" a="1"/>
  <c r="Q45" i="32" a="1"/>
  <c r="O45" i="32" a="1"/>
  <c r="L45" i="32" a="1"/>
  <c r="H45" i="32" a="1"/>
  <c r="F45" i="32" a="1"/>
  <c r="G45" i="32" a="1"/>
  <c r="D45" i="32" a="1"/>
  <c r="P45" i="32" a="1"/>
  <c r="M45" i="32" a="1"/>
  <c r="E45" i="32" a="1"/>
  <c r="N45" i="32" l="1"/>
  <c r="Q45" i="32"/>
  <c r="O45" i="32"/>
  <c r="L45" i="32"/>
  <c r="M45" i="32"/>
  <c r="P45" i="32"/>
  <c r="C45" i="32"/>
  <c r="E45" i="32"/>
  <c r="G45" i="32"/>
  <c r="D45" i="32"/>
  <c r="F45" i="32"/>
  <c r="H45" i="32"/>
  <c r="B46" i="32"/>
  <c r="G46" i="32" a="1"/>
  <c r="C46" i="32" a="1"/>
  <c r="D46" i="32" a="1"/>
  <c r="O46" i="32" a="1"/>
  <c r="F46" i="32" a="1"/>
  <c r="P46" i="32" a="1"/>
  <c r="L46" i="32" a="1"/>
  <c r="E46" i="32" a="1"/>
  <c r="H46" i="32" a="1"/>
  <c r="Q46" i="32" a="1"/>
  <c r="M46" i="32" a="1"/>
  <c r="N46" i="32" a="1"/>
  <c r="Q46" i="32" l="1"/>
  <c r="O46" i="32"/>
  <c r="L46" i="32"/>
  <c r="M46" i="32"/>
  <c r="P46" i="32"/>
  <c r="N46" i="32"/>
  <c r="F46" i="32"/>
  <c r="H46" i="32"/>
  <c r="E46" i="32"/>
  <c r="C46" i="32"/>
  <c r="G46" i="32"/>
  <c r="D46" i="32"/>
  <c r="B47" i="32"/>
  <c r="Q47" i="32" a="1"/>
  <c r="N47" i="32" a="1"/>
  <c r="D47" i="32" a="1"/>
  <c r="P47" i="32" a="1"/>
  <c r="C47" i="32" a="1"/>
  <c r="L47" i="32" a="1"/>
  <c r="G47" i="32" a="1"/>
  <c r="E47" i="32" a="1"/>
  <c r="F47" i="32" a="1"/>
  <c r="M47" i="32" a="1"/>
  <c r="O47" i="32" a="1"/>
  <c r="H47" i="32" a="1"/>
  <c r="Q47" i="32" l="1"/>
  <c r="P47" i="32"/>
  <c r="O47" i="32"/>
  <c r="M47" i="32"/>
  <c r="L47" i="32"/>
  <c r="N47" i="32"/>
  <c r="H47" i="32"/>
  <c r="E47" i="32"/>
  <c r="C47" i="32"/>
  <c r="G47" i="32"/>
  <c r="D47" i="32"/>
  <c r="F47" i="32"/>
  <c r="B48" i="32"/>
  <c r="H48" i="32" a="1"/>
  <c r="O48" i="32" a="1"/>
  <c r="L48" i="32" a="1"/>
  <c r="E48" i="32" a="1"/>
  <c r="Q48" i="32" a="1"/>
  <c r="P48" i="32" a="1"/>
  <c r="G48" i="32" a="1"/>
  <c r="M48" i="32" a="1"/>
  <c r="D48" i="32" a="1"/>
  <c r="F48" i="32" a="1"/>
  <c r="C48" i="32" a="1"/>
  <c r="N48" i="32" a="1"/>
  <c r="M48" i="32" l="1"/>
  <c r="Q48" i="32"/>
  <c r="N48" i="32"/>
  <c r="O48" i="32"/>
  <c r="L48" i="32"/>
  <c r="P48" i="32"/>
  <c r="H48" i="32"/>
  <c r="F48" i="32"/>
  <c r="C48" i="32"/>
  <c r="G48" i="32"/>
  <c r="D48" i="32"/>
  <c r="E48" i="32"/>
  <c r="B49" i="32"/>
  <c r="O49" i="32" a="1"/>
  <c r="C49" i="32" a="1"/>
  <c r="N49" i="32" a="1"/>
  <c r="Q49" i="32" a="1"/>
  <c r="D49" i="32" a="1"/>
  <c r="G49" i="32" a="1"/>
  <c r="E49" i="32" a="1"/>
  <c r="H49" i="32" a="1"/>
  <c r="P49" i="32" a="1"/>
  <c r="L49" i="32" a="1"/>
  <c r="F49" i="32" a="1"/>
  <c r="M49" i="32" a="1"/>
  <c r="Q49" i="32" l="1"/>
  <c r="O49" i="32"/>
  <c r="L49" i="32"/>
  <c r="N49" i="32"/>
  <c r="M49" i="32"/>
  <c r="P49" i="32"/>
  <c r="H49" i="32"/>
  <c r="F49" i="32"/>
  <c r="G49" i="32"/>
  <c r="E49" i="32"/>
  <c r="C49" i="32"/>
  <c r="D49" i="32"/>
  <c r="B50" i="32"/>
  <c r="M50" i="32" a="1"/>
  <c r="G50" i="32" a="1"/>
  <c r="N50" i="32" a="1"/>
  <c r="E50" i="32" a="1"/>
  <c r="L50" i="32" a="1"/>
  <c r="Q50" i="32" a="1"/>
  <c r="F50" i="32" a="1"/>
  <c r="O50" i="32" a="1"/>
  <c r="C50" i="32" a="1"/>
  <c r="D50" i="32" a="1"/>
  <c r="P50" i="32" a="1"/>
  <c r="H50" i="32" a="1"/>
  <c r="N50" i="32" l="1"/>
  <c r="M50" i="32"/>
  <c r="P50" i="32"/>
  <c r="Q50" i="32"/>
  <c r="O50" i="32"/>
  <c r="L50" i="32"/>
  <c r="H50" i="32"/>
  <c r="B51" i="32"/>
  <c r="B52" i="32" s="1"/>
  <c r="E50" i="32"/>
  <c r="F50" i="32"/>
  <c r="G50" i="32"/>
  <c r="D50" i="32"/>
  <c r="C50" i="32"/>
  <c r="G52" i="32" a="1"/>
  <c r="E51" i="32" a="1"/>
  <c r="F52" i="32" a="1"/>
  <c r="F51" i="32" a="1"/>
  <c r="N52" i="32" a="1"/>
  <c r="D51" i="32" a="1"/>
  <c r="O52" i="32" a="1"/>
  <c r="Q51" i="32" a="1"/>
  <c r="G51" i="32" a="1"/>
  <c r="C52" i="32" a="1"/>
  <c r="M52" i="32" a="1"/>
  <c r="D52" i="32" a="1"/>
  <c r="M51" i="32" a="1"/>
  <c r="Q52" i="32" a="1"/>
  <c r="H52" i="32" a="1"/>
  <c r="L51" i="32" a="1"/>
  <c r="P51" i="32" a="1"/>
  <c r="O51" i="32" a="1"/>
  <c r="L52" i="32" a="1"/>
  <c r="N51" i="32" a="1"/>
  <c r="E52" i="32" a="1"/>
  <c r="P52" i="32" a="1"/>
  <c r="C51" i="32" a="1"/>
  <c r="H51" i="32" a="1"/>
  <c r="P52" i="32" l="1"/>
  <c r="L52" i="32"/>
  <c r="M52" i="32"/>
  <c r="N52" i="32"/>
  <c r="Q52" i="32"/>
  <c r="O52" i="32"/>
  <c r="H52" i="32"/>
  <c r="L51" i="32"/>
  <c r="N51" i="32"/>
  <c r="P51" i="32"/>
  <c r="Q51" i="32"/>
  <c r="M51" i="32"/>
  <c r="O51" i="32"/>
  <c r="H51" i="32"/>
  <c r="E51" i="32"/>
  <c r="F51" i="32"/>
  <c r="G51" i="32"/>
  <c r="C51" i="32"/>
  <c r="D51" i="32"/>
  <c r="D52" i="32"/>
  <c r="E52" i="32"/>
  <c r="C52" i="32"/>
  <c r="G52" i="32"/>
  <c r="F52" i="32"/>
  <c r="B53" i="32"/>
  <c r="L53" i="32" a="1"/>
  <c r="H53" i="32" a="1"/>
  <c r="C53" i="32" a="1"/>
  <c r="Q53" i="32" a="1"/>
  <c r="M53" i="32" a="1"/>
  <c r="P53" i="32" a="1"/>
  <c r="D53" i="32" a="1"/>
  <c r="N53" i="32" a="1"/>
  <c r="G53" i="32" a="1"/>
  <c r="F53" i="32" a="1"/>
  <c r="E53" i="32" a="1"/>
  <c r="O53" i="32" a="1"/>
  <c r="O53" i="32" l="1"/>
  <c r="M53" i="32"/>
  <c r="N53" i="32"/>
  <c r="L53" i="32"/>
  <c r="Q53" i="32"/>
  <c r="P53" i="32"/>
  <c r="H53" i="32"/>
  <c r="C53" i="32"/>
  <c r="D53" i="32"/>
  <c r="E53" i="32"/>
  <c r="F53" i="32"/>
  <c r="G53" i="32"/>
  <c r="B54" i="32"/>
  <c r="F54" i="32" a="1"/>
  <c r="D54" i="32" a="1"/>
  <c r="E54" i="32" a="1"/>
  <c r="H54" i="32" a="1"/>
  <c r="N54" i="32" a="1"/>
  <c r="G54" i="32" a="1"/>
  <c r="Q54" i="32" a="1"/>
  <c r="C54" i="32" a="1"/>
  <c r="L54" i="32" a="1"/>
  <c r="P54" i="32" a="1"/>
  <c r="M54" i="32" a="1"/>
  <c r="O54" i="32" a="1"/>
  <c r="O54" i="32" l="1"/>
  <c r="N54" i="32"/>
  <c r="L54" i="32"/>
  <c r="M54" i="32"/>
  <c r="P54" i="32"/>
  <c r="Q54" i="32"/>
  <c r="H54" i="32"/>
  <c r="F54" i="32"/>
  <c r="C54" i="32"/>
  <c r="D54" i="32"/>
  <c r="E54" i="32"/>
  <c r="G54" i="32"/>
  <c r="B55" i="32"/>
  <c r="E55" i="32" a="1"/>
  <c r="O55" i="32" a="1"/>
  <c r="C55" i="32" a="1"/>
  <c r="H55" i="32" a="1"/>
  <c r="P55" i="32" a="1"/>
  <c r="Q55" i="32" a="1"/>
  <c r="N55" i="32" a="1"/>
  <c r="L55" i="32" a="1"/>
  <c r="D55" i="32" a="1"/>
  <c r="M55" i="32" a="1"/>
  <c r="F55" i="32" a="1"/>
  <c r="G55" i="32" a="1"/>
  <c r="Q55" i="32" l="1"/>
  <c r="N55" i="32"/>
  <c r="O55" i="32"/>
  <c r="M55" i="32"/>
  <c r="L55" i="32"/>
  <c r="P55" i="32"/>
  <c r="H55" i="32"/>
  <c r="F55" i="32"/>
  <c r="G55" i="32"/>
  <c r="C55" i="32"/>
  <c r="E55" i="32"/>
  <c r="D55" i="32"/>
  <c r="B56" i="32"/>
  <c r="G56" i="32" a="1"/>
  <c r="L56" i="32" a="1"/>
  <c r="C56" i="32" a="1"/>
  <c r="D56" i="32" a="1"/>
  <c r="P56" i="32" a="1"/>
  <c r="N56" i="32" a="1"/>
  <c r="O56" i="32" a="1"/>
  <c r="Q56" i="32" a="1"/>
  <c r="E56" i="32" a="1"/>
  <c r="M56" i="32" a="1"/>
  <c r="H56" i="32" a="1"/>
  <c r="F56" i="32" a="1"/>
  <c r="Q56" i="32" l="1"/>
  <c r="P56" i="32"/>
  <c r="O56" i="32"/>
  <c r="L56" i="32"/>
  <c r="M56" i="32"/>
  <c r="N56" i="32"/>
  <c r="H56" i="32"/>
  <c r="C56" i="32"/>
  <c r="D56" i="32"/>
  <c r="E56" i="32"/>
  <c r="F56" i="32"/>
  <c r="G56" i="32"/>
  <c r="B57" i="32"/>
  <c r="Q57" i="32" a="1"/>
  <c r="C57" i="32" a="1"/>
  <c r="N57" i="32" a="1"/>
  <c r="M57" i="32" a="1"/>
  <c r="H57" i="32" a="1"/>
  <c r="G57" i="32" a="1"/>
  <c r="E57" i="32" a="1"/>
  <c r="L57" i="32" a="1"/>
  <c r="O57" i="32" a="1"/>
  <c r="D57" i="32" a="1"/>
  <c r="F57" i="32" a="1"/>
  <c r="P57" i="32" a="1"/>
  <c r="P57" i="32" l="1"/>
  <c r="Q57" i="32"/>
  <c r="O57" i="32"/>
  <c r="L57" i="32"/>
  <c r="N57" i="32"/>
  <c r="M57" i="32"/>
  <c r="H57" i="32"/>
  <c r="D57" i="32"/>
  <c r="E57" i="32"/>
  <c r="F57" i="32"/>
  <c r="G57" i="32"/>
  <c r="C57" i="32"/>
  <c r="B58" i="32"/>
  <c r="P58" i="32" a="1"/>
  <c r="O58" i="32" a="1"/>
  <c r="N58" i="32" a="1"/>
  <c r="E58" i="32" a="1"/>
  <c r="D58" i="32" a="1"/>
  <c r="Q58" i="32" a="1"/>
  <c r="L58" i="32" a="1"/>
  <c r="F58" i="32" a="1"/>
  <c r="G58" i="32" a="1"/>
  <c r="H58" i="32" a="1"/>
  <c r="M58" i="32" a="1"/>
  <c r="C58" i="32" a="1"/>
  <c r="P58" i="32" l="1"/>
  <c r="N58" i="32"/>
  <c r="Q58" i="32"/>
  <c r="O58" i="32"/>
  <c r="L58" i="32"/>
  <c r="M58" i="32"/>
  <c r="H58" i="32"/>
  <c r="G58" i="32"/>
  <c r="D58" i="32"/>
  <c r="E58" i="32"/>
  <c r="C58" i="32"/>
  <c r="F58" i="32"/>
  <c r="B59" i="32"/>
  <c r="C59" i="32" a="1"/>
  <c r="G59" i="32" a="1"/>
  <c r="H59" i="32" a="1"/>
  <c r="Q59" i="32" a="1"/>
  <c r="D59" i="32" a="1"/>
  <c r="F59" i="32" a="1"/>
  <c r="L59" i="32" a="1"/>
  <c r="M59" i="32" a="1"/>
  <c r="N59" i="32" a="1"/>
  <c r="O59" i="32" a="1"/>
  <c r="E59" i="32" a="1"/>
  <c r="P59" i="32" a="1"/>
  <c r="N59" i="32" l="1"/>
  <c r="Q59" i="32"/>
  <c r="O59" i="32"/>
  <c r="M59" i="32"/>
  <c r="L59" i="32"/>
  <c r="P59" i="32"/>
  <c r="H59" i="32"/>
  <c r="G59" i="32"/>
  <c r="F59" i="32"/>
  <c r="C59" i="32"/>
  <c r="E59" i="32"/>
  <c r="D59" i="32"/>
  <c r="B60" i="32"/>
  <c r="P60" i="32" a="1"/>
  <c r="F60" i="32" a="1"/>
  <c r="E60" i="32" a="1"/>
  <c r="M60" i="32" a="1"/>
  <c r="Q60" i="32" a="1"/>
  <c r="N60" i="32" a="1"/>
  <c r="G60" i="32" a="1"/>
  <c r="C60" i="32" a="1"/>
  <c r="D60" i="32" a="1"/>
  <c r="H60" i="32" a="1"/>
  <c r="L60" i="32" a="1"/>
  <c r="O60" i="32" a="1"/>
  <c r="P60" i="32" l="1"/>
  <c r="M60" i="32"/>
  <c r="N60" i="32"/>
  <c r="Q60" i="32"/>
  <c r="O60" i="32"/>
  <c r="L60" i="32"/>
  <c r="H60" i="32"/>
  <c r="G60" i="32"/>
  <c r="C60" i="32"/>
  <c r="D60" i="32"/>
  <c r="F60" i="32"/>
  <c r="E60" i="32"/>
  <c r="B61" i="32"/>
  <c r="D61" i="32" a="1"/>
  <c r="C61" i="32" a="1"/>
  <c r="M61" i="32" a="1"/>
  <c r="H61" i="32" a="1"/>
  <c r="L61" i="32" a="1"/>
  <c r="P61" i="32" a="1"/>
  <c r="E61" i="32" a="1"/>
  <c r="Q61" i="32" a="1"/>
  <c r="F61" i="32" a="1"/>
  <c r="N61" i="32" a="1"/>
  <c r="O61" i="32" a="1"/>
  <c r="G61" i="32" a="1"/>
  <c r="P61" i="32" l="1"/>
  <c r="M61" i="32"/>
  <c r="N61" i="32"/>
  <c r="Q61" i="32"/>
  <c r="O61" i="32"/>
  <c r="L61" i="32"/>
  <c r="H61" i="32"/>
  <c r="G61" i="32"/>
  <c r="C61" i="32"/>
  <c r="F61" i="32"/>
  <c r="E61" i="32"/>
  <c r="D61" i="32"/>
  <c r="B62" i="32"/>
  <c r="Q62" i="32" a="1"/>
  <c r="L62" i="32" a="1"/>
  <c r="F62" i="32" a="1"/>
  <c r="P62" i="32" a="1"/>
  <c r="D62" i="32" a="1"/>
  <c r="G62" i="32" a="1"/>
  <c r="O62" i="32" a="1"/>
  <c r="H62" i="32" a="1"/>
  <c r="E62" i="32" a="1"/>
  <c r="M62" i="32" a="1"/>
  <c r="N62" i="32" a="1"/>
  <c r="C62" i="32" a="1"/>
  <c r="N62" i="32" l="1"/>
  <c r="P62" i="32"/>
  <c r="M62" i="32"/>
  <c r="O62" i="32"/>
  <c r="Q62" i="32"/>
  <c r="L62" i="32"/>
  <c r="H62" i="32"/>
  <c r="E62" i="32"/>
  <c r="G62" i="32"/>
  <c r="C62" i="32"/>
  <c r="F62" i="32"/>
  <c r="D62" i="32"/>
  <c r="B63" i="32"/>
  <c r="D63" i="32" a="1"/>
  <c r="N63" i="32" a="1"/>
  <c r="F63" i="32" a="1"/>
  <c r="H63" i="32" a="1"/>
  <c r="L63" i="32" a="1"/>
  <c r="M63" i="32" a="1"/>
  <c r="G63" i="32" a="1"/>
  <c r="O63" i="32" a="1"/>
  <c r="Q63" i="32" a="1"/>
  <c r="P63" i="32" a="1"/>
  <c r="E63" i="32" a="1"/>
  <c r="C63" i="32" a="1"/>
  <c r="L63" i="32" l="1"/>
  <c r="P63" i="32"/>
  <c r="Q63" i="32"/>
  <c r="M63" i="32"/>
  <c r="N63" i="32"/>
  <c r="O63" i="32"/>
  <c r="H63" i="32"/>
  <c r="F63" i="32"/>
  <c r="G63" i="32"/>
  <c r="D63" i="32"/>
  <c r="E63" i="32"/>
  <c r="C63" i="32"/>
  <c r="B64" i="32"/>
  <c r="P64" i="32" a="1"/>
  <c r="C64" i="32" a="1"/>
  <c r="Q64" i="32" a="1"/>
  <c r="D64" i="32" a="1"/>
  <c r="M64" i="32" a="1"/>
  <c r="G64" i="32" a="1"/>
  <c r="F64" i="32" a="1"/>
  <c r="E64" i="32" a="1"/>
  <c r="N64" i="32" a="1"/>
  <c r="H64" i="32" a="1"/>
  <c r="L64" i="32" a="1"/>
  <c r="O64" i="32" a="1"/>
  <c r="L64" i="32" l="1"/>
  <c r="P64" i="32"/>
  <c r="M64" i="32"/>
  <c r="Q64" i="32"/>
  <c r="N64" i="32"/>
  <c r="O64" i="32"/>
  <c r="H64" i="32"/>
  <c r="C64" i="32"/>
  <c r="D64" i="32"/>
  <c r="F64" i="32"/>
  <c r="E64" i="32"/>
  <c r="G64" i="32"/>
  <c r="B65" i="32"/>
  <c r="L65" i="32" a="1"/>
  <c r="H65" i="32" a="1"/>
  <c r="N65" i="32" a="1"/>
  <c r="P65" i="32" a="1"/>
  <c r="F65" i="32" a="1"/>
  <c r="E65" i="32" a="1"/>
  <c r="O65" i="32" a="1"/>
  <c r="M65" i="32" a="1"/>
  <c r="D65" i="32" a="1"/>
  <c r="Q65" i="32" a="1"/>
  <c r="C65" i="32" a="1"/>
  <c r="G65" i="32" a="1"/>
  <c r="O65" i="32" l="1"/>
  <c r="L65" i="32"/>
  <c r="P65" i="32"/>
  <c r="N65" i="32"/>
  <c r="Q65" i="32"/>
  <c r="M65" i="32"/>
  <c r="H65" i="32"/>
  <c r="E65" i="32"/>
  <c r="F65" i="32"/>
  <c r="C65" i="32"/>
  <c r="D65" i="32"/>
  <c r="G65" i="32"/>
  <c r="B66" i="32"/>
  <c r="Q66" i="32" a="1"/>
  <c r="L66" i="32" a="1"/>
  <c r="P66" i="32" a="1"/>
  <c r="D66" i="32" a="1"/>
  <c r="M66" i="32" a="1"/>
  <c r="H66" i="32" a="1"/>
  <c r="E66" i="32" a="1"/>
  <c r="O66" i="32" a="1"/>
  <c r="F66" i="32" a="1"/>
  <c r="N66" i="32" a="1"/>
  <c r="C66" i="32" a="1"/>
  <c r="G66" i="32" a="1"/>
  <c r="O66" i="32" l="1"/>
  <c r="N66" i="32"/>
  <c r="P66" i="32"/>
  <c r="L66" i="32"/>
  <c r="Q66" i="32"/>
  <c r="M66" i="32"/>
  <c r="H66" i="32"/>
  <c r="G66" i="32"/>
  <c r="D66" i="32"/>
  <c r="F66" i="32"/>
  <c r="E66" i="32"/>
  <c r="C66" i="32"/>
  <c r="B67" i="32"/>
  <c r="N67" i="32" a="1"/>
  <c r="L67" i="32" a="1"/>
  <c r="D67" i="32" a="1"/>
  <c r="Q67" i="32" a="1"/>
  <c r="C67" i="32" a="1"/>
  <c r="P67" i="32" a="1"/>
  <c r="F67" i="32" a="1"/>
  <c r="M67" i="32" a="1"/>
  <c r="O67" i="32" a="1"/>
  <c r="E67" i="32" a="1"/>
  <c r="G67" i="32" a="1"/>
  <c r="H67" i="32" a="1"/>
  <c r="O67" i="32" l="1"/>
  <c r="L67" i="32"/>
  <c r="Q67" i="32"/>
  <c r="M67" i="32"/>
  <c r="N67" i="32"/>
  <c r="P67" i="32"/>
  <c r="H67" i="32"/>
  <c r="C67" i="32"/>
  <c r="D67" i="32"/>
  <c r="F67" i="32"/>
  <c r="G67" i="32"/>
  <c r="E67" i="32"/>
  <c r="B68" i="32"/>
  <c r="G68" i="32" a="1"/>
  <c r="P68" i="32" a="1"/>
  <c r="O68" i="32" a="1"/>
  <c r="N68" i="32" a="1"/>
  <c r="D68" i="32" a="1"/>
  <c r="Q68" i="32" a="1"/>
  <c r="F68" i="32" a="1"/>
  <c r="C68" i="32" a="1"/>
  <c r="L68" i="32" a="1"/>
  <c r="H68" i="32" a="1"/>
  <c r="M68" i="32" a="1"/>
  <c r="E68" i="32" a="1"/>
  <c r="N68" i="32" l="1"/>
  <c r="O68" i="32"/>
  <c r="Q68" i="32"/>
  <c r="L68" i="32"/>
  <c r="P68" i="32"/>
  <c r="M68" i="32"/>
  <c r="H68" i="32"/>
  <c r="C68" i="32"/>
  <c r="E68" i="32"/>
  <c r="D68" i="32"/>
  <c r="G68" i="32"/>
  <c r="F68" i="32"/>
  <c r="B69" i="32"/>
  <c r="O69" i="32" a="1"/>
  <c r="N69" i="32" a="1"/>
  <c r="D69" i="32" a="1"/>
  <c r="G69" i="32" a="1"/>
  <c r="M69" i="32" a="1"/>
  <c r="P69" i="32" a="1"/>
  <c r="C69" i="32" a="1"/>
  <c r="F69" i="32" a="1"/>
  <c r="Q69" i="32" a="1"/>
  <c r="E69" i="32" a="1"/>
  <c r="H69" i="32" a="1"/>
  <c r="L69" i="32" a="1"/>
  <c r="M69" i="32" l="1"/>
  <c r="N69" i="32"/>
  <c r="O69" i="32"/>
  <c r="Q69" i="32"/>
  <c r="L69" i="32"/>
  <c r="P69" i="32"/>
  <c r="H69" i="32"/>
  <c r="C69" i="32"/>
  <c r="D69" i="32"/>
  <c r="G69" i="32"/>
  <c r="F69" i="32"/>
  <c r="E69" i="32"/>
  <c r="B70" i="32"/>
  <c r="O70" i="32" a="1"/>
  <c r="F70" i="32" a="1"/>
  <c r="Q70" i="32" a="1"/>
  <c r="M70" i="32" a="1"/>
  <c r="D70" i="32" a="1"/>
  <c r="C70" i="32" a="1"/>
  <c r="N70" i="32" a="1"/>
  <c r="E70" i="32" a="1"/>
  <c r="L70" i="32" a="1"/>
  <c r="G70" i="32" a="1"/>
  <c r="P70" i="32" a="1"/>
  <c r="H70" i="32" a="1"/>
  <c r="N70" i="32" l="1"/>
  <c r="P70" i="32"/>
  <c r="O70" i="32"/>
  <c r="L70" i="32"/>
  <c r="Q70" i="32"/>
  <c r="M70" i="32"/>
  <c r="H70" i="32"/>
  <c r="C70" i="32"/>
  <c r="D70" i="32"/>
  <c r="F70" i="32"/>
  <c r="E70" i="32"/>
  <c r="G70" i="32"/>
  <c r="B71" i="32"/>
  <c r="O71" i="32" a="1"/>
  <c r="N71" i="32" a="1"/>
  <c r="P71" i="32" a="1"/>
  <c r="C71" i="32" a="1"/>
  <c r="D71" i="32" a="1"/>
  <c r="E71" i="32" a="1"/>
  <c r="M71" i="32" a="1"/>
  <c r="H71" i="32" a="1"/>
  <c r="Q71" i="32" a="1"/>
  <c r="G71" i="32" a="1"/>
  <c r="L71" i="32" a="1"/>
  <c r="F71" i="32" a="1"/>
  <c r="M71" i="32" l="1"/>
  <c r="N71" i="32"/>
  <c r="Q71" i="32"/>
  <c r="O71" i="32"/>
  <c r="L71" i="32"/>
  <c r="P71" i="32"/>
  <c r="H71" i="32"/>
  <c r="D71" i="32"/>
  <c r="F71" i="32"/>
  <c r="C71" i="32"/>
  <c r="G71" i="32"/>
  <c r="E71" i="32"/>
  <c r="B72" i="32"/>
  <c r="C72" i="32" a="1"/>
  <c r="G72" i="32" a="1"/>
  <c r="N72" i="32" a="1"/>
  <c r="E72" i="32" a="1"/>
  <c r="Q72" i="32" a="1"/>
  <c r="M72" i="32" a="1"/>
  <c r="F72" i="32" a="1"/>
  <c r="D72" i="32" a="1"/>
  <c r="O72" i="32" a="1"/>
  <c r="P72" i="32" a="1"/>
  <c r="H72" i="32" a="1"/>
  <c r="L72" i="32" a="1"/>
  <c r="Q72" i="32" l="1"/>
  <c r="O72" i="32"/>
  <c r="N72" i="32"/>
  <c r="L72" i="32"/>
  <c r="P72" i="32"/>
  <c r="M72" i="32"/>
  <c r="H72" i="32"/>
  <c r="C72" i="32"/>
  <c r="G72" i="32"/>
  <c r="D72" i="32"/>
  <c r="F72" i="32"/>
  <c r="E72" i="32"/>
  <c r="B73" i="32"/>
  <c r="L73" i="32" a="1"/>
  <c r="F73" i="32" a="1"/>
  <c r="M73" i="32" a="1"/>
  <c r="C73" i="32" a="1"/>
  <c r="Q73" i="32" a="1"/>
  <c r="D73" i="32" a="1"/>
  <c r="E73" i="32" a="1"/>
  <c r="O73" i="32" a="1"/>
  <c r="H73" i="32" a="1"/>
  <c r="G73" i="32" a="1"/>
  <c r="P73" i="32" a="1"/>
  <c r="N73" i="32" a="1"/>
  <c r="P73" i="32" l="1"/>
  <c r="N73" i="32"/>
  <c r="O73" i="32"/>
  <c r="Q73" i="32"/>
  <c r="L73" i="32"/>
  <c r="M73" i="32"/>
  <c r="H73" i="32"/>
  <c r="G73" i="32"/>
  <c r="D73" i="32"/>
  <c r="F73" i="32"/>
  <c r="C73" i="32"/>
  <c r="E73" i="32"/>
  <c r="B74" i="32"/>
  <c r="E74" i="32" a="1"/>
  <c r="L74" i="32" a="1"/>
  <c r="O74" i="32" a="1"/>
  <c r="Q74" i="32" a="1"/>
  <c r="H74" i="32" a="1"/>
  <c r="G74" i="32" a="1"/>
  <c r="N74" i="32" a="1"/>
  <c r="C74" i="32" a="1"/>
  <c r="D74" i="32" a="1"/>
  <c r="M74" i="32" a="1"/>
  <c r="P74" i="32" a="1"/>
  <c r="F74" i="32" a="1"/>
  <c r="N74" i="32" l="1"/>
  <c r="M74" i="32"/>
  <c r="Q74" i="32"/>
  <c r="O74" i="32"/>
  <c r="P74" i="32"/>
  <c r="L74" i="32"/>
  <c r="H74" i="32"/>
  <c r="D74" i="32"/>
  <c r="E74" i="32"/>
  <c r="F74" i="32"/>
  <c r="G74" i="32"/>
  <c r="C74" i="32"/>
  <c r="B75" i="32"/>
  <c r="D75" i="32" a="1"/>
  <c r="L75" i="32" a="1"/>
  <c r="F75" i="32" a="1"/>
  <c r="M75" i="32" a="1"/>
  <c r="O75" i="32" a="1"/>
  <c r="E75" i="32" a="1"/>
  <c r="P75" i="32" a="1"/>
  <c r="Q75" i="32" a="1"/>
  <c r="G75" i="32" a="1"/>
  <c r="N75" i="32" a="1"/>
  <c r="C75" i="32" a="1"/>
  <c r="H75" i="32" a="1"/>
  <c r="L75" i="32" l="1"/>
  <c r="Q75" i="32"/>
  <c r="M75" i="32"/>
  <c r="P75" i="32"/>
  <c r="O75" i="32"/>
  <c r="N75" i="32"/>
  <c r="H75" i="32"/>
  <c r="D75" i="32"/>
  <c r="G75" i="32"/>
  <c r="F75" i="32"/>
  <c r="E75" i="32"/>
  <c r="C75" i="32"/>
  <c r="B76" i="32"/>
  <c r="L76" i="32" a="1"/>
  <c r="O76" i="32" a="1"/>
  <c r="P76" i="32" a="1"/>
  <c r="M76" i="32" a="1"/>
  <c r="H76" i="32" a="1"/>
  <c r="F76" i="32" a="1"/>
  <c r="E76" i="32" a="1"/>
  <c r="D76" i="32" a="1"/>
  <c r="N76" i="32" a="1"/>
  <c r="G76" i="32" a="1"/>
  <c r="Q76" i="32" a="1"/>
  <c r="C76" i="32" a="1"/>
  <c r="M76" i="32" l="1"/>
  <c r="L76" i="32"/>
  <c r="P76" i="32"/>
  <c r="N76" i="32"/>
  <c r="Q76" i="32"/>
  <c r="O76" i="32"/>
  <c r="H76" i="32"/>
  <c r="F76" i="32"/>
  <c r="C76" i="32"/>
  <c r="G76" i="32"/>
  <c r="D76" i="32"/>
  <c r="E76" i="32"/>
  <c r="B77" i="32"/>
  <c r="L77" i="32" a="1"/>
  <c r="O77" i="32" a="1"/>
  <c r="Q77" i="32" a="1"/>
  <c r="F77" i="32" a="1"/>
  <c r="C77" i="32" a="1"/>
  <c r="N77" i="32" a="1"/>
  <c r="P77" i="32" a="1"/>
  <c r="G77" i="32" a="1"/>
  <c r="M77" i="32" a="1"/>
  <c r="E77" i="32" a="1"/>
  <c r="H77" i="32" a="1"/>
  <c r="D77" i="32" a="1"/>
  <c r="O77" i="32" l="1"/>
  <c r="P77" i="32"/>
  <c r="L77" i="32"/>
  <c r="N77" i="32"/>
  <c r="Q77" i="32"/>
  <c r="M77" i="32"/>
  <c r="H77" i="32"/>
  <c r="G77" i="32"/>
  <c r="E77" i="32"/>
  <c r="D77" i="32"/>
  <c r="C77" i="32"/>
  <c r="F77" i="32"/>
  <c r="B78" i="32"/>
  <c r="L78" i="32" a="1"/>
  <c r="H78" i="32" a="1"/>
  <c r="E78" i="32" a="1"/>
  <c r="F78" i="32" a="1"/>
  <c r="D78" i="32" a="1"/>
  <c r="Q78" i="32" a="1"/>
  <c r="P78" i="32" a="1"/>
  <c r="O78" i="32" a="1"/>
  <c r="N78" i="32" a="1"/>
  <c r="C78" i="32" a="1"/>
  <c r="M78" i="32" a="1"/>
  <c r="G78" i="32" a="1"/>
  <c r="O78" i="32" l="1"/>
  <c r="M78" i="32"/>
  <c r="L78" i="32"/>
  <c r="N78" i="32"/>
  <c r="P78" i="32"/>
  <c r="Q78" i="32"/>
  <c r="H78" i="32"/>
  <c r="G78" i="32"/>
  <c r="D78" i="32"/>
  <c r="E78" i="32"/>
  <c r="F78" i="32"/>
  <c r="C78" i="32"/>
  <c r="B79" i="32"/>
  <c r="L79" i="32" a="1"/>
  <c r="Q79" i="32" a="1"/>
  <c r="P79" i="32" a="1"/>
  <c r="E79" i="32" a="1"/>
  <c r="F79" i="32" a="1"/>
  <c r="O79" i="32" a="1"/>
  <c r="D79" i="32" a="1"/>
  <c r="N79" i="32" a="1"/>
  <c r="M79" i="32" a="1"/>
  <c r="G79" i="32" a="1"/>
  <c r="C79" i="32" a="1"/>
  <c r="H79" i="32" a="1"/>
  <c r="O79" i="32" l="1"/>
  <c r="M79" i="32"/>
  <c r="L79" i="32"/>
  <c r="P79" i="32"/>
  <c r="N79" i="32"/>
  <c r="Q79" i="32"/>
  <c r="H79" i="32"/>
  <c r="F79" i="32"/>
  <c r="D79" i="32"/>
  <c r="G79" i="32"/>
  <c r="C79" i="32"/>
  <c r="E79" i="32"/>
  <c r="B80" i="32"/>
  <c r="E80" i="32" a="1"/>
  <c r="D80" i="32" a="1"/>
  <c r="P80" i="32" a="1"/>
  <c r="N80" i="32" a="1"/>
  <c r="G80" i="32" a="1"/>
  <c r="C80" i="32" a="1"/>
  <c r="H80" i="32" a="1"/>
  <c r="F80" i="32" a="1"/>
  <c r="M80" i="32" a="1"/>
  <c r="O80" i="32" a="1"/>
  <c r="Q80" i="32" a="1"/>
  <c r="L80" i="32" a="1"/>
  <c r="Q80" i="32" l="1"/>
  <c r="N80" i="32"/>
  <c r="O80" i="32"/>
  <c r="P80" i="32"/>
  <c r="L80" i="32"/>
  <c r="M80" i="32"/>
  <c r="H80" i="32"/>
  <c r="C80" i="32"/>
  <c r="F80" i="32"/>
  <c r="G80" i="32"/>
  <c r="E80" i="32"/>
  <c r="D80" i="32"/>
  <c r="B81" i="32"/>
  <c r="L81" i="32" a="1"/>
  <c r="G81" i="32" a="1"/>
  <c r="M81" i="32" a="1"/>
  <c r="F81" i="32" a="1"/>
  <c r="P81" i="32" a="1"/>
  <c r="D81" i="32" a="1"/>
  <c r="O81" i="32" a="1"/>
  <c r="H81" i="32" a="1"/>
  <c r="Q81" i="32" a="1"/>
  <c r="N81" i="32" a="1"/>
  <c r="C81" i="32" a="1"/>
  <c r="E81" i="32" a="1"/>
  <c r="O81" i="32" l="1"/>
  <c r="P81" i="32"/>
  <c r="L81" i="32"/>
  <c r="M81" i="32"/>
  <c r="N81" i="32"/>
  <c r="Q81" i="32"/>
  <c r="H81" i="32"/>
  <c r="F81" i="32"/>
  <c r="E81" i="32"/>
  <c r="G81" i="32"/>
  <c r="C81" i="32"/>
  <c r="D81" i="32"/>
  <c r="B82" i="32"/>
  <c r="D82" i="32" a="1"/>
  <c r="C82" i="32" a="1"/>
  <c r="M82" i="32" a="1"/>
  <c r="E82" i="32" a="1"/>
  <c r="L82" i="32" a="1"/>
  <c r="F82" i="32" a="1"/>
  <c r="Q82" i="32" a="1"/>
  <c r="P82" i="32" a="1"/>
  <c r="O82" i="32" a="1"/>
  <c r="N82" i="32" a="1"/>
  <c r="H82" i="32" a="1"/>
  <c r="G82" i="32" a="1"/>
  <c r="M82" i="32" l="1"/>
  <c r="O82" i="32"/>
  <c r="N82" i="32"/>
  <c r="P82" i="32"/>
  <c r="L82" i="32"/>
  <c r="Q82" i="32"/>
  <c r="H82" i="32"/>
  <c r="C82" i="32"/>
  <c r="F82" i="32"/>
  <c r="G82" i="32"/>
  <c r="E82" i="32"/>
  <c r="D82" i="32"/>
  <c r="B83" i="32"/>
  <c r="H83" i="32" a="1"/>
  <c r="G83" i="32" a="1"/>
  <c r="C83" i="32" a="1"/>
  <c r="M83" i="32" a="1"/>
  <c r="O83" i="32" a="1"/>
  <c r="L83" i="32" a="1"/>
  <c r="Q83" i="32" a="1"/>
  <c r="E83" i="32" a="1"/>
  <c r="F83" i="32" a="1"/>
  <c r="D83" i="32" a="1"/>
  <c r="P83" i="32" a="1"/>
  <c r="N83" i="32" a="1"/>
  <c r="M83" i="32" l="1"/>
  <c r="P83" i="32"/>
  <c r="O83" i="32"/>
  <c r="L83" i="32"/>
  <c r="N83" i="32"/>
  <c r="Q83" i="32"/>
  <c r="H83" i="32"/>
  <c r="C83" i="32"/>
  <c r="D83" i="32"/>
  <c r="G83" i="32"/>
  <c r="E83" i="32"/>
  <c r="F83" i="32"/>
  <c r="B84" i="32"/>
  <c r="M84" i="32" a="1"/>
  <c r="F84" i="32" a="1"/>
  <c r="G84" i="32" a="1"/>
  <c r="H84" i="32" a="1"/>
  <c r="E84" i="32" a="1"/>
  <c r="D84" i="32" a="1"/>
  <c r="C84" i="32" a="1"/>
  <c r="P84" i="32" a="1"/>
  <c r="O84" i="32" a="1"/>
  <c r="N84" i="32" a="1"/>
  <c r="Q84" i="32" a="1"/>
  <c r="L84" i="32" a="1"/>
  <c r="M84" i="32" l="1"/>
  <c r="N84" i="32"/>
  <c r="P84" i="32"/>
  <c r="O84" i="32"/>
  <c r="L84" i="32"/>
  <c r="Q84" i="32"/>
  <c r="H84" i="32"/>
  <c r="F84" i="32"/>
  <c r="D84" i="32"/>
  <c r="E84" i="32"/>
  <c r="G84" i="32"/>
  <c r="C84" i="32"/>
  <c r="B85" i="32"/>
  <c r="G85" i="32" a="1"/>
  <c r="E85" i="32" a="1"/>
  <c r="H85" i="32" a="1"/>
  <c r="P85" i="32" a="1"/>
  <c r="L85" i="32" a="1"/>
  <c r="Q85" i="32" a="1"/>
  <c r="N85" i="32" a="1"/>
  <c r="D85" i="32" a="1"/>
  <c r="O85" i="32" a="1"/>
  <c r="M85" i="32" a="1"/>
  <c r="C85" i="32" a="1"/>
  <c r="F85" i="32" a="1"/>
  <c r="N85" i="32" l="1"/>
  <c r="M85" i="32"/>
  <c r="P85" i="32"/>
  <c r="O85" i="32"/>
  <c r="L85" i="32"/>
  <c r="Q85" i="32"/>
  <c r="H85" i="32"/>
  <c r="D85" i="32"/>
  <c r="F85" i="32"/>
  <c r="E85" i="32"/>
  <c r="C85" i="32"/>
  <c r="G85" i="32"/>
  <c r="B86" i="32"/>
  <c r="L86" i="32" a="1"/>
  <c r="E86" i="32" a="1"/>
  <c r="O86" i="32" a="1"/>
  <c r="P86" i="32" a="1"/>
  <c r="C86" i="32" a="1"/>
  <c r="H86" i="32" a="1"/>
  <c r="G86" i="32" a="1"/>
  <c r="F86" i="32" a="1"/>
  <c r="M86" i="32" a="1"/>
  <c r="Q86" i="32" a="1"/>
  <c r="D86" i="32" a="1"/>
  <c r="N86" i="32" a="1"/>
  <c r="Q86" i="32" l="1"/>
  <c r="O86" i="32"/>
  <c r="P86" i="32"/>
  <c r="N86" i="32"/>
  <c r="M86" i="32"/>
  <c r="L86" i="32"/>
  <c r="H86" i="32"/>
  <c r="G86" i="32"/>
  <c r="E86" i="32"/>
  <c r="D86" i="32"/>
  <c r="F86" i="32"/>
  <c r="C86" i="32"/>
  <c r="B87" i="32"/>
  <c r="D87" i="32" a="1"/>
  <c r="O87" i="32" a="1"/>
  <c r="C87" i="32" a="1"/>
  <c r="F87" i="32" a="1"/>
  <c r="G87" i="32" a="1"/>
  <c r="Q87" i="32" a="1"/>
  <c r="L87" i="32" a="1"/>
  <c r="M87" i="32" a="1"/>
  <c r="E87" i="32" a="1"/>
  <c r="H87" i="32" a="1"/>
  <c r="P87" i="32" a="1"/>
  <c r="N87" i="32" a="1"/>
  <c r="M87" i="32" l="1"/>
  <c r="Q87" i="32"/>
  <c r="P87" i="32"/>
  <c r="O87" i="32"/>
  <c r="N87" i="32"/>
  <c r="L87" i="32"/>
  <c r="H87" i="32"/>
  <c r="D87" i="32"/>
  <c r="E87" i="32"/>
  <c r="C87" i="32"/>
  <c r="F87" i="32"/>
  <c r="G87" i="32"/>
  <c r="B88" i="32"/>
  <c r="E88" i="32" a="1"/>
  <c r="L88" i="32" a="1"/>
  <c r="M88" i="32" a="1"/>
  <c r="F88" i="32" a="1"/>
  <c r="G88" i="32" a="1"/>
  <c r="D88" i="32" a="1"/>
  <c r="P88" i="32" a="1"/>
  <c r="H88" i="32" a="1"/>
  <c r="Q88" i="32" a="1"/>
  <c r="C88" i="32" a="1"/>
  <c r="O88" i="32" a="1"/>
  <c r="N88" i="32" a="1"/>
  <c r="L88" i="32" l="1"/>
  <c r="N88" i="32"/>
  <c r="M88" i="32"/>
  <c r="P88" i="32"/>
  <c r="O88" i="32"/>
  <c r="Q88" i="32"/>
  <c r="H88" i="32"/>
  <c r="C88" i="32"/>
  <c r="F88" i="32"/>
  <c r="D88" i="32"/>
  <c r="G88" i="32"/>
  <c r="E88" i="32"/>
  <c r="B89" i="32"/>
  <c r="G89" i="32" a="1"/>
  <c r="P89" i="32" a="1"/>
  <c r="F89" i="32" a="1"/>
  <c r="E89" i="32" a="1"/>
  <c r="Q89" i="32" a="1"/>
  <c r="L89" i="32" a="1"/>
  <c r="O89" i="32" a="1"/>
  <c r="C89" i="32" a="1"/>
  <c r="H89" i="32" a="1"/>
  <c r="M89" i="32" a="1"/>
  <c r="N89" i="32" a="1"/>
  <c r="D89" i="32" a="1"/>
  <c r="O89" i="32" l="1"/>
  <c r="M89" i="32"/>
  <c r="L89" i="32"/>
  <c r="P89" i="32"/>
  <c r="Q89" i="32"/>
  <c r="N89" i="32"/>
  <c r="H89" i="32"/>
  <c r="D89" i="32"/>
  <c r="E89" i="32"/>
  <c r="G89" i="32"/>
  <c r="F89" i="32"/>
  <c r="C89" i="32"/>
  <c r="B90" i="32"/>
  <c r="D90" i="32" a="1"/>
  <c r="E90" i="32" a="1"/>
  <c r="P90" i="32" a="1"/>
  <c r="N90" i="32" a="1"/>
  <c r="M90" i="32" a="1"/>
  <c r="H90" i="32" a="1"/>
  <c r="C90" i="32" a="1"/>
  <c r="F90" i="32" a="1"/>
  <c r="L90" i="32" a="1"/>
  <c r="O90" i="32" a="1"/>
  <c r="Q90" i="32" a="1"/>
  <c r="G90" i="32" a="1"/>
  <c r="Q90" i="32" l="1"/>
  <c r="N90" i="32"/>
  <c r="M90" i="32"/>
  <c r="O90" i="32"/>
  <c r="L90" i="32"/>
  <c r="P90" i="32"/>
  <c r="H90" i="32"/>
  <c r="E90" i="32"/>
  <c r="G90" i="32"/>
  <c r="D90" i="32"/>
  <c r="F90" i="32"/>
  <c r="C90" i="32"/>
  <c r="B91" i="32"/>
  <c r="C91" i="32" a="1"/>
  <c r="F91" i="32" a="1"/>
  <c r="Q91" i="32" a="1"/>
  <c r="G91" i="32" a="1"/>
  <c r="M91" i="32" a="1"/>
  <c r="L91" i="32" a="1"/>
  <c r="N91" i="32" a="1"/>
  <c r="E91" i="32" a="1"/>
  <c r="O91" i="32" a="1"/>
  <c r="P91" i="32" a="1"/>
  <c r="H91" i="32" a="1"/>
  <c r="D91" i="32" a="1"/>
  <c r="O91" i="32" l="1"/>
  <c r="N91" i="32"/>
  <c r="Q91" i="32"/>
  <c r="P91" i="32"/>
  <c r="M91" i="32"/>
  <c r="L91" i="32"/>
  <c r="H91" i="32"/>
  <c r="D91" i="32"/>
  <c r="F91" i="32"/>
  <c r="C91" i="32"/>
  <c r="G91" i="32"/>
  <c r="E91" i="32"/>
  <c r="B92" i="32"/>
  <c r="G92" i="32" a="1"/>
  <c r="N92" i="32" a="1"/>
  <c r="E92" i="32" a="1"/>
  <c r="Q92" i="32" a="1"/>
  <c r="L92" i="32" a="1"/>
  <c r="F92" i="32" a="1"/>
  <c r="H92" i="32" a="1"/>
  <c r="C92" i="32" a="1"/>
  <c r="P92" i="32" a="1"/>
  <c r="O92" i="32" a="1"/>
  <c r="M92" i="32" a="1"/>
  <c r="D92" i="32" a="1"/>
  <c r="M92" i="32" l="1"/>
  <c r="L92" i="32"/>
  <c r="Q92" i="32"/>
  <c r="P92" i="32"/>
  <c r="O92" i="32"/>
  <c r="N92" i="32"/>
  <c r="H92" i="32"/>
  <c r="D92" i="32"/>
  <c r="E92" i="32"/>
  <c r="F92" i="32"/>
  <c r="C92" i="32"/>
  <c r="G92" i="32"/>
  <c r="B93" i="32"/>
  <c r="D93" i="32" a="1"/>
  <c r="F93" i="32" a="1"/>
  <c r="G93" i="32" a="1"/>
  <c r="O93" i="32" a="1"/>
  <c r="Q93" i="32" a="1"/>
  <c r="L93" i="32" a="1"/>
  <c r="H93" i="32" a="1"/>
  <c r="N93" i="32" a="1"/>
  <c r="P93" i="32" a="1"/>
  <c r="E93" i="32" a="1"/>
  <c r="C93" i="32" a="1"/>
  <c r="M93" i="32" a="1"/>
  <c r="N93" i="32" l="1"/>
  <c r="M93" i="32"/>
  <c r="Q93" i="32"/>
  <c r="L93" i="32"/>
  <c r="O93" i="32"/>
  <c r="P93" i="32"/>
  <c r="H93" i="32"/>
  <c r="C93" i="32"/>
  <c r="D93" i="32"/>
  <c r="G93" i="32"/>
  <c r="E93" i="32"/>
  <c r="F93" i="32"/>
  <c r="B94" i="32"/>
  <c r="Q94" i="32" a="1"/>
  <c r="P94" i="32" a="1"/>
  <c r="C94" i="32" a="1"/>
  <c r="F94" i="32" a="1"/>
  <c r="E94" i="32" a="1"/>
  <c r="N94" i="32" a="1"/>
  <c r="L94" i="32" a="1"/>
  <c r="M94" i="32" a="1"/>
  <c r="H94" i="32" a="1"/>
  <c r="O94" i="32" a="1"/>
  <c r="D94" i="32" a="1"/>
  <c r="G94" i="32" a="1"/>
  <c r="L94" i="32" l="1"/>
  <c r="N94" i="32"/>
  <c r="M94" i="32"/>
  <c r="P94" i="32"/>
  <c r="Q94" i="32"/>
  <c r="O94" i="32"/>
  <c r="H94" i="32"/>
  <c r="E94" i="32"/>
  <c r="C94" i="32"/>
  <c r="G94" i="32"/>
  <c r="D94" i="32"/>
  <c r="F94" i="32"/>
  <c r="B95" i="32"/>
  <c r="N95" i="32" a="1"/>
  <c r="L95" i="32" a="1"/>
  <c r="O95" i="32" a="1"/>
  <c r="Q95" i="32" a="1"/>
  <c r="E95" i="32" a="1"/>
  <c r="D95" i="32" a="1"/>
  <c r="F95" i="32" a="1"/>
  <c r="C95" i="32" a="1"/>
  <c r="G95" i="32" a="1"/>
  <c r="H95" i="32" a="1"/>
  <c r="M95" i="32" a="1"/>
  <c r="P95" i="32" a="1"/>
  <c r="O95" i="32" l="1"/>
  <c r="Q95" i="32"/>
  <c r="N95" i="32"/>
  <c r="M95" i="32"/>
  <c r="L95" i="32"/>
  <c r="P95" i="32"/>
  <c r="H95" i="32"/>
  <c r="G95" i="32"/>
  <c r="D95" i="32"/>
  <c r="C95" i="32"/>
  <c r="E95" i="32"/>
  <c r="F95" i="32"/>
  <c r="B96" i="32"/>
  <c r="E96" i="32" a="1"/>
  <c r="P96" i="32" a="1"/>
  <c r="Q96" i="32" a="1"/>
  <c r="M96" i="32" a="1"/>
  <c r="L96" i="32" a="1"/>
  <c r="H96" i="32" a="1"/>
  <c r="C96" i="32" a="1"/>
  <c r="G96" i="32" a="1"/>
  <c r="D96" i="32" a="1"/>
  <c r="O96" i="32" a="1"/>
  <c r="N96" i="32" a="1"/>
  <c r="F96" i="32" a="1"/>
  <c r="Q96" i="32" l="1"/>
  <c r="N96" i="32"/>
  <c r="M96" i="32"/>
  <c r="L96" i="32"/>
  <c r="P96" i="32"/>
  <c r="O96" i="32"/>
  <c r="H96" i="32"/>
  <c r="F96" i="32"/>
  <c r="G96" i="32"/>
  <c r="D96" i="32"/>
  <c r="E96" i="32"/>
  <c r="C96" i="32"/>
  <c r="B97" i="32"/>
  <c r="G97" i="32" a="1"/>
  <c r="E97" i="32" a="1"/>
  <c r="H97" i="32" a="1"/>
  <c r="P97" i="32" a="1"/>
  <c r="O97" i="32" a="1"/>
  <c r="L97" i="32" a="1"/>
  <c r="D97" i="32" a="1"/>
  <c r="Q97" i="32" a="1"/>
  <c r="F97" i="32" a="1"/>
  <c r="N97" i="32" a="1"/>
  <c r="C97" i="32" a="1"/>
  <c r="M97" i="32" a="1"/>
  <c r="P97" i="32" l="1"/>
  <c r="L97" i="32"/>
  <c r="N97" i="32"/>
  <c r="M97" i="32"/>
  <c r="Q97" i="32"/>
  <c r="O97" i="32"/>
  <c r="H97" i="32"/>
  <c r="F97" i="32"/>
  <c r="G97" i="32"/>
  <c r="C97" i="32"/>
  <c r="E97" i="32"/>
  <c r="D97" i="32"/>
  <c r="B98" i="32"/>
  <c r="N98" i="32" a="1"/>
  <c r="O98" i="32" a="1"/>
  <c r="G98" i="32" a="1"/>
  <c r="E98" i="32" a="1"/>
  <c r="Q98" i="32" a="1"/>
  <c r="C98" i="32" a="1"/>
  <c r="F98" i="32" a="1"/>
  <c r="L98" i="32" a="1"/>
  <c r="D98" i="32" a="1"/>
  <c r="M98" i="32" a="1"/>
  <c r="P98" i="32" a="1"/>
  <c r="H98" i="32" a="1"/>
  <c r="N98" i="32" l="1"/>
  <c r="O98" i="32"/>
  <c r="M98" i="32"/>
  <c r="P98" i="32"/>
  <c r="L98" i="32"/>
  <c r="Q98" i="32"/>
  <c r="H98" i="32"/>
  <c r="D98" i="32"/>
  <c r="F98" i="32"/>
  <c r="E98" i="32"/>
  <c r="C98" i="32"/>
  <c r="G98" i="32"/>
  <c r="B99" i="32"/>
  <c r="M99" i="32" a="1"/>
  <c r="L99" i="32" a="1"/>
  <c r="E99" i="32" a="1"/>
  <c r="Q99" i="32" a="1"/>
  <c r="G99" i="32" a="1"/>
  <c r="O99" i="32" a="1"/>
  <c r="C99" i="32" a="1"/>
  <c r="D99" i="32" a="1"/>
  <c r="H99" i="32" a="1"/>
  <c r="N99" i="32" a="1"/>
  <c r="P99" i="32" a="1"/>
  <c r="F99" i="32" a="1"/>
  <c r="P99" i="32" l="1"/>
  <c r="N99" i="32"/>
  <c r="M99" i="32"/>
  <c r="Q99" i="32"/>
  <c r="O99" i="32"/>
  <c r="L99" i="32"/>
  <c r="H99" i="32"/>
  <c r="G99" i="32"/>
  <c r="E99" i="32"/>
  <c r="F99" i="32"/>
  <c r="D99" i="32"/>
  <c r="C99" i="32"/>
  <c r="B100" i="32"/>
  <c r="G100" i="32" a="1"/>
  <c r="D100" i="32" a="1"/>
  <c r="N100" i="32" a="1"/>
  <c r="P100" i="32" a="1"/>
  <c r="O100" i="32" a="1"/>
  <c r="C100" i="32" a="1"/>
  <c r="Q100" i="32" a="1"/>
  <c r="H100" i="32" a="1"/>
  <c r="L100" i="32" a="1"/>
  <c r="F100" i="32" a="1"/>
  <c r="E100" i="32" a="1"/>
  <c r="M100" i="32" a="1"/>
  <c r="M100" i="32" l="1"/>
  <c r="L100" i="32"/>
  <c r="N100" i="32"/>
  <c r="O100" i="32"/>
  <c r="Q100" i="32"/>
  <c r="P100" i="32"/>
  <c r="H100" i="32"/>
  <c r="G100" i="32"/>
  <c r="D100" i="32"/>
  <c r="E100" i="32"/>
  <c r="C100" i="32"/>
  <c r="F100" i="32"/>
  <c r="B101" i="32"/>
  <c r="N101" i="32" a="1"/>
  <c r="D101" i="32" a="1"/>
  <c r="E101" i="32" a="1"/>
  <c r="P101" i="32" a="1"/>
  <c r="L101" i="32" a="1"/>
  <c r="G101" i="32" a="1"/>
  <c r="O101" i="32" a="1"/>
  <c r="Q101" i="32" a="1"/>
  <c r="C101" i="32" a="1"/>
  <c r="F101" i="32" a="1"/>
  <c r="M101" i="32" a="1"/>
  <c r="H101" i="32" a="1"/>
  <c r="O101" i="32" l="1"/>
  <c r="P101" i="32"/>
  <c r="Q101" i="32"/>
  <c r="N101" i="32"/>
  <c r="M101" i="32"/>
  <c r="L101" i="32"/>
  <c r="H101" i="32"/>
  <c r="C101" i="32"/>
  <c r="E101" i="32"/>
  <c r="F101" i="32"/>
  <c r="G101" i="32"/>
  <c r="D101" i="32"/>
  <c r="B102" i="32"/>
  <c r="Q102" i="32" a="1"/>
  <c r="P102" i="32" a="1"/>
  <c r="M102" i="32" a="1"/>
  <c r="N102" i="32" a="1"/>
  <c r="H102" i="32" a="1"/>
  <c r="L102" i="32" a="1"/>
  <c r="G102" i="32" a="1"/>
  <c r="F102" i="32" a="1"/>
  <c r="E102" i="32" a="1"/>
  <c r="D102" i="32" a="1"/>
  <c r="C102" i="32" a="1"/>
  <c r="O102" i="32" a="1"/>
  <c r="L102" i="32" l="1"/>
  <c r="O102" i="32"/>
  <c r="Q102" i="32"/>
  <c r="N102" i="32"/>
  <c r="P102" i="32"/>
  <c r="M102" i="32"/>
  <c r="H102" i="32"/>
  <c r="D102" i="32"/>
  <c r="E102" i="32"/>
  <c r="F102" i="32"/>
  <c r="C102" i="32"/>
  <c r="G102" i="32"/>
  <c r="B103" i="32"/>
  <c r="P103" i="32" a="1"/>
  <c r="H103" i="32" a="1"/>
  <c r="E103" i="32" a="1"/>
  <c r="D103" i="32" a="1"/>
  <c r="C103" i="32" a="1"/>
  <c r="M103" i="32" a="1"/>
  <c r="L103" i="32" a="1"/>
  <c r="F103" i="32" a="1"/>
  <c r="N103" i="32" a="1"/>
  <c r="Q103" i="32" a="1"/>
  <c r="O103" i="32" a="1"/>
  <c r="G103" i="32" a="1"/>
  <c r="N103" i="32" l="1"/>
  <c r="Q103" i="32"/>
  <c r="L103" i="32"/>
  <c r="P103" i="32"/>
  <c r="O103" i="32"/>
  <c r="M103" i="32"/>
  <c r="H103" i="32"/>
  <c r="D103" i="32"/>
  <c r="E103" i="32"/>
  <c r="G103" i="32"/>
  <c r="C103" i="32"/>
  <c r="F103" i="32"/>
  <c r="B104" i="32"/>
  <c r="P104" i="32" a="1"/>
  <c r="L104" i="32" a="1"/>
  <c r="C104" i="32" a="1"/>
  <c r="Q104" i="32" a="1"/>
  <c r="O104" i="32" a="1"/>
  <c r="H104" i="32" a="1"/>
  <c r="G104" i="32" a="1"/>
  <c r="M104" i="32" a="1"/>
  <c r="N104" i="32" a="1"/>
  <c r="E104" i="32" a="1"/>
  <c r="F104" i="32" a="1"/>
  <c r="D104" i="32" a="1"/>
  <c r="Q104" i="32" l="1"/>
  <c r="O104" i="32"/>
  <c r="P104" i="32"/>
  <c r="M104" i="32"/>
  <c r="N104" i="32"/>
  <c r="L104" i="32"/>
  <c r="H104" i="32"/>
  <c r="D104" i="32"/>
  <c r="F104" i="32"/>
  <c r="G104" i="32"/>
  <c r="E104" i="32"/>
  <c r="C104" i="32"/>
  <c r="B105" i="32"/>
  <c r="C105" i="32" a="1"/>
  <c r="O105" i="32" a="1"/>
  <c r="M105" i="32" a="1"/>
  <c r="D105" i="32" a="1"/>
  <c r="P105" i="32" a="1"/>
  <c r="G105" i="32" a="1"/>
  <c r="Q105" i="32" a="1"/>
  <c r="E105" i="32" a="1"/>
  <c r="N105" i="32" a="1"/>
  <c r="H105" i="32" a="1"/>
  <c r="F105" i="32" a="1"/>
  <c r="L105" i="32" a="1"/>
  <c r="M105" i="32" l="1"/>
  <c r="O105" i="32"/>
  <c r="Q105" i="32"/>
  <c r="N105" i="32"/>
  <c r="P105" i="32"/>
  <c r="L105" i="32"/>
  <c r="H105" i="32"/>
  <c r="G105" i="32"/>
  <c r="C105" i="32"/>
  <c r="D105" i="32"/>
  <c r="E105" i="32"/>
  <c r="F105" i="32"/>
  <c r="B106" i="32"/>
  <c r="L106" i="32" a="1"/>
  <c r="M106" i="32" a="1"/>
  <c r="P106" i="32" a="1"/>
  <c r="F106" i="32" a="1"/>
  <c r="O106" i="32" a="1"/>
  <c r="D106" i="32" a="1"/>
  <c r="E106" i="32" a="1"/>
  <c r="N106" i="32" a="1"/>
  <c r="H106" i="32" a="1"/>
  <c r="G106" i="32" a="1"/>
  <c r="Q106" i="32" a="1"/>
  <c r="C106" i="32" a="1"/>
  <c r="L106" i="32" l="1"/>
  <c r="N106" i="32"/>
  <c r="P106" i="32"/>
  <c r="O106" i="32"/>
  <c r="M106" i="32"/>
  <c r="Q106" i="32"/>
  <c r="H106" i="32"/>
  <c r="G106" i="32"/>
  <c r="F106" i="32"/>
  <c r="D106" i="32"/>
  <c r="E106" i="32"/>
  <c r="C106" i="32"/>
  <c r="B107" i="32"/>
  <c r="F107" i="32" a="1"/>
  <c r="M107" i="32" a="1"/>
  <c r="O107" i="32" a="1"/>
  <c r="Q107" i="32" a="1"/>
  <c r="N107" i="32" a="1"/>
  <c r="L107" i="32" a="1"/>
  <c r="E107" i="32" a="1"/>
  <c r="H107" i="32" a="1"/>
  <c r="C107" i="32" a="1"/>
  <c r="P107" i="32" a="1"/>
  <c r="D107" i="32" a="1"/>
  <c r="G107" i="32" a="1"/>
  <c r="M107" i="32" l="1"/>
  <c r="L107" i="32"/>
  <c r="O107" i="32"/>
  <c r="N107" i="32"/>
  <c r="Q107" i="32"/>
  <c r="P107" i="32"/>
  <c r="H107" i="32"/>
  <c r="E107" i="32"/>
  <c r="C107" i="32"/>
  <c r="F107" i="32"/>
  <c r="D107" i="32"/>
  <c r="G107" i="32"/>
  <c r="B108" i="32"/>
  <c r="C108" i="32" a="1"/>
  <c r="P108" i="32" a="1"/>
  <c r="O108" i="32" a="1"/>
  <c r="G108" i="32" a="1"/>
  <c r="E108" i="32" a="1"/>
  <c r="D108" i="32" a="1"/>
  <c r="M108" i="32" a="1"/>
  <c r="L108" i="32" a="1"/>
  <c r="F108" i="32" a="1"/>
  <c r="Q108" i="32" a="1"/>
  <c r="N108" i="32" a="1"/>
  <c r="H108" i="32" a="1"/>
  <c r="O108" i="32" l="1"/>
  <c r="Q108" i="32"/>
  <c r="P108" i="32"/>
  <c r="N108" i="32"/>
  <c r="M108" i="32"/>
  <c r="L108" i="32"/>
  <c r="H108" i="32"/>
  <c r="D108" i="32"/>
  <c r="C108" i="32"/>
  <c r="F108" i="32"/>
  <c r="E108" i="32"/>
  <c r="G108" i="32"/>
  <c r="B109" i="32"/>
  <c r="C109" i="32" a="1"/>
  <c r="N109" i="32" a="1"/>
  <c r="E109" i="32" a="1"/>
  <c r="P109" i="32" a="1"/>
  <c r="M109" i="32" a="1"/>
  <c r="Q109" i="32" a="1"/>
  <c r="O109" i="32" a="1"/>
  <c r="D109" i="32" a="1"/>
  <c r="L109" i="32" a="1"/>
  <c r="H109" i="32" a="1"/>
  <c r="G109" i="32" a="1"/>
  <c r="F109" i="32" a="1"/>
  <c r="M109" i="32" l="1"/>
  <c r="N109" i="32"/>
  <c r="P109" i="32"/>
  <c r="O109" i="32"/>
  <c r="Q109" i="32"/>
  <c r="L109" i="32"/>
  <c r="H109" i="32"/>
  <c r="E109" i="32"/>
  <c r="C109" i="32"/>
  <c r="G109" i="32"/>
  <c r="F109" i="32"/>
  <c r="D109" i="32"/>
  <c r="B110" i="32"/>
  <c r="L110" i="32" a="1"/>
  <c r="Q110" i="32" a="1"/>
  <c r="H110" i="32" a="1"/>
  <c r="M110" i="32" a="1"/>
  <c r="F110" i="32" a="1"/>
  <c r="P110" i="32" a="1"/>
  <c r="E110" i="32" a="1"/>
  <c r="N110" i="32" a="1"/>
  <c r="D110" i="32" a="1"/>
  <c r="G110" i="32" a="1"/>
  <c r="O110" i="32" a="1"/>
  <c r="C110" i="32" a="1"/>
  <c r="M110" i="32" l="1"/>
  <c r="O110" i="32"/>
  <c r="L110" i="32"/>
  <c r="Q110" i="32"/>
  <c r="P110" i="32"/>
  <c r="N110" i="32"/>
  <c r="H110" i="32"/>
  <c r="F110" i="32"/>
  <c r="C110" i="32"/>
  <c r="D110" i="32"/>
  <c r="E110" i="32"/>
  <c r="G110" i="32"/>
  <c r="B111" i="32"/>
  <c r="E111" i="32" a="1"/>
  <c r="O111" i="32" a="1"/>
  <c r="G111" i="32" a="1"/>
  <c r="N111" i="32" a="1"/>
  <c r="F111" i="32" a="1"/>
  <c r="H111" i="32" a="1"/>
  <c r="L111" i="32" a="1"/>
  <c r="P111" i="32" a="1"/>
  <c r="M111" i="32" a="1"/>
  <c r="C111" i="32" a="1"/>
  <c r="Q111" i="32" a="1"/>
  <c r="D111" i="32" a="1"/>
  <c r="L111" i="32" l="1"/>
  <c r="N111" i="32"/>
  <c r="P111" i="32"/>
  <c r="O111" i="32"/>
  <c r="M111" i="32"/>
  <c r="Q111" i="32"/>
  <c r="H111" i="32"/>
  <c r="C111" i="32"/>
  <c r="G111" i="32"/>
  <c r="D111" i="32"/>
  <c r="E111" i="32"/>
  <c r="F111" i="32"/>
  <c r="B112" i="32"/>
  <c r="C112" i="32" a="1"/>
  <c r="H112" i="32" a="1"/>
  <c r="P112" i="32" a="1"/>
  <c r="F112" i="32" a="1"/>
  <c r="D112" i="32" a="1"/>
  <c r="O112" i="32" a="1"/>
  <c r="N112" i="32" a="1"/>
  <c r="E112" i="32" a="1"/>
  <c r="M112" i="32" a="1"/>
  <c r="G112" i="32" a="1"/>
  <c r="Q112" i="32" a="1"/>
  <c r="L112" i="32" a="1"/>
  <c r="O112" i="32" l="1"/>
  <c r="L112" i="32"/>
  <c r="N112" i="32"/>
  <c r="Q112" i="32"/>
  <c r="M112" i="32"/>
  <c r="P112" i="32"/>
  <c r="H112" i="32"/>
  <c r="F112" i="32"/>
  <c r="D112" i="32"/>
  <c r="E112" i="32"/>
  <c r="G112" i="32"/>
  <c r="C112" i="32"/>
  <c r="B113" i="32"/>
  <c r="Q113" i="32" a="1"/>
  <c r="G113" i="32" a="1"/>
  <c r="F113" i="32" a="1"/>
  <c r="H113" i="32" a="1"/>
  <c r="M113" i="32" a="1"/>
  <c r="P113" i="32" a="1"/>
  <c r="E113" i="32" a="1"/>
  <c r="N113" i="32" a="1"/>
  <c r="O113" i="32" a="1"/>
  <c r="L113" i="32" a="1"/>
  <c r="D113" i="32" a="1"/>
  <c r="C113" i="32" a="1"/>
  <c r="M113" i="32" l="1"/>
  <c r="P113" i="32"/>
  <c r="O113" i="32"/>
  <c r="L113" i="32"/>
  <c r="N113" i="32"/>
  <c r="Q113" i="32"/>
  <c r="H113" i="32"/>
  <c r="D113" i="32"/>
  <c r="G113" i="32"/>
  <c r="C113" i="32"/>
  <c r="E113" i="32"/>
  <c r="F113" i="32"/>
  <c r="B114" i="32"/>
  <c r="Q114" i="32" a="1"/>
  <c r="H114" i="32" a="1"/>
  <c r="D114" i="32" a="1"/>
  <c r="M114" i="32" a="1"/>
  <c r="E114" i="32" a="1"/>
  <c r="O114" i="32" a="1"/>
  <c r="G114" i="32" a="1"/>
  <c r="F114" i="32" a="1"/>
  <c r="L114" i="32" a="1"/>
  <c r="N114" i="32" a="1"/>
  <c r="C114" i="32" a="1"/>
  <c r="P114" i="32" a="1"/>
  <c r="O114" i="32" l="1"/>
  <c r="L114" i="32"/>
  <c r="N114" i="32"/>
  <c r="Q114" i="32"/>
  <c r="M114" i="32"/>
  <c r="P114" i="32"/>
  <c r="H114" i="32"/>
  <c r="F114" i="32"/>
  <c r="E114" i="32"/>
  <c r="G114" i="32"/>
  <c r="D114" i="32"/>
  <c r="C114" i="32"/>
  <c r="B115" i="32"/>
  <c r="L115" i="32" a="1"/>
  <c r="E115" i="32" a="1"/>
  <c r="O115" i="32" a="1"/>
  <c r="G115" i="32" a="1"/>
  <c r="F115" i="32" a="1"/>
  <c r="P115" i="32" a="1"/>
  <c r="C115" i="32" a="1"/>
  <c r="D115" i="32" a="1"/>
  <c r="H115" i="32" a="1"/>
  <c r="N115" i="32" a="1"/>
  <c r="Q115" i="32" a="1"/>
  <c r="M115" i="32" a="1"/>
  <c r="O115" i="32" l="1"/>
  <c r="L115" i="32"/>
  <c r="N115" i="32"/>
  <c r="Q115" i="32"/>
  <c r="P115" i="32"/>
  <c r="M115" i="32"/>
  <c r="H115" i="32"/>
  <c r="D115" i="32"/>
  <c r="C115" i="32"/>
  <c r="E115" i="32"/>
  <c r="F115" i="32"/>
  <c r="G115" i="32"/>
  <c r="B116" i="32"/>
  <c r="D116" i="32" a="1"/>
  <c r="O116" i="32" a="1"/>
  <c r="C116" i="32" a="1"/>
  <c r="P116" i="32" a="1"/>
  <c r="N116" i="32" a="1"/>
  <c r="M116" i="32" a="1"/>
  <c r="G116" i="32" a="1"/>
  <c r="L116" i="32" a="1"/>
  <c r="Q116" i="32" a="1"/>
  <c r="E116" i="32" a="1"/>
  <c r="F116" i="32" a="1"/>
  <c r="H116" i="32" a="1"/>
  <c r="P116" i="32" l="1"/>
  <c r="O116" i="32"/>
  <c r="L116" i="32"/>
  <c r="N116" i="32"/>
  <c r="Q116" i="32"/>
  <c r="M116" i="32"/>
  <c r="H116" i="32"/>
  <c r="D116" i="32"/>
  <c r="F116" i="32"/>
  <c r="C116" i="32"/>
  <c r="G116" i="32"/>
  <c r="E116" i="32"/>
  <c r="B117" i="32"/>
  <c r="E117" i="32" a="1"/>
  <c r="M117" i="32" a="1"/>
  <c r="G117" i="32" a="1"/>
  <c r="N117" i="32" a="1"/>
  <c r="C117" i="32" a="1"/>
  <c r="L117" i="32" a="1"/>
  <c r="Q117" i="32" a="1"/>
  <c r="D117" i="32" a="1"/>
  <c r="F117" i="32" a="1"/>
  <c r="P117" i="32" a="1"/>
  <c r="O117" i="32" a="1"/>
  <c r="H117" i="32" a="1"/>
  <c r="P117" i="32" l="1"/>
  <c r="O117" i="32"/>
  <c r="M117" i="32"/>
  <c r="L117" i="32"/>
  <c r="N117" i="32"/>
  <c r="Q117" i="32"/>
  <c r="H117" i="32"/>
  <c r="D117" i="32"/>
  <c r="G117" i="32"/>
  <c r="C117" i="32"/>
  <c r="E117" i="32"/>
  <c r="F117" i="32"/>
  <c r="B118" i="32"/>
  <c r="M118" i="32" a="1"/>
  <c r="P118" i="32" a="1"/>
  <c r="E118" i="32" a="1"/>
  <c r="N118" i="32" a="1"/>
  <c r="Q118" i="32" a="1"/>
  <c r="O118" i="32" a="1"/>
  <c r="D118" i="32" a="1"/>
  <c r="C118" i="32" a="1"/>
  <c r="G118" i="32" a="1"/>
  <c r="H118" i="32" a="1"/>
  <c r="F118" i="32" a="1"/>
  <c r="L118" i="32" a="1"/>
  <c r="Q118" i="32" l="1"/>
  <c r="M118" i="32"/>
  <c r="P118" i="32"/>
  <c r="O118" i="32"/>
  <c r="L118" i="32"/>
  <c r="N118" i="32"/>
  <c r="H118" i="32"/>
  <c r="G118" i="32"/>
  <c r="F118" i="32"/>
  <c r="D118" i="32"/>
  <c r="E118" i="32"/>
  <c r="C118" i="32"/>
  <c r="B119" i="32"/>
  <c r="P119" i="32" a="1"/>
  <c r="E119" i="32" a="1"/>
  <c r="L119" i="32" a="1"/>
  <c r="D119" i="32" a="1"/>
  <c r="M119" i="32" a="1"/>
  <c r="Q119" i="32" a="1"/>
  <c r="O119" i="32" a="1"/>
  <c r="F119" i="32" a="1"/>
  <c r="H119" i="32" a="1"/>
  <c r="C119" i="32" a="1"/>
  <c r="G119" i="32" a="1"/>
  <c r="N119" i="32" a="1"/>
  <c r="L119" i="32" l="1"/>
  <c r="Q119" i="32"/>
  <c r="O119" i="32"/>
  <c r="P119" i="32"/>
  <c r="N119" i="32"/>
  <c r="M119" i="32"/>
  <c r="H119" i="32"/>
  <c r="C119" i="32"/>
  <c r="D119" i="32"/>
  <c r="E119" i="32"/>
  <c r="F119" i="32"/>
  <c r="G119" i="32"/>
  <c r="B120" i="32"/>
  <c r="C120" i="32" a="1"/>
  <c r="E120" i="32" a="1"/>
  <c r="O120" i="32" a="1"/>
  <c r="D120" i="32" a="1"/>
  <c r="M120" i="32" a="1"/>
  <c r="L120" i="32" a="1"/>
  <c r="Q120" i="32" a="1"/>
  <c r="H120" i="32" a="1"/>
  <c r="F120" i="32" a="1"/>
  <c r="G120" i="32" a="1"/>
  <c r="P120" i="32" a="1"/>
  <c r="N120" i="32" a="1"/>
  <c r="P120" i="32" l="1"/>
  <c r="L120" i="32"/>
  <c r="M120" i="32"/>
  <c r="Q120" i="32"/>
  <c r="N120" i="32"/>
  <c r="O120" i="32"/>
  <c r="H120" i="32"/>
  <c r="G120" i="32"/>
  <c r="F120" i="32"/>
  <c r="C120" i="32"/>
  <c r="D120" i="32"/>
  <c r="E120" i="32"/>
  <c r="B121" i="32"/>
  <c r="N121" i="32" a="1"/>
  <c r="F121" i="32" a="1"/>
  <c r="L121" i="32" a="1"/>
  <c r="C121" i="32" a="1"/>
  <c r="E121" i="32" a="1"/>
  <c r="M121" i="32" a="1"/>
  <c r="D121" i="32" a="1"/>
  <c r="Q121" i="32" a="1"/>
  <c r="G121" i="32" a="1"/>
  <c r="H121" i="32" a="1"/>
  <c r="P121" i="32" a="1"/>
  <c r="O121" i="32" a="1"/>
  <c r="L121" i="32" l="1"/>
  <c r="N121" i="32"/>
  <c r="Q121" i="32"/>
  <c r="M121" i="32"/>
  <c r="P121" i="32"/>
  <c r="O121" i="32"/>
  <c r="H121" i="32"/>
  <c r="C121" i="32"/>
  <c r="D121" i="32"/>
  <c r="E121" i="32"/>
  <c r="F121" i="32"/>
  <c r="G121" i="32"/>
  <c r="B122" i="32"/>
  <c r="N122" i="32" a="1"/>
  <c r="G122" i="32" a="1"/>
  <c r="L122" i="32" a="1"/>
  <c r="Q122" i="32" a="1"/>
  <c r="P122" i="32" a="1"/>
  <c r="C122" i="32" a="1"/>
  <c r="H122" i="32" a="1"/>
  <c r="M122" i="32" a="1"/>
  <c r="D122" i="32" a="1"/>
  <c r="O122" i="32" a="1"/>
  <c r="F122" i="32" a="1"/>
  <c r="E122" i="32" a="1"/>
  <c r="O122" i="32" l="1"/>
  <c r="M122" i="32"/>
  <c r="L122" i="32"/>
  <c r="Q122" i="32"/>
  <c r="P122" i="32"/>
  <c r="N122" i="32"/>
  <c r="H122" i="32"/>
  <c r="E122" i="32"/>
  <c r="F122" i="32"/>
  <c r="G122" i="32"/>
  <c r="C122" i="32"/>
  <c r="D122" i="32"/>
  <c r="B123" i="32"/>
  <c r="H123" i="32" a="1"/>
  <c r="O123" i="32" a="1"/>
  <c r="N123" i="32" a="1"/>
  <c r="F123" i="32" a="1"/>
  <c r="E123" i="32" a="1"/>
  <c r="L123" i="32" a="1"/>
  <c r="D123" i="32" a="1"/>
  <c r="C123" i="32" a="1"/>
  <c r="M123" i="32" a="1"/>
  <c r="Q123" i="32" a="1"/>
  <c r="P123" i="32" a="1"/>
  <c r="G123" i="32" a="1"/>
  <c r="O123" i="32" l="1"/>
  <c r="Q123" i="32"/>
  <c r="N123" i="32"/>
  <c r="M123" i="32"/>
  <c r="L123" i="32"/>
  <c r="P123" i="32"/>
  <c r="H123" i="32"/>
  <c r="C123" i="32"/>
  <c r="E123" i="32"/>
  <c r="D123" i="32"/>
  <c r="G123" i="32"/>
  <c r="F123" i="32"/>
  <c r="B124" i="32"/>
  <c r="G124" i="32" a="1"/>
  <c r="H124" i="32" a="1"/>
  <c r="Q124" i="32" a="1"/>
  <c r="D124" i="32" a="1"/>
  <c r="C124" i="32" a="1"/>
  <c r="F124" i="32" a="1"/>
  <c r="P124" i="32" a="1"/>
  <c r="E124" i="32" a="1"/>
  <c r="L124" i="32" a="1"/>
  <c r="O124" i="32" a="1"/>
  <c r="N124" i="32" a="1"/>
  <c r="M124" i="32" a="1"/>
  <c r="O124" i="32" l="1"/>
  <c r="Q124" i="32"/>
  <c r="M124" i="32"/>
  <c r="L124" i="32"/>
  <c r="P124" i="32"/>
  <c r="N124" i="32"/>
  <c r="H124" i="32"/>
  <c r="F124" i="32"/>
  <c r="C124" i="32"/>
  <c r="D124" i="32"/>
  <c r="E124" i="32"/>
  <c r="G124" i="32"/>
  <c r="B125" i="32"/>
  <c r="Q125" i="32" a="1"/>
  <c r="O125" i="32" a="1"/>
  <c r="P125" i="32" a="1"/>
  <c r="G125" i="32" a="1"/>
  <c r="E125" i="32" a="1"/>
  <c r="H125" i="32" a="1"/>
  <c r="N125" i="32" a="1"/>
  <c r="M125" i="32" a="1"/>
  <c r="L125" i="32" a="1"/>
  <c r="D125" i="32" a="1"/>
  <c r="F125" i="32" a="1"/>
  <c r="C125" i="32" a="1"/>
  <c r="N125" i="32" l="1"/>
  <c r="O125" i="32"/>
  <c r="L125" i="32"/>
  <c r="Q125" i="32"/>
  <c r="M125" i="32"/>
  <c r="P125" i="32"/>
  <c r="H125" i="32"/>
  <c r="F125" i="32"/>
  <c r="G125" i="32"/>
  <c r="D125" i="32"/>
  <c r="C125" i="32"/>
  <c r="E125" i="32"/>
  <c r="B126" i="32"/>
  <c r="Q126" i="32" a="1"/>
  <c r="P126" i="32" a="1"/>
  <c r="F126" i="32" a="1"/>
  <c r="L126" i="32" a="1"/>
  <c r="N126" i="32" a="1"/>
  <c r="C126" i="32" a="1"/>
  <c r="E126" i="32" a="1"/>
  <c r="M126" i="32" a="1"/>
  <c r="G126" i="32" a="1"/>
  <c r="H126" i="32" a="1"/>
  <c r="D126" i="32" a="1"/>
  <c r="O126" i="32" a="1"/>
  <c r="M126" i="32" l="1"/>
  <c r="O126" i="32"/>
  <c r="P126" i="32"/>
  <c r="Q126" i="32"/>
  <c r="L126" i="32"/>
  <c r="N126" i="32"/>
  <c r="H126" i="32"/>
  <c r="F126" i="32"/>
  <c r="E126" i="32"/>
  <c r="G126" i="32"/>
  <c r="C126" i="32"/>
  <c r="D126" i="32"/>
  <c r="B127" i="32"/>
  <c r="D127" i="32" a="1"/>
  <c r="M127" i="32" a="1"/>
  <c r="P127" i="32" a="1"/>
  <c r="Q127" i="32" a="1"/>
  <c r="F127" i="32" a="1"/>
  <c r="G127" i="32" a="1"/>
  <c r="C127" i="32" a="1"/>
  <c r="E127" i="32" a="1"/>
  <c r="H127" i="32" a="1"/>
  <c r="L127" i="32" a="1"/>
  <c r="N127" i="32" a="1"/>
  <c r="O127" i="32" a="1"/>
  <c r="M127" i="32" l="1"/>
  <c r="N127" i="32"/>
  <c r="Q127" i="32"/>
  <c r="O127" i="32"/>
  <c r="P127" i="32"/>
  <c r="L127" i="32"/>
  <c r="H127" i="32"/>
  <c r="E127" i="32"/>
  <c r="G127" i="32"/>
  <c r="F127" i="32"/>
  <c r="D127" i="32"/>
  <c r="C127" i="32"/>
  <c r="B128" i="32"/>
  <c r="N128" i="32" a="1"/>
  <c r="C128" i="32" a="1"/>
  <c r="E128" i="32" a="1"/>
  <c r="Q128" i="32" a="1"/>
  <c r="D128" i="32" a="1"/>
  <c r="P128" i="32" a="1"/>
  <c r="G128" i="32" a="1"/>
  <c r="L128" i="32" a="1"/>
  <c r="F128" i="32" a="1"/>
  <c r="O128" i="32" a="1"/>
  <c r="H128" i="32" a="1"/>
  <c r="M128" i="32" a="1"/>
  <c r="Q128" i="32" l="1"/>
  <c r="O128" i="32"/>
  <c r="M128" i="32"/>
  <c r="L128" i="32"/>
  <c r="N128" i="32"/>
  <c r="P128" i="32"/>
  <c r="H128" i="32"/>
  <c r="D128" i="32"/>
  <c r="F128" i="32"/>
  <c r="E128" i="32"/>
  <c r="C128" i="32"/>
  <c r="G128" i="32"/>
  <c r="B129" i="32"/>
  <c r="D129" i="32" a="1"/>
  <c r="P129" i="32" a="1"/>
  <c r="L129" i="32" a="1"/>
  <c r="M129" i="32" a="1"/>
  <c r="G129" i="32" a="1"/>
  <c r="E129" i="32" a="1"/>
  <c r="N129" i="32" a="1"/>
  <c r="Q129" i="32" a="1"/>
  <c r="O129" i="32" a="1"/>
  <c r="H129" i="32" a="1"/>
  <c r="C129" i="32" a="1"/>
  <c r="F129" i="32" a="1"/>
  <c r="P129" i="32" l="1"/>
  <c r="M129" i="32"/>
  <c r="N129" i="32"/>
  <c r="O129" i="32"/>
  <c r="L129" i="32"/>
  <c r="Q129" i="32"/>
  <c r="H129" i="32"/>
  <c r="C129" i="32"/>
  <c r="F129" i="32"/>
  <c r="E129" i="32"/>
  <c r="D129" i="32"/>
  <c r="G129" i="32"/>
  <c r="B130" i="32"/>
  <c r="G130" i="32" a="1"/>
  <c r="L130" i="32" a="1"/>
  <c r="C130" i="32" a="1"/>
  <c r="E130" i="32" a="1"/>
  <c r="N130" i="32" a="1"/>
  <c r="M130" i="32" a="1"/>
  <c r="D130" i="32" a="1"/>
  <c r="F130" i="32" a="1"/>
  <c r="P130" i="32" a="1"/>
  <c r="H130" i="32" a="1"/>
  <c r="Q130" i="32" a="1"/>
  <c r="O130" i="32" a="1"/>
  <c r="P130" i="32" l="1"/>
  <c r="M130" i="32"/>
  <c r="Q130" i="32"/>
  <c r="O130" i="32"/>
  <c r="L130" i="32"/>
  <c r="N130" i="32"/>
  <c r="H130" i="32"/>
  <c r="E130" i="32"/>
  <c r="D130" i="32"/>
  <c r="C130" i="32"/>
  <c r="F130" i="32"/>
  <c r="G130" i="32"/>
  <c r="B131" i="32"/>
  <c r="D131" i="32" a="1"/>
  <c r="E131" i="32" a="1"/>
  <c r="C131" i="32" a="1"/>
  <c r="N131" i="32" a="1"/>
  <c r="P131" i="32" a="1"/>
  <c r="G131" i="32" a="1"/>
  <c r="Q131" i="32" a="1"/>
  <c r="F131" i="32" a="1"/>
  <c r="M131" i="32" a="1"/>
  <c r="H131" i="32" a="1"/>
  <c r="O131" i="32" a="1"/>
  <c r="L131" i="32" a="1"/>
  <c r="L131" i="32" l="1"/>
  <c r="P131" i="32"/>
  <c r="N131" i="32"/>
  <c r="Q131" i="32"/>
  <c r="M131" i="32"/>
  <c r="O131" i="32"/>
  <c r="H131" i="32"/>
  <c r="C131" i="32"/>
  <c r="E131" i="32"/>
  <c r="G131" i="32"/>
  <c r="F131" i="32"/>
  <c r="D131" i="32"/>
  <c r="B132" i="32"/>
  <c r="M132" i="32" a="1"/>
  <c r="D132" i="32" a="1"/>
  <c r="H132" i="32" a="1"/>
  <c r="G132" i="32" a="1"/>
  <c r="E132" i="32" a="1"/>
  <c r="L132" i="32" a="1"/>
  <c r="N132" i="32" a="1"/>
  <c r="F132" i="32" a="1"/>
  <c r="O132" i="32" a="1"/>
  <c r="P132" i="32" a="1"/>
  <c r="C132" i="32" a="1"/>
  <c r="Q132" i="32" a="1"/>
  <c r="L132" i="32" l="1"/>
  <c r="Q132" i="32"/>
  <c r="M132" i="32"/>
  <c r="O132" i="32"/>
  <c r="N132" i="32"/>
  <c r="P132" i="32"/>
  <c r="H132" i="32"/>
  <c r="D132" i="32"/>
  <c r="G132" i="32"/>
  <c r="F132" i="32"/>
  <c r="E132" i="32"/>
  <c r="C132" i="32"/>
  <c r="B133" i="32"/>
  <c r="C133" i="32" a="1"/>
  <c r="Q133" i="32" a="1"/>
  <c r="D133" i="32" a="1"/>
  <c r="N133" i="32" a="1"/>
  <c r="L133" i="32" a="1"/>
  <c r="M133" i="32" a="1"/>
  <c r="E133" i="32" a="1"/>
  <c r="H133" i="32" a="1"/>
  <c r="P133" i="32" a="1"/>
  <c r="G133" i="32" a="1"/>
  <c r="F133" i="32" a="1"/>
  <c r="O133" i="32" a="1"/>
  <c r="M133" i="32" l="1"/>
  <c r="P133" i="32"/>
  <c r="L133" i="32"/>
  <c r="Q133" i="32"/>
  <c r="N133" i="32"/>
  <c r="O133" i="32"/>
  <c r="H133" i="32"/>
  <c r="D133" i="32"/>
  <c r="F133" i="32"/>
  <c r="G133" i="32"/>
  <c r="C133" i="32"/>
  <c r="E133" i="32"/>
  <c r="B134" i="32"/>
  <c r="C134" i="32" a="1"/>
  <c r="O134" i="32" a="1"/>
  <c r="G134" i="32" a="1"/>
  <c r="H134" i="32" a="1"/>
  <c r="M134" i="32" a="1"/>
  <c r="L134" i="32" a="1"/>
  <c r="Q134" i="32" a="1"/>
  <c r="P134" i="32" a="1"/>
  <c r="F134" i="32" a="1"/>
  <c r="E134" i="32" a="1"/>
  <c r="N134" i="32" a="1"/>
  <c r="D134" i="32" a="1"/>
  <c r="O134" i="32" l="1"/>
  <c r="N134" i="32"/>
  <c r="L134" i="32"/>
  <c r="P134" i="32"/>
  <c r="M134" i="32"/>
  <c r="Q134" i="32"/>
  <c r="H134" i="32"/>
  <c r="D134" i="32"/>
  <c r="G134" i="32"/>
  <c r="C134" i="32"/>
  <c r="E134" i="32"/>
  <c r="F134" i="32"/>
  <c r="B135" i="32"/>
  <c r="Q135" i="32" a="1"/>
  <c r="G135" i="32" a="1"/>
  <c r="E135" i="32" a="1"/>
  <c r="D135" i="32" a="1"/>
  <c r="L135" i="32" a="1"/>
  <c r="P135" i="32" a="1"/>
  <c r="O135" i="32" a="1"/>
  <c r="H135" i="32" a="1"/>
  <c r="N135" i="32" a="1"/>
  <c r="F135" i="32" a="1"/>
  <c r="M135" i="32" a="1"/>
  <c r="C135" i="32" a="1"/>
  <c r="P135" i="32" l="1"/>
  <c r="O135" i="32"/>
  <c r="Q135" i="32"/>
  <c r="L135" i="32"/>
  <c r="N135" i="32"/>
  <c r="M135" i="32"/>
  <c r="H135" i="32"/>
  <c r="C135" i="32"/>
  <c r="F135" i="32"/>
  <c r="D135" i="32"/>
  <c r="E135" i="32"/>
  <c r="G135" i="32"/>
  <c r="B136" i="32"/>
  <c r="L136" i="32" a="1"/>
  <c r="C136" i="32" a="1"/>
  <c r="O136" i="32" a="1"/>
  <c r="E136" i="32" a="1"/>
  <c r="P136" i="32" a="1"/>
  <c r="N136" i="32" a="1"/>
  <c r="D136" i="32" a="1"/>
  <c r="M136" i="32" a="1"/>
  <c r="Q136" i="32" a="1"/>
  <c r="H136" i="32" a="1"/>
  <c r="F136" i="32" a="1"/>
  <c r="G136" i="32" a="1"/>
  <c r="O136" i="32" l="1"/>
  <c r="M136" i="32"/>
  <c r="L136" i="32"/>
  <c r="N136" i="32"/>
  <c r="Q136" i="32"/>
  <c r="P136" i="32"/>
  <c r="H136" i="32"/>
  <c r="E136" i="32"/>
  <c r="F136" i="32"/>
  <c r="C136" i="32"/>
  <c r="D136" i="32"/>
  <c r="G136" i="32"/>
  <c r="B137" i="32"/>
  <c r="O137" i="32" a="1"/>
  <c r="C137" i="32" a="1"/>
  <c r="E137" i="32" a="1"/>
  <c r="N137" i="32" a="1"/>
  <c r="M137" i="32" a="1"/>
  <c r="G137" i="32" a="1"/>
  <c r="Q137" i="32" a="1"/>
  <c r="D137" i="32" a="1"/>
  <c r="L137" i="32" a="1"/>
  <c r="H137" i="32" a="1"/>
  <c r="F137" i="32" a="1"/>
  <c r="P137" i="32" a="1"/>
  <c r="P137" i="32" l="1"/>
  <c r="O137" i="32"/>
  <c r="N137" i="32"/>
  <c r="M137" i="32"/>
  <c r="L137" i="32"/>
  <c r="Q137" i="32"/>
  <c r="H137" i="32"/>
  <c r="C137" i="32"/>
  <c r="G137" i="32"/>
  <c r="F137" i="32"/>
  <c r="E137" i="32"/>
  <c r="D137" i="32"/>
  <c r="B138" i="32"/>
  <c r="N138" i="32" a="1"/>
  <c r="O138" i="32" a="1"/>
  <c r="L138" i="32" a="1"/>
  <c r="P138" i="32" a="1"/>
  <c r="H138" i="32" a="1"/>
  <c r="F138" i="32" a="1"/>
  <c r="G138" i="32" a="1"/>
  <c r="M138" i="32" a="1"/>
  <c r="E138" i="32" a="1"/>
  <c r="D138" i="32" a="1"/>
  <c r="Q138" i="32" a="1"/>
  <c r="C138" i="32" a="1"/>
  <c r="Q138" i="32" l="1"/>
  <c r="M138" i="32"/>
  <c r="O138" i="32"/>
  <c r="P138" i="32"/>
  <c r="N138" i="32"/>
  <c r="L138" i="32"/>
  <c r="H138" i="32"/>
  <c r="F138" i="32"/>
  <c r="C138" i="32"/>
  <c r="E138" i="32"/>
  <c r="G138" i="32"/>
  <c r="D138" i="32"/>
  <c r="B139" i="32"/>
  <c r="N139" i="32" a="1"/>
  <c r="H139" i="32" a="1"/>
  <c r="M139" i="32" a="1"/>
  <c r="F139" i="32" a="1"/>
  <c r="Q139" i="32" a="1"/>
  <c r="C139" i="32" a="1"/>
  <c r="G139" i="32" a="1"/>
  <c r="O139" i="32" a="1"/>
  <c r="P139" i="32" a="1"/>
  <c r="D139" i="32" a="1"/>
  <c r="E139" i="32" a="1"/>
  <c r="L139" i="32" a="1"/>
  <c r="N139" i="32" l="1"/>
  <c r="Q139" i="32"/>
  <c r="P139" i="32"/>
  <c r="L139" i="32"/>
  <c r="O139" i="32"/>
  <c r="M139" i="32"/>
  <c r="H139" i="32"/>
  <c r="E139" i="32"/>
  <c r="F139" i="32"/>
  <c r="C139" i="32"/>
  <c r="G139" i="32"/>
  <c r="D139" i="32"/>
  <c r="B140" i="32"/>
  <c r="D140" i="32" a="1"/>
  <c r="P140" i="32" a="1"/>
  <c r="E140" i="32" a="1"/>
  <c r="H140" i="32" a="1"/>
  <c r="L140" i="32" a="1"/>
  <c r="O140" i="32" a="1"/>
  <c r="N140" i="32" a="1"/>
  <c r="G140" i="32" a="1"/>
  <c r="F140" i="32" a="1"/>
  <c r="C140" i="32" a="1"/>
  <c r="Q140" i="32" a="1"/>
  <c r="M140" i="32" a="1"/>
  <c r="Q140" i="32" l="1"/>
  <c r="M140" i="32"/>
  <c r="P140" i="32"/>
  <c r="O140" i="32"/>
  <c r="N140" i="32"/>
  <c r="L140" i="32"/>
  <c r="H140" i="32"/>
  <c r="D140" i="32"/>
  <c r="E140" i="32"/>
  <c r="C140" i="32"/>
  <c r="G140" i="32"/>
  <c r="F140" i="32"/>
  <c r="B141" i="32"/>
  <c r="F141" i="32" a="1"/>
  <c r="G141" i="32" a="1"/>
  <c r="C141" i="32" a="1"/>
  <c r="Q141" i="32" a="1"/>
  <c r="E141" i="32" a="1"/>
  <c r="L141" i="32" a="1"/>
  <c r="O141" i="32" a="1"/>
  <c r="M141" i="32" a="1"/>
  <c r="P141" i="32" a="1"/>
  <c r="D141" i="32" a="1"/>
  <c r="N141" i="32" a="1"/>
  <c r="H141" i="32" a="1"/>
  <c r="L141" i="32" l="1"/>
  <c r="O141" i="32"/>
  <c r="M141" i="32"/>
  <c r="Q141" i="32"/>
  <c r="P141" i="32"/>
  <c r="N141" i="32"/>
  <c r="H141" i="32"/>
  <c r="G141" i="32"/>
  <c r="C141" i="32"/>
  <c r="F141" i="32"/>
  <c r="E141" i="32"/>
  <c r="D141" i="32"/>
  <c r="B142" i="32"/>
  <c r="M142" i="32" a="1"/>
  <c r="O142" i="32" a="1"/>
  <c r="G142" i="32" a="1"/>
  <c r="E142" i="32" a="1"/>
  <c r="C142" i="32" a="1"/>
  <c r="Q142" i="32" a="1"/>
  <c r="F142" i="32" a="1"/>
  <c r="D142" i="32" a="1"/>
  <c r="L142" i="32" a="1"/>
  <c r="P142" i="32" a="1"/>
  <c r="H142" i="32" a="1"/>
  <c r="N142" i="32" a="1"/>
  <c r="P142" i="32" l="1"/>
  <c r="L142" i="32"/>
  <c r="O142" i="32"/>
  <c r="M142" i="32"/>
  <c r="N142" i="32"/>
  <c r="Q142" i="32"/>
  <c r="H142" i="32"/>
  <c r="D142" i="32"/>
  <c r="C142" i="32"/>
  <c r="E142" i="32"/>
  <c r="F142" i="32"/>
  <c r="G142" i="32"/>
  <c r="B143" i="32"/>
  <c r="C143" i="32" a="1"/>
  <c r="E143" i="32" a="1"/>
  <c r="G143" i="32" a="1"/>
  <c r="Q143" i="32" a="1"/>
  <c r="H143" i="32" a="1"/>
  <c r="F143" i="32" a="1"/>
  <c r="O143" i="32" a="1"/>
  <c r="L143" i="32" a="1"/>
  <c r="M143" i="32" a="1"/>
  <c r="N143" i="32" a="1"/>
  <c r="P143" i="32" a="1"/>
  <c r="D143" i="32" a="1"/>
  <c r="M143" i="32" l="1"/>
  <c r="L143" i="32"/>
  <c r="O143" i="32"/>
  <c r="N143" i="32"/>
  <c r="Q143" i="32"/>
  <c r="P143" i="32"/>
  <c r="H143" i="32"/>
  <c r="G143" i="32"/>
  <c r="D143" i="32"/>
  <c r="C143" i="32"/>
  <c r="F143" i="32"/>
  <c r="E143" i="32"/>
  <c r="B144" i="32"/>
  <c r="Q144" i="32" a="1"/>
  <c r="L144" i="32" a="1"/>
  <c r="G144" i="32" a="1"/>
  <c r="F144" i="32" a="1"/>
  <c r="M144" i="32" a="1"/>
  <c r="P144" i="32" a="1"/>
  <c r="C144" i="32" a="1"/>
  <c r="O144" i="32" a="1"/>
  <c r="E144" i="32" a="1"/>
  <c r="N144" i="32" a="1"/>
  <c r="D144" i="32" a="1"/>
  <c r="H144" i="32" a="1"/>
  <c r="L144" i="32" l="1"/>
  <c r="O144" i="32"/>
  <c r="M144" i="32"/>
  <c r="N144" i="32"/>
  <c r="Q144" i="32"/>
  <c r="P144" i="32"/>
  <c r="H144" i="32"/>
  <c r="E144" i="32"/>
  <c r="F144" i="32"/>
  <c r="G144" i="32"/>
  <c r="D144" i="32"/>
  <c r="C144" i="32"/>
  <c r="B145" i="32"/>
  <c r="D145" i="32" a="1"/>
  <c r="M145" i="32" a="1"/>
  <c r="L145" i="32" a="1"/>
  <c r="F145" i="32" a="1"/>
  <c r="C145" i="32" a="1"/>
  <c r="E145" i="32" a="1"/>
  <c r="O145" i="32" a="1"/>
  <c r="N145" i="32" a="1"/>
  <c r="G145" i="32" a="1"/>
  <c r="H145" i="32" a="1"/>
  <c r="P145" i="32" a="1"/>
  <c r="Q145" i="32" a="1"/>
  <c r="N145" i="32" l="1"/>
  <c r="L145" i="32"/>
  <c r="O145" i="32"/>
  <c r="P145" i="32"/>
  <c r="M145" i="32"/>
  <c r="Q145" i="32"/>
  <c r="H145" i="32"/>
  <c r="G145" i="32"/>
  <c r="E145" i="32"/>
  <c r="F145" i="32"/>
  <c r="C145" i="32"/>
  <c r="D145" i="32"/>
  <c r="B146" i="32"/>
  <c r="C146" i="32" a="1"/>
  <c r="M146" i="32" a="1"/>
  <c r="H146" i="32" a="1"/>
  <c r="F146" i="32" a="1"/>
  <c r="L146" i="32" a="1"/>
  <c r="N146" i="32" a="1"/>
  <c r="G146" i="32" a="1"/>
  <c r="Q146" i="32" a="1"/>
  <c r="O146" i="32" a="1"/>
  <c r="E146" i="32" a="1"/>
  <c r="D146" i="32" a="1"/>
  <c r="P146" i="32" a="1"/>
  <c r="M146" i="32" l="1"/>
  <c r="P146" i="32"/>
  <c r="L146" i="32"/>
  <c r="O146" i="32"/>
  <c r="Q146" i="32"/>
  <c r="N146" i="32"/>
  <c r="H146" i="32"/>
  <c r="D146" i="32"/>
  <c r="E146" i="32"/>
  <c r="F146" i="32"/>
  <c r="G146" i="32"/>
  <c r="C146" i="32"/>
  <c r="B147" i="32"/>
  <c r="P147" i="32" a="1"/>
  <c r="D147" i="32" a="1"/>
  <c r="E147" i="32" a="1"/>
  <c r="F147" i="32" a="1"/>
  <c r="C147" i="32" a="1"/>
  <c r="M147" i="32" a="1"/>
  <c r="G147" i="32" a="1"/>
  <c r="Q147" i="32" a="1"/>
  <c r="L147" i="32" a="1"/>
  <c r="O147" i="32" a="1"/>
  <c r="H147" i="32" a="1"/>
  <c r="N147" i="32" a="1"/>
  <c r="P147" i="32" l="1"/>
  <c r="M147" i="32"/>
  <c r="L147" i="32"/>
  <c r="O147" i="32"/>
  <c r="N147" i="32"/>
  <c r="Q147" i="32"/>
  <c r="H147" i="32"/>
  <c r="G147" i="32"/>
  <c r="C147" i="32"/>
  <c r="D147" i="32"/>
  <c r="F147" i="32"/>
  <c r="E147" i="32"/>
  <c r="B148" i="32"/>
  <c r="P148" i="32" a="1"/>
  <c r="N148" i="32" a="1"/>
  <c r="H148" i="32" a="1"/>
  <c r="M148" i="32" a="1"/>
  <c r="D148" i="32" a="1"/>
  <c r="L148" i="32" a="1"/>
  <c r="F148" i="32" a="1"/>
  <c r="O148" i="32" a="1"/>
  <c r="E148" i="32" a="1"/>
  <c r="C148" i="32" a="1"/>
  <c r="Q148" i="32" a="1"/>
  <c r="G148" i="32" a="1"/>
  <c r="M148" i="32" l="1"/>
  <c r="N148" i="32"/>
  <c r="P148" i="32"/>
  <c r="L148" i="32"/>
  <c r="O148" i="32"/>
  <c r="Q148" i="32"/>
  <c r="H148" i="32"/>
  <c r="D148" i="32"/>
  <c r="C148" i="32"/>
  <c r="F148" i="32"/>
  <c r="E148" i="32"/>
  <c r="G148" i="32"/>
  <c r="B149" i="32"/>
  <c r="H149" i="32" a="1"/>
  <c r="F149" i="32" a="1"/>
  <c r="M149" i="32" a="1"/>
  <c r="N149" i="32" a="1"/>
  <c r="Q149" i="32" a="1"/>
  <c r="L149" i="32" a="1"/>
  <c r="O149" i="32" a="1"/>
  <c r="G149" i="32" a="1"/>
  <c r="E149" i="32" a="1"/>
  <c r="P149" i="32" a="1"/>
  <c r="D149" i="32" a="1"/>
  <c r="C149" i="32" a="1"/>
  <c r="Q149" i="32" l="1"/>
  <c r="N149" i="32"/>
  <c r="L149" i="32"/>
  <c r="O149" i="32"/>
  <c r="M149" i="32"/>
  <c r="P149" i="32"/>
  <c r="H149" i="32"/>
  <c r="E149" i="32"/>
  <c r="F149" i="32"/>
  <c r="G149" i="32"/>
  <c r="C149" i="32"/>
  <c r="D149" i="32"/>
  <c r="B150" i="32"/>
  <c r="D150" i="32" a="1"/>
  <c r="M150" i="32" a="1"/>
  <c r="G150" i="32" a="1"/>
  <c r="N150" i="32" a="1"/>
  <c r="Q150" i="32" a="1"/>
  <c r="F150" i="32" a="1"/>
  <c r="P150" i="32" a="1"/>
  <c r="H150" i="32" a="1"/>
  <c r="O150" i="32" a="1"/>
  <c r="E150" i="32" a="1"/>
  <c r="L150" i="32" a="1"/>
  <c r="C150" i="32" a="1"/>
  <c r="Q150" i="32" l="1"/>
  <c r="P150" i="32"/>
  <c r="M150" i="32"/>
  <c r="L150" i="32"/>
  <c r="O150" i="32"/>
  <c r="N150" i="32"/>
  <c r="H150" i="32"/>
  <c r="F150" i="32"/>
  <c r="C150" i="32"/>
  <c r="G150" i="32"/>
  <c r="D150" i="32"/>
  <c r="E150" i="32"/>
  <c r="B151" i="32"/>
  <c r="F151" i="32" a="1"/>
  <c r="M151" i="32" a="1"/>
  <c r="P151" i="32" a="1"/>
  <c r="O151" i="32" a="1"/>
  <c r="C151" i="32" a="1"/>
  <c r="E151" i="32" a="1"/>
  <c r="G151" i="32" a="1"/>
  <c r="D151" i="32" a="1"/>
  <c r="N151" i="32" a="1"/>
  <c r="L151" i="32" a="1"/>
  <c r="H151" i="32" a="1"/>
  <c r="Q151" i="32" a="1"/>
  <c r="P151" i="32" l="1"/>
  <c r="Q151" i="32"/>
  <c r="M151" i="32"/>
  <c r="N151" i="32"/>
  <c r="L151" i="32"/>
  <c r="O151" i="32"/>
  <c r="H151" i="32"/>
  <c r="E151" i="32"/>
  <c r="C151" i="32"/>
  <c r="G151" i="32"/>
  <c r="F151" i="32"/>
  <c r="D151" i="32"/>
  <c r="B152" i="32"/>
  <c r="H152" i="32" a="1"/>
  <c r="G152" i="32" a="1"/>
  <c r="E152" i="32" a="1"/>
  <c r="C152" i="32" a="1"/>
  <c r="N152" i="32" a="1"/>
  <c r="D152" i="32" a="1"/>
  <c r="M152" i="32" a="1"/>
  <c r="L152" i="32" a="1"/>
  <c r="P152" i="32" a="1"/>
  <c r="Q152" i="32" a="1"/>
  <c r="O152" i="32" a="1"/>
  <c r="F152" i="32" a="1"/>
  <c r="N152" i="32" l="1"/>
  <c r="Q152" i="32"/>
  <c r="M152" i="32"/>
  <c r="P152" i="32"/>
  <c r="O152" i="32"/>
  <c r="L152" i="32"/>
  <c r="H152" i="32"/>
  <c r="D152" i="32"/>
  <c r="G152" i="32"/>
  <c r="C152" i="32"/>
  <c r="F152" i="32"/>
  <c r="E152" i="32"/>
  <c r="B153" i="32"/>
  <c r="C153" i="32" a="1"/>
  <c r="N153" i="32" a="1"/>
  <c r="Q153" i="32" a="1"/>
  <c r="L153" i="32" a="1"/>
  <c r="M153" i="32" a="1"/>
  <c r="F153" i="32" a="1"/>
  <c r="H153" i="32" a="1"/>
  <c r="E153" i="32" a="1"/>
  <c r="D153" i="32" a="1"/>
  <c r="G153" i="32" a="1"/>
  <c r="P153" i="32" a="1"/>
  <c r="O153" i="32" a="1"/>
  <c r="L153" i="32" l="1"/>
  <c r="O153" i="32"/>
  <c r="N153" i="32"/>
  <c r="Q153" i="32"/>
  <c r="P153" i="32"/>
  <c r="M153" i="32"/>
  <c r="H153" i="32"/>
  <c r="D153" i="32"/>
  <c r="G153" i="32"/>
  <c r="C153" i="32"/>
  <c r="E153" i="32"/>
  <c r="F153" i="32"/>
  <c r="B154" i="32"/>
  <c r="O154" i="32" a="1"/>
  <c r="F154" i="32" a="1"/>
  <c r="G154" i="32" a="1"/>
  <c r="D154" i="32" a="1"/>
  <c r="C154" i="32" a="1"/>
  <c r="E154" i="32" a="1"/>
  <c r="L154" i="32" a="1"/>
  <c r="P154" i="32" a="1"/>
  <c r="Q154" i="32" a="1"/>
  <c r="H154" i="32" a="1"/>
  <c r="N154" i="32" a="1"/>
  <c r="M154" i="32" a="1"/>
  <c r="L154" i="32" l="1"/>
  <c r="O154" i="32"/>
  <c r="P154" i="32"/>
  <c r="M154" i="32"/>
  <c r="Q154" i="32"/>
  <c r="N154" i="32"/>
  <c r="H154" i="32"/>
  <c r="G154" i="32"/>
  <c r="C154" i="32"/>
  <c r="E154" i="32"/>
  <c r="F154" i="32"/>
  <c r="D154" i="32"/>
  <c r="B155" i="32"/>
  <c r="Q155" i="32" a="1"/>
  <c r="N155" i="32" a="1"/>
  <c r="L155" i="32" a="1"/>
  <c r="C155" i="32" a="1"/>
  <c r="M155" i="32" a="1"/>
  <c r="H155" i="32" a="1"/>
  <c r="O155" i="32" a="1"/>
  <c r="D155" i="32" a="1"/>
  <c r="E155" i="32" a="1"/>
  <c r="G155" i="32" a="1"/>
  <c r="P155" i="32" a="1"/>
  <c r="F155" i="32" a="1"/>
  <c r="M155" i="32" l="1"/>
  <c r="L155" i="32"/>
  <c r="O155" i="32"/>
  <c r="Q155" i="32"/>
  <c r="N155" i="32"/>
  <c r="P155" i="32"/>
  <c r="H155" i="32"/>
  <c r="E155" i="32"/>
  <c r="D155" i="32"/>
  <c r="C155" i="32"/>
  <c r="G155" i="32"/>
  <c r="F155" i="32"/>
  <c r="B156" i="32"/>
  <c r="G156" i="32" a="1"/>
  <c r="L156" i="32" a="1"/>
  <c r="P156" i="32" a="1"/>
  <c r="H156" i="32" a="1"/>
  <c r="C156" i="32" a="1"/>
  <c r="M156" i="32" a="1"/>
  <c r="E156" i="32" a="1"/>
  <c r="N156" i="32" a="1"/>
  <c r="O156" i="32" a="1"/>
  <c r="F156" i="32" a="1"/>
  <c r="Q156" i="32" a="1"/>
  <c r="D156" i="32" a="1"/>
  <c r="N156" i="32" l="1"/>
  <c r="L156" i="32"/>
  <c r="O156" i="32"/>
  <c r="Q156" i="32"/>
  <c r="M156" i="32"/>
  <c r="P156" i="32"/>
  <c r="H156" i="32"/>
  <c r="E156" i="32"/>
  <c r="F156" i="32"/>
  <c r="G156" i="32"/>
  <c r="C156" i="32"/>
  <c r="D156" i="32"/>
  <c r="B157" i="32"/>
  <c r="C157" i="32" a="1"/>
  <c r="G157" i="32" a="1"/>
  <c r="Q157" i="32" a="1"/>
  <c r="N157" i="32" a="1"/>
  <c r="P157" i="32" a="1"/>
  <c r="E157" i="32" a="1"/>
  <c r="M157" i="32" a="1"/>
  <c r="H157" i="32" a="1"/>
  <c r="D157" i="32" a="1"/>
  <c r="O157" i="32" a="1"/>
  <c r="F157" i="32" a="1"/>
  <c r="L157" i="32" a="1"/>
  <c r="P157" i="32" l="1"/>
  <c r="L157" i="32"/>
  <c r="O157" i="32"/>
  <c r="N157" i="32"/>
  <c r="Q157" i="32"/>
  <c r="M157" i="32"/>
  <c r="H157" i="32"/>
  <c r="G157" i="32"/>
  <c r="D157" i="32"/>
  <c r="C157" i="32"/>
  <c r="F157" i="32"/>
  <c r="E157" i="32"/>
  <c r="B158" i="32"/>
  <c r="P158" i="32" a="1"/>
  <c r="C158" i="32" a="1"/>
  <c r="F158" i="32" a="1"/>
  <c r="M158" i="32" a="1"/>
  <c r="D158" i="32" a="1"/>
  <c r="O158" i="32" a="1"/>
  <c r="H158" i="32" a="1"/>
  <c r="Q158" i="32" a="1"/>
  <c r="G158" i="32" a="1"/>
  <c r="L158" i="32" a="1"/>
  <c r="E158" i="32" a="1"/>
  <c r="N158" i="32" a="1"/>
  <c r="M158" i="32" l="1"/>
  <c r="N158" i="32"/>
  <c r="L158" i="32"/>
  <c r="O158" i="32"/>
  <c r="P158" i="32"/>
  <c r="Q158" i="32"/>
  <c r="H158" i="32"/>
  <c r="G158" i="32"/>
  <c r="E158" i="32"/>
  <c r="F158" i="32"/>
  <c r="D158" i="32"/>
  <c r="C158" i="32"/>
  <c r="B159" i="32"/>
  <c r="G159" i="32" a="1"/>
  <c r="E159" i="32" a="1"/>
  <c r="C159" i="32" a="1"/>
  <c r="H159" i="32" a="1"/>
  <c r="L159" i="32" a="1"/>
  <c r="O159" i="32" a="1"/>
  <c r="N159" i="32" a="1"/>
  <c r="Q159" i="32" a="1"/>
  <c r="F159" i="32" a="1"/>
  <c r="D159" i="32" a="1"/>
  <c r="P159" i="32" a="1"/>
  <c r="M159" i="32" a="1"/>
  <c r="Q159" i="32" l="1"/>
  <c r="P159" i="32"/>
  <c r="L159" i="32"/>
  <c r="O159" i="32"/>
  <c r="M159" i="32"/>
  <c r="N159" i="32"/>
  <c r="H159" i="32"/>
  <c r="E159" i="32"/>
  <c r="F159" i="32"/>
  <c r="D159" i="32"/>
  <c r="C159" i="32"/>
  <c r="G159" i="32"/>
  <c r="B160" i="32"/>
  <c r="F160" i="32" a="1"/>
  <c r="N160" i="32" a="1"/>
  <c r="O160" i="32" a="1"/>
  <c r="L160" i="32" a="1"/>
  <c r="P160" i="32" a="1"/>
  <c r="D160" i="32" a="1"/>
  <c r="C160" i="32" a="1"/>
  <c r="M160" i="32" a="1"/>
  <c r="Q160" i="32" a="1"/>
  <c r="G160" i="32" a="1"/>
  <c r="H160" i="32" a="1"/>
  <c r="E160" i="32" a="1"/>
  <c r="P160" i="32" l="1"/>
  <c r="M160" i="32"/>
  <c r="Q160" i="32"/>
  <c r="L160" i="32"/>
  <c r="O160" i="32"/>
  <c r="N160" i="32"/>
  <c r="H160" i="32"/>
  <c r="D160" i="32"/>
  <c r="E160" i="32"/>
  <c r="G160" i="32"/>
  <c r="F160" i="32"/>
  <c r="C160" i="32"/>
  <c r="B161" i="32"/>
  <c r="M161" i="32" a="1"/>
  <c r="P161" i="32" a="1"/>
  <c r="N161" i="32" a="1"/>
  <c r="F161" i="32" a="1"/>
  <c r="Q161" i="32" a="1"/>
  <c r="O161" i="32" a="1"/>
  <c r="E161" i="32" a="1"/>
  <c r="H161" i="32" a="1"/>
  <c r="L161" i="32" a="1"/>
  <c r="C161" i="32" a="1"/>
  <c r="D161" i="32" a="1"/>
  <c r="G161" i="32" a="1"/>
  <c r="M161" i="32" l="1"/>
  <c r="M162" i="32" s="1"/>
  <c r="N161" i="32"/>
  <c r="N162" i="32" s="1"/>
  <c r="L161" i="32"/>
  <c r="L162" i="32" s="1"/>
  <c r="O161" i="32"/>
  <c r="O162" i="32" s="1"/>
  <c r="Q161" i="32"/>
  <c r="P161" i="32"/>
  <c r="H161" i="32"/>
  <c r="F161" i="32"/>
  <c r="C161" i="32"/>
  <c r="C163" i="32" s="1"/>
  <c r="G161" i="32"/>
  <c r="E161" i="32"/>
  <c r="D161" i="32"/>
  <c r="B162" i="32"/>
  <c r="H162" i="32" a="1"/>
  <c r="P162" i="32" a="1"/>
  <c r="Q162" i="32" a="1"/>
  <c r="G162" i="32" a="1"/>
  <c r="D162" i="32" l="1"/>
  <c r="D163" i="32"/>
  <c r="E162" i="32"/>
  <c r="E163" i="32"/>
  <c r="F162" i="32"/>
  <c r="F163" i="32"/>
  <c r="C162" i="32"/>
  <c r="P162" i="32"/>
  <c r="Q162" i="32"/>
  <c r="H162" i="32"/>
  <c r="G162" i="32"/>
  <c r="B163" i="32"/>
  <c r="O163" i="32" a="1"/>
  <c r="N163" i="32" a="1"/>
  <c r="P163" i="32" a="1"/>
  <c r="Q163" i="32" a="1"/>
  <c r="L163" i="32" a="1"/>
  <c r="M163" i="32" a="1"/>
  <c r="H163" i="32" a="1"/>
  <c r="G163" i="32" a="1"/>
  <c r="P163" i="32" l="1"/>
  <c r="M163" i="32"/>
  <c r="Q163" i="32"/>
  <c r="L163" i="32"/>
  <c r="O163" i="32"/>
  <c r="N163" i="32"/>
  <c r="H163" i="32"/>
  <c r="G163" i="32"/>
  <c r="B164" i="32"/>
  <c r="M164" i="32" a="1"/>
  <c r="E164" i="32" a="1"/>
  <c r="O164" i="32" a="1"/>
  <c r="N164" i="32" a="1"/>
  <c r="D164" i="32" a="1"/>
  <c r="C164" i="32" a="1"/>
  <c r="L164" i="32" a="1"/>
  <c r="H164" i="32" a="1"/>
  <c r="G164" i="32" a="1"/>
  <c r="F164" i="32" a="1"/>
  <c r="Q164" i="32" a="1"/>
  <c r="P164" i="32" a="1"/>
  <c r="N164" i="32" l="1"/>
  <c r="M164" i="32"/>
  <c r="Q164" i="32"/>
  <c r="O164" i="32"/>
  <c r="P164" i="32"/>
  <c r="L164" i="32"/>
  <c r="H164" i="32"/>
  <c r="C164" i="32"/>
  <c r="D164" i="32"/>
  <c r="F164" i="32"/>
  <c r="G164" i="32"/>
  <c r="E164" i="32"/>
  <c r="B165" i="32"/>
  <c r="D165" i="32" a="1"/>
  <c r="H165" i="32" a="1"/>
  <c r="L165" i="32" a="1"/>
  <c r="G165" i="32" a="1"/>
  <c r="N165" i="32" a="1"/>
  <c r="P165" i="32" a="1"/>
  <c r="M165" i="32" a="1"/>
  <c r="O165" i="32" a="1"/>
  <c r="Q165" i="32" a="1"/>
  <c r="C165" i="32" a="1"/>
  <c r="E165" i="32" a="1"/>
  <c r="F165" i="32" a="1"/>
  <c r="L165" i="32" l="1"/>
  <c r="O165" i="32"/>
  <c r="N165" i="32"/>
  <c r="Q165" i="32"/>
  <c r="P165" i="32"/>
  <c r="M165" i="32"/>
  <c r="H165" i="32"/>
  <c r="C165" i="32"/>
  <c r="D165" i="32"/>
  <c r="F165" i="32"/>
  <c r="G165" i="32"/>
  <c r="E165" i="32"/>
  <c r="B166" i="32"/>
  <c r="O166" i="32" a="1"/>
  <c r="E166" i="32" a="1"/>
  <c r="N166" i="32" a="1"/>
  <c r="L166" i="32" a="1"/>
  <c r="Q166" i="32" a="1"/>
  <c r="M166" i="32" a="1"/>
  <c r="D166" i="32" a="1"/>
  <c r="G166" i="32" a="1"/>
  <c r="F166" i="32" a="1"/>
  <c r="H166" i="32" a="1"/>
  <c r="C166" i="32" a="1"/>
  <c r="P166" i="32" a="1"/>
  <c r="L166" i="32" l="1"/>
  <c r="O166" i="32"/>
  <c r="P166" i="32"/>
  <c r="M166" i="32"/>
  <c r="Q166" i="32"/>
  <c r="N166" i="32"/>
  <c r="H166" i="32"/>
  <c r="E166" i="32"/>
  <c r="G166" i="32"/>
  <c r="D166" i="32"/>
  <c r="F166" i="32"/>
  <c r="C166" i="32"/>
  <c r="B167" i="32"/>
  <c r="G167" i="32" a="1"/>
  <c r="Q167" i="32" a="1"/>
  <c r="H167" i="32" a="1"/>
  <c r="D167" i="32" a="1"/>
  <c r="F167" i="32" a="1"/>
  <c r="E167" i="32" a="1"/>
  <c r="L167" i="32" a="1"/>
  <c r="O167" i="32" a="1"/>
  <c r="P167" i="32" a="1"/>
  <c r="C167" i="32" a="1"/>
  <c r="M167" i="32" a="1"/>
  <c r="N167" i="32" a="1"/>
  <c r="L167" i="32" l="1"/>
  <c r="O167" i="32"/>
  <c r="N167" i="32"/>
  <c r="M167" i="32"/>
  <c r="P167" i="32"/>
  <c r="Q167" i="32"/>
  <c r="H167" i="32"/>
  <c r="E167" i="32"/>
  <c r="G167" i="32"/>
  <c r="F167" i="32"/>
  <c r="D167" i="32"/>
  <c r="C167" i="32"/>
  <c r="B168" i="32"/>
  <c r="H168" i="32" a="1"/>
  <c r="D168" i="32" a="1"/>
  <c r="C168" i="32" a="1"/>
  <c r="M168" i="32" a="1"/>
  <c r="L168" i="32" a="1"/>
  <c r="G168" i="32" a="1"/>
  <c r="O168" i="32" a="1"/>
  <c r="N168" i="32" a="1"/>
  <c r="Q168" i="32" a="1"/>
  <c r="P168" i="32" a="1"/>
  <c r="F168" i="32" a="1"/>
  <c r="E168" i="32" a="1"/>
  <c r="N168" i="32" l="1"/>
  <c r="Q168" i="32"/>
  <c r="L168" i="32"/>
  <c r="O168" i="32"/>
  <c r="M168" i="32"/>
  <c r="P168" i="32"/>
  <c r="H168" i="32"/>
  <c r="C168" i="32"/>
  <c r="E168" i="32"/>
  <c r="G168" i="32"/>
  <c r="D168" i="32"/>
  <c r="F168" i="32"/>
  <c r="B169" i="32"/>
  <c r="D169" i="32" a="1"/>
  <c r="F169" i="32" a="1"/>
  <c r="E169" i="32" a="1"/>
  <c r="O169" i="32" a="1"/>
  <c r="Q169" i="32" a="1"/>
  <c r="P169" i="32" a="1"/>
  <c r="L169" i="32" a="1"/>
  <c r="H169" i="32" a="1"/>
  <c r="N169" i="32" a="1"/>
  <c r="G169" i="32" a="1"/>
  <c r="C169" i="32" a="1"/>
  <c r="M169" i="32" a="1"/>
  <c r="N169" i="32" l="1"/>
  <c r="M169" i="32"/>
  <c r="P169" i="32"/>
  <c r="L169" i="32"/>
  <c r="O169" i="32"/>
  <c r="Q169" i="32"/>
  <c r="H169" i="32"/>
  <c r="E169" i="32"/>
  <c r="C169" i="32"/>
  <c r="F169" i="32"/>
  <c r="D169" i="32"/>
  <c r="G169" i="32"/>
  <c r="B170" i="32"/>
  <c r="H170" i="32" a="1"/>
  <c r="F170" i="32" a="1"/>
  <c r="C170" i="32" a="1"/>
  <c r="L170" i="32" a="1"/>
  <c r="G170" i="32" a="1"/>
  <c r="D170" i="32" a="1"/>
  <c r="E170" i="32" a="1"/>
  <c r="O170" i="32" a="1"/>
  <c r="M170" i="32" a="1"/>
  <c r="Q170" i="32" a="1"/>
  <c r="N170" i="32" a="1"/>
  <c r="P170" i="32" a="1"/>
  <c r="L170" i="32" l="1"/>
  <c r="O170" i="32"/>
  <c r="P170" i="32"/>
  <c r="M170" i="32"/>
  <c r="N170" i="32"/>
  <c r="Q170" i="32"/>
  <c r="H170" i="32"/>
  <c r="E170" i="32"/>
  <c r="D170" i="32"/>
  <c r="C170" i="32"/>
  <c r="G170" i="32"/>
  <c r="F170" i="32"/>
  <c r="B171" i="32"/>
  <c r="C171" i="32" a="1"/>
  <c r="P171" i="32" a="1"/>
  <c r="E171" i="32" a="1"/>
  <c r="L171" i="32" a="1"/>
  <c r="N171" i="32" a="1"/>
  <c r="G171" i="32" a="1"/>
  <c r="O171" i="32" a="1"/>
  <c r="Q171" i="32" a="1"/>
  <c r="F171" i="32" a="1"/>
  <c r="H171" i="32" a="1"/>
  <c r="M171" i="32" a="1"/>
  <c r="D171" i="32" a="1"/>
  <c r="P171" i="32" l="1"/>
  <c r="M171" i="32"/>
  <c r="L171" i="32"/>
  <c r="N171" i="32"/>
  <c r="O171" i="32"/>
  <c r="Q171" i="32"/>
  <c r="H171" i="32"/>
  <c r="F171" i="32"/>
  <c r="G171" i="32"/>
  <c r="C171" i="32"/>
  <c r="E171" i="32"/>
  <c r="D171" i="32"/>
  <c r="B172" i="32"/>
  <c r="O172" i="32" a="1"/>
  <c r="F172" i="32" a="1"/>
  <c r="L172" i="32" a="1"/>
  <c r="E172" i="32" a="1"/>
  <c r="D172" i="32" a="1"/>
  <c r="M172" i="32" a="1"/>
  <c r="H172" i="32" a="1"/>
  <c r="P172" i="32" a="1"/>
  <c r="G172" i="32" a="1"/>
  <c r="N172" i="32" a="1"/>
  <c r="Q172" i="32" a="1"/>
  <c r="C172" i="32" a="1"/>
  <c r="L172" i="32" l="1"/>
  <c r="N172" i="32"/>
  <c r="P172" i="32"/>
  <c r="M172" i="32"/>
  <c r="Q172" i="32"/>
  <c r="O172" i="32"/>
  <c r="H172" i="32"/>
  <c r="F172" i="32"/>
  <c r="C172" i="32"/>
  <c r="G172" i="32"/>
  <c r="E172" i="32"/>
  <c r="D172" i="32"/>
  <c r="B173" i="32"/>
  <c r="O173" i="32" a="1"/>
  <c r="Q173" i="32" a="1"/>
  <c r="P173" i="32" a="1"/>
  <c r="E173" i="32" a="1"/>
  <c r="F173" i="32" a="1"/>
  <c r="M173" i="32" a="1"/>
  <c r="H173" i="32" a="1"/>
  <c r="G173" i="32" a="1"/>
  <c r="C173" i="32" a="1"/>
  <c r="D173" i="32" a="1"/>
  <c r="N173" i="32" a="1"/>
  <c r="L173" i="32" a="1"/>
  <c r="L173" i="32" l="1"/>
  <c r="N173" i="32"/>
  <c r="M173" i="32"/>
  <c r="Q173" i="32"/>
  <c r="O173" i="32"/>
  <c r="P173" i="32"/>
  <c r="H173" i="32"/>
  <c r="D173" i="32"/>
  <c r="F173" i="32"/>
  <c r="C173" i="32"/>
  <c r="E173" i="32"/>
  <c r="G173" i="32"/>
  <c r="B174" i="32"/>
  <c r="L174" i="32" a="1"/>
  <c r="O174" i="32" a="1"/>
  <c r="C174" i="32" a="1"/>
  <c r="H174" i="32" a="1"/>
  <c r="N174" i="32" a="1"/>
  <c r="D174" i="32" a="1"/>
  <c r="E174" i="32" a="1"/>
  <c r="M174" i="32" a="1"/>
  <c r="F174" i="32" a="1"/>
  <c r="G174" i="32" a="1"/>
  <c r="P174" i="32" a="1"/>
  <c r="Q174" i="32" a="1"/>
  <c r="L174" i="32" l="1"/>
  <c r="N174" i="32"/>
  <c r="P174" i="32"/>
  <c r="Q174" i="32"/>
  <c r="M174" i="32"/>
  <c r="O174" i="32"/>
  <c r="H174" i="32"/>
  <c r="G174" i="32"/>
  <c r="E174" i="32"/>
  <c r="C174" i="32"/>
  <c r="D174" i="32"/>
  <c r="F174" i="32"/>
  <c r="B175" i="32"/>
  <c r="N175" i="32" a="1"/>
  <c r="L175" i="32" a="1"/>
  <c r="E175" i="32" a="1"/>
  <c r="M175" i="32" a="1"/>
  <c r="O175" i="32" a="1"/>
  <c r="P175" i="32" a="1"/>
  <c r="D175" i="32" a="1"/>
  <c r="H175" i="32" a="1"/>
  <c r="F175" i="32" a="1"/>
  <c r="C175" i="32" a="1"/>
  <c r="G175" i="32" a="1"/>
  <c r="Q175" i="32" a="1"/>
  <c r="O175" i="32" l="1"/>
  <c r="M175" i="32"/>
  <c r="L175" i="32"/>
  <c r="N175" i="32"/>
  <c r="Q175" i="32"/>
  <c r="P175" i="32"/>
  <c r="H175" i="32"/>
  <c r="E175" i="32"/>
  <c r="D175" i="32"/>
  <c r="F175" i="32"/>
  <c r="C175" i="32"/>
  <c r="G175" i="32"/>
  <c r="B176" i="32"/>
  <c r="O176" i="32" a="1"/>
  <c r="P176" i="32" a="1"/>
  <c r="C176" i="32" a="1"/>
  <c r="G176" i="32" a="1"/>
  <c r="H176" i="32" a="1"/>
  <c r="D176" i="32" a="1"/>
  <c r="N176" i="32" a="1"/>
  <c r="E176" i="32" a="1"/>
  <c r="L176" i="32" a="1"/>
  <c r="Q176" i="32" a="1"/>
  <c r="M176" i="32" a="1"/>
  <c r="F176" i="32" a="1"/>
  <c r="O176" i="32" l="1"/>
  <c r="M176" i="32"/>
  <c r="Q176" i="32"/>
  <c r="L176" i="32"/>
  <c r="N176" i="32"/>
  <c r="P176" i="32"/>
  <c r="H176" i="32"/>
  <c r="G176" i="32"/>
  <c r="E176" i="32"/>
  <c r="C176" i="32"/>
  <c r="D176" i="32"/>
  <c r="F176" i="32"/>
  <c r="B177" i="32"/>
  <c r="M177" i="32" a="1"/>
  <c r="F177" i="32" a="1"/>
  <c r="E177" i="32" a="1"/>
  <c r="Q177" i="32" a="1"/>
  <c r="D177" i="32" a="1"/>
  <c r="G177" i="32" a="1"/>
  <c r="L177" i="32" a="1"/>
  <c r="C177" i="32" a="1"/>
  <c r="H177" i="32" a="1"/>
  <c r="O177" i="32" a="1"/>
  <c r="N177" i="32" a="1"/>
  <c r="P177" i="32" a="1"/>
  <c r="O177" i="32" l="1"/>
  <c r="Q177" i="32"/>
  <c r="L177" i="32"/>
  <c r="P177" i="32"/>
  <c r="N177" i="32"/>
  <c r="M177" i="32"/>
  <c r="H177" i="32"/>
  <c r="E177" i="32"/>
  <c r="G177" i="32"/>
  <c r="D177" i="32"/>
  <c r="C177" i="32"/>
  <c r="F177" i="32"/>
  <c r="B178" i="32"/>
  <c r="O178" i="32" a="1"/>
  <c r="D178" i="32" a="1"/>
  <c r="G178" i="32" a="1"/>
  <c r="E178" i="32" a="1"/>
  <c r="P178" i="32" a="1"/>
  <c r="M178" i="32" a="1"/>
  <c r="C178" i="32" a="1"/>
  <c r="F178" i="32" a="1"/>
  <c r="L178" i="32" a="1"/>
  <c r="Q178" i="32" a="1"/>
  <c r="N178" i="32" a="1"/>
  <c r="H178" i="32" a="1"/>
  <c r="O178" i="32" l="1"/>
  <c r="Q178" i="32"/>
  <c r="P178" i="32"/>
  <c r="M178" i="32"/>
  <c r="L178" i="32"/>
  <c r="N178" i="32"/>
  <c r="H178" i="32"/>
  <c r="D178" i="32"/>
  <c r="G178" i="32"/>
  <c r="F178" i="32"/>
  <c r="E178" i="32"/>
  <c r="C178" i="32"/>
  <c r="B179" i="32"/>
  <c r="M179" i="32" a="1"/>
  <c r="F179" i="32" a="1"/>
  <c r="O179" i="32" a="1"/>
  <c r="D179" i="32" a="1"/>
  <c r="Q179" i="32" a="1"/>
  <c r="L179" i="32" a="1"/>
  <c r="G179" i="32" a="1"/>
  <c r="E179" i="32" a="1"/>
  <c r="H179" i="32" a="1"/>
  <c r="P179" i="32" a="1"/>
  <c r="N179" i="32" a="1"/>
  <c r="C179" i="32" a="1"/>
  <c r="O179" i="32" l="1"/>
  <c r="P179" i="32"/>
  <c r="Q179" i="32"/>
  <c r="L179" i="32"/>
  <c r="N179" i="32"/>
  <c r="M179" i="32"/>
  <c r="H179" i="32"/>
  <c r="C179" i="32"/>
  <c r="E179" i="32"/>
  <c r="G179" i="32"/>
  <c r="F179" i="32"/>
  <c r="D179" i="32"/>
  <c r="B180" i="32"/>
  <c r="L180" i="32" a="1"/>
  <c r="N180" i="32" a="1"/>
  <c r="G180" i="32" a="1"/>
  <c r="M180" i="32" a="1"/>
  <c r="D180" i="32" a="1"/>
  <c r="C180" i="32" a="1"/>
  <c r="P180" i="32" a="1"/>
  <c r="O180" i="32" a="1"/>
  <c r="F180" i="32" a="1"/>
  <c r="E180" i="32" a="1"/>
  <c r="Q180" i="32" a="1"/>
  <c r="H180" i="32" a="1"/>
  <c r="O180" i="32" l="1"/>
  <c r="P180" i="32"/>
  <c r="L180" i="32"/>
  <c r="M180" i="32"/>
  <c r="N180" i="32"/>
  <c r="Q180" i="32"/>
  <c r="H180" i="32"/>
  <c r="G180" i="32"/>
  <c r="D180" i="32"/>
  <c r="F180" i="32"/>
  <c r="E180" i="32"/>
  <c r="C180" i="32"/>
  <c r="B181" i="32"/>
  <c r="H181" i="32" a="1"/>
  <c r="P181" i="32" a="1"/>
  <c r="C181" i="32" a="1"/>
  <c r="L181" i="32" a="1"/>
  <c r="N181" i="32" a="1"/>
  <c r="O181" i="32" a="1"/>
  <c r="M181" i="32" a="1"/>
  <c r="G181" i="32" a="1"/>
  <c r="F181" i="32" a="1"/>
  <c r="E181" i="32" a="1"/>
  <c r="D181" i="32" a="1"/>
  <c r="Q181" i="32" a="1"/>
  <c r="N181" i="32" l="1"/>
  <c r="Q181" i="32"/>
  <c r="O181" i="32"/>
  <c r="M181" i="32"/>
  <c r="P181" i="32"/>
  <c r="L181" i="32"/>
  <c r="H181" i="32"/>
  <c r="D181" i="32"/>
  <c r="C181" i="32"/>
  <c r="F181" i="32"/>
  <c r="G181" i="32"/>
  <c r="E181" i="32"/>
  <c r="B182" i="32"/>
  <c r="C182" i="32" a="1"/>
  <c r="E182" i="32" a="1"/>
  <c r="O182" i="32" a="1"/>
  <c r="F182" i="32" a="1"/>
  <c r="G182" i="32" a="1"/>
  <c r="P182" i="32" a="1"/>
  <c r="M182" i="32" a="1"/>
  <c r="D182" i="32" a="1"/>
  <c r="Q182" i="32" a="1"/>
  <c r="H182" i="32" a="1"/>
  <c r="N182" i="32" a="1"/>
  <c r="L182" i="32" a="1"/>
  <c r="P182" i="32" l="1"/>
  <c r="N182" i="32"/>
  <c r="Q182" i="32"/>
  <c r="M182" i="32"/>
  <c r="O182" i="32"/>
  <c r="L182" i="32"/>
  <c r="H182" i="32"/>
  <c r="D182" i="32"/>
  <c r="C182" i="32"/>
  <c r="E182" i="32"/>
  <c r="G182" i="32"/>
  <c r="F182" i="32"/>
  <c r="B183" i="32"/>
  <c r="P183" i="32" a="1"/>
  <c r="O183" i="32" a="1"/>
  <c r="E183" i="32" a="1"/>
  <c r="L183" i="32" a="1"/>
  <c r="M183" i="32" a="1"/>
  <c r="Q183" i="32" a="1"/>
  <c r="N183" i="32" a="1"/>
  <c r="F183" i="32" a="1"/>
  <c r="H183" i="32" a="1"/>
  <c r="D183" i="32" a="1"/>
  <c r="G183" i="32" a="1"/>
  <c r="C183" i="32" a="1"/>
  <c r="L183" i="32" l="1"/>
  <c r="N183" i="32"/>
  <c r="P183" i="32"/>
  <c r="Q183" i="32"/>
  <c r="M183" i="32"/>
  <c r="O183" i="32"/>
  <c r="H183" i="32"/>
  <c r="F183" i="32"/>
  <c r="C183" i="32"/>
  <c r="G183" i="32"/>
  <c r="E183" i="32"/>
  <c r="D183" i="32"/>
  <c r="B184" i="32"/>
  <c r="E184" i="32" a="1"/>
  <c r="G184" i="32" a="1"/>
  <c r="P184" i="32" a="1"/>
  <c r="F184" i="32" a="1"/>
  <c r="N184" i="32" a="1"/>
  <c r="D184" i="32" a="1"/>
  <c r="O184" i="32" a="1"/>
  <c r="M184" i="32" a="1"/>
  <c r="Q184" i="32" a="1"/>
  <c r="C184" i="32" a="1"/>
  <c r="L184" i="32" a="1"/>
  <c r="H184" i="32" a="1"/>
  <c r="L184" i="32" l="1"/>
  <c r="N184" i="32"/>
  <c r="P184" i="32"/>
  <c r="M184" i="32"/>
  <c r="Q184" i="32"/>
  <c r="O184" i="32"/>
  <c r="H184" i="32"/>
  <c r="F184" i="32"/>
  <c r="G184" i="32"/>
  <c r="D184" i="32"/>
  <c r="C184" i="32"/>
  <c r="E184" i="32"/>
  <c r="B185" i="32"/>
  <c r="M185" i="32" a="1"/>
  <c r="Q185" i="32" a="1"/>
  <c r="G185" i="32" a="1"/>
  <c r="D185" i="32" a="1"/>
  <c r="F185" i="32" a="1"/>
  <c r="O185" i="32" a="1"/>
  <c r="C185" i="32" a="1"/>
  <c r="E185" i="32" a="1"/>
  <c r="H185" i="32" a="1"/>
  <c r="N185" i="32" a="1"/>
  <c r="P185" i="32" a="1"/>
  <c r="L185" i="32" a="1"/>
  <c r="L185" i="32" l="1"/>
  <c r="N185" i="32"/>
  <c r="M185" i="32"/>
  <c r="O185" i="32"/>
  <c r="Q185" i="32"/>
  <c r="P185" i="32"/>
  <c r="H185" i="32"/>
  <c r="G185" i="32"/>
  <c r="F185" i="32"/>
  <c r="C185" i="32"/>
  <c r="E185" i="32"/>
  <c r="D185" i="32"/>
  <c r="B186" i="32"/>
  <c r="H186" i="32" a="1"/>
  <c r="M186" i="32" a="1"/>
  <c r="C186" i="32" a="1"/>
  <c r="Q186" i="32" a="1"/>
  <c r="P186" i="32" a="1"/>
  <c r="E186" i="32" a="1"/>
  <c r="F186" i="32" a="1"/>
  <c r="O186" i="32" a="1"/>
  <c r="N186" i="32" a="1"/>
  <c r="G186" i="32" a="1"/>
  <c r="D186" i="32" a="1"/>
  <c r="L186" i="32" a="1"/>
  <c r="M186" i="32" l="1"/>
  <c r="L186" i="32"/>
  <c r="N186" i="32"/>
  <c r="P186" i="32"/>
  <c r="O186" i="32"/>
  <c r="Q186" i="32"/>
  <c r="H186" i="32"/>
  <c r="F186" i="32"/>
  <c r="D186" i="32"/>
  <c r="G186" i="32"/>
  <c r="C186" i="32"/>
  <c r="E186" i="32"/>
  <c r="B187" i="32"/>
  <c r="E187" i="32" a="1"/>
  <c r="H187" i="32" a="1"/>
  <c r="N187" i="32" a="1"/>
  <c r="C187" i="32" a="1"/>
  <c r="L187" i="32" a="1"/>
  <c r="D187" i="32" a="1"/>
  <c r="O187" i="32" a="1"/>
  <c r="G187" i="32" a="1"/>
  <c r="P187" i="32" a="1"/>
  <c r="M187" i="32" a="1"/>
  <c r="F187" i="32" a="1"/>
  <c r="Q187" i="32" a="1"/>
  <c r="O187" i="32" l="1"/>
  <c r="P187" i="32"/>
  <c r="L187" i="32"/>
  <c r="M187" i="32"/>
  <c r="N187" i="32"/>
  <c r="Q187" i="32"/>
  <c r="H187" i="32"/>
  <c r="D187" i="32"/>
  <c r="F187" i="32"/>
  <c r="E187" i="32"/>
  <c r="C187" i="32"/>
  <c r="G187" i="32"/>
  <c r="B188" i="32"/>
  <c r="C188" i="32" a="1"/>
  <c r="G188" i="32" a="1"/>
  <c r="E188" i="32" a="1"/>
  <c r="Q188" i="32" a="1"/>
  <c r="F188" i="32" a="1"/>
  <c r="P188" i="32" a="1"/>
  <c r="N188" i="32" a="1"/>
  <c r="M188" i="32" a="1"/>
  <c r="L188" i="32" a="1"/>
  <c r="H188" i="32" a="1"/>
  <c r="D188" i="32" a="1"/>
  <c r="O188" i="32" a="1"/>
  <c r="P188" i="32" l="1"/>
  <c r="O188" i="32"/>
  <c r="L188" i="32"/>
  <c r="N188" i="32"/>
  <c r="M188" i="32"/>
  <c r="Q188" i="32"/>
  <c r="H188" i="32"/>
  <c r="G188" i="32"/>
  <c r="E188" i="32"/>
  <c r="D188" i="32"/>
  <c r="C188" i="32"/>
  <c r="F188" i="32"/>
  <c r="B189" i="32"/>
  <c r="L189" i="32" a="1"/>
  <c r="O189" i="32" a="1"/>
  <c r="N189" i="32" a="1"/>
  <c r="Q189" i="32" a="1"/>
  <c r="H189" i="32" a="1"/>
  <c r="G189" i="32" a="1"/>
  <c r="E189" i="32" a="1"/>
  <c r="P189" i="32" a="1"/>
  <c r="M189" i="32" a="1"/>
  <c r="C189" i="32" a="1"/>
  <c r="F189" i="32" a="1"/>
  <c r="D189" i="32" a="1"/>
  <c r="O189" i="32" l="1"/>
  <c r="L189" i="32"/>
  <c r="N189" i="32"/>
  <c r="Q189" i="32"/>
  <c r="P189" i="32"/>
  <c r="M189" i="32"/>
  <c r="H189" i="32"/>
  <c r="F189" i="32"/>
  <c r="E189" i="32"/>
  <c r="G189" i="32"/>
  <c r="C189" i="32"/>
  <c r="D189" i="32"/>
  <c r="B190" i="32"/>
  <c r="L190" i="32" a="1"/>
  <c r="E190" i="32" a="1"/>
  <c r="C190" i="32" a="1"/>
  <c r="Q190" i="32" a="1"/>
  <c r="G190" i="32" a="1"/>
  <c r="D190" i="32" a="1"/>
  <c r="O190" i="32" a="1"/>
  <c r="H190" i="32" a="1"/>
  <c r="P190" i="32" a="1"/>
  <c r="M190" i="32" a="1"/>
  <c r="F190" i="32" a="1"/>
  <c r="N190" i="32" a="1"/>
  <c r="O190" i="32" l="1"/>
  <c r="L190" i="32"/>
  <c r="Q190" i="32"/>
  <c r="P190" i="32"/>
  <c r="N190" i="32"/>
  <c r="M190" i="32"/>
  <c r="H190" i="32"/>
  <c r="F190" i="32"/>
  <c r="C190" i="32"/>
  <c r="D190" i="32"/>
  <c r="G190" i="32"/>
  <c r="E190" i="32"/>
  <c r="B191" i="32"/>
  <c r="N191" i="32" a="1"/>
  <c r="F191" i="32" a="1"/>
  <c r="P191" i="32" a="1"/>
  <c r="Q191" i="32" a="1"/>
  <c r="H191" i="32" a="1"/>
  <c r="E191" i="32" a="1"/>
  <c r="M191" i="32" a="1"/>
  <c r="L191" i="32" a="1"/>
  <c r="C191" i="32" a="1"/>
  <c r="D191" i="32" a="1"/>
  <c r="G191" i="32" a="1"/>
  <c r="O191" i="32" a="1"/>
  <c r="M191" i="32" l="1"/>
  <c r="O191" i="32"/>
  <c r="L191" i="32"/>
  <c r="P191" i="32"/>
  <c r="N191" i="32"/>
  <c r="Q191" i="32"/>
  <c r="H191" i="32"/>
  <c r="D191" i="32"/>
  <c r="E191" i="32"/>
  <c r="C191" i="32"/>
  <c r="F191" i="32"/>
  <c r="G191" i="32"/>
  <c r="B192" i="32"/>
  <c r="G192" i="32" a="1"/>
  <c r="F192" i="32" a="1"/>
  <c r="E192" i="32" a="1"/>
  <c r="H192" i="32" a="1"/>
  <c r="P192" i="32" a="1"/>
  <c r="M192" i="32" a="1"/>
  <c r="C192" i="32" a="1"/>
  <c r="L192" i="32" a="1"/>
  <c r="N192" i="32" a="1"/>
  <c r="Q192" i="32" a="1"/>
  <c r="D192" i="32" a="1"/>
  <c r="O192" i="32" a="1"/>
  <c r="M192" i="32" l="1"/>
  <c r="Q192" i="32"/>
  <c r="O192" i="32"/>
  <c r="L192" i="32"/>
  <c r="P192" i="32"/>
  <c r="N192" i="32"/>
  <c r="H192" i="32"/>
  <c r="F192" i="32"/>
  <c r="D192" i="32"/>
  <c r="G192" i="32"/>
  <c r="C192" i="32"/>
  <c r="E192" i="32"/>
  <c r="B193" i="32"/>
  <c r="N193" i="32" a="1"/>
  <c r="D193" i="32" a="1"/>
  <c r="P193" i="32" a="1"/>
  <c r="M193" i="32" a="1"/>
  <c r="Q193" i="32" a="1"/>
  <c r="F193" i="32" a="1"/>
  <c r="C193" i="32" a="1"/>
  <c r="H193" i="32" a="1"/>
  <c r="O193" i="32" a="1"/>
  <c r="G193" i="32" a="1"/>
  <c r="L193" i="32" a="1"/>
  <c r="E193" i="32" a="1"/>
  <c r="N193" i="32" l="1"/>
  <c r="O193" i="32"/>
  <c r="Q193" i="32"/>
  <c r="L193" i="32"/>
  <c r="M193" i="32"/>
  <c r="P193" i="32"/>
  <c r="H193" i="32"/>
  <c r="C193" i="32"/>
  <c r="F193" i="32"/>
  <c r="E193" i="32"/>
  <c r="D193" i="32"/>
  <c r="G193" i="32"/>
  <c r="B194" i="32"/>
  <c r="M194" i="32" a="1"/>
  <c r="O194" i="32" a="1"/>
  <c r="Q194" i="32" a="1"/>
  <c r="N194" i="32" a="1"/>
  <c r="C194" i="32" a="1"/>
  <c r="G194" i="32" a="1"/>
  <c r="D194" i="32" a="1"/>
  <c r="H194" i="32" a="1"/>
  <c r="E194" i="32" a="1"/>
  <c r="F194" i="32" a="1"/>
  <c r="P194" i="32" a="1"/>
  <c r="L194" i="32" a="1"/>
  <c r="N194" i="32" l="1"/>
  <c r="P194" i="32"/>
  <c r="O194" i="32"/>
  <c r="Q194" i="32"/>
  <c r="M194" i="32"/>
  <c r="L194" i="32"/>
  <c r="H194" i="32"/>
  <c r="E194" i="32"/>
  <c r="D194" i="32"/>
  <c r="C194" i="32"/>
  <c r="F194" i="32"/>
  <c r="G194" i="32"/>
  <c r="B195" i="32"/>
  <c r="F195" i="32" a="1"/>
  <c r="C195" i="32" a="1"/>
  <c r="N195" i="32" a="1"/>
  <c r="G195" i="32" a="1"/>
  <c r="E195" i="32" a="1"/>
  <c r="P195" i="32" a="1"/>
  <c r="D195" i="32" a="1"/>
  <c r="L195" i="32" a="1"/>
  <c r="M195" i="32" a="1"/>
  <c r="O195" i="32" a="1"/>
  <c r="H195" i="32" a="1"/>
  <c r="Q195" i="32" a="1"/>
  <c r="L195" i="32" l="1"/>
  <c r="N195" i="32"/>
  <c r="P195" i="32"/>
  <c r="O195" i="32"/>
  <c r="M195" i="32"/>
  <c r="Q195" i="32"/>
  <c r="H195" i="32"/>
  <c r="F195" i="32"/>
  <c r="G195" i="32"/>
  <c r="C195" i="32"/>
  <c r="E195" i="32"/>
  <c r="D195" i="32"/>
  <c r="B196" i="32"/>
  <c r="M196" i="32" a="1"/>
  <c r="H196" i="32" a="1"/>
  <c r="O196" i="32" a="1"/>
  <c r="C196" i="32" a="1"/>
  <c r="G196" i="32" a="1"/>
  <c r="N196" i="32" a="1"/>
  <c r="L196" i="32" a="1"/>
  <c r="P196" i="32" a="1"/>
  <c r="F196" i="32" a="1"/>
  <c r="Q196" i="32" a="1"/>
  <c r="D196" i="32" a="1"/>
  <c r="E196" i="32" a="1"/>
  <c r="L196" i="32" l="1"/>
  <c r="N196" i="32"/>
  <c r="O196" i="32"/>
  <c r="P196" i="32"/>
  <c r="M196" i="32"/>
  <c r="Q196" i="32"/>
  <c r="H196" i="32"/>
  <c r="F196" i="32"/>
  <c r="E196" i="32"/>
  <c r="D196" i="32"/>
  <c r="C196" i="32"/>
  <c r="G196" i="32"/>
  <c r="B197" i="32"/>
  <c r="O197" i="32" a="1"/>
  <c r="C197" i="32" a="1"/>
  <c r="L197" i="32" a="1"/>
  <c r="D197" i="32" a="1"/>
  <c r="H197" i="32" a="1"/>
  <c r="P197" i="32" a="1"/>
  <c r="Q197" i="32" a="1"/>
  <c r="M197" i="32" a="1"/>
  <c r="F197" i="32" a="1"/>
  <c r="E197" i="32" a="1"/>
  <c r="G197" i="32" a="1"/>
  <c r="N197" i="32" a="1"/>
  <c r="M197" i="32" l="1"/>
  <c r="L197" i="32"/>
  <c r="Q197" i="32"/>
  <c r="N197" i="32"/>
  <c r="O197" i="32"/>
  <c r="P197" i="32"/>
  <c r="H197" i="32"/>
  <c r="F197" i="32"/>
  <c r="G197" i="32"/>
  <c r="E197" i="32"/>
  <c r="D197" i="32"/>
  <c r="C197" i="32"/>
  <c r="B198" i="32"/>
  <c r="L198" i="32" a="1"/>
  <c r="M198" i="32" a="1"/>
  <c r="Q198" i="32" a="1"/>
  <c r="D198" i="32" a="1"/>
  <c r="C198" i="32" a="1"/>
  <c r="E198" i="32" a="1"/>
  <c r="F198" i="32" a="1"/>
  <c r="O198" i="32" a="1"/>
  <c r="N198" i="32" a="1"/>
  <c r="P198" i="32" a="1"/>
  <c r="H198" i="32" a="1"/>
  <c r="G198" i="32" a="1"/>
  <c r="Q198" i="32" l="1"/>
  <c r="L198" i="32"/>
  <c r="M198" i="32"/>
  <c r="N198" i="32"/>
  <c r="O198" i="32"/>
  <c r="P198" i="32"/>
  <c r="H198" i="32"/>
  <c r="D198" i="32"/>
  <c r="F198" i="32"/>
  <c r="E198" i="32"/>
  <c r="G198" i="32"/>
  <c r="C198" i="32"/>
  <c r="B199" i="32"/>
  <c r="P199" i="32" a="1"/>
  <c r="D199" i="32" a="1"/>
  <c r="F199" i="32" a="1"/>
  <c r="E199" i="32" a="1"/>
  <c r="O199" i="32" a="1"/>
  <c r="M199" i="32" a="1"/>
  <c r="N199" i="32" a="1"/>
  <c r="G199" i="32" a="1"/>
  <c r="L199" i="32" a="1"/>
  <c r="H199" i="32" a="1"/>
  <c r="C199" i="32" a="1"/>
  <c r="Q199" i="32" a="1"/>
  <c r="O199" i="32" l="1"/>
  <c r="Q199" i="32"/>
  <c r="P199" i="32"/>
  <c r="L199" i="32"/>
  <c r="N199" i="32"/>
  <c r="M199" i="32"/>
  <c r="H199" i="32"/>
  <c r="G199" i="32"/>
  <c r="C199" i="32"/>
  <c r="F199" i="32"/>
  <c r="D199" i="32"/>
  <c r="E199" i="32"/>
  <c r="B200" i="32"/>
  <c r="H200" i="32" a="1"/>
  <c r="L200" i="32" a="1"/>
  <c r="M200" i="32" a="1"/>
  <c r="C200" i="32" a="1"/>
  <c r="D200" i="32" a="1"/>
  <c r="P200" i="32" a="1"/>
  <c r="E200" i="32" a="1"/>
  <c r="N200" i="32" a="1"/>
  <c r="Q200" i="32" a="1"/>
  <c r="O200" i="32" a="1"/>
  <c r="G200" i="32" a="1"/>
  <c r="F200" i="32" a="1"/>
  <c r="O200" i="32" l="1"/>
  <c r="P200" i="32"/>
  <c r="L200" i="32"/>
  <c r="N200" i="32"/>
  <c r="M200" i="32"/>
  <c r="Q200" i="32"/>
  <c r="H200" i="32"/>
  <c r="G200" i="32"/>
  <c r="C200" i="32"/>
  <c r="E200" i="32"/>
  <c r="F200" i="32"/>
  <c r="D200" i="32"/>
  <c r="B201" i="32"/>
  <c r="C201" i="32" a="1"/>
  <c r="N201" i="32" a="1"/>
  <c r="M201" i="32" a="1"/>
  <c r="O201" i="32" a="1"/>
  <c r="D201" i="32" a="1"/>
  <c r="Q201" i="32" a="1"/>
  <c r="L201" i="32" a="1"/>
  <c r="G201" i="32" a="1"/>
  <c r="F201" i="32" a="1"/>
  <c r="P201" i="32" a="1"/>
  <c r="E201" i="32" a="1"/>
  <c r="H201" i="32" a="1"/>
  <c r="P201" i="32" l="1"/>
  <c r="O201" i="32"/>
  <c r="L201" i="32"/>
  <c r="N201" i="32"/>
  <c r="Q201" i="32"/>
  <c r="M201" i="32"/>
  <c r="H201" i="32"/>
  <c r="E201" i="32"/>
  <c r="G201" i="32"/>
  <c r="F201" i="32"/>
  <c r="D201" i="32"/>
  <c r="C201" i="32"/>
  <c r="B202" i="32"/>
  <c r="L202" i="32" a="1"/>
  <c r="Q202" i="32" a="1"/>
  <c r="G202" i="32" a="1"/>
  <c r="E202" i="32" a="1"/>
  <c r="M202" i="32" a="1"/>
  <c r="H202" i="32" a="1"/>
  <c r="F202" i="32" a="1"/>
  <c r="O202" i="32" a="1"/>
  <c r="D202" i="32" a="1"/>
  <c r="N202" i="32" a="1"/>
  <c r="P202" i="32" a="1"/>
  <c r="C202" i="32" a="1"/>
  <c r="M202" i="32" l="1"/>
  <c r="O202" i="32"/>
  <c r="L202" i="32"/>
  <c r="N202" i="32"/>
  <c r="P202" i="32"/>
  <c r="Q202" i="32"/>
  <c r="H202" i="32"/>
  <c r="D202" i="32"/>
  <c r="F202" i="32"/>
  <c r="G202" i="32"/>
  <c r="C202" i="32"/>
  <c r="E202" i="32"/>
  <c r="B203" i="32"/>
  <c r="M203" i="32" a="1"/>
  <c r="E203" i="32" a="1"/>
  <c r="F203" i="32" a="1"/>
  <c r="O203" i="32" a="1"/>
  <c r="P203" i="32" a="1"/>
  <c r="N203" i="32" a="1"/>
  <c r="Q203" i="32" a="1"/>
  <c r="G203" i="32" a="1"/>
  <c r="D203" i="32" a="1"/>
  <c r="H203" i="32" a="1"/>
  <c r="C203" i="32" a="1"/>
  <c r="L203" i="32" a="1"/>
  <c r="P203" i="32" l="1"/>
  <c r="Q203" i="32"/>
  <c r="O203" i="32"/>
  <c r="M203" i="32"/>
  <c r="L203" i="32"/>
  <c r="N203" i="32"/>
  <c r="H203" i="32"/>
  <c r="C203" i="32"/>
  <c r="D203" i="32"/>
  <c r="F203" i="32"/>
  <c r="E203" i="32"/>
  <c r="G203" i="32"/>
  <c r="B204" i="32"/>
  <c r="O204" i="32" a="1"/>
  <c r="L204" i="32" a="1"/>
  <c r="N204" i="32" a="1"/>
  <c r="M204" i="32" a="1"/>
  <c r="D204" i="32" a="1"/>
  <c r="F204" i="32" a="1"/>
  <c r="P204" i="32" a="1"/>
  <c r="G204" i="32" a="1"/>
  <c r="Q204" i="32" a="1"/>
  <c r="H204" i="32" a="1"/>
  <c r="E204" i="32" a="1"/>
  <c r="C204" i="32" a="1"/>
  <c r="P204" i="32" l="1"/>
  <c r="M204" i="32"/>
  <c r="O204" i="32"/>
  <c r="Q204" i="32"/>
  <c r="L204" i="32"/>
  <c r="N204" i="32"/>
  <c r="H204" i="32"/>
  <c r="C204" i="32"/>
  <c r="F204" i="32"/>
  <c r="D204" i="32"/>
  <c r="G204" i="32"/>
  <c r="E204" i="32"/>
  <c r="B205" i="32"/>
  <c r="D205" i="32" a="1"/>
  <c r="L205" i="32" a="1"/>
  <c r="P205" i="32" a="1"/>
  <c r="E205" i="32" a="1"/>
  <c r="C205" i="32" a="1"/>
  <c r="N205" i="32" a="1"/>
  <c r="O205" i="32" a="1"/>
  <c r="M205" i="32" a="1"/>
  <c r="F205" i="32" a="1"/>
  <c r="G205" i="32" a="1"/>
  <c r="Q205" i="32" a="1"/>
  <c r="H205" i="32" a="1"/>
  <c r="N205" i="32" l="1"/>
  <c r="M205" i="32"/>
  <c r="P205" i="32"/>
  <c r="O205" i="32"/>
  <c r="Q205" i="32"/>
  <c r="L205" i="32"/>
  <c r="H205" i="32"/>
  <c r="G205" i="32"/>
  <c r="C205" i="32"/>
  <c r="E205" i="32"/>
  <c r="F205" i="32"/>
  <c r="D205" i="32"/>
  <c r="B206" i="32"/>
  <c r="H206" i="32" a="1"/>
  <c r="Q206" i="32" a="1"/>
  <c r="F206" i="32" a="1"/>
  <c r="O206" i="32" a="1"/>
  <c r="M206" i="32" a="1"/>
  <c r="E206" i="32" a="1"/>
  <c r="G206" i="32" a="1"/>
  <c r="L206" i="32" a="1"/>
  <c r="D206" i="32" a="1"/>
  <c r="P206" i="32" a="1"/>
  <c r="N206" i="32" a="1"/>
  <c r="C206" i="32" a="1"/>
  <c r="M206" i="32" l="1"/>
  <c r="N206" i="32"/>
  <c r="Q206" i="32"/>
  <c r="P206" i="32"/>
  <c r="O206" i="32"/>
  <c r="L206" i="32"/>
  <c r="H206" i="32"/>
  <c r="G206" i="32"/>
  <c r="C206" i="32"/>
  <c r="E206" i="32"/>
  <c r="F206" i="32"/>
  <c r="D206" i="32"/>
  <c r="B207" i="32"/>
  <c r="G207" i="32" a="1"/>
  <c r="H207" i="32" a="1"/>
  <c r="F207" i="32" a="1"/>
  <c r="N207" i="32" a="1"/>
  <c r="C207" i="32" a="1"/>
  <c r="Q207" i="32" a="1"/>
  <c r="P207" i="32" a="1"/>
  <c r="D207" i="32" a="1"/>
  <c r="L207" i="32" a="1"/>
  <c r="E207" i="32" a="1"/>
  <c r="O207" i="32" a="1"/>
  <c r="M207" i="32" a="1"/>
  <c r="L207" i="32" l="1"/>
  <c r="M207" i="32"/>
  <c r="Q207" i="32"/>
  <c r="N207" i="32"/>
  <c r="P207" i="32"/>
  <c r="O207" i="32"/>
  <c r="H207" i="32"/>
  <c r="E207" i="32"/>
  <c r="F207" i="32"/>
  <c r="D207" i="32"/>
  <c r="G207" i="32"/>
  <c r="C207" i="32"/>
  <c r="B208" i="32"/>
  <c r="O208" i="32" a="1"/>
  <c r="L208" i="32" a="1"/>
  <c r="D208" i="32" a="1"/>
  <c r="C208" i="32" a="1"/>
  <c r="F208" i="32" a="1"/>
  <c r="P208" i="32" a="1"/>
  <c r="M208" i="32" a="1"/>
  <c r="Q208" i="32" a="1"/>
  <c r="G208" i="32" a="1"/>
  <c r="H208" i="32" a="1"/>
  <c r="N208" i="32" a="1"/>
  <c r="E208" i="32" a="1"/>
  <c r="L208" i="32" l="1"/>
  <c r="P208" i="32"/>
  <c r="M208" i="32"/>
  <c r="O208" i="32"/>
  <c r="Q208" i="32"/>
  <c r="N208" i="32"/>
  <c r="H208" i="32"/>
  <c r="E208" i="32"/>
  <c r="G208" i="32"/>
  <c r="D208" i="32"/>
  <c r="F208" i="32"/>
  <c r="C208" i="32"/>
  <c r="B209" i="32"/>
  <c r="O209" i="32" a="1"/>
  <c r="N209" i="32" a="1"/>
  <c r="Q209" i="32" a="1"/>
  <c r="M209" i="32" a="1"/>
  <c r="G209" i="32" a="1"/>
  <c r="C209" i="32" a="1"/>
  <c r="P209" i="32" a="1"/>
  <c r="D209" i="32" a="1"/>
  <c r="L209" i="32" a="1"/>
  <c r="E209" i="32" a="1"/>
  <c r="H209" i="32" a="1"/>
  <c r="F209" i="32" a="1"/>
  <c r="M209" i="32" l="1"/>
  <c r="L209" i="32"/>
  <c r="N209" i="32"/>
  <c r="Q209" i="32"/>
  <c r="P209" i="32"/>
  <c r="O209" i="32"/>
  <c r="H209" i="32"/>
  <c r="D209" i="32"/>
  <c r="F209" i="32"/>
  <c r="E209" i="32"/>
  <c r="C209" i="32"/>
  <c r="G209" i="32"/>
  <c r="B210" i="32"/>
  <c r="L210" i="32" a="1"/>
  <c r="M210" i="32" a="1"/>
  <c r="H210" i="32" a="1"/>
  <c r="D210" i="32" a="1"/>
  <c r="P210" i="32" a="1"/>
  <c r="N210" i="32" a="1"/>
  <c r="F210" i="32" a="1"/>
  <c r="E210" i="32" a="1"/>
  <c r="O210" i="32" a="1"/>
  <c r="C210" i="32" a="1"/>
  <c r="Q210" i="32" a="1"/>
  <c r="G210" i="32" a="1"/>
  <c r="M210" i="32" l="1"/>
  <c r="L210" i="32"/>
  <c r="Q210" i="32"/>
  <c r="N210" i="32"/>
  <c r="P210" i="32"/>
  <c r="O210" i="32"/>
  <c r="H210" i="32"/>
  <c r="C210" i="32"/>
  <c r="E210" i="32"/>
  <c r="F210" i="32"/>
  <c r="D210" i="32"/>
  <c r="G210" i="32"/>
  <c r="B211" i="32"/>
  <c r="L211" i="32" a="1"/>
  <c r="C211" i="32" a="1"/>
  <c r="F211" i="32" a="1"/>
  <c r="Q211" i="32" a="1"/>
  <c r="E211" i="32" a="1"/>
  <c r="P211" i="32" a="1"/>
  <c r="H211" i="32" a="1"/>
  <c r="N211" i="32" a="1"/>
  <c r="G211" i="32" a="1"/>
  <c r="M211" i="32" a="1"/>
  <c r="D211" i="32" a="1"/>
  <c r="O211" i="32" a="1"/>
  <c r="O211" i="32" l="1"/>
  <c r="N211" i="32"/>
  <c r="L211" i="32"/>
  <c r="P211" i="32"/>
  <c r="M211" i="32"/>
  <c r="Q211" i="32"/>
  <c r="H211" i="32"/>
  <c r="G211" i="32"/>
  <c r="E211" i="32"/>
  <c r="F211" i="32"/>
  <c r="C211" i="32"/>
  <c r="D211" i="32"/>
  <c r="B212" i="32"/>
  <c r="C212" i="32" a="1"/>
  <c r="P212" i="32" a="1"/>
  <c r="O212" i="32" a="1"/>
  <c r="Q212" i="32" a="1"/>
  <c r="D212" i="32" a="1"/>
  <c r="E212" i="32" a="1"/>
  <c r="N212" i="32" a="1"/>
  <c r="G212" i="32" a="1"/>
  <c r="L212" i="32" a="1"/>
  <c r="H212" i="32" a="1"/>
  <c r="M212" i="32" a="1"/>
  <c r="F212" i="32" a="1"/>
  <c r="L212" i="32" l="1"/>
  <c r="P212" i="32"/>
  <c r="O212" i="32"/>
  <c r="Q212" i="32"/>
  <c r="M212" i="32"/>
  <c r="N212" i="32"/>
  <c r="H212" i="32"/>
  <c r="G212" i="32"/>
  <c r="D212" i="32"/>
  <c r="E212" i="32"/>
  <c r="C212" i="32"/>
  <c r="F212" i="32"/>
  <c r="B213" i="32"/>
  <c r="P213" i="32" a="1"/>
  <c r="O213" i="32" a="1"/>
  <c r="M213" i="32" a="1"/>
  <c r="H213" i="32" a="1"/>
  <c r="Q213" i="32" a="1"/>
  <c r="C213" i="32" a="1"/>
  <c r="E213" i="32" a="1"/>
  <c r="L213" i="32" a="1"/>
  <c r="N213" i="32" a="1"/>
  <c r="G213" i="32" a="1"/>
  <c r="D213" i="32" a="1"/>
  <c r="F213" i="32" a="1"/>
  <c r="M213" i="32" l="1"/>
  <c r="Q213" i="32"/>
  <c r="P213" i="32"/>
  <c r="L213" i="32"/>
  <c r="O213" i="32"/>
  <c r="N213" i="32"/>
  <c r="H213" i="32"/>
  <c r="E213" i="32"/>
  <c r="F213" i="32"/>
  <c r="C213" i="32"/>
  <c r="G213" i="32"/>
  <c r="D213" i="32"/>
  <c r="B214" i="32"/>
  <c r="L214" i="32" a="1"/>
  <c r="O214" i="32" a="1"/>
  <c r="H214" i="32" a="1"/>
  <c r="P214" i="32" a="1"/>
  <c r="F214" i="32" a="1"/>
  <c r="N214" i="32" a="1"/>
  <c r="Q214" i="32" a="1"/>
  <c r="C214" i="32" a="1"/>
  <c r="E214" i="32" a="1"/>
  <c r="D214" i="32" a="1"/>
  <c r="G214" i="32" a="1"/>
  <c r="M214" i="32" a="1"/>
  <c r="N214" i="32" l="1"/>
  <c r="L214" i="32"/>
  <c r="M214" i="32"/>
  <c r="Q214" i="32"/>
  <c r="P214" i="32"/>
  <c r="O214" i="32"/>
  <c r="H214" i="32"/>
  <c r="E214" i="32"/>
  <c r="F214" i="32"/>
  <c r="G214" i="32"/>
  <c r="C214" i="32"/>
  <c r="D214" i="32"/>
  <c r="B215" i="32"/>
  <c r="D215" i="32" a="1"/>
  <c r="E215" i="32" a="1"/>
  <c r="O215" i="32" a="1"/>
  <c r="H215" i="32" a="1"/>
  <c r="M215" i="32" a="1"/>
  <c r="C215" i="32" a="1"/>
  <c r="P215" i="32" a="1"/>
  <c r="Q215" i="32" a="1"/>
  <c r="G215" i="32" a="1"/>
  <c r="F215" i="32" a="1"/>
  <c r="N215" i="32" a="1"/>
  <c r="L215" i="32" a="1"/>
  <c r="L215" i="32" l="1"/>
  <c r="O215" i="32"/>
  <c r="M215" i="32"/>
  <c r="N215" i="32"/>
  <c r="Q215" i="32"/>
  <c r="P215" i="32"/>
  <c r="H215" i="32"/>
  <c r="D215" i="32"/>
  <c r="F215" i="32"/>
  <c r="C215" i="32"/>
  <c r="E215" i="32"/>
  <c r="G215" i="32"/>
  <c r="B216" i="32"/>
  <c r="N216" i="32" a="1"/>
  <c r="G216" i="32" a="1"/>
  <c r="H216" i="32" a="1"/>
  <c r="O216" i="32" a="1"/>
  <c r="M216" i="32" a="1"/>
  <c r="L216" i="32" a="1"/>
  <c r="P216" i="32" a="1"/>
  <c r="D216" i="32" a="1"/>
  <c r="F216" i="32" a="1"/>
  <c r="C216" i="32" a="1"/>
  <c r="Q216" i="32" a="1"/>
  <c r="E216" i="32" a="1"/>
  <c r="Q216" i="32" l="1"/>
  <c r="P216" i="32"/>
  <c r="N216" i="32"/>
  <c r="L216" i="32"/>
  <c r="M216" i="32"/>
  <c r="O216" i="32"/>
  <c r="H216" i="32"/>
  <c r="C216" i="32"/>
  <c r="E216" i="32"/>
  <c r="G216" i="32"/>
  <c r="D216" i="32"/>
  <c r="F216" i="32"/>
  <c r="B217" i="32"/>
  <c r="C217" i="32" a="1"/>
  <c r="H217" i="32" a="1"/>
  <c r="P217" i="32" a="1"/>
  <c r="G217" i="32" a="1"/>
  <c r="N217" i="32" a="1"/>
  <c r="Q217" i="32" a="1"/>
  <c r="L217" i="32" a="1"/>
  <c r="O217" i="32" a="1"/>
  <c r="F217" i="32" a="1"/>
  <c r="E217" i="32" a="1"/>
  <c r="M217" i="32" a="1"/>
  <c r="D217" i="32" a="1"/>
  <c r="L217" i="32" l="1"/>
  <c r="Q217" i="32"/>
  <c r="O217" i="32"/>
  <c r="N217" i="32"/>
  <c r="P217" i="32"/>
  <c r="M217" i="32"/>
  <c r="H217" i="32"/>
  <c r="G217" i="32"/>
  <c r="C217" i="32"/>
  <c r="E217" i="32"/>
  <c r="F217" i="32"/>
  <c r="D217" i="32"/>
  <c r="B218" i="32"/>
  <c r="H218" i="32" a="1"/>
  <c r="L218" i="32" a="1"/>
  <c r="P218" i="32" a="1"/>
  <c r="Q218" i="32" a="1"/>
  <c r="N218" i="32" a="1"/>
  <c r="D218" i="32" a="1"/>
  <c r="C218" i="32" a="1"/>
  <c r="F218" i="32" a="1"/>
  <c r="G218" i="32" a="1"/>
  <c r="M218" i="32" a="1"/>
  <c r="O218" i="32" a="1"/>
  <c r="E218" i="32" a="1"/>
  <c r="N218" i="32" l="1"/>
  <c r="L218" i="32"/>
  <c r="P218" i="32"/>
  <c r="O218" i="32"/>
  <c r="Q218" i="32"/>
  <c r="M218" i="32"/>
  <c r="H218" i="32"/>
  <c r="C218" i="32"/>
  <c r="G218" i="32"/>
  <c r="D218" i="32"/>
  <c r="F218" i="32"/>
  <c r="E218" i="32"/>
  <c r="B219" i="32"/>
  <c r="F219" i="32" a="1"/>
  <c r="O219" i="32" a="1"/>
  <c r="H219" i="32" a="1"/>
  <c r="D219" i="32" a="1"/>
  <c r="G219" i="32" a="1"/>
  <c r="N219" i="32" a="1"/>
  <c r="L219" i="32" a="1"/>
  <c r="C219" i="32" a="1"/>
  <c r="P219" i="32" a="1"/>
  <c r="E219" i="32" a="1"/>
  <c r="Q219" i="32" a="1"/>
  <c r="M219" i="32" a="1"/>
  <c r="O219" i="32" l="1"/>
  <c r="M219" i="32"/>
  <c r="L219" i="32"/>
  <c r="Q219" i="32"/>
  <c r="N219" i="32"/>
  <c r="P219" i="32"/>
  <c r="H219" i="32"/>
  <c r="G219" i="32"/>
  <c r="D219" i="32"/>
  <c r="E219" i="32"/>
  <c r="F219" i="32"/>
  <c r="C219" i="32"/>
  <c r="B220" i="32"/>
  <c r="F220" i="32" a="1"/>
  <c r="P220" i="32" a="1"/>
  <c r="H220" i="32" a="1"/>
  <c r="L220" i="32" a="1"/>
  <c r="N220" i="32" a="1"/>
  <c r="G220" i="32" a="1"/>
  <c r="D220" i="32" a="1"/>
  <c r="E220" i="32" a="1"/>
  <c r="M220" i="32" a="1"/>
  <c r="Q220" i="32" a="1"/>
  <c r="C220" i="32" a="1"/>
  <c r="O220" i="32" a="1"/>
  <c r="Q220" i="32" l="1"/>
  <c r="P220" i="32"/>
  <c r="L220" i="32"/>
  <c r="N220" i="32"/>
  <c r="O220" i="32"/>
  <c r="M220" i="32"/>
  <c r="H220" i="32"/>
  <c r="G220" i="32"/>
  <c r="E220" i="32"/>
  <c r="F220" i="32"/>
  <c r="D220" i="32"/>
  <c r="C220" i="32"/>
  <c r="B221" i="32"/>
  <c r="P221" i="32" a="1"/>
  <c r="C221" i="32" a="1"/>
  <c r="D221" i="32" a="1"/>
  <c r="H221" i="32" a="1"/>
  <c r="F221" i="32" a="1"/>
  <c r="O221" i="32" a="1"/>
  <c r="M221" i="32" a="1"/>
  <c r="Q221" i="32" a="1"/>
  <c r="E221" i="32" a="1"/>
  <c r="N221" i="32" a="1"/>
  <c r="G221" i="32" a="1"/>
  <c r="L221" i="32" a="1"/>
  <c r="N221" i="32" l="1"/>
  <c r="L221" i="32"/>
  <c r="Q221" i="32"/>
  <c r="O221" i="32"/>
  <c r="M221" i="32"/>
  <c r="P221" i="32"/>
  <c r="H221" i="32"/>
  <c r="D221" i="32"/>
  <c r="G221" i="32"/>
  <c r="F221" i="32"/>
  <c r="E221" i="32"/>
  <c r="C221" i="32"/>
  <c r="B222" i="32"/>
  <c r="H222" i="32" a="1"/>
  <c r="M222" i="32" a="1"/>
  <c r="D222" i="32" a="1"/>
  <c r="E222" i="32" a="1"/>
  <c r="Q222" i="32" a="1"/>
  <c r="C222" i="32" a="1"/>
  <c r="O222" i="32" a="1"/>
  <c r="P222" i="32" a="1"/>
  <c r="G222" i="32" a="1"/>
  <c r="N222" i="32" a="1"/>
  <c r="L222" i="32" a="1"/>
  <c r="F222" i="32" a="1"/>
  <c r="M222" i="32" l="1"/>
  <c r="O222" i="32"/>
  <c r="Q222" i="32"/>
  <c r="P222" i="32"/>
  <c r="L222" i="32"/>
  <c r="N222" i="32"/>
  <c r="H222" i="32"/>
  <c r="C222" i="32"/>
  <c r="F222" i="32"/>
  <c r="D222" i="32"/>
  <c r="E222" i="32"/>
  <c r="G222" i="32"/>
  <c r="B223" i="32"/>
  <c r="L223" i="32" a="1"/>
  <c r="G223" i="32" a="1"/>
  <c r="E223" i="32" a="1"/>
  <c r="F223" i="32" a="1"/>
  <c r="D223" i="32" a="1"/>
  <c r="O223" i="32" a="1"/>
  <c r="P223" i="32" a="1"/>
  <c r="N223" i="32" a="1"/>
  <c r="Q223" i="32" a="1"/>
  <c r="H223" i="32" a="1"/>
  <c r="M223" i="32" a="1"/>
  <c r="C223" i="32" a="1"/>
  <c r="O223" i="32" l="1"/>
  <c r="N223" i="32"/>
  <c r="P223" i="32"/>
  <c r="L223" i="32"/>
  <c r="M223" i="32"/>
  <c r="Q223" i="32"/>
  <c r="H223" i="32"/>
  <c r="G223" i="32"/>
  <c r="C223" i="32"/>
  <c r="E223" i="32"/>
  <c r="D223" i="32"/>
  <c r="F223" i="32"/>
  <c r="B224" i="32"/>
  <c r="L224" i="32" a="1"/>
  <c r="C224" i="32" a="1"/>
  <c r="H224" i="32" a="1"/>
  <c r="F224" i="32" a="1"/>
  <c r="P224" i="32" a="1"/>
  <c r="Q224" i="32" a="1"/>
  <c r="M224" i="32" a="1"/>
  <c r="D224" i="32" a="1"/>
  <c r="O224" i="32" a="1"/>
  <c r="G224" i="32" a="1"/>
  <c r="E224" i="32" a="1"/>
  <c r="N224" i="32" a="1"/>
  <c r="P224" i="32" l="1"/>
  <c r="O224" i="32"/>
  <c r="Q224" i="32"/>
  <c r="L224" i="32"/>
  <c r="N224" i="32"/>
  <c r="M224" i="32"/>
  <c r="H224" i="32"/>
  <c r="E224" i="32"/>
  <c r="F224" i="32"/>
  <c r="D224" i="32"/>
  <c r="G224" i="32"/>
  <c r="C224" i="32"/>
  <c r="B225" i="32"/>
  <c r="M225" i="32" a="1"/>
  <c r="P225" i="32" a="1"/>
  <c r="L225" i="32" a="1"/>
  <c r="C225" i="32" a="1"/>
  <c r="G225" i="32" a="1"/>
  <c r="Q225" i="32" a="1"/>
  <c r="F225" i="32" a="1"/>
  <c r="D225" i="32" a="1"/>
  <c r="O225" i="32" a="1"/>
  <c r="N225" i="32" a="1"/>
  <c r="E225" i="32" a="1"/>
  <c r="H225" i="32" a="1"/>
  <c r="N225" i="32" l="1"/>
  <c r="Q225" i="32"/>
  <c r="P225" i="32"/>
  <c r="O225" i="32"/>
  <c r="L225" i="32"/>
  <c r="M225" i="32"/>
  <c r="H225" i="32"/>
  <c r="C225" i="32"/>
  <c r="D225" i="32"/>
  <c r="F225" i="32"/>
  <c r="G225" i="32"/>
  <c r="E225" i="32"/>
  <c r="B226" i="32"/>
  <c r="E226" i="32" a="1"/>
  <c r="Q226" i="32" a="1"/>
  <c r="O226" i="32" a="1"/>
  <c r="P226" i="32" a="1"/>
  <c r="D226" i="32" a="1"/>
  <c r="F226" i="32" a="1"/>
  <c r="H226" i="32" a="1"/>
  <c r="L226" i="32" a="1"/>
  <c r="N226" i="32" a="1"/>
  <c r="G226" i="32" a="1"/>
  <c r="C226" i="32" a="1"/>
  <c r="M226" i="32" a="1"/>
  <c r="M226" i="32" l="1"/>
  <c r="Q226" i="32"/>
  <c r="L226" i="32"/>
  <c r="O226" i="32"/>
  <c r="P226" i="32"/>
  <c r="N226" i="32"/>
  <c r="H226" i="32"/>
  <c r="D226" i="32"/>
  <c r="G226" i="32"/>
  <c r="C226" i="32"/>
  <c r="F226" i="32"/>
  <c r="E226" i="32"/>
  <c r="B227" i="32"/>
  <c r="G227" i="32" a="1"/>
  <c r="C227" i="32" a="1"/>
  <c r="M227" i="32" a="1"/>
  <c r="F227" i="32" a="1"/>
  <c r="L227" i="32" a="1"/>
  <c r="E227" i="32" a="1"/>
  <c r="D227" i="32" a="1"/>
  <c r="P227" i="32" a="1"/>
  <c r="N227" i="32" a="1"/>
  <c r="H227" i="32" a="1"/>
  <c r="O227" i="32" a="1"/>
  <c r="Q227" i="32" a="1"/>
  <c r="O227" i="32" l="1"/>
  <c r="L227" i="32"/>
  <c r="M227" i="32"/>
  <c r="N227" i="32"/>
  <c r="P227" i="32"/>
  <c r="Q227" i="32"/>
  <c r="H227" i="32"/>
  <c r="F227" i="32"/>
  <c r="C227" i="32"/>
  <c r="D227" i="32"/>
  <c r="G227" i="32"/>
  <c r="E227" i="32"/>
  <c r="B228" i="32"/>
  <c r="Q228" i="32" a="1"/>
  <c r="P228" i="32" a="1"/>
  <c r="O228" i="32" a="1"/>
  <c r="M228" i="32" a="1"/>
  <c r="C228" i="32" a="1"/>
  <c r="E228" i="32" a="1"/>
  <c r="H228" i="32" a="1"/>
  <c r="N228" i="32" a="1"/>
  <c r="F228" i="32" a="1"/>
  <c r="G228" i="32" a="1"/>
  <c r="D228" i="32" a="1"/>
  <c r="L228" i="32" a="1"/>
  <c r="M228" i="32" l="1"/>
  <c r="Q228" i="32"/>
  <c r="P228" i="32"/>
  <c r="N228" i="32"/>
  <c r="L228" i="32"/>
  <c r="O228" i="32"/>
  <c r="H228" i="32"/>
  <c r="G228" i="32"/>
  <c r="E228" i="32"/>
  <c r="D228" i="32"/>
  <c r="C228" i="32"/>
  <c r="F228" i="32"/>
  <c r="B229" i="32"/>
  <c r="E229" i="32" a="1"/>
  <c r="C229" i="32" a="1"/>
  <c r="H229" i="32" a="1"/>
  <c r="F229" i="32" a="1"/>
  <c r="O229" i="32" a="1"/>
  <c r="L229" i="32" a="1"/>
  <c r="Q229" i="32" a="1"/>
  <c r="N229" i="32" a="1"/>
  <c r="P229" i="32" a="1"/>
  <c r="G229" i="32" a="1"/>
  <c r="M229" i="32" a="1"/>
  <c r="D229" i="32" a="1"/>
  <c r="M229" i="32" l="1"/>
  <c r="Q229" i="32"/>
  <c r="P229" i="32"/>
  <c r="N229" i="32"/>
  <c r="O229" i="32"/>
  <c r="L229" i="32"/>
  <c r="H229" i="32"/>
  <c r="C229" i="32"/>
  <c r="F229" i="32"/>
  <c r="D229" i="32"/>
  <c r="G229" i="32"/>
  <c r="E229" i="32"/>
  <c r="B230" i="32"/>
  <c r="H230" i="32" a="1"/>
  <c r="O230" i="32" a="1"/>
  <c r="E230" i="32" a="1"/>
  <c r="G230" i="32" a="1"/>
  <c r="N230" i="32" a="1"/>
  <c r="Q230" i="32" a="1"/>
  <c r="L230" i="32" a="1"/>
  <c r="F230" i="32" a="1"/>
  <c r="M230" i="32" a="1"/>
  <c r="P230" i="32" a="1"/>
  <c r="C230" i="32" a="1"/>
  <c r="D230" i="32" a="1"/>
  <c r="L230" i="32" l="1"/>
  <c r="O230" i="32"/>
  <c r="M230" i="32"/>
  <c r="Q230" i="32"/>
  <c r="P230" i="32"/>
  <c r="N230" i="32"/>
  <c r="H230" i="32"/>
  <c r="G230" i="32"/>
  <c r="D230" i="32"/>
  <c r="F230" i="32"/>
  <c r="E230" i="32"/>
  <c r="C230" i="32"/>
  <c r="B231" i="32"/>
  <c r="E231" i="32" a="1"/>
  <c r="H231" i="32" a="1"/>
  <c r="N231" i="32" a="1"/>
  <c r="D231" i="32" a="1"/>
  <c r="F231" i="32" a="1"/>
  <c r="L231" i="32" a="1"/>
  <c r="P231" i="32" a="1"/>
  <c r="Q231" i="32" a="1"/>
  <c r="O231" i="32" a="1"/>
  <c r="G231" i="32" a="1"/>
  <c r="C231" i="32" a="1"/>
  <c r="M231" i="32" a="1"/>
  <c r="L231" i="32" l="1"/>
  <c r="O231" i="32"/>
  <c r="M231" i="32"/>
  <c r="Q231" i="32"/>
  <c r="P231" i="32"/>
  <c r="N231" i="32"/>
  <c r="H231" i="32"/>
  <c r="D231" i="32"/>
  <c r="F231" i="32"/>
  <c r="E231" i="32"/>
  <c r="C231" i="32"/>
  <c r="G231" i="32"/>
  <c r="B232" i="32"/>
  <c r="P232" i="32" a="1"/>
  <c r="F232" i="32" a="1"/>
  <c r="O232" i="32" a="1"/>
  <c r="Q232" i="32" a="1"/>
  <c r="N232" i="32" a="1"/>
  <c r="L232" i="32" a="1"/>
  <c r="D232" i="32" a="1"/>
  <c r="E232" i="32" a="1"/>
  <c r="C232" i="32" a="1"/>
  <c r="M232" i="32" a="1"/>
  <c r="G232" i="32" a="1"/>
  <c r="H232" i="32" a="1"/>
  <c r="L232" i="32" l="1"/>
  <c r="O232" i="32"/>
  <c r="M232" i="32"/>
  <c r="Q232" i="32"/>
  <c r="P232" i="32"/>
  <c r="N232" i="32"/>
  <c r="H232" i="32"/>
  <c r="E232" i="32"/>
  <c r="G232" i="32"/>
  <c r="C232" i="32"/>
  <c r="F232" i="32"/>
  <c r="D232" i="32"/>
  <c r="B233" i="32"/>
  <c r="C233" i="32" a="1"/>
  <c r="L233" i="32" a="1"/>
  <c r="O233" i="32" a="1"/>
  <c r="H233" i="32" a="1"/>
  <c r="F233" i="32" a="1"/>
  <c r="G233" i="32" a="1"/>
  <c r="P233" i="32" a="1"/>
  <c r="N233" i="32" a="1"/>
  <c r="E233" i="32" a="1"/>
  <c r="M233" i="32" a="1"/>
  <c r="Q233" i="32" a="1"/>
  <c r="D233" i="32" a="1"/>
  <c r="L233" i="32" l="1"/>
  <c r="O233" i="32"/>
  <c r="M233" i="32"/>
  <c r="Q233" i="32"/>
  <c r="P233" i="32"/>
  <c r="N233" i="32"/>
  <c r="H233" i="32"/>
  <c r="G233" i="32"/>
  <c r="E233" i="32"/>
  <c r="F233" i="32"/>
  <c r="C233" i="32"/>
  <c r="D233" i="32"/>
  <c r="B234" i="32"/>
  <c r="O234" i="32" a="1"/>
  <c r="C234" i="32" a="1"/>
  <c r="D234" i="32" a="1"/>
  <c r="L234" i="32" a="1"/>
  <c r="N234" i="32" a="1"/>
  <c r="M234" i="32" a="1"/>
  <c r="F234" i="32" a="1"/>
  <c r="E234" i="32" a="1"/>
  <c r="P234" i="32" a="1"/>
  <c r="H234" i="32" a="1"/>
  <c r="Q234" i="32" a="1"/>
  <c r="G234" i="32" a="1"/>
  <c r="N234" i="32" l="1"/>
  <c r="L234" i="32"/>
  <c r="O234" i="32"/>
  <c r="M234" i="32"/>
  <c r="P234" i="32"/>
  <c r="Q234" i="32"/>
  <c r="H234" i="32"/>
  <c r="G234" i="32"/>
  <c r="D234" i="32"/>
  <c r="F234" i="32"/>
  <c r="E234" i="32"/>
  <c r="C234" i="32"/>
  <c r="B235" i="32"/>
  <c r="O235" i="32" a="1"/>
  <c r="G235" i="32" a="1"/>
  <c r="H235" i="32" a="1"/>
  <c r="L235" i="32" a="1"/>
  <c r="N235" i="32" a="1"/>
  <c r="F235" i="32" a="1"/>
  <c r="D235" i="32" a="1"/>
  <c r="C235" i="32" a="1"/>
  <c r="M235" i="32" a="1"/>
  <c r="E235" i="32" a="1"/>
  <c r="Q235" i="32" a="1"/>
  <c r="P235" i="32" a="1"/>
  <c r="Q235" i="32" l="1"/>
  <c r="P235" i="32"/>
  <c r="N235" i="32"/>
  <c r="L235" i="32"/>
  <c r="O235" i="32"/>
  <c r="M235" i="32"/>
  <c r="H235" i="32"/>
  <c r="F235" i="32"/>
  <c r="C235" i="32"/>
  <c r="G235" i="32"/>
  <c r="D235" i="32"/>
  <c r="E235" i="32"/>
  <c r="B236" i="32"/>
  <c r="D236" i="32" a="1"/>
  <c r="O236" i="32" a="1"/>
  <c r="H236" i="32" a="1"/>
  <c r="P236" i="32" a="1"/>
  <c r="E236" i="32" a="1"/>
  <c r="C236" i="32" a="1"/>
  <c r="G236" i="32" a="1"/>
  <c r="M236" i="32" a="1"/>
  <c r="Q236" i="32" a="1"/>
  <c r="F236" i="32" a="1"/>
  <c r="N236" i="32" a="1"/>
  <c r="L236" i="32" a="1"/>
  <c r="M236" i="32" l="1"/>
  <c r="Q236" i="32"/>
  <c r="P236" i="32"/>
  <c r="N236" i="32"/>
  <c r="L236" i="32"/>
  <c r="O236" i="32"/>
  <c r="H236" i="32"/>
  <c r="F236" i="32"/>
  <c r="E236" i="32"/>
  <c r="D236" i="32"/>
  <c r="G236" i="32"/>
  <c r="C236" i="32"/>
  <c r="B237" i="32"/>
  <c r="G237" i="32" a="1"/>
  <c r="P237" i="32" a="1"/>
  <c r="Q237" i="32" a="1"/>
  <c r="L237" i="32" a="1"/>
  <c r="F237" i="32" a="1"/>
  <c r="D237" i="32" a="1"/>
  <c r="C237" i="32" a="1"/>
  <c r="H237" i="32" a="1"/>
  <c r="N237" i="32" a="1"/>
  <c r="M237" i="32" a="1"/>
  <c r="E237" i="32" a="1"/>
  <c r="O237" i="32" a="1"/>
  <c r="M237" i="32" l="1"/>
  <c r="Q237" i="32"/>
  <c r="P237" i="32"/>
  <c r="N237" i="32"/>
  <c r="L237" i="32"/>
  <c r="O237" i="32"/>
  <c r="H237" i="32"/>
  <c r="D237" i="32"/>
  <c r="C237" i="32"/>
  <c r="G237" i="32"/>
  <c r="F237" i="32"/>
  <c r="E237" i="32"/>
  <c r="B238" i="32"/>
  <c r="O238" i="32" a="1"/>
  <c r="D238" i="32" a="1"/>
  <c r="Q238" i="32" a="1"/>
  <c r="G238" i="32" a="1"/>
  <c r="P238" i="32" a="1"/>
  <c r="N238" i="32" a="1"/>
  <c r="F238" i="32" a="1"/>
  <c r="C238" i="32" a="1"/>
  <c r="H238" i="32" a="1"/>
  <c r="L238" i="32" a="1"/>
  <c r="M238" i="32" a="1"/>
  <c r="E238" i="32" a="1"/>
  <c r="M238" i="32" l="1"/>
  <c r="Q238" i="32"/>
  <c r="P238" i="32"/>
  <c r="N238" i="32"/>
  <c r="L238" i="32"/>
  <c r="O238" i="32"/>
  <c r="H238" i="32"/>
  <c r="E238" i="32"/>
  <c r="C238" i="32"/>
  <c r="G238" i="32"/>
  <c r="D238" i="32"/>
  <c r="F238" i="32"/>
  <c r="B239" i="32"/>
  <c r="H239" i="32" a="1"/>
  <c r="L239" i="32" a="1"/>
  <c r="M239" i="32" a="1"/>
  <c r="P239" i="32" a="1"/>
  <c r="E239" i="32" a="1"/>
  <c r="C239" i="32" a="1"/>
  <c r="N239" i="32" a="1"/>
  <c r="G239" i="32" a="1"/>
  <c r="Q239" i="32" a="1"/>
  <c r="O239" i="32" a="1"/>
  <c r="D239" i="32" a="1"/>
  <c r="F239" i="32" a="1"/>
  <c r="M239" i="32" l="1"/>
  <c r="Q239" i="32"/>
  <c r="P239" i="32"/>
  <c r="N239" i="32"/>
  <c r="L239" i="32"/>
  <c r="O239" i="32"/>
  <c r="H239" i="32"/>
  <c r="G239" i="32"/>
  <c r="C239" i="32"/>
  <c r="E239" i="32"/>
  <c r="F239" i="32"/>
  <c r="D239" i="32"/>
  <c r="B240" i="32"/>
  <c r="F240" i="32" a="1"/>
  <c r="O240" i="32" a="1"/>
  <c r="E240" i="32" a="1"/>
  <c r="C240" i="32" a="1"/>
  <c r="Q240" i="32" a="1"/>
  <c r="L240" i="32" a="1"/>
  <c r="G240" i="32" a="1"/>
  <c r="N240" i="32" a="1"/>
  <c r="P240" i="32" a="1"/>
  <c r="M240" i="32" a="1"/>
  <c r="D240" i="32" a="1"/>
  <c r="H240" i="32" a="1"/>
  <c r="O240" i="32" l="1"/>
  <c r="M240" i="32"/>
  <c r="Q240" i="32"/>
  <c r="P240" i="32"/>
  <c r="N240" i="32"/>
  <c r="L240" i="32"/>
  <c r="H240" i="32"/>
  <c r="D240" i="32"/>
  <c r="G240" i="32"/>
  <c r="E240" i="32"/>
  <c r="C240" i="32"/>
  <c r="F240" i="32"/>
  <c r="B241" i="32"/>
  <c r="E241" i="32" a="1"/>
  <c r="N241" i="32" a="1"/>
  <c r="L241" i="32" a="1"/>
  <c r="M241" i="32" a="1"/>
  <c r="O241" i="32" a="1"/>
  <c r="D241" i="32" a="1"/>
  <c r="G241" i="32" a="1"/>
  <c r="F241" i="32" a="1"/>
  <c r="P241" i="32" a="1"/>
  <c r="C241" i="32" a="1"/>
  <c r="H241" i="32" a="1"/>
  <c r="Q241" i="32" a="1"/>
  <c r="O241" i="32" l="1"/>
  <c r="Q241" i="32"/>
  <c r="P241" i="32"/>
  <c r="N241" i="32"/>
  <c r="L241" i="32"/>
  <c r="M241" i="32"/>
  <c r="H241" i="32"/>
  <c r="F241" i="32"/>
  <c r="D241" i="32"/>
  <c r="G241" i="32"/>
  <c r="C241" i="32"/>
  <c r="E241" i="32"/>
  <c r="B242" i="32"/>
  <c r="L242" i="32" a="1"/>
  <c r="N242" i="32" a="1"/>
  <c r="M242" i="32" a="1"/>
  <c r="C242" i="32" a="1"/>
  <c r="G242" i="32" a="1"/>
  <c r="E242" i="32" a="1"/>
  <c r="D242" i="32" a="1"/>
  <c r="P242" i="32" a="1"/>
  <c r="Q242" i="32" a="1"/>
  <c r="F242" i="32" a="1"/>
  <c r="H242" i="32" a="1"/>
  <c r="O242" i="32" a="1"/>
  <c r="L242" i="32" l="1"/>
  <c r="O242" i="32"/>
  <c r="Q242" i="32"/>
  <c r="P242" i="32"/>
  <c r="N242" i="32"/>
  <c r="M242" i="32"/>
  <c r="H242" i="32"/>
  <c r="E242" i="32"/>
  <c r="C242" i="32"/>
  <c r="D242" i="32"/>
  <c r="G242" i="32"/>
  <c r="F242" i="32"/>
  <c r="B243" i="32"/>
  <c r="M243" i="32" a="1"/>
  <c r="F243" i="32" a="1"/>
  <c r="D243" i="32" a="1"/>
  <c r="P243" i="32" a="1"/>
  <c r="E243" i="32" a="1"/>
  <c r="G243" i="32" a="1"/>
  <c r="N243" i="32" a="1"/>
  <c r="H243" i="32" a="1"/>
  <c r="C243" i="32" a="1"/>
  <c r="L243" i="32" a="1"/>
  <c r="O243" i="32" a="1"/>
  <c r="Q243" i="32" a="1"/>
  <c r="O243" i="32" l="1"/>
  <c r="L243" i="32"/>
  <c r="M243" i="32"/>
  <c r="Q243" i="32"/>
  <c r="P243" i="32"/>
  <c r="N243" i="32"/>
  <c r="H243" i="32"/>
  <c r="E243" i="32"/>
  <c r="F243" i="32"/>
  <c r="D243" i="32"/>
  <c r="C243" i="32"/>
  <c r="G243" i="32"/>
  <c r="B244" i="32"/>
  <c r="O244" i="32" a="1"/>
  <c r="M244" i="32" a="1"/>
  <c r="P244" i="32" a="1"/>
  <c r="D244" i="32" a="1"/>
  <c r="G244" i="32" a="1"/>
  <c r="H244" i="32" a="1"/>
  <c r="L244" i="32" a="1"/>
  <c r="N244" i="32" a="1"/>
  <c r="C244" i="32" a="1"/>
  <c r="Q244" i="32" a="1"/>
  <c r="E244" i="32" a="1"/>
  <c r="F244" i="32" a="1"/>
  <c r="M244" i="32" l="1"/>
  <c r="L244" i="32"/>
  <c r="O244" i="32"/>
  <c r="Q244" i="32"/>
  <c r="P244" i="32"/>
  <c r="N244" i="32"/>
  <c r="H244" i="32"/>
  <c r="C244" i="32"/>
  <c r="G244" i="32"/>
  <c r="F244" i="32"/>
  <c r="D244" i="32"/>
  <c r="E244" i="32"/>
  <c r="B245" i="32"/>
  <c r="L245" i="32" a="1"/>
  <c r="E245" i="32" a="1"/>
  <c r="H245" i="32" a="1"/>
  <c r="C245" i="32" a="1"/>
  <c r="M245" i="32" a="1"/>
  <c r="F245" i="32" a="1"/>
  <c r="O245" i="32" a="1"/>
  <c r="N245" i="32" a="1"/>
  <c r="G245" i="32" a="1"/>
  <c r="Q245" i="32" a="1"/>
  <c r="P245" i="32" a="1"/>
  <c r="D245" i="32" a="1"/>
  <c r="L245" i="32" l="1"/>
  <c r="M245" i="32"/>
  <c r="O245" i="32"/>
  <c r="Q245" i="32"/>
  <c r="P245" i="32"/>
  <c r="N245" i="32"/>
  <c r="H245" i="32"/>
  <c r="E245" i="32"/>
  <c r="C245" i="32"/>
  <c r="D245" i="32"/>
  <c r="F245" i="32"/>
  <c r="G245" i="32"/>
  <c r="B246" i="32"/>
  <c r="L246" i="32" a="1"/>
  <c r="O246" i="32" a="1"/>
  <c r="F246" i="32" a="1"/>
  <c r="H246" i="32" a="1"/>
  <c r="E246" i="32" a="1"/>
  <c r="Q246" i="32" a="1"/>
  <c r="C246" i="32" a="1"/>
  <c r="N246" i="32" a="1"/>
  <c r="M246" i="32" a="1"/>
  <c r="P246" i="32" a="1"/>
  <c r="G246" i="32" a="1"/>
  <c r="D246" i="32" a="1"/>
  <c r="N246" i="32" l="1"/>
  <c r="L246" i="32"/>
  <c r="O246" i="32"/>
  <c r="P246" i="32"/>
  <c r="Q246" i="32"/>
  <c r="M246" i="32"/>
  <c r="H246" i="32"/>
  <c r="D246" i="32"/>
  <c r="G246" i="32"/>
  <c r="C246" i="32"/>
  <c r="E246" i="32"/>
  <c r="F246" i="32"/>
  <c r="B247" i="32"/>
  <c r="E247" i="32" a="1"/>
  <c r="G247" i="32" a="1"/>
  <c r="D247" i="32" a="1"/>
  <c r="P247" i="32" a="1"/>
  <c r="Q247" i="32" a="1"/>
  <c r="H247" i="32" a="1"/>
  <c r="O247" i="32" a="1"/>
  <c r="L247" i="32" a="1"/>
  <c r="N247" i="32" a="1"/>
  <c r="C247" i="32" a="1"/>
  <c r="M247" i="32" a="1"/>
  <c r="F247" i="32" a="1"/>
  <c r="Q247" i="32" l="1"/>
  <c r="P247" i="32"/>
  <c r="N247" i="32"/>
  <c r="M247" i="32"/>
  <c r="O247" i="32"/>
  <c r="L247" i="32"/>
  <c r="H247" i="32"/>
  <c r="C247" i="32"/>
  <c r="E247" i="32"/>
  <c r="G247" i="32"/>
  <c r="D247" i="32"/>
  <c r="F247" i="32"/>
  <c r="B248" i="32"/>
  <c r="Q248" i="32" a="1"/>
  <c r="C248" i="32" a="1"/>
  <c r="F248" i="32" a="1"/>
  <c r="L248" i="32" a="1"/>
  <c r="P248" i="32" a="1"/>
  <c r="H248" i="32" a="1"/>
  <c r="M248" i="32" a="1"/>
  <c r="O248" i="32" a="1"/>
  <c r="N248" i="32" a="1"/>
  <c r="G248" i="32" a="1"/>
  <c r="D248" i="32" a="1"/>
  <c r="E248" i="32" a="1"/>
  <c r="Q248" i="32" l="1"/>
  <c r="P248" i="32"/>
  <c r="N248" i="32"/>
  <c r="M248" i="32"/>
  <c r="O248" i="32"/>
  <c r="L248" i="32"/>
  <c r="H248" i="32"/>
  <c r="F248" i="32"/>
  <c r="G248" i="32"/>
  <c r="E248" i="32"/>
  <c r="D248" i="32"/>
  <c r="C248" i="32"/>
  <c r="B249" i="32"/>
  <c r="H249" i="32" a="1"/>
  <c r="E249" i="32" a="1"/>
  <c r="F249" i="32" a="1"/>
  <c r="M249" i="32" a="1"/>
  <c r="G249" i="32" a="1"/>
  <c r="O249" i="32" a="1"/>
  <c r="C249" i="32" a="1"/>
  <c r="D249" i="32" a="1"/>
  <c r="Q249" i="32" a="1"/>
  <c r="P249" i="32" a="1"/>
  <c r="N249" i="32" a="1"/>
  <c r="L249" i="32" a="1"/>
  <c r="L249" i="32" l="1"/>
  <c r="Q249" i="32"/>
  <c r="P249" i="32"/>
  <c r="N249" i="32"/>
  <c r="M249" i="32"/>
  <c r="O249" i="32"/>
  <c r="H249" i="32"/>
  <c r="C249" i="32"/>
  <c r="G249" i="32"/>
  <c r="D249" i="32"/>
  <c r="F249" i="32"/>
  <c r="E249" i="32"/>
  <c r="B250" i="32"/>
  <c r="Q250" i="32" a="1"/>
  <c r="M250" i="32" a="1"/>
  <c r="G250" i="32" a="1"/>
  <c r="E250" i="32" a="1"/>
  <c r="P250" i="32" a="1"/>
  <c r="L250" i="32" a="1"/>
  <c r="N250" i="32" a="1"/>
  <c r="C250" i="32" a="1"/>
  <c r="H250" i="32" a="1"/>
  <c r="F250" i="32" a="1"/>
  <c r="O250" i="32" a="1"/>
  <c r="D250" i="32" a="1"/>
  <c r="P250" i="32" l="1"/>
  <c r="Q250" i="32"/>
  <c r="N250" i="32"/>
  <c r="L250" i="32"/>
  <c r="O250" i="32"/>
  <c r="M250" i="32"/>
  <c r="H250" i="32"/>
  <c r="E250" i="32"/>
  <c r="F250" i="32"/>
  <c r="D250" i="32"/>
  <c r="G250" i="32"/>
  <c r="C250" i="32"/>
  <c r="B251" i="32"/>
  <c r="Q251" i="32" a="1"/>
  <c r="O251" i="32" a="1"/>
  <c r="G251" i="32" a="1"/>
  <c r="H251" i="32" a="1"/>
  <c r="M251" i="32" a="1"/>
  <c r="D251" i="32" a="1"/>
  <c r="N251" i="32" a="1"/>
  <c r="F251" i="32" a="1"/>
  <c r="P251" i="32" a="1"/>
  <c r="L251" i="32" a="1"/>
  <c r="C251" i="32" a="1"/>
  <c r="E251" i="32" a="1"/>
  <c r="Q251" i="32" l="1"/>
  <c r="P251" i="32"/>
  <c r="N251" i="32"/>
  <c r="M251" i="32"/>
  <c r="O251" i="32"/>
  <c r="L251" i="32"/>
  <c r="H251" i="32"/>
  <c r="G251" i="32"/>
  <c r="C251" i="32"/>
  <c r="F251" i="32"/>
  <c r="E251" i="32"/>
  <c r="D251" i="32"/>
  <c r="B252" i="32"/>
  <c r="E252" i="32" a="1"/>
  <c r="M252" i="32" a="1"/>
  <c r="H252" i="32" a="1"/>
  <c r="D252" i="32" a="1"/>
  <c r="O252" i="32" a="1"/>
  <c r="L252" i="32" a="1"/>
  <c r="Q252" i="32" a="1"/>
  <c r="N252" i="32" a="1"/>
  <c r="G252" i="32" a="1"/>
  <c r="P252" i="32" a="1"/>
  <c r="C252" i="32" a="1"/>
  <c r="F252" i="32" a="1"/>
  <c r="Q252" i="32" l="1"/>
  <c r="P252" i="32"/>
  <c r="N252" i="32"/>
  <c r="L252" i="32"/>
  <c r="M252" i="32"/>
  <c r="O252" i="32"/>
  <c r="H252" i="32"/>
  <c r="D252" i="32"/>
  <c r="C252" i="32"/>
  <c r="E252" i="32"/>
  <c r="F252" i="32"/>
  <c r="G252" i="32"/>
  <c r="B253" i="32"/>
  <c r="G253" i="32" a="1"/>
  <c r="C253" i="32" a="1"/>
  <c r="E253" i="32" a="1"/>
  <c r="O253" i="32" a="1"/>
  <c r="L253" i="32" a="1"/>
  <c r="Q253" i="32" a="1"/>
  <c r="F253" i="32" a="1"/>
  <c r="H253" i="32" a="1"/>
  <c r="P253" i="32" a="1"/>
  <c r="D253" i="32" a="1"/>
  <c r="N253" i="32" a="1"/>
  <c r="M253" i="32" a="1"/>
  <c r="L253" i="32" l="1"/>
  <c r="Q253" i="32"/>
  <c r="P253" i="32"/>
  <c r="N253" i="32"/>
  <c r="M253" i="32"/>
  <c r="O253" i="32"/>
  <c r="H253" i="32"/>
  <c r="G253" i="32"/>
  <c r="D253" i="32"/>
  <c r="C253" i="32"/>
  <c r="F253" i="32"/>
  <c r="E253" i="32"/>
  <c r="B254" i="32"/>
  <c r="N254" i="32" a="1"/>
  <c r="O254" i="32" a="1"/>
  <c r="G254" i="32" a="1"/>
  <c r="Q254" i="32" a="1"/>
  <c r="F254" i="32" a="1"/>
  <c r="H254" i="32" a="1"/>
  <c r="C254" i="32" a="1"/>
  <c r="D254" i="32" a="1"/>
  <c r="M254" i="32" a="1"/>
  <c r="E254" i="32" a="1"/>
  <c r="P254" i="32" a="1"/>
  <c r="L254" i="32" a="1"/>
  <c r="M254" i="32" l="1"/>
  <c r="O254" i="32"/>
  <c r="Q254" i="32"/>
  <c r="P254" i="32"/>
  <c r="N254" i="32"/>
  <c r="L254" i="32"/>
  <c r="H254" i="32"/>
  <c r="D254" i="32"/>
  <c r="F254" i="32"/>
  <c r="C254" i="32"/>
  <c r="G254" i="32"/>
  <c r="E254" i="32"/>
  <c r="B255" i="32"/>
  <c r="N255" i="32" a="1"/>
  <c r="Q255" i="32" a="1"/>
  <c r="H255" i="32" a="1"/>
  <c r="L255" i="32" a="1"/>
  <c r="F255" i="32" a="1"/>
  <c r="D255" i="32" a="1"/>
  <c r="M255" i="32" a="1"/>
  <c r="O255" i="32" a="1"/>
  <c r="C255" i="32" a="1"/>
  <c r="P255" i="32" a="1"/>
  <c r="E255" i="32" a="1"/>
  <c r="G255" i="32" a="1"/>
  <c r="O255" i="32" l="1"/>
  <c r="P255" i="32"/>
  <c r="Q255" i="32"/>
  <c r="N255" i="32"/>
  <c r="M255" i="32"/>
  <c r="L255" i="32"/>
  <c r="H255" i="32"/>
  <c r="D255" i="32"/>
  <c r="F255" i="32"/>
  <c r="G255" i="32"/>
  <c r="C255" i="32"/>
  <c r="E255" i="32"/>
  <c r="B256" i="32"/>
  <c r="N256" i="32" a="1"/>
  <c r="M256" i="32" a="1"/>
  <c r="Q256" i="32" a="1"/>
  <c r="H256" i="32" a="1"/>
  <c r="E256" i="32" a="1"/>
  <c r="L256" i="32" a="1"/>
  <c r="F256" i="32" a="1"/>
  <c r="P256" i="32" a="1"/>
  <c r="C256" i="32" a="1"/>
  <c r="D256" i="32" a="1"/>
  <c r="G256" i="32" a="1"/>
  <c r="O256" i="32" a="1"/>
  <c r="L256" i="32" l="1"/>
  <c r="M256" i="32"/>
  <c r="Q256" i="32"/>
  <c r="P256" i="32"/>
  <c r="N256" i="32"/>
  <c r="O256" i="32"/>
  <c r="H256" i="32"/>
  <c r="F256" i="32"/>
  <c r="C256" i="32"/>
  <c r="G256" i="32"/>
  <c r="D256" i="32"/>
  <c r="E256" i="32"/>
  <c r="B257" i="32"/>
  <c r="L257" i="32" a="1"/>
  <c r="M257" i="32" a="1"/>
  <c r="E257" i="32" a="1"/>
  <c r="C257" i="32" a="1"/>
  <c r="Q257" i="32" a="1"/>
  <c r="N257" i="32" a="1"/>
  <c r="F257" i="32" a="1"/>
  <c r="P257" i="32" a="1"/>
  <c r="G257" i="32" a="1"/>
  <c r="O257" i="32" a="1"/>
  <c r="D257" i="32" a="1"/>
  <c r="H257" i="32" a="1"/>
  <c r="L257" i="32" l="1"/>
  <c r="O257" i="32"/>
  <c r="M257" i="32"/>
  <c r="Q257" i="32"/>
  <c r="P257" i="32"/>
  <c r="N257" i="32"/>
  <c r="H257" i="32"/>
  <c r="C257" i="32"/>
  <c r="E257" i="32"/>
  <c r="G257" i="32"/>
  <c r="D257" i="32"/>
  <c r="F257" i="32"/>
  <c r="B258" i="32"/>
  <c r="F258" i="32" a="1"/>
  <c r="Q258" i="32" a="1"/>
  <c r="E258" i="32" a="1"/>
  <c r="N258" i="32" a="1"/>
  <c r="H258" i="32" a="1"/>
  <c r="P258" i="32" a="1"/>
  <c r="L258" i="32" a="1"/>
  <c r="M258" i="32" a="1"/>
  <c r="O258" i="32" a="1"/>
  <c r="C258" i="32" a="1"/>
  <c r="G258" i="32" a="1"/>
  <c r="D258" i="32" a="1"/>
  <c r="N258" i="32" l="1"/>
  <c r="M258" i="32"/>
  <c r="L258" i="32"/>
  <c r="Q258" i="32"/>
  <c r="O258" i="32"/>
  <c r="P258" i="32"/>
  <c r="H258" i="32"/>
  <c r="G258" i="32"/>
  <c r="F258" i="32"/>
  <c r="C258" i="32"/>
  <c r="E258" i="32"/>
  <c r="D258" i="32"/>
  <c r="B259" i="32"/>
  <c r="P259" i="32" a="1"/>
  <c r="L259" i="32" a="1"/>
  <c r="N259" i="32" a="1"/>
  <c r="G259" i="32" a="1"/>
  <c r="H259" i="32" a="1"/>
  <c r="D259" i="32" a="1"/>
  <c r="E259" i="32" a="1"/>
  <c r="C259" i="32" a="1"/>
  <c r="M259" i="32" a="1"/>
  <c r="F259" i="32" a="1"/>
  <c r="O259" i="32" a="1"/>
  <c r="Q259" i="32" a="1"/>
  <c r="Q259" i="32" l="1"/>
  <c r="P259" i="32"/>
  <c r="M259" i="32"/>
  <c r="N259" i="32"/>
  <c r="L259" i="32"/>
  <c r="O259" i="32"/>
  <c r="H259" i="32"/>
  <c r="G259" i="32"/>
  <c r="C259" i="32"/>
  <c r="E259" i="32"/>
  <c r="F259" i="32"/>
  <c r="D259" i="32"/>
  <c r="B260" i="32"/>
  <c r="G260" i="32" a="1"/>
  <c r="L260" i="32" a="1"/>
  <c r="O260" i="32" a="1"/>
  <c r="F260" i="32" a="1"/>
  <c r="Q260" i="32" a="1"/>
  <c r="P260" i="32" a="1"/>
  <c r="N260" i="32" a="1"/>
  <c r="E260" i="32" a="1"/>
  <c r="C260" i="32" a="1"/>
  <c r="M260" i="32" a="1"/>
  <c r="D260" i="32" a="1"/>
  <c r="H260" i="32" a="1"/>
  <c r="P260" i="32" l="1"/>
  <c r="O260" i="32"/>
  <c r="Q260" i="32"/>
  <c r="N260" i="32"/>
  <c r="L260" i="32"/>
  <c r="M260" i="32"/>
  <c r="H260" i="32"/>
  <c r="C260" i="32"/>
  <c r="E260" i="32"/>
  <c r="G260" i="32"/>
  <c r="D260" i="32"/>
  <c r="F260" i="32"/>
  <c r="B261" i="32"/>
  <c r="C261" i="32" a="1"/>
  <c r="G261" i="32" a="1"/>
  <c r="F261" i="32" a="1"/>
  <c r="N261" i="32" a="1"/>
  <c r="D261" i="32" a="1"/>
  <c r="H261" i="32" a="1"/>
  <c r="Q261" i="32" a="1"/>
  <c r="E261" i="32" a="1"/>
  <c r="O261" i="32" a="1"/>
  <c r="P261" i="32" a="1"/>
  <c r="M261" i="32" a="1"/>
  <c r="L261" i="32" a="1"/>
  <c r="L261" i="32" l="1"/>
  <c r="Q261" i="32"/>
  <c r="P261" i="32"/>
  <c r="N261" i="32"/>
  <c r="M261" i="32"/>
  <c r="O261" i="32"/>
  <c r="H261" i="32"/>
  <c r="D261" i="32"/>
  <c r="F261" i="32"/>
  <c r="E261" i="32"/>
  <c r="G261" i="32"/>
  <c r="C261" i="32"/>
  <c r="B262" i="32"/>
  <c r="D262" i="32" a="1"/>
  <c r="P262" i="32" a="1"/>
  <c r="C262" i="32" a="1"/>
  <c r="L262" i="32" a="1"/>
  <c r="M262" i="32" a="1"/>
  <c r="G262" i="32" a="1"/>
  <c r="F262" i="32" a="1"/>
  <c r="O262" i="32" a="1"/>
  <c r="N262" i="32" a="1"/>
  <c r="E262" i="32" a="1"/>
  <c r="Q262" i="32" a="1"/>
  <c r="H262" i="32" a="1"/>
  <c r="M262" i="32" l="1"/>
  <c r="Q262" i="32"/>
  <c r="P262" i="32"/>
  <c r="N262" i="32"/>
  <c r="O262" i="32"/>
  <c r="L262" i="32"/>
  <c r="H262" i="32"/>
  <c r="E262" i="32"/>
  <c r="G262" i="32"/>
  <c r="F262" i="32"/>
  <c r="D262" i="32"/>
  <c r="C262" i="32"/>
  <c r="B263" i="32"/>
  <c r="N263" i="32" a="1"/>
  <c r="D263" i="32" a="1"/>
  <c r="H263" i="32" a="1"/>
  <c r="E263" i="32" a="1"/>
  <c r="L263" i="32" a="1"/>
  <c r="F263" i="32" a="1"/>
  <c r="O263" i="32" a="1"/>
  <c r="C263" i="32" a="1"/>
  <c r="G263" i="32" a="1"/>
  <c r="P263" i="32" a="1"/>
  <c r="M263" i="32" a="1"/>
  <c r="Q263" i="32" a="1"/>
  <c r="Q263" i="32" l="1"/>
  <c r="P263" i="32"/>
  <c r="N263" i="32"/>
  <c r="L263" i="32"/>
  <c r="O263" i="32"/>
  <c r="M263" i="32"/>
  <c r="H263" i="32"/>
  <c r="D263" i="32"/>
  <c r="F263" i="32"/>
  <c r="G263" i="32"/>
  <c r="E263" i="32"/>
  <c r="C263" i="32"/>
  <c r="B264" i="32"/>
  <c r="G264" i="32" a="1"/>
  <c r="Q264" i="32" a="1"/>
  <c r="L264" i="32" a="1"/>
  <c r="P264" i="32" a="1"/>
  <c r="D264" i="32" a="1"/>
  <c r="F264" i="32" a="1"/>
  <c r="M264" i="32" a="1"/>
  <c r="C264" i="32" a="1"/>
  <c r="H264" i="32" a="1"/>
  <c r="E264" i="32" a="1"/>
  <c r="N264" i="32" a="1"/>
  <c r="O264" i="32" a="1"/>
  <c r="O264" i="32" l="1"/>
  <c r="Q264" i="32"/>
  <c r="P264" i="32"/>
  <c r="N264" i="32"/>
  <c r="M264" i="32"/>
  <c r="L264" i="32"/>
  <c r="H264" i="32"/>
  <c r="C264" i="32"/>
  <c r="E264" i="32"/>
  <c r="D264" i="32"/>
  <c r="G264" i="32"/>
  <c r="F264" i="32"/>
  <c r="B265" i="32"/>
  <c r="L265" i="32" a="1"/>
  <c r="N265" i="32" a="1"/>
  <c r="E265" i="32" a="1"/>
  <c r="F265" i="32" a="1"/>
  <c r="H265" i="32" a="1"/>
  <c r="C265" i="32" a="1"/>
  <c r="Q265" i="32" a="1"/>
  <c r="P265" i="32" a="1"/>
  <c r="O265" i="32" a="1"/>
  <c r="D265" i="32" a="1"/>
  <c r="G265" i="32" a="1"/>
  <c r="M265" i="32" a="1"/>
  <c r="M265" i="32" l="1"/>
  <c r="Q265" i="32"/>
  <c r="P265" i="32"/>
  <c r="N265" i="32"/>
  <c r="L265" i="32"/>
  <c r="O265" i="32"/>
  <c r="H265" i="32"/>
  <c r="E265" i="32"/>
  <c r="F265" i="32"/>
  <c r="C265" i="32"/>
  <c r="G265" i="32"/>
  <c r="D265" i="32"/>
  <c r="B266" i="32"/>
  <c r="G266" i="32" a="1"/>
  <c r="P266" i="32" a="1"/>
  <c r="O266" i="32" a="1"/>
  <c r="C266" i="32" a="1"/>
  <c r="F266" i="32" a="1"/>
  <c r="H266" i="32" a="1"/>
  <c r="N266" i="32" a="1"/>
  <c r="Q266" i="32" a="1"/>
  <c r="E266" i="32" a="1"/>
  <c r="D266" i="32" a="1"/>
  <c r="M266" i="32" a="1"/>
  <c r="L266" i="32" a="1"/>
  <c r="O266" i="32" l="1"/>
  <c r="Q266" i="32"/>
  <c r="P266" i="32"/>
  <c r="M266" i="32"/>
  <c r="N266" i="32"/>
  <c r="L266" i="32"/>
  <c r="H266" i="32"/>
  <c r="D266" i="32"/>
  <c r="G266" i="32"/>
  <c r="C266" i="32"/>
  <c r="E266" i="32"/>
  <c r="F266" i="32"/>
  <c r="B267" i="32"/>
  <c r="P267" i="32" a="1"/>
  <c r="N267" i="32" a="1"/>
  <c r="M267" i="32" a="1"/>
  <c r="H267" i="32" a="1"/>
  <c r="G267" i="32" a="1"/>
  <c r="D267" i="32" a="1"/>
  <c r="Q267" i="32" a="1"/>
  <c r="F267" i="32" a="1"/>
  <c r="C267" i="32" a="1"/>
  <c r="L267" i="32" a="1"/>
  <c r="E267" i="32" a="1"/>
  <c r="O267" i="32" a="1"/>
  <c r="O267" i="32" l="1"/>
  <c r="M267" i="32"/>
  <c r="L267" i="32"/>
  <c r="Q267" i="32"/>
  <c r="P267" i="32"/>
  <c r="N267" i="32"/>
  <c r="H267" i="32"/>
  <c r="E267" i="32"/>
  <c r="G267" i="32"/>
  <c r="D267" i="32"/>
  <c r="F267" i="32"/>
  <c r="C267" i="32"/>
  <c r="B268" i="32"/>
  <c r="F268" i="32" a="1"/>
  <c r="M268" i="32" a="1"/>
  <c r="H268" i="32" a="1"/>
  <c r="E268" i="32" a="1"/>
  <c r="C268" i="32" a="1"/>
  <c r="D268" i="32" a="1"/>
  <c r="G268" i="32" a="1"/>
  <c r="L268" i="32" a="1"/>
  <c r="O268" i="32" a="1"/>
  <c r="N268" i="32" a="1"/>
  <c r="P268" i="32" a="1"/>
  <c r="Q268" i="32" a="1"/>
  <c r="O268" i="32" l="1"/>
  <c r="Q268" i="32"/>
  <c r="P268" i="32"/>
  <c r="L268" i="32"/>
  <c r="M268" i="32"/>
  <c r="N268" i="32"/>
  <c r="H268" i="32"/>
  <c r="E268" i="32"/>
  <c r="G268" i="32"/>
  <c r="F268" i="32"/>
  <c r="C268" i="32"/>
  <c r="D268" i="32"/>
  <c r="B269" i="32"/>
  <c r="P269" i="32" a="1"/>
  <c r="D269" i="32" a="1"/>
  <c r="Q269" i="32" a="1"/>
  <c r="C269" i="32" a="1"/>
  <c r="M269" i="32" a="1"/>
  <c r="H269" i="32" a="1"/>
  <c r="G269" i="32" a="1"/>
  <c r="E269" i="32" a="1"/>
  <c r="N269" i="32" a="1"/>
  <c r="O269" i="32" a="1"/>
  <c r="F269" i="32" a="1"/>
  <c r="L269" i="32" a="1"/>
  <c r="O269" i="32" l="1"/>
  <c r="M269" i="32"/>
  <c r="Q269" i="32"/>
  <c r="P269" i="32"/>
  <c r="N269" i="32"/>
  <c r="L269" i="32"/>
  <c r="H269" i="32"/>
  <c r="D269" i="32"/>
  <c r="F269" i="32"/>
  <c r="E269" i="32"/>
  <c r="C269" i="32"/>
  <c r="G269" i="32"/>
  <c r="B270" i="32"/>
  <c r="F270" i="32" a="1"/>
  <c r="N270" i="32" a="1"/>
  <c r="M270" i="32" a="1"/>
  <c r="P270" i="32" a="1"/>
  <c r="H270" i="32" a="1"/>
  <c r="L270" i="32" a="1"/>
  <c r="D270" i="32" a="1"/>
  <c r="C270" i="32" a="1"/>
  <c r="Q270" i="32" a="1"/>
  <c r="E270" i="32" a="1"/>
  <c r="G270" i="32" a="1"/>
  <c r="O270" i="32" a="1"/>
  <c r="N270" i="32" l="1"/>
  <c r="O270" i="32"/>
  <c r="M270" i="32"/>
  <c r="L270" i="32"/>
  <c r="Q270" i="32"/>
  <c r="P270" i="32"/>
  <c r="H270" i="32"/>
  <c r="C270" i="32"/>
  <c r="E270" i="32"/>
  <c r="F270" i="32"/>
  <c r="D270" i="32"/>
  <c r="G270" i="32"/>
  <c r="B271" i="32"/>
  <c r="M271" i="32" a="1"/>
  <c r="C271" i="32" a="1"/>
  <c r="P271" i="32" a="1"/>
  <c r="H271" i="32" a="1"/>
  <c r="N271" i="32" a="1"/>
  <c r="E271" i="32" a="1"/>
  <c r="F271" i="32" a="1"/>
  <c r="L271" i="32" a="1"/>
  <c r="G271" i="32" a="1"/>
  <c r="D271" i="32" a="1"/>
  <c r="Q271" i="32" a="1"/>
  <c r="O271" i="32" a="1"/>
  <c r="Q271" i="32" l="1"/>
  <c r="P271" i="32"/>
  <c r="N271" i="32"/>
  <c r="L271" i="32"/>
  <c r="O271" i="32"/>
  <c r="M271" i="32"/>
  <c r="H271" i="32"/>
  <c r="E271" i="32"/>
  <c r="C271" i="32"/>
  <c r="F271" i="32"/>
  <c r="G271" i="32"/>
  <c r="D271" i="32"/>
  <c r="B272" i="32"/>
  <c r="N272" i="32" a="1"/>
  <c r="Q272" i="32" a="1"/>
  <c r="H272" i="32" a="1"/>
  <c r="M272" i="32" a="1"/>
  <c r="O272" i="32" a="1"/>
  <c r="L272" i="32" a="1"/>
  <c r="C272" i="32" a="1"/>
  <c r="P272" i="32" a="1"/>
  <c r="F272" i="32" a="1"/>
  <c r="G272" i="32" a="1"/>
  <c r="E272" i="32" a="1"/>
  <c r="D272" i="32" a="1"/>
  <c r="M272" i="32" l="1"/>
  <c r="Q272" i="32"/>
  <c r="P272" i="32"/>
  <c r="N272" i="32"/>
  <c r="L272" i="32"/>
  <c r="O272" i="32"/>
  <c r="H272" i="32"/>
  <c r="E272" i="32"/>
  <c r="C272" i="32"/>
  <c r="D272" i="32"/>
  <c r="G272" i="32"/>
  <c r="F272" i="32"/>
  <c r="B273" i="32"/>
  <c r="G273" i="32" a="1"/>
  <c r="O273" i="32" a="1"/>
  <c r="N273" i="32" a="1"/>
  <c r="H273" i="32" a="1"/>
  <c r="P273" i="32" a="1"/>
  <c r="F273" i="32" a="1"/>
  <c r="E273" i="32" a="1"/>
  <c r="Q273" i="32" a="1"/>
  <c r="L273" i="32" a="1"/>
  <c r="D273" i="32" a="1"/>
  <c r="C273" i="32" a="1"/>
  <c r="M273" i="32" a="1"/>
  <c r="Q273" i="32" l="1"/>
  <c r="P273" i="32"/>
  <c r="N273" i="32"/>
  <c r="M273" i="32"/>
  <c r="L273" i="32"/>
  <c r="O273" i="32"/>
  <c r="H273" i="32"/>
  <c r="E273" i="32"/>
  <c r="G273" i="32"/>
  <c r="C273" i="32"/>
  <c r="D273" i="32"/>
  <c r="F273" i="32"/>
  <c r="B274" i="32"/>
  <c r="N274" i="32" a="1"/>
  <c r="E274" i="32" a="1"/>
  <c r="M274" i="32" a="1"/>
  <c r="P274" i="32" a="1"/>
  <c r="L274" i="32" a="1"/>
  <c r="F274" i="32" a="1"/>
  <c r="D274" i="32" a="1"/>
  <c r="H274" i="32" a="1"/>
  <c r="C274" i="32" a="1"/>
  <c r="Q274" i="32" a="1"/>
  <c r="G274" i="32" a="1"/>
  <c r="O274" i="32" a="1"/>
  <c r="L274" i="32" l="1"/>
  <c r="M274" i="32"/>
  <c r="Q274" i="32"/>
  <c r="P274" i="32"/>
  <c r="N274" i="32"/>
  <c r="O274" i="32"/>
  <c r="H274" i="32"/>
  <c r="F274" i="32"/>
  <c r="C274" i="32"/>
  <c r="E274" i="32"/>
  <c r="D274" i="32"/>
  <c r="G274" i="32"/>
  <c r="B275" i="32"/>
  <c r="N275" i="32" a="1"/>
  <c r="H275" i="32" a="1"/>
  <c r="L275" i="32" a="1"/>
  <c r="P275" i="32" a="1"/>
  <c r="F275" i="32" a="1"/>
  <c r="C275" i="32" a="1"/>
  <c r="Q275" i="32" a="1"/>
  <c r="E275" i="32" a="1"/>
  <c r="G275" i="32" a="1"/>
  <c r="D275" i="32" a="1"/>
  <c r="O275" i="32" a="1"/>
  <c r="M275" i="32" a="1"/>
  <c r="Q275" i="32" l="1"/>
  <c r="P275" i="32"/>
  <c r="N275" i="32"/>
  <c r="M275" i="32"/>
  <c r="L275" i="32"/>
  <c r="O275" i="32"/>
  <c r="H275" i="32"/>
  <c r="D275" i="32"/>
  <c r="F275" i="32"/>
  <c r="G275" i="32"/>
  <c r="E275" i="32"/>
  <c r="C275" i="32"/>
  <c r="B276" i="32"/>
  <c r="H276" i="32" a="1"/>
  <c r="N276" i="32" a="1"/>
  <c r="D276" i="32" a="1"/>
  <c r="C276" i="32" a="1"/>
  <c r="F276" i="32" a="1"/>
  <c r="M276" i="32" a="1"/>
  <c r="L276" i="32" a="1"/>
  <c r="G276" i="32" a="1"/>
  <c r="O276" i="32" a="1"/>
  <c r="Q276" i="32" a="1"/>
  <c r="E276" i="32" a="1"/>
  <c r="P276" i="32" a="1"/>
  <c r="Q276" i="32" l="1"/>
  <c r="P276" i="32"/>
  <c r="O276" i="32"/>
  <c r="N276" i="32"/>
  <c r="M276" i="32"/>
  <c r="L276" i="32"/>
  <c r="H276" i="32"/>
  <c r="C276" i="32"/>
  <c r="E276" i="32"/>
  <c r="F276" i="32"/>
  <c r="D276" i="32"/>
  <c r="G276" i="32"/>
  <c r="B277" i="32"/>
  <c r="F277" i="32" a="1"/>
  <c r="C277" i="32" a="1"/>
  <c r="H277" i="32" a="1"/>
  <c r="M277" i="32" a="1"/>
  <c r="O277" i="32" a="1"/>
  <c r="L277" i="32" a="1"/>
  <c r="G277" i="32" a="1"/>
  <c r="D277" i="32" a="1"/>
  <c r="Q277" i="32" a="1"/>
  <c r="E277" i="32" a="1"/>
  <c r="N277" i="32" a="1"/>
  <c r="P277" i="32" a="1"/>
  <c r="O277" i="32" l="1"/>
  <c r="Q277" i="32"/>
  <c r="P277" i="32"/>
  <c r="L277" i="32"/>
  <c r="N277" i="32"/>
  <c r="M277" i="32"/>
  <c r="H277" i="32"/>
  <c r="E277" i="32"/>
  <c r="G277" i="32"/>
  <c r="C277" i="32"/>
  <c r="F277" i="32"/>
  <c r="D277" i="32"/>
  <c r="B278" i="32"/>
  <c r="L278" i="32" a="1"/>
  <c r="C278" i="32" a="1"/>
  <c r="M278" i="32" a="1"/>
  <c r="H278" i="32" a="1"/>
  <c r="Q278" i="32" a="1"/>
  <c r="E278" i="32" a="1"/>
  <c r="G278" i="32" a="1"/>
  <c r="F278" i="32" a="1"/>
  <c r="P278" i="32" a="1"/>
  <c r="O278" i="32" a="1"/>
  <c r="D278" i="32" a="1"/>
  <c r="N278" i="32" a="1"/>
  <c r="Q278" i="32" l="1"/>
  <c r="P278" i="32"/>
  <c r="L278" i="32"/>
  <c r="N278" i="32"/>
  <c r="O278" i="32"/>
  <c r="M278" i="32"/>
  <c r="H278" i="32"/>
  <c r="E278" i="32"/>
  <c r="C278" i="32"/>
  <c r="D278" i="32"/>
  <c r="G278" i="32"/>
  <c r="F278" i="32"/>
  <c r="B279" i="32"/>
  <c r="D279" i="32" a="1"/>
  <c r="O279" i="32" a="1"/>
  <c r="G279" i="32" a="1"/>
  <c r="Q279" i="32" a="1"/>
  <c r="H279" i="32" a="1"/>
  <c r="N279" i="32" a="1"/>
  <c r="L279" i="32" a="1"/>
  <c r="C279" i="32" a="1"/>
  <c r="P279" i="32" a="1"/>
  <c r="E279" i="32" a="1"/>
  <c r="M279" i="32" a="1"/>
  <c r="F279" i="32" a="1"/>
  <c r="M279" i="32" l="1"/>
  <c r="L279" i="32"/>
  <c r="Q279" i="32"/>
  <c r="P279" i="32"/>
  <c r="N279" i="32"/>
  <c r="O279" i="32"/>
  <c r="H279" i="32"/>
  <c r="E279" i="32"/>
  <c r="G279" i="32"/>
  <c r="C279" i="32"/>
  <c r="F279" i="32"/>
  <c r="D279" i="32"/>
  <c r="B280" i="32"/>
  <c r="P280" i="32" a="1"/>
  <c r="Q280" i="32" a="1"/>
  <c r="L280" i="32" a="1"/>
  <c r="N280" i="32" a="1"/>
  <c r="C280" i="32" a="1"/>
  <c r="F280" i="32" a="1"/>
  <c r="E280" i="32" a="1"/>
  <c r="D280" i="32" a="1"/>
  <c r="H280" i="32" a="1"/>
  <c r="G280" i="32" a="1"/>
  <c r="O280" i="32" a="1"/>
  <c r="M280" i="32" a="1"/>
  <c r="L280" i="32" l="1"/>
  <c r="M280" i="32"/>
  <c r="O280" i="32"/>
  <c r="Q280" i="32"/>
  <c r="P280" i="32"/>
  <c r="N280" i="32"/>
  <c r="H280" i="32"/>
  <c r="E280" i="32"/>
  <c r="G280" i="32"/>
  <c r="C280" i="32"/>
  <c r="F280" i="32"/>
  <c r="D280" i="32"/>
  <c r="B281" i="32"/>
  <c r="G281" i="32" a="1"/>
  <c r="F281" i="32" a="1"/>
  <c r="H281" i="32" a="1"/>
  <c r="L281" i="32" a="1"/>
  <c r="N281" i="32" a="1"/>
  <c r="P281" i="32" a="1"/>
  <c r="O281" i="32" a="1"/>
  <c r="C281" i="32" a="1"/>
  <c r="D281" i="32" a="1"/>
  <c r="E281" i="32" a="1"/>
  <c r="Q281" i="32" a="1"/>
  <c r="M281" i="32" a="1"/>
  <c r="M281" i="32" l="1"/>
  <c r="L281" i="32"/>
  <c r="O281" i="32"/>
  <c r="Q281" i="32"/>
  <c r="P281" i="32"/>
  <c r="N281" i="32"/>
  <c r="H281" i="32"/>
  <c r="C281" i="32"/>
  <c r="D281" i="32"/>
  <c r="F281" i="32"/>
  <c r="E281" i="32"/>
  <c r="G281" i="32"/>
  <c r="B282" i="32"/>
  <c r="N282" i="32" a="1"/>
  <c r="Q282" i="32" a="1"/>
  <c r="M282" i="32" a="1"/>
  <c r="E282" i="32" a="1"/>
  <c r="G282" i="32" a="1"/>
  <c r="L282" i="32" a="1"/>
  <c r="D282" i="32" a="1"/>
  <c r="H282" i="32" a="1"/>
  <c r="F282" i="32" a="1"/>
  <c r="C282" i="32" a="1"/>
  <c r="P282" i="32" a="1"/>
  <c r="O282" i="32" a="1"/>
  <c r="N282" i="32" l="1"/>
  <c r="M282" i="32"/>
  <c r="O282" i="32"/>
  <c r="Q282" i="32"/>
  <c r="L282" i="32"/>
  <c r="P282" i="32"/>
  <c r="H282" i="32"/>
  <c r="F282" i="32"/>
  <c r="D282" i="32"/>
  <c r="G282" i="32"/>
  <c r="C282" i="32"/>
  <c r="E282" i="32"/>
  <c r="B283" i="32"/>
  <c r="P283" i="32" a="1"/>
  <c r="O283" i="32" a="1"/>
  <c r="M283" i="32" a="1"/>
  <c r="D283" i="32" a="1"/>
  <c r="N283" i="32" a="1"/>
  <c r="Q283" i="32" a="1"/>
  <c r="F283" i="32" a="1"/>
  <c r="E283" i="32" a="1"/>
  <c r="G283" i="32" a="1"/>
  <c r="L283" i="32" a="1"/>
  <c r="H283" i="32" a="1"/>
  <c r="C283" i="32" a="1"/>
  <c r="Q283" i="32" l="1"/>
  <c r="P283" i="32"/>
  <c r="O283" i="32"/>
  <c r="N283" i="32"/>
  <c r="L283" i="32"/>
  <c r="M283" i="32"/>
  <c r="H283" i="32"/>
  <c r="F283" i="32"/>
  <c r="D283" i="32"/>
  <c r="E283" i="32"/>
  <c r="C283" i="32"/>
  <c r="G283" i="32"/>
  <c r="B284" i="32"/>
  <c r="G284" i="32" a="1"/>
  <c r="E284" i="32" a="1"/>
  <c r="O284" i="32" a="1"/>
  <c r="N284" i="32" a="1"/>
  <c r="Q284" i="32" a="1"/>
  <c r="D284" i="32" a="1"/>
  <c r="L284" i="32" a="1"/>
  <c r="M284" i="32" a="1"/>
  <c r="C284" i="32" a="1"/>
  <c r="F284" i="32" a="1"/>
  <c r="P284" i="32" a="1"/>
  <c r="H284" i="32" a="1"/>
  <c r="Q284" i="32" l="1"/>
  <c r="P284" i="32"/>
  <c r="N284" i="32"/>
  <c r="O284" i="32"/>
  <c r="L284" i="32"/>
  <c r="M284" i="32"/>
  <c r="H284" i="32"/>
  <c r="E284" i="32"/>
  <c r="C284" i="32"/>
  <c r="G284" i="32"/>
  <c r="D284" i="32"/>
  <c r="F284" i="32"/>
  <c r="B285" i="32"/>
  <c r="C285" i="32" a="1"/>
  <c r="O285" i="32" a="1"/>
  <c r="N285" i="32" a="1"/>
  <c r="G285" i="32" a="1"/>
  <c r="Q285" i="32" a="1"/>
  <c r="H285" i="32" a="1"/>
  <c r="D285" i="32" a="1"/>
  <c r="P285" i="32" a="1"/>
  <c r="E285" i="32" a="1"/>
  <c r="F285" i="32" a="1"/>
  <c r="L285" i="32" a="1"/>
  <c r="M285" i="32" a="1"/>
  <c r="M285" i="32" l="1"/>
  <c r="Q285" i="32"/>
  <c r="P285" i="32"/>
  <c r="O285" i="32"/>
  <c r="N285" i="32"/>
  <c r="L285" i="32"/>
  <c r="H285" i="32"/>
  <c r="E285" i="32"/>
  <c r="G285" i="32"/>
  <c r="D285" i="32"/>
  <c r="F285" i="32"/>
  <c r="C285" i="32"/>
  <c r="B286" i="32"/>
  <c r="O286" i="32" a="1"/>
  <c r="H286" i="32" a="1"/>
  <c r="E286" i="32" a="1"/>
  <c r="M286" i="32" a="1"/>
  <c r="P286" i="32" a="1"/>
  <c r="G286" i="32" a="1"/>
  <c r="F286" i="32" a="1"/>
  <c r="C286" i="32" a="1"/>
  <c r="L286" i="32" a="1"/>
  <c r="D286" i="32" a="1"/>
  <c r="Q286" i="32" a="1"/>
  <c r="N286" i="32" a="1"/>
  <c r="O286" i="32" l="1"/>
  <c r="Q286" i="32"/>
  <c r="N286" i="32"/>
  <c r="M286" i="32"/>
  <c r="P286" i="32"/>
  <c r="L286" i="32"/>
  <c r="H286" i="32"/>
  <c r="F286" i="32"/>
  <c r="C286" i="32"/>
  <c r="G286" i="32"/>
  <c r="D286" i="32"/>
  <c r="E286" i="32"/>
  <c r="B287" i="32"/>
  <c r="F287" i="32" a="1"/>
  <c r="P287" i="32" a="1"/>
  <c r="N287" i="32" a="1"/>
  <c r="O287" i="32" a="1"/>
  <c r="G287" i="32" a="1"/>
  <c r="L287" i="32" a="1"/>
  <c r="C287" i="32" a="1"/>
  <c r="E287" i="32" a="1"/>
  <c r="D287" i="32" a="1"/>
  <c r="M287" i="32" a="1"/>
  <c r="Q287" i="32" a="1"/>
  <c r="H287" i="32" a="1"/>
  <c r="O287" i="32" l="1"/>
  <c r="Q287" i="32"/>
  <c r="N287" i="32"/>
  <c r="P287" i="32"/>
  <c r="L287" i="32"/>
  <c r="M287" i="32"/>
  <c r="H287" i="32"/>
  <c r="E287" i="32"/>
  <c r="C287" i="32"/>
  <c r="F287" i="32"/>
  <c r="G287" i="32"/>
  <c r="D287" i="32"/>
  <c r="B288" i="32"/>
  <c r="H288" i="32" a="1"/>
  <c r="C288" i="32" a="1"/>
  <c r="M288" i="32" a="1"/>
  <c r="D288" i="32" a="1"/>
  <c r="L288" i="32" a="1"/>
  <c r="E288" i="32" a="1"/>
  <c r="Q288" i="32" a="1"/>
  <c r="O288" i="32" a="1"/>
  <c r="G288" i="32" a="1"/>
  <c r="N288" i="32" a="1"/>
  <c r="F288" i="32" a="1"/>
  <c r="P288" i="32" a="1"/>
  <c r="Q288" i="32" l="1"/>
  <c r="P288" i="32"/>
  <c r="N288" i="32"/>
  <c r="L288" i="32"/>
  <c r="O288" i="32"/>
  <c r="M288" i="32"/>
  <c r="H288" i="32"/>
  <c r="E288" i="32"/>
  <c r="C288" i="32"/>
  <c r="G288" i="32"/>
  <c r="D288" i="32"/>
  <c r="F288" i="32"/>
  <c r="B289" i="32"/>
  <c r="F289" i="32" a="1"/>
  <c r="H289" i="32" a="1"/>
  <c r="P289" i="32" a="1"/>
  <c r="E289" i="32" a="1"/>
  <c r="O289" i="32" a="1"/>
  <c r="N289" i="32" a="1"/>
  <c r="M289" i="32" a="1"/>
  <c r="C289" i="32" a="1"/>
  <c r="L289" i="32" a="1"/>
  <c r="D289" i="32" a="1"/>
  <c r="G289" i="32" a="1"/>
  <c r="Q289" i="32" a="1"/>
  <c r="O289" i="32" l="1"/>
  <c r="Q289" i="32"/>
  <c r="P289" i="32"/>
  <c r="N289" i="32"/>
  <c r="L289" i="32"/>
  <c r="M289" i="32"/>
  <c r="H289" i="32"/>
  <c r="C289" i="32"/>
  <c r="D289" i="32"/>
  <c r="F289" i="32"/>
  <c r="E289" i="32"/>
  <c r="G289" i="32"/>
  <c r="B290" i="32"/>
  <c r="D290" i="32" a="1"/>
  <c r="M290" i="32" a="1"/>
  <c r="E290" i="32" a="1"/>
  <c r="G290" i="32" a="1"/>
  <c r="Q290" i="32" a="1"/>
  <c r="L290" i="32" a="1"/>
  <c r="C290" i="32" a="1"/>
  <c r="O290" i="32" a="1"/>
  <c r="P290" i="32" a="1"/>
  <c r="F290" i="32" a="1"/>
  <c r="H290" i="32" a="1"/>
  <c r="N290" i="32" a="1"/>
  <c r="M290" i="32" l="1"/>
  <c r="O290" i="32"/>
  <c r="Q290" i="32"/>
  <c r="P290" i="32"/>
  <c r="N290" i="32"/>
  <c r="L290" i="32"/>
  <c r="H290" i="32"/>
  <c r="E290" i="32"/>
  <c r="G290" i="32"/>
  <c r="C290" i="32"/>
  <c r="D290" i="32"/>
  <c r="F290" i="32"/>
  <c r="B291" i="32"/>
  <c r="M291" i="32" a="1"/>
  <c r="L291" i="32" a="1"/>
  <c r="C291" i="32" a="1"/>
  <c r="E291" i="32" a="1"/>
  <c r="G291" i="32" a="1"/>
  <c r="F291" i="32" a="1"/>
  <c r="O291" i="32" a="1"/>
  <c r="P291" i="32" a="1"/>
  <c r="Q291" i="32" a="1"/>
  <c r="N291" i="32" a="1"/>
  <c r="D291" i="32" a="1"/>
  <c r="H291" i="32" a="1"/>
  <c r="L291" i="32" l="1"/>
  <c r="M291" i="32"/>
  <c r="O291" i="32"/>
  <c r="P291" i="32"/>
  <c r="Q291" i="32"/>
  <c r="N291" i="32"/>
  <c r="H291" i="32"/>
  <c r="C291" i="32"/>
  <c r="F291" i="32"/>
  <c r="E291" i="32"/>
  <c r="D291" i="32"/>
  <c r="G291" i="32"/>
  <c r="B292" i="32"/>
  <c r="H292" i="32" a="1"/>
  <c r="L292" i="32" a="1"/>
  <c r="E292" i="32" a="1"/>
  <c r="O292" i="32" a="1"/>
  <c r="G292" i="32" a="1"/>
  <c r="D292" i="32" a="1"/>
  <c r="N292" i="32" a="1"/>
  <c r="M292" i="32" a="1"/>
  <c r="P292" i="32" a="1"/>
  <c r="C292" i="32" a="1"/>
  <c r="F292" i="32" a="1"/>
  <c r="Q292" i="32" a="1"/>
  <c r="Q292" i="32" l="1"/>
  <c r="P292" i="32"/>
  <c r="N292" i="32"/>
  <c r="O292" i="32"/>
  <c r="M292" i="32"/>
  <c r="L292" i="32"/>
  <c r="H292" i="32"/>
  <c r="E292" i="32"/>
  <c r="G292" i="32"/>
  <c r="C292" i="32"/>
  <c r="F292" i="32"/>
  <c r="D292" i="32"/>
  <c r="B293" i="32"/>
  <c r="D293" i="32" a="1"/>
  <c r="F293" i="32" a="1"/>
  <c r="L293" i="32" a="1"/>
  <c r="Q293" i="32" a="1"/>
  <c r="E293" i="32" a="1"/>
  <c r="O293" i="32" a="1"/>
  <c r="G293" i="32" a="1"/>
  <c r="N293" i="32" a="1"/>
  <c r="H293" i="32" a="1"/>
  <c r="P293" i="32" a="1"/>
  <c r="C293" i="32" a="1"/>
  <c r="M293" i="32" a="1"/>
  <c r="L293" i="32" l="1"/>
  <c r="Q293" i="32"/>
  <c r="P293" i="32"/>
  <c r="M293" i="32"/>
  <c r="N293" i="32"/>
  <c r="O293" i="32"/>
  <c r="H293" i="32"/>
  <c r="D293" i="32"/>
  <c r="F293" i="32"/>
  <c r="C293" i="32"/>
  <c r="E293" i="32"/>
  <c r="G293" i="32"/>
  <c r="B294" i="32"/>
  <c r="D294" i="32" a="1"/>
  <c r="L294" i="32" a="1"/>
  <c r="H294" i="32" a="1"/>
  <c r="P294" i="32" a="1"/>
  <c r="F294" i="32" a="1"/>
  <c r="Q294" i="32" a="1"/>
  <c r="N294" i="32" a="1"/>
  <c r="G294" i="32" a="1"/>
  <c r="M294" i="32" a="1"/>
  <c r="O294" i="32" a="1"/>
  <c r="E294" i="32" a="1"/>
  <c r="C294" i="32" a="1"/>
  <c r="N294" i="32" l="1"/>
  <c r="O294" i="32"/>
  <c r="P294" i="32"/>
  <c r="L294" i="32"/>
  <c r="Q294" i="32"/>
  <c r="M294" i="32"/>
  <c r="H294" i="32"/>
  <c r="D294" i="32"/>
  <c r="E294" i="32"/>
  <c r="F294" i="32"/>
  <c r="C294" i="32"/>
  <c r="G294" i="32"/>
  <c r="B295" i="32"/>
  <c r="P295" i="32" a="1"/>
  <c r="F295" i="32" a="1"/>
  <c r="E295" i="32" a="1"/>
  <c r="M295" i="32" a="1"/>
  <c r="C295" i="32" a="1"/>
  <c r="H295" i="32" a="1"/>
  <c r="O295" i="32" a="1"/>
  <c r="N295" i="32" a="1"/>
  <c r="Q295" i="32" a="1"/>
  <c r="G295" i="32" a="1"/>
  <c r="D295" i="32" a="1"/>
  <c r="L295" i="32" a="1"/>
  <c r="Q295" i="32" l="1"/>
  <c r="P295" i="32"/>
  <c r="N295" i="32"/>
  <c r="M295" i="32"/>
  <c r="L295" i="32"/>
  <c r="O295" i="32"/>
  <c r="H295" i="32"/>
  <c r="D295" i="32"/>
  <c r="F295" i="32"/>
  <c r="C295" i="32"/>
  <c r="G295" i="32"/>
  <c r="E295" i="32"/>
  <c r="B296" i="32"/>
  <c r="N296" i="32" a="1"/>
  <c r="E296" i="32" a="1"/>
  <c r="L296" i="32" a="1"/>
  <c r="G296" i="32" a="1"/>
  <c r="D296" i="32" a="1"/>
  <c r="O296" i="32" a="1"/>
  <c r="Q296" i="32" a="1"/>
  <c r="C296" i="32" a="1"/>
  <c r="H296" i="32" a="1"/>
  <c r="P296" i="32" a="1"/>
  <c r="M296" i="32" a="1"/>
  <c r="F296" i="32" a="1"/>
  <c r="Q296" i="32" l="1"/>
  <c r="P296" i="32"/>
  <c r="N296" i="32"/>
  <c r="M296" i="32"/>
  <c r="O296" i="32"/>
  <c r="L296" i="32"/>
  <c r="H296" i="32"/>
  <c r="D296" i="32"/>
  <c r="G296" i="32"/>
  <c r="C296" i="32"/>
  <c r="F296" i="32"/>
  <c r="E296" i="32"/>
  <c r="B297" i="32"/>
  <c r="G297" i="32" a="1"/>
  <c r="N297" i="32" a="1"/>
  <c r="O297" i="32" a="1"/>
  <c r="E297" i="32" a="1"/>
  <c r="H297" i="32" a="1"/>
  <c r="Q297" i="32" a="1"/>
  <c r="L297" i="32" a="1"/>
  <c r="P297" i="32" a="1"/>
  <c r="C297" i="32" a="1"/>
  <c r="F297" i="32" a="1"/>
  <c r="D297" i="32" a="1"/>
  <c r="M297" i="32" a="1"/>
  <c r="Q297" i="32" l="1"/>
  <c r="P297" i="32"/>
  <c r="N297" i="32"/>
  <c r="O297" i="32"/>
  <c r="L297" i="32"/>
  <c r="M297" i="32"/>
  <c r="H297" i="32"/>
  <c r="B298" i="32"/>
  <c r="D297" i="32"/>
  <c r="F297" i="32"/>
  <c r="C297" i="32"/>
  <c r="G297" i="32"/>
  <c r="E297" i="32"/>
  <c r="C298" i="32" a="1"/>
  <c r="E298" i="32" a="1"/>
  <c r="O298" i="32" a="1"/>
  <c r="P298" i="32" a="1"/>
  <c r="Q298" i="32" a="1"/>
  <c r="H298" i="32" a="1"/>
  <c r="L298" i="32" a="1"/>
  <c r="D298" i="32" a="1"/>
  <c r="M298" i="32" a="1"/>
  <c r="G298" i="32" a="1"/>
  <c r="F298" i="32" a="1"/>
  <c r="N298" i="32" a="1"/>
  <c r="Q298" i="32" l="1"/>
  <c r="N298" i="32"/>
  <c r="O298" i="32"/>
  <c r="L298" i="32"/>
  <c r="M298" i="32"/>
  <c r="P298" i="32"/>
  <c r="H298" i="32"/>
  <c r="C298" i="32"/>
  <c r="D298" i="32"/>
  <c r="E298" i="32"/>
  <c r="F298" i="32"/>
  <c r="G298" i="32"/>
  <c r="B299" i="32"/>
  <c r="H299" i="32" a="1"/>
  <c r="G299" i="32" a="1"/>
  <c r="M299" i="32" a="1"/>
  <c r="L299" i="32" a="1"/>
  <c r="N299" i="32" a="1"/>
  <c r="O299" i="32" a="1"/>
  <c r="E299" i="32" a="1"/>
  <c r="D299" i="32" a="1"/>
  <c r="C299" i="32" a="1"/>
  <c r="F299" i="32" a="1"/>
  <c r="Q299" i="32" a="1"/>
  <c r="P299" i="32" a="1"/>
  <c r="Q299" i="32" l="1"/>
  <c r="N299" i="32"/>
  <c r="O299" i="32"/>
  <c r="L299" i="32"/>
  <c r="P299" i="32"/>
  <c r="M299" i="32"/>
  <c r="H299" i="32"/>
  <c r="G299" i="32"/>
  <c r="F299" i="32"/>
  <c r="E299" i="32"/>
  <c r="D299" i="32"/>
  <c r="C299" i="32"/>
  <c r="B300" i="32"/>
  <c r="D300" i="32" a="1"/>
  <c r="N300" i="32" a="1"/>
  <c r="F300" i="32" a="1"/>
  <c r="E300" i="32" a="1"/>
  <c r="O300" i="32" a="1"/>
  <c r="G300" i="32" a="1"/>
  <c r="L300" i="32" a="1"/>
  <c r="H300" i="32" a="1"/>
  <c r="M300" i="32" a="1"/>
  <c r="C300" i="32" a="1"/>
  <c r="Q300" i="32" a="1"/>
  <c r="P300" i="32" a="1"/>
  <c r="M300" i="32" l="1"/>
  <c r="Q300" i="32"/>
  <c r="P300" i="32"/>
  <c r="N300" i="32"/>
  <c r="L300" i="32"/>
  <c r="O300" i="32"/>
  <c r="H300" i="32"/>
  <c r="D300" i="32"/>
  <c r="E300" i="32"/>
  <c r="F300" i="32"/>
  <c r="G300" i="32"/>
  <c r="C300" i="32"/>
  <c r="B301" i="32"/>
  <c r="C301" i="32" a="1"/>
  <c r="E301" i="32" a="1"/>
  <c r="M301" i="32" a="1"/>
  <c r="D301" i="32" a="1"/>
  <c r="P301" i="32" a="1"/>
  <c r="Q301" i="32" a="1"/>
  <c r="G301" i="32" a="1"/>
  <c r="F301" i="32" a="1"/>
  <c r="L301" i="32" a="1"/>
  <c r="H301" i="32" a="1"/>
  <c r="N301" i="32" a="1"/>
  <c r="O301" i="32" a="1"/>
  <c r="L301" i="32" l="1"/>
  <c r="Q301" i="32"/>
  <c r="P301" i="32"/>
  <c r="N301" i="32"/>
  <c r="O301" i="32"/>
  <c r="M301" i="32"/>
  <c r="H301" i="32"/>
  <c r="G301" i="32"/>
  <c r="C301" i="32"/>
  <c r="F301" i="32"/>
  <c r="D301" i="32"/>
  <c r="E301" i="32"/>
  <c r="B302" i="32"/>
  <c r="G302" i="32" a="1"/>
  <c r="Q302" i="32" a="1"/>
  <c r="E302" i="32" a="1"/>
  <c r="N302" i="32" a="1"/>
  <c r="O302" i="32" a="1"/>
  <c r="M302" i="32" a="1"/>
  <c r="L302" i="32" a="1"/>
  <c r="P302" i="32" a="1"/>
  <c r="F302" i="32" a="1"/>
  <c r="D302" i="32" a="1"/>
  <c r="H302" i="32" a="1"/>
  <c r="C302" i="32" a="1"/>
  <c r="L302" i="32" l="1"/>
  <c r="M302" i="32"/>
  <c r="O302" i="32"/>
  <c r="Q302" i="32"/>
  <c r="P302" i="32"/>
  <c r="N302" i="32"/>
  <c r="H302" i="32"/>
  <c r="E302" i="32"/>
  <c r="F302" i="32"/>
  <c r="G302" i="32"/>
  <c r="D302" i="32"/>
  <c r="C302" i="32"/>
  <c r="B303" i="32"/>
  <c r="P303" i="32" a="1"/>
  <c r="E303" i="32" a="1"/>
  <c r="Q303" i="32" a="1"/>
  <c r="L303" i="32" a="1"/>
  <c r="H303" i="32" a="1"/>
  <c r="G303" i="32" a="1"/>
  <c r="O303" i="32" a="1"/>
  <c r="M303" i="32" a="1"/>
  <c r="N303" i="32" a="1"/>
  <c r="F303" i="32" a="1"/>
  <c r="C303" i="32" a="1"/>
  <c r="D303" i="32" a="1"/>
  <c r="L303" i="32" l="1"/>
  <c r="Q303" i="32"/>
  <c r="P303" i="32"/>
  <c r="N303" i="32"/>
  <c r="O303" i="32"/>
  <c r="M303" i="32"/>
  <c r="H303" i="32"/>
  <c r="E303" i="32"/>
  <c r="D303" i="32"/>
  <c r="F303" i="32"/>
  <c r="G303" i="32"/>
  <c r="C303" i="32"/>
  <c r="B304" i="32"/>
  <c r="Q304" i="32" a="1"/>
  <c r="P304" i="32" a="1"/>
  <c r="H304" i="32" a="1"/>
  <c r="C304" i="32" a="1"/>
  <c r="L304" i="32" a="1"/>
  <c r="M304" i="32" a="1"/>
  <c r="O304" i="32" a="1"/>
  <c r="F304" i="32" a="1"/>
  <c r="D304" i="32" a="1"/>
  <c r="G304" i="32" a="1"/>
  <c r="N304" i="32" a="1"/>
  <c r="E304" i="32" a="1"/>
  <c r="L304" i="32" l="1"/>
  <c r="M304" i="32"/>
  <c r="Q304" i="32"/>
  <c r="P304" i="32"/>
  <c r="N304" i="32"/>
  <c r="O304" i="32"/>
  <c r="H304" i="32"/>
  <c r="F304" i="32"/>
  <c r="G304" i="32"/>
  <c r="E304" i="32"/>
  <c r="C304" i="32"/>
  <c r="D304" i="32"/>
  <c r="B305" i="32"/>
  <c r="N305" i="32" a="1"/>
  <c r="Q305" i="32" a="1"/>
  <c r="L305" i="32" a="1"/>
  <c r="M305" i="32" a="1"/>
  <c r="D305" i="32" a="1"/>
  <c r="E305" i="32" a="1"/>
  <c r="H305" i="32" a="1"/>
  <c r="C305" i="32" a="1"/>
  <c r="O305" i="32" a="1"/>
  <c r="P305" i="32" a="1"/>
  <c r="F305" i="32" a="1"/>
  <c r="G305" i="32" a="1"/>
  <c r="L305" i="32" l="1"/>
  <c r="O305" i="32"/>
  <c r="M305" i="32"/>
  <c r="Q305" i="32"/>
  <c r="P305" i="32"/>
  <c r="N305" i="32"/>
  <c r="H305" i="32"/>
  <c r="F305" i="32"/>
  <c r="G305" i="32"/>
  <c r="C305" i="32"/>
  <c r="D305" i="32"/>
  <c r="E305" i="32"/>
  <c r="B306" i="32"/>
  <c r="M306" i="32" a="1"/>
  <c r="G306" i="32" a="1"/>
  <c r="P306" i="32" a="1"/>
  <c r="H306" i="32" a="1"/>
  <c r="L306" i="32" a="1"/>
  <c r="D306" i="32" a="1"/>
  <c r="F306" i="32" a="1"/>
  <c r="Q306" i="32" a="1"/>
  <c r="E306" i="32" a="1"/>
  <c r="C306" i="32" a="1"/>
  <c r="O306" i="32" a="1"/>
  <c r="N306" i="32" a="1"/>
  <c r="N306" i="32" l="1"/>
  <c r="M306" i="32"/>
  <c r="L306" i="32"/>
  <c r="Q306" i="32"/>
  <c r="P306" i="32"/>
  <c r="O306" i="32"/>
  <c r="H306" i="32"/>
  <c r="C306" i="32"/>
  <c r="F306" i="32"/>
  <c r="D306" i="32"/>
  <c r="G306" i="32"/>
  <c r="E306" i="32"/>
  <c r="B307" i="32"/>
  <c r="P307" i="32" a="1"/>
  <c r="E307" i="32" a="1"/>
  <c r="O307" i="32" a="1"/>
  <c r="D307" i="32" a="1"/>
  <c r="H307" i="32" a="1"/>
  <c r="L307" i="32" a="1"/>
  <c r="M307" i="32" a="1"/>
  <c r="G307" i="32" a="1"/>
  <c r="F307" i="32" a="1"/>
  <c r="Q307" i="32" a="1"/>
  <c r="N307" i="32" a="1"/>
  <c r="C307" i="32" a="1"/>
  <c r="Q307" i="32" l="1"/>
  <c r="P307" i="32"/>
  <c r="M307" i="32"/>
  <c r="N307" i="32"/>
  <c r="L307" i="32"/>
  <c r="O307" i="32"/>
  <c r="H307" i="32"/>
  <c r="G307" i="32"/>
  <c r="C307" i="32"/>
  <c r="D307" i="32"/>
  <c r="E307" i="32"/>
  <c r="F307" i="32"/>
  <c r="B308" i="32"/>
  <c r="P308" i="32" a="1"/>
  <c r="D308" i="32" a="1"/>
  <c r="N308" i="32" a="1"/>
  <c r="G308" i="32" a="1"/>
  <c r="H308" i="32" a="1"/>
  <c r="L308" i="32" a="1"/>
  <c r="F308" i="32" a="1"/>
  <c r="O308" i="32" a="1"/>
  <c r="C308" i="32" a="1"/>
  <c r="E308" i="32" a="1"/>
  <c r="Q308" i="32" a="1"/>
  <c r="M308" i="32" a="1"/>
  <c r="Q308" i="32" l="1"/>
  <c r="P308" i="32"/>
  <c r="O308" i="32"/>
  <c r="N308" i="32"/>
  <c r="L308" i="32"/>
  <c r="M308" i="32"/>
  <c r="H308" i="32"/>
  <c r="G308" i="32"/>
  <c r="D308" i="32"/>
  <c r="C308" i="32"/>
  <c r="E308" i="32"/>
  <c r="F308" i="32"/>
  <c r="B309" i="32"/>
  <c r="M309" i="32" a="1"/>
  <c r="G309" i="32" a="1"/>
  <c r="F309" i="32" a="1"/>
  <c r="P309" i="32" a="1"/>
  <c r="O309" i="32" a="1"/>
  <c r="N309" i="32" a="1"/>
  <c r="E309" i="32" a="1"/>
  <c r="H309" i="32" a="1"/>
  <c r="C309" i="32" a="1"/>
  <c r="Q309" i="32" a="1"/>
  <c r="L309" i="32" a="1"/>
  <c r="D309" i="32" a="1"/>
  <c r="Q309" i="32" l="1"/>
  <c r="P309" i="32"/>
  <c r="N309" i="32"/>
  <c r="M309" i="32"/>
  <c r="L309" i="32"/>
  <c r="O309" i="32"/>
  <c r="H309" i="32"/>
  <c r="D309" i="32"/>
  <c r="G309" i="32"/>
  <c r="C309" i="32"/>
  <c r="E309" i="32"/>
  <c r="F309" i="32"/>
  <c r="B310" i="32"/>
  <c r="L310" i="32" a="1"/>
  <c r="Q310" i="32" a="1"/>
  <c r="F310" i="32" a="1"/>
  <c r="M310" i="32" a="1"/>
  <c r="P310" i="32" a="1"/>
  <c r="D310" i="32" a="1"/>
  <c r="O310" i="32" a="1"/>
  <c r="H310" i="32" a="1"/>
  <c r="G310" i="32" a="1"/>
  <c r="E310" i="32" a="1"/>
  <c r="N310" i="32" a="1"/>
  <c r="C310" i="32" a="1"/>
  <c r="Q310" i="32" l="1"/>
  <c r="N310" i="32"/>
  <c r="O310" i="32"/>
  <c r="L310" i="32"/>
  <c r="P310" i="32"/>
  <c r="M310" i="32"/>
  <c r="H310" i="32"/>
  <c r="C310" i="32"/>
  <c r="D310" i="32"/>
  <c r="F310" i="32"/>
  <c r="G310" i="32"/>
  <c r="E310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276AFF-8C89-4E02-98B3-0B0534F3BF16}" name="AARnetCBR-CamDTN1_tcpmon_tseries_21Feb24_11" type="6" refreshedVersion="8" background="1" saveData="1">
    <textPr prompt="0" sourceFile="C:\_DANTE\100Gig\GEANT DTN\TCP\AARnetCBR-CamDTN1_tcpmon_multiflow_tseries_21Feb24\AARnetCBR-CamDTN1_tcpmon_tseries_21Feb24_11.txt" semicolon="1" consecutive="1" delimiter=":">
      <textFields>
        <textField/>
      </textFields>
    </textPr>
  </connection>
  <connection id="2" xr16:uid="{B74DF4C9-9251-4791-BA64-2F801632308A}" name="AARnetCBR-CamDTN1_tcpmon_tseries_21Feb24_21" type="6" refreshedVersion="8" background="1" saveData="1">
    <textPr prompt="0" sourceFile="C:\_DANTE\100Gig\GEANT DTN\TCP\AARnetCBR-CamDTN1_tcpmon_multiflow_tseries_21Feb24\AARnetCBR-CamDTN1_tcpmon_tseries_21Feb24_21.txt" semicolon="1" consecutive="1" delimiter=":">
      <textFields>
        <textField/>
      </textFields>
    </textPr>
  </connection>
  <connection id="3" xr16:uid="{002F67CC-32FD-4C6E-B4E3-8F827D81B03E}" name="AARnetCBR-CamDTN1_tcpmon_tseries_21Feb24_22" type="6" refreshedVersion="8" background="1" saveData="1">
    <textPr prompt="0" sourceFile="C:\_DANTE\100Gig\GEANT DTN\TCP\AARnetCBR-CamDTN1_tcpmon_multiflow_tseries_21Feb24\AARnetCBR-CamDTN1_tcpmon_tseries_21Feb24_22.txt" semicolon="1" consecutive="1" delimiter=":">
      <textFields>
        <textField/>
      </textFields>
    </textPr>
  </connection>
  <connection id="4" xr16:uid="{B612F0FF-A84E-498A-8C4E-DFC01E18421F}" name="AARnetCBR-CamDTN1_tcpmon_tseries_21Feb24_31" type="6" refreshedVersion="8" background="1" saveData="1">
    <textPr prompt="0" sourceFile="C:\_DANTE\100Gig\GEANT DTN\TCP\AARnetCBR-CamDTN1_tcpmon_multiflow_tseries_21Feb24\AARnetCBR-CamDTN1_tcpmon_tseries_21Feb24_31.txt" semicolon="1" consecutive="1" delimiter=":">
      <textFields>
        <textField/>
      </textFields>
    </textPr>
  </connection>
  <connection id="5" xr16:uid="{85DDD5A4-D6B6-4331-887B-EE297E5A948F}" name="AARnetCBR-CamDTN1_tcpmon_tseries_21Feb24_32" type="6" refreshedVersion="8" background="1" saveData="1">
    <textPr prompt="0" sourceFile="C:\_DANTE\100Gig\GEANT DTN\TCP\AARnetCBR-CamDTN1_tcpmon_multiflow_tseries_21Feb24\AARnetCBR-CamDTN1_tcpmon_tseries_21Feb24_32.txt" semicolon="1" consecutive="1" delimiter=":">
      <textFields>
        <textField/>
      </textFields>
    </textPr>
  </connection>
  <connection id="6" xr16:uid="{C90D48C2-9BAF-4E49-A761-52BD7A64DCDA}" name="AARnetCBR-CamDTN1_tcpmon_tseries_21Feb24_33" type="6" refreshedVersion="8" background="1" saveData="1">
    <textPr prompt="0" sourceFile="C:\_DANTE\100Gig\GEANT DTN\TCP\AARnetCBR-CamDTN1_tcpmon_multiflow_tseries_21Feb24\AARnetCBR-CamDTN1_tcpmon_tseries_21Feb24_33.txt" semicolon="1" consecutive="1" delimiter=":">
      <textFields>
        <textField/>
      </textFields>
    </textPr>
  </connection>
  <connection id="7" xr16:uid="{9A6E3428-462A-44AF-98D3-90C009CA3FE9}" name="AARnetCBR-CamDTN1_tcpmon_tseries_21Feb24_41" type="6" refreshedVersion="8" background="1" saveData="1">
    <textPr prompt="0" sourceFile="C:\_DANTE\100Gig\GEANT DTN\TCP\AARnetCBR-CamDTN1_tcpmon_multiflow_tseries_21Feb24\AARnetCBR-CamDTN1_tcpmon_tseries_21Feb24_41.txt" semicolon="1" consecutive="1" delimiter=":">
      <textFields>
        <textField/>
      </textFields>
    </textPr>
  </connection>
  <connection id="8" xr16:uid="{37AFC4A3-F3E7-421D-8022-2F8B94AEF409}" name="AARnetCBR-CamDTN1_tcpmon_tseries_21Feb24_42" type="6" refreshedVersion="8" background="1" saveData="1">
    <textPr prompt="0" sourceFile="C:\_DANTE\100Gig\GEANT DTN\TCP\AARnetCBR-CamDTN1_tcpmon_multiflow_tseries_21Feb24\AARnetCBR-CamDTN1_tcpmon_tseries_21Feb24_42.txt" semicolon="1" consecutive="1" delimiter=":">
      <textFields>
        <textField/>
      </textFields>
    </textPr>
  </connection>
  <connection id="9" xr16:uid="{D37F0AC8-8FAD-4BA0-BE8A-7673DA6E72B5}" name="AARnetCBR-CamDTN1_tcpmon_tseries_21Feb24_43" type="6" refreshedVersion="8" background="1" saveData="1">
    <textPr prompt="0" sourceFile="C:\_DANTE\100Gig\GEANT DTN\TCP\AARnetCBR-CamDTN1_tcpmon_multiflow_tseries_21Feb24\AARnetCBR-CamDTN1_tcpmon_tseries_21Feb24_43.txt" semicolon="1" consecutive="1" delimiter=":">
      <textFields>
        <textField/>
      </textFields>
    </textPr>
  </connection>
  <connection id="10" xr16:uid="{8CD13B30-8C76-4D23-8A88-80BFB955709A}" name="AARnetCBR-CamDTN1_tcpmon_tseries_21Feb24_44" type="6" refreshedVersion="8" background="1" saveData="1">
    <textPr prompt="0" sourceFile="C:\_DANTE\100Gig\GEANT DTN\TCP\AARnetCBR-CamDTN1_tcpmon_multiflow_tseries_21Feb24\AARnetCBR-CamDTN1_tcpmon_tseries_21Feb24_44.txt" semicolon="1" consecutive="1" delimiter=":">
      <textFields>
        <textField/>
      </textFields>
    </textPr>
  </connection>
  <connection id="11" xr16:uid="{3866A2E7-3430-4937-AB2D-AAA598C9E0A5}" name="AARnetCBR-CamDTN1_tcpmon_tseries_22Feb24_11" type="6" refreshedVersion="8" background="1" saveData="1">
    <textPr prompt="0" sourceFile="C:\_DANTE\100Gig\GEANT DTN\TCP\AARnetCBR-CamDTN1_tcpmon_multiflow_tseries_22Feb24\AARnetCBR-CamDTN1_tcpmon_tseries_22Feb24_11.txt" semicolon="1" consecutive="1" delimiter=":">
      <textFields>
        <textField/>
      </textFields>
    </textPr>
  </connection>
  <connection id="12" xr16:uid="{BA281576-1E48-4CC9-B1E8-9301FABD758F}" name="AARnetCBR-CamDTN1_tcpmon_tseries_22Feb24_21" type="6" refreshedVersion="8" background="1" saveData="1">
    <textPr prompt="0" sourceFile="C:\_DANTE\100Gig\GEANT DTN\TCP\AARnetCBR-CamDTN1_tcpmon_multiflow_tseries_22Feb24\AARnetCBR-CamDTN1_tcpmon_tseries_22Feb24_21.txt" semicolon="1" consecutive="1" delimiter=":">
      <textFields>
        <textField/>
      </textFields>
    </textPr>
  </connection>
  <connection id="13" xr16:uid="{505E5096-4A1E-47FE-A85E-97876B50EBD8}" name="AARnetCBR-CamDTN1_tcpmon_tseries_22Feb24_22" type="6" refreshedVersion="8" background="1" saveData="1">
    <textPr prompt="0" sourceFile="C:\_DANTE\100Gig\GEANT DTN\TCP\AARnetCBR-CamDTN1_tcpmon_multiflow_tseries_22Feb24\AARnetCBR-CamDTN1_tcpmon_tseries_22Feb24_22.txt" semicolon="1" consecutive="1" delimiter=":">
      <textFields>
        <textField/>
      </textFields>
    </textPr>
  </connection>
  <connection id="14" xr16:uid="{C6E99A2E-2CA8-4839-AE93-5B1DA88BB807}" name="AARnetCBR-CamDTN1_tcpmon_tseries_22Feb24_31" type="6" refreshedVersion="8" background="1" saveData="1">
    <textPr prompt="0" sourceFile="C:\_DANTE\100Gig\GEANT DTN\TCP\AARnetCBR-CamDTN1_tcpmon_multiflow_tseries_22Feb24\AARnetCBR-CamDTN1_tcpmon_tseries_22Feb24_31.txt" semicolon="1" consecutive="1" delimiter=":">
      <textFields>
        <textField/>
      </textFields>
    </textPr>
  </connection>
  <connection id="15" xr16:uid="{2736FC21-5CE3-4EC8-9EB8-97EC43CBCB02}" name="AARnetCBR-CamDTN1_tcpmon_tseries_22Feb24_32" type="6" refreshedVersion="8" background="1" saveData="1">
    <textPr prompt="0" sourceFile="C:\_DANTE\100Gig\GEANT DTN\TCP\AARnetCBR-CamDTN1_tcpmon_multiflow_tseries_22Feb24\AARnetCBR-CamDTN1_tcpmon_tseries_22Feb24_32.txt" semicolon="1" consecutive="1" delimiter=":">
      <textFields>
        <textField/>
      </textFields>
    </textPr>
  </connection>
  <connection id="16" xr16:uid="{B75FD920-02A0-49CD-88FC-D4180A0E777E}" name="AARnetCBR-CamDTN1_tcpmon_tseries_22Feb24_33" type="6" refreshedVersion="8" background="1" saveData="1">
    <textPr prompt="0" sourceFile="C:\_DANTE\100Gig\GEANT DTN\TCP\AARnetCBR-CamDTN1_tcpmon_multiflow_tseries_22Feb24\AARnetCBR-CamDTN1_tcpmon_tseries_22Feb24_33.txt" semicolon="1" consecutive="1" delimiter=":">
      <textFields>
        <textField/>
      </textFields>
    </textPr>
  </connection>
  <connection id="17" xr16:uid="{20EC4D3F-BE96-4DDE-956C-E85CD99AEEB1}" name="AARnetCBR-CamDTN1_tcpmon_tseries_22Feb24_41" type="6" refreshedVersion="8" background="1" saveData="1">
    <textPr prompt="0" sourceFile="C:\_DANTE\100Gig\GEANT DTN\TCP\AARnetCBR-CamDTN1_tcpmon_multiflow_tseries_22Feb24\AARnetCBR-CamDTN1_tcpmon_tseries_22Feb24_41.txt" semicolon="1" consecutive="1" delimiter=":">
      <textFields>
        <textField/>
      </textFields>
    </textPr>
  </connection>
  <connection id="18" xr16:uid="{E899A0D3-7778-474E-A0BF-D1928A1736D3}" name="AARnetCBR-CamDTN1_tcpmon_tseries_22Feb24_42" type="6" refreshedVersion="8" background="1" saveData="1">
    <textPr prompt="0" sourceFile="C:\_DANTE\100Gig\GEANT DTN\TCP\AARnetCBR-CamDTN1_tcpmon_multiflow_tseries_22Feb24\AARnetCBR-CamDTN1_tcpmon_tseries_22Feb24_42.txt" semicolon="1" consecutive="1" delimiter=":">
      <textFields>
        <textField/>
      </textFields>
    </textPr>
  </connection>
  <connection id="19" xr16:uid="{E6A5200F-07E8-4A78-8BFE-11EBBF3FC736}" name="AARnetCBR-CamDTN1_tcpmon_tseries_22Feb24_43" type="6" refreshedVersion="8" background="1" saveData="1">
    <textPr prompt="0" sourceFile="C:\_DANTE\100Gig\GEANT DTN\TCP\AARnetCBR-CamDTN1_tcpmon_multiflow_tseries_22Feb24\AARnetCBR-CamDTN1_tcpmon_tseries_22Feb24_43.txt" semicolon="1" consecutive="1" delimiter=":">
      <textFields>
        <textField/>
      </textFields>
    </textPr>
  </connection>
  <connection id="20" xr16:uid="{7077D92D-5AC7-4F11-AB29-9CEE1E34A6B1}" name="AARnetCBR-CamDTN1_tcpmon_tseries_22Feb24_44" type="6" refreshedVersion="8" background="1" saveData="1">
    <textPr prompt="0" sourceFile="C:\_DANTE\100Gig\GEANT DTN\TCP\AARnetCBR-CamDTN1_tcpmon_multiflow_tseries_22Feb24\AARnetCBR-CamDTN1_tcpmon_tseries_22Feb24_44.txt" semicolon="1" consecutive="1" delimiter=":">
      <textFields>
        <textField/>
      </textFields>
    </textPr>
  </connection>
  <connection id="21" xr16:uid="{84C80802-B57D-4716-87B1-162A8BF021D4}" name="DTNlon~CamDTN1_tcpmon_tseries_29Aug23_11" type="6" refreshedVersion="8" background="1" saveData="1">
    <textPr prompt="0" sourceFile="C:\_DANTE\100Gig\GEANT DTN\TCP\DTNlon~CamDTN1_tcpmon_tseries_multiflow_29Aug23\DTNlon~CamDTN1_tcpmon_tseries_29Aug23_11.txt" space="1" semicolon="1" consecutive="1" delimiter=":">
      <textFields>
        <textField/>
      </textFields>
    </textPr>
  </connection>
  <connection id="22" xr16:uid="{34EB0C48-75CA-4DFD-87A7-C12F871F672E}" name="DTNlon~CamDTN1_tcpmon_tseries_29Aug23_111" type="6" refreshedVersion="8" background="1" saveData="1">
    <textPr prompt="0" sourceFile="C:\_DANTE\100Gig\GEANT DTN\TCP\DTNlon~CamDTN1_tcpmon_tseries_multiflow_29Aug23\DTNlon~CamDTN1_tcpmon_tseries_29Aug23_11.txt" semicolon="1" consecutive="1" delimiter=":">
      <textFields>
        <textField/>
      </textFields>
    </textPr>
  </connection>
  <connection id="23" xr16:uid="{E0EB333D-3570-48C8-A249-7F29D8FF890D}" name="DTNlon~CamDTN1_tcpmon_tseries_29Aug23_21" type="6" refreshedVersion="8" background="1" saveData="1">
    <textPr prompt="0" sourceFile="C:\_DANTE\100Gig\GEANT DTN\TCP\DTNlon~CamDTN1_tcpmon_tseries_multiflow_29Aug23\DTNlon~CamDTN1_tcpmon_tseries_29Aug23_21.txt" space="1" semicolon="1" consecutive="1" delimiter=":">
      <textFields>
        <textField/>
      </textFields>
    </textPr>
  </connection>
  <connection id="24" xr16:uid="{0C7153D4-6934-43D6-8B7E-997FBEC859F0}" name="DTNlon~CamDTN1_tcpmon_tseries_29Aug23_211" type="6" refreshedVersion="8" background="1" saveData="1">
    <textPr prompt="0" sourceFile="C:\_DANTE\100Gig\GEANT DTN\TCP\DTNlon~CamDTN1_tcpmon_tseries_multiflow_29Aug23\DTNlon~CamDTN1_tcpmon_tseries_29Aug23_21.txt" semicolon="1" consecutive="1" delimiter=":">
      <textFields>
        <textField/>
      </textFields>
    </textPr>
  </connection>
  <connection id="25" xr16:uid="{86DE738C-C2AC-4E54-8AE6-ECB5259DC6EF}" name="DTNlon~CamDTN1_tcpmon_tseries_29Aug23_22" type="6" refreshedVersion="8" background="1" saveData="1">
    <textPr prompt="0" sourceFile="C:\_DANTE\100Gig\GEANT DTN\TCP\DTNlon~CamDTN1_tcpmon_tseries_multiflow_29Aug23\DTNlon~CamDTN1_tcpmon_tseries_29Aug23_22.txt" space="1" semicolon="1" consecutive="1" delimiter=":">
      <textFields>
        <textField/>
      </textFields>
    </textPr>
  </connection>
  <connection id="26" xr16:uid="{FF1F1C16-B203-4969-81B2-41C3E0BAE847}" name="DTNlon~CamDTN1_tcpmon_tseries_29Aug23_221" type="6" refreshedVersion="8" background="1" saveData="1">
    <textPr prompt="0" sourceFile="C:\_DANTE\100Gig\GEANT DTN\TCP\DTNlon~CamDTN1_tcpmon_tseries_multiflow_29Aug23\DTNlon~CamDTN1_tcpmon_tseries_29Aug23_22.txt" semicolon="1" consecutive="1" delimiter=":">
      <textFields>
        <textField/>
      </textFields>
    </textPr>
  </connection>
  <connection id="27" xr16:uid="{17837BB7-1B95-4611-AF3D-9BC1D7B53F3E}" name="DTNlon~CamDTN1_tcpmon_tseries_29Aug23_31" type="6" refreshedVersion="8" background="1" saveData="1">
    <textPr prompt="0" sourceFile="C:\_DANTE\100Gig\GEANT DTN\TCP\DTNlon~CamDTN1_tcpmon_tseries_multiflow_29Aug23\DTNlon~CamDTN1_tcpmon_tseries_29Aug23_31.txt" space="1" semicolon="1" consecutive="1" delimiter=":">
      <textFields>
        <textField/>
      </textFields>
    </textPr>
  </connection>
  <connection id="28" xr16:uid="{90851383-BC33-4265-ADE1-BC14DB4EC6F3}" name="DTNlon~CamDTN1_tcpmon_tseries_29Aug23_311" type="6" refreshedVersion="8" background="1" saveData="1">
    <textPr prompt="0" sourceFile="C:\_DANTE\100Gig\GEANT DTN\TCP\DTNlon~CamDTN1_tcpmon_tseries_multiflow_29Aug23\DTNlon~CamDTN1_tcpmon_tseries_29Aug23_31.txt" semicolon="1" consecutive="1" delimiter=":">
      <textFields>
        <textField/>
      </textFields>
    </textPr>
  </connection>
  <connection id="29" xr16:uid="{8F127A84-B4DA-436F-A181-B5E5F9289B5C}" name="DTNlon~CamDTN1_tcpmon_tseries_29Aug23_32" type="6" refreshedVersion="8" background="1" saveData="1">
    <textPr prompt="0" sourceFile="C:\_DANTE\100Gig\GEANT DTN\TCP\DTNlon~CamDTN1_tcpmon_tseries_multiflow_29Aug23\DTNlon~CamDTN1_tcpmon_tseries_29Aug23_32.txt" space="1" semicolon="1" consecutive="1" delimiter=":">
      <textFields>
        <textField/>
      </textFields>
    </textPr>
  </connection>
  <connection id="30" xr16:uid="{3D780E5A-7942-43D3-ACDE-413907A11BB3}" name="DTNlon~CamDTN1_tcpmon_tseries_29Aug23_321" type="6" refreshedVersion="8" background="1" saveData="1">
    <textPr prompt="0" sourceFile="C:\_DANTE\100Gig\GEANT DTN\TCP\DTNlon~CamDTN1_tcpmon_tseries_multiflow_29Aug23\DTNlon~CamDTN1_tcpmon_tseries_29Aug23_32.txt" semicolon="1" consecutive="1" delimiter=":">
      <textFields>
        <textField/>
      </textFields>
    </textPr>
  </connection>
  <connection id="31" xr16:uid="{F544FC62-35D9-4DCA-85C2-F0B83ACA8131}" name="DTNlon~CamDTN1_tcpmon_tseries_29Aug23_33" type="6" refreshedVersion="8" background="1" saveData="1">
    <textPr prompt="0" sourceFile="C:\_DANTE\100Gig\GEANT DTN\TCP\DTNlon~CamDTN1_tcpmon_tseries_multiflow_29Aug23\DTNlon~CamDTN1_tcpmon_tseries_29Aug23_33.txt" space="1" semicolon="1" consecutive="1" delimiter=":">
      <textFields>
        <textField/>
      </textFields>
    </textPr>
  </connection>
  <connection id="32" xr16:uid="{4E02502D-63C3-4EE4-9582-BAEA3FF27865}" name="DTNlon~CamDTN1_tcpmon_tseries_29Aug23_331" type="6" refreshedVersion="8" background="1" saveData="1">
    <textPr prompt="0" sourceFile="C:\_DANTE\100Gig\GEANT DTN\TCP\DTNlon~CamDTN1_tcpmon_tseries_multiflow_29Aug23\DTNlon~CamDTN1_tcpmon_tseries_29Aug23_33.txt" semicolon="1" consecutive="1" delimiter=":">
      <textFields>
        <textField/>
      </textFields>
    </textPr>
  </connection>
  <connection id="33" xr16:uid="{1D900A43-C62C-41CD-AE91-112C90B06441}" name="DTNlon~CamDTN1_tcpmon_tseries_29Aug23_41" type="6" refreshedVersion="8" background="1" saveData="1">
    <textPr prompt="0" sourceFile="C:\_DANTE\100Gig\GEANT DTN\TCP\DTNlon~CamDTN1_tcpmon_tseries_multiflow_29Aug23\DTNlon~CamDTN1_tcpmon_tseries_29Aug23_41.txt" space="1" semicolon="1" consecutive="1" delimiter=":">
      <textFields>
        <textField/>
      </textFields>
    </textPr>
  </connection>
  <connection id="34" xr16:uid="{9F14FB73-8357-4928-90B8-1C20F0F285E9}" name="DTNlon~CamDTN1_tcpmon_tseries_29Aug23_411" type="6" refreshedVersion="8" background="1" saveData="1">
    <textPr prompt="0" sourceFile="C:\_DANTE\100Gig\GEANT DTN\TCP\DTNlon~CamDTN1_tcpmon_tseries_multiflow_29Aug23\DTNlon~CamDTN1_tcpmon_tseries_29Aug23_41.txt" semicolon="1" consecutive="1" delimiter=":">
      <textFields>
        <textField/>
      </textFields>
    </textPr>
  </connection>
  <connection id="35" xr16:uid="{20E32766-8D97-4D34-847F-D77B7271FAD0}" name="DTNlon~CamDTN1_tcpmon_tseries_29Aug23_42" type="6" refreshedVersion="8" background="1" saveData="1">
    <textPr prompt="0" sourceFile="C:\_DANTE\100Gig\GEANT DTN\TCP\DTNlon~CamDTN1_tcpmon_tseries_multiflow_29Aug23\DTNlon~CamDTN1_tcpmon_tseries_29Aug23_42.txt" space="1" semicolon="1" consecutive="1" delimiter=":">
      <textFields>
        <textField/>
      </textFields>
    </textPr>
  </connection>
  <connection id="36" xr16:uid="{3288BACE-13E6-49EF-B1B3-19342BCD67C6}" name="DTNlon~CamDTN1_tcpmon_tseries_29Aug23_421" type="6" refreshedVersion="8" background="1" saveData="1">
    <textPr prompt="0" sourceFile="C:\_DANTE\100Gig\GEANT DTN\TCP\DTNlon~CamDTN1_tcpmon_tseries_multiflow_29Aug23\DTNlon~CamDTN1_tcpmon_tseries_29Aug23_42.txt" semicolon="1" consecutive="1" delimiter=":">
      <textFields>
        <textField/>
      </textFields>
    </textPr>
  </connection>
  <connection id="37" xr16:uid="{AFED7F42-0385-46E0-B197-D3908C11749A}" name="DTNlon~CamDTN1_tcpmon_tseries_29Aug23_43" type="6" refreshedVersion="8" background="1" saveData="1">
    <textPr prompt="0" sourceFile="C:\_DANTE\100Gig\GEANT DTN\TCP\DTNlon~CamDTN1_tcpmon_tseries_multiflow_29Aug23\DTNlon~CamDTN1_tcpmon_tseries_29Aug23_43.txt" space="1" semicolon="1" consecutive="1" delimiter=":">
      <textFields>
        <textField/>
      </textFields>
    </textPr>
  </connection>
  <connection id="38" xr16:uid="{69375273-BBED-4C0F-A223-C1B3918B2FDD}" name="DTNlon~CamDTN1_tcpmon_tseries_29Aug23_431" type="6" refreshedVersion="8" background="1" saveData="1">
    <textPr prompt="0" sourceFile="C:\_DANTE\100Gig\GEANT DTN\TCP\DTNlon~CamDTN1_tcpmon_tseries_multiflow_29Aug23\DTNlon~CamDTN1_tcpmon_tseries_29Aug23_43.txt" semicolon="1" consecutive="1" delimiter=":">
      <textFields>
        <textField/>
      </textFields>
    </textPr>
  </connection>
  <connection id="39" xr16:uid="{3DEDA717-9C71-409F-A78F-D46A724D8F4A}" name="DTNlon~CamDTN1_tcpmon_tseries_29Aug23_44" type="6" refreshedVersion="8" background="1" saveData="1">
    <textPr prompt="0" sourceFile="C:\_DANTE\100Gig\GEANT DTN\TCP\DTNlon~CamDTN1_tcpmon_tseries_multiflow_29Aug23\DTNlon~CamDTN1_tcpmon_tseries_29Aug23_44.txt" space="1" semicolon="1" consecutive="1" delimiter=":">
      <textFields>
        <textField/>
      </textFields>
    </textPr>
  </connection>
  <connection id="40" xr16:uid="{81B18419-D9D8-4B68-AA43-6C2C3EC5F4A4}" name="DTNlon~CamDTN1_tcpmon_tseries_29Aug23_441" type="6" refreshedVersion="8" background="1" saveData="1">
    <textPr prompt="0" sourceFile="C:\_DANTE\100Gig\GEANT DTN\TCP\DTNlon~CamDTN1_tcpmon_tseries_multiflow_29Aug23\DTNlon~CamDTN1_tcpmon_tseries_29Aug23_44.txt" semicolon="1" consecutive="1" delimiter=":">
      <textFields>
        <textField/>
      </textFields>
    </textPr>
  </connection>
  <connection id="41" xr16:uid="{CE1E583E-9B6B-4656-8EB0-032C7107B63E}" name="DTNlon~CamDTN1_tcpmon_tseries_29Aug23_51" type="6" refreshedVersion="8" background="1" saveData="1">
    <textPr prompt="0" sourceFile="C:\_DANTE\100Gig\GEANT DTN\TCP\DTNlon~CamDTN1_tcpmon_tseries_multiflow_29Aug23\DTNlon~CamDTN1_tcpmon_tseries_29Aug23_51.txt" space="1" semicolon="1" consecutive="1" delimiter=":">
      <textFields>
        <textField/>
      </textFields>
    </textPr>
  </connection>
  <connection id="42" xr16:uid="{C1B0F0AA-BF6F-4499-BFA2-B0229DDCE2BB}" name="DTNlon~CamDTN1_tcpmon_tseries_29Aug23_511" type="6" refreshedVersion="8" background="1" saveData="1">
    <textPr prompt="0" sourceFile="C:\_DANTE\100Gig\GEANT DTN\TCP\DTNlon~CamDTN1_tcpmon_tseries_multiflow_29Aug23\DTNlon~CamDTN1_tcpmon_tseries_29Aug23_51.txt" semicolon="1" consecutive="1" delimiter=":">
      <textFields>
        <textField/>
      </textFields>
    </textPr>
  </connection>
  <connection id="43" xr16:uid="{778BCC35-7B4B-45F4-A339-6ABB7482EB72}" name="DTNlon~CamDTN1_tcpmon_tseries_29Aug23_52" type="6" refreshedVersion="8" background="1" saveData="1">
    <textPr prompt="0" sourceFile="C:\_DANTE\100Gig\GEANT DTN\TCP\DTNlon~CamDTN1_tcpmon_tseries_multiflow_29Aug23\DTNlon~CamDTN1_tcpmon_tseries_29Aug23_52.txt" space="1" semicolon="1" consecutive="1" delimiter=":">
      <textFields>
        <textField/>
      </textFields>
    </textPr>
  </connection>
  <connection id="44" xr16:uid="{B36B8D2D-39AA-448B-AB7D-9C46919E2269}" name="DTNlon~CamDTN1_tcpmon_tseries_29Aug23_521" type="6" refreshedVersion="8" background="1" saveData="1">
    <textPr prompt="0" sourceFile="C:\_DANTE\100Gig\GEANT DTN\TCP\DTNlon~CamDTN1_tcpmon_tseries_multiflow_29Aug23\DTNlon~CamDTN1_tcpmon_tseries_29Aug23_52.txt" semicolon="1" consecutive="1" delimiter=":">
      <textFields>
        <textField/>
      </textFields>
    </textPr>
  </connection>
  <connection id="45" xr16:uid="{4C39C931-D35B-46AF-99CC-DDDF4C8D3892}" name="DTNlon~CamDTN1_tcpmon_tseries_29Aug23_53" type="6" refreshedVersion="8" background="1" saveData="1">
    <textPr prompt="0" sourceFile="C:\_DANTE\100Gig\GEANT DTN\TCP\DTNlon~CamDTN1_tcpmon_tseries_multiflow_29Aug23\DTNlon~CamDTN1_tcpmon_tseries_29Aug23_53.txt" space="1" semicolon="1" consecutive="1" delimiter=":">
      <textFields>
        <textField/>
      </textFields>
    </textPr>
  </connection>
  <connection id="46" xr16:uid="{428777D9-E835-4120-9A12-A3032D80A295}" name="DTNlon~CamDTN1_tcpmon_tseries_29Aug23_531" type="6" refreshedVersion="8" background="1" saveData="1">
    <textPr prompt="0" sourceFile="C:\_DANTE\100Gig\GEANT DTN\TCP\DTNlon~CamDTN1_tcpmon_tseries_multiflow_29Aug23\DTNlon~CamDTN1_tcpmon_tseries_29Aug23_53.txt" semicolon="1" consecutive="1" delimiter=":">
      <textFields>
        <textField/>
      </textFields>
    </textPr>
  </connection>
  <connection id="47" xr16:uid="{D515BE24-3960-4958-88D7-2E6A733BCAC9}" name="DTNlon~CamDTN1_tcpmon_tseries_29Aug23_54" type="6" refreshedVersion="8" background="1" saveData="1">
    <textPr prompt="0" sourceFile="C:\_DANTE\100Gig\GEANT DTN\TCP\DTNlon~CamDTN1_tcpmon_tseries_multiflow_29Aug23\DTNlon~CamDTN1_tcpmon_tseries_29Aug23_54.txt" space="1" semicolon="1" consecutive="1" delimiter=":">
      <textFields>
        <textField/>
      </textFields>
    </textPr>
  </connection>
  <connection id="48" xr16:uid="{D5D7E6D2-22E9-457C-8975-06914C1AF348}" name="DTNlon~CamDTN1_tcpmon_tseries_29Aug23_541" type="6" refreshedVersion="8" background="1" saveData="1">
    <textPr prompt="0" sourceFile="C:\_DANTE\100Gig\GEANT DTN\TCP\DTNlon~CamDTN1_tcpmon_tseries_multiflow_29Aug23\DTNlon~CamDTN1_tcpmon_tseries_29Aug23_54.txt" semicolon="1" consecutive="1" delimiter=":">
      <textFields>
        <textField/>
      </textFields>
    </textPr>
  </connection>
  <connection id="49" xr16:uid="{070D85B9-AE6A-4DDD-BE0A-6F001C2A5959}" name="DTNlon~CamDTN1_tcpmon_tseries_29Aug23_55" type="6" refreshedVersion="8" background="1" saveData="1">
    <textPr prompt="0" sourceFile="C:\_DANTE\100Gig\GEANT DTN\TCP\DTNlon~CamDTN1_tcpmon_tseries_multiflow_29Aug23\DTNlon~CamDTN1_tcpmon_tseries_29Aug23_55.txt" space="1" semicolon="1" consecutive="1" delimiter=":">
      <textFields>
        <textField/>
      </textFields>
    </textPr>
  </connection>
  <connection id="50" xr16:uid="{040B13A3-3ACB-4044-940F-5E13D1DF7789}" name="DTNlon~CamDTN1_tcpmon_tseries_29Aug23_551" type="6" refreshedVersion="8" background="1" saveData="1">
    <textPr prompt="0" sourceFile="C:\_DANTE\100Gig\GEANT DTN\TCP\DTNlon~CamDTN1_tcpmon_tseries_multiflow_29Aug23\DTNlon~CamDTN1_tcpmon_tseries_29Aug23_55.txt" semicolon="1" consecutive="1" delimiter=":">
      <textFields>
        <textField/>
      </textFields>
    </textPr>
  </connection>
  <connection id="51" xr16:uid="{40CBD5FD-05F7-498A-BA8A-B000783A0B69}" name="DTNlon~RALxrootd01_davix-put_26Oct23_11" type="6" refreshedVersion="8" background="1" saveData="1">
    <textPr prompt="0" sourceFile="C:\_DANTE\100Gig\GEANT DTN\TCP\DTNlon~RALxrootd01_tcpmon_multiflow_26Oct23\DTNlon~RALxrootd01_davix-put_26Oct23_11.txt" semicolon="1" consecutive="1" delimiter=":">
      <textFields>
        <textField/>
      </textFields>
    </textPr>
  </connection>
  <connection id="52" xr16:uid="{F2038E43-A744-4435-8E1A-00B302D862C3}" name="DTNlon~RALxrootd01_davix-put_26Oct23_21" type="6" refreshedVersion="8" background="1" saveData="1">
    <textPr prompt="0" sourceFile="C:\_DANTE\100Gig\GEANT DTN\TCP\DTNlon~RALxrootd01_tcpmon_multiflow_26Oct23\DTNlon~RALxrootd01_davix-put_26Oct23_21.txt" semicolon="1" consecutive="1" delimiter=":">
      <textFields>
        <textField/>
      </textFields>
    </textPr>
  </connection>
  <connection id="53" xr16:uid="{63386CDA-BE70-459E-B90D-8821FB2521FC}" name="DTNlon~RALxrootd01_davix-put_26Oct23_22" type="6" refreshedVersion="8" background="1" saveData="1">
    <textPr prompt="0" sourceFile="C:\_DANTE\100Gig\GEANT DTN\TCP\DTNlon~RALxrootd01_tcpmon_multiflow_26Oct23\DTNlon~RALxrootd01_davix-put_26Oct23_22.txt" semicolon="1" consecutive="1" delimiter=":">
      <textFields>
        <textField/>
      </textFields>
    </textPr>
  </connection>
  <connection id="54" xr16:uid="{91885773-A002-4B0E-BB52-ABD851415CEA}" name="DTNlon~RALxrootd01_davix-put_26Oct23_31" type="6" refreshedVersion="8" background="1" saveData="1">
    <textPr prompt="0" sourceFile="C:\_DANTE\100Gig\GEANT DTN\TCP\DTNlon~RALxrootd01_tcpmon_multiflow_26Oct23\DTNlon~RALxrootd01_davix-put_26Oct23_31.txt" semicolon="1" consecutive="1" delimiter=":">
      <textFields>
        <textField/>
      </textFields>
    </textPr>
  </connection>
  <connection id="55" xr16:uid="{BF131212-CB29-4434-B4FA-8F7947E764F5}" name="DTNlon~RALxrootd01_davix-put_26Oct23_32" type="6" refreshedVersion="8" background="1" saveData="1">
    <textPr prompt="0" sourceFile="C:\_DANTE\100Gig\GEANT DTN\TCP\DTNlon~RALxrootd01_tcpmon_multiflow_26Oct23\DTNlon~RALxrootd01_davix-put_26Oct23_32.txt" semicolon="1" consecutive="1" delimiter=":">
      <textFields>
        <textField/>
      </textFields>
    </textPr>
  </connection>
  <connection id="56" xr16:uid="{CD580FAF-D75E-4CB3-9259-9BD16D7474D0}" name="DTNlon~RALxrootd01_davix-put_26Oct23_33" type="6" refreshedVersion="8" background="1" saveData="1">
    <textPr prompt="0" sourceFile="C:\_DANTE\100Gig\GEANT DTN\TCP\DTNlon~RALxrootd01_tcpmon_multiflow_26Oct23\DTNlon~RALxrootd01_davix-put_26Oct23_33.txt" semicolon="1" consecutive="1" delimiter=":">
      <textFields>
        <textField/>
      </textFields>
    </textPr>
  </connection>
  <connection id="57" xr16:uid="{1CA09A33-535C-4A46-8FDD-CDBD5C923A73}" name="DTNlon~RALxrootd01_davix-put_26Oct23_41" type="6" refreshedVersion="8" background="1" saveData="1">
    <textPr prompt="0" sourceFile="C:\_DANTE\100Gig\GEANT DTN\TCP\DTNlon~RALxrootd01_tcpmon_multiflow_26Oct23\DTNlon~RALxrootd01_davix-put_26Oct23_41.txt" semicolon="1" consecutive="1" delimiter=":">
      <textFields>
        <textField/>
      </textFields>
    </textPr>
  </connection>
  <connection id="58" xr16:uid="{41A485AA-1B18-49C9-8CBC-152E89DCBA96}" name="DTNlon~RALxrootd01_davix-put_26Oct23_42" type="6" refreshedVersion="8" background="1" saveData="1">
    <textPr prompt="0" sourceFile="C:\_DANTE\100Gig\GEANT DTN\TCP\DTNlon~RALxrootd01_tcpmon_multiflow_26Oct23\DTNlon~RALxrootd01_davix-put_26Oct23_42.txt" semicolon="1" consecutive="1" delimiter=":">
      <textFields>
        <textField/>
      </textFields>
    </textPr>
  </connection>
  <connection id="59" xr16:uid="{C939146A-BD6B-489D-B418-C288A53D882A}" name="DTNlon~RALxrootd01_davix-put_26Oct23_43" type="6" refreshedVersion="8" background="1" saveData="1">
    <textPr prompt="0" sourceFile="C:\_DANTE\100Gig\GEANT DTN\TCP\DTNlon~RALxrootd01_tcpmon_multiflow_26Oct23\DTNlon~RALxrootd01_davix-put_26Oct23_43.txt" semicolon="1" consecutive="1" delimiter=":">
      <textFields>
        <textField/>
      </textFields>
    </textPr>
  </connection>
  <connection id="60" xr16:uid="{676269F7-2CCB-447E-9571-E545596E714C}" name="DTNlon~RALxrootd01_davix-put_26Oct23_44" type="6" refreshedVersion="8" background="1" saveData="1">
    <textPr prompt="0" sourceFile="C:\_DANTE\100Gig\GEANT DTN\TCP\DTNlon~RALxrootd01_tcpmon_multiflow_26Oct23\DTNlon~RALxrootd01_davix-put_26Oct23_44.txt" semicolon="1" consecutive="1" delimiter=":">
      <textFields>
        <textField/>
      </textFields>
    </textPr>
  </connection>
  <connection id="61" xr16:uid="{6799B99E-BF99-409C-A109-2C07A228A3BC}" name="DTNlon~RALxrootd01_davix-put_26Oct23_51" type="6" refreshedVersion="8" background="1" saveData="1">
    <textPr prompt="0" sourceFile="C:\_DANTE\100Gig\GEANT DTN\TCP\DTNlon~RALxrootd01_tcpmon_multiflow_26Oct23\DTNlon~RALxrootd01_davix-put_26Oct23_51.txt" semicolon="1" consecutive="1" delimiter=":">
      <textFields>
        <textField/>
      </textFields>
    </textPr>
  </connection>
  <connection id="62" xr16:uid="{6D495C8F-5B93-4261-9C5F-24148B1F5B79}" name="DTNlon~RALxrootd01_davix-put_26Oct23_52" type="6" refreshedVersion="8" background="1" saveData="1">
    <textPr prompt="0" sourceFile="C:\_DANTE\100Gig\GEANT DTN\TCP\DTNlon~RALxrootd01_tcpmon_multiflow_26Oct23\DTNlon~RALxrootd01_davix-put_26Oct23_52.txt" semicolon="1" consecutive="1" delimiter=":">
      <textFields>
        <textField/>
      </textFields>
    </textPr>
  </connection>
  <connection id="63" xr16:uid="{64CAD2E0-1B32-4DC4-AF87-4A37C9CC1645}" name="DTNlon~RALxrootd01_davix-put_26Oct23_53" type="6" refreshedVersion="8" background="1" saveData="1">
    <textPr prompt="0" sourceFile="C:\_DANTE\100Gig\GEANT DTN\TCP\DTNlon~RALxrootd01_tcpmon_multiflow_26Oct23\DTNlon~RALxrootd01_davix-put_26Oct23_53.txt" semicolon="1" consecutive="1" delimiter=":">
      <textFields>
        <textField/>
      </textFields>
    </textPr>
  </connection>
  <connection id="64" xr16:uid="{F94E0E76-C9B0-4E54-A3F9-00BC6ED2B344}" name="DTNlon~RALxrootd01_davix-put_26Oct23_54" type="6" refreshedVersion="8" background="1" saveData="1">
    <textPr prompt="0" sourceFile="C:\_DANTE\100Gig\GEANT DTN\TCP\DTNlon~RALxrootd01_tcpmon_multiflow_26Oct23\DTNlon~RALxrootd01_davix-put_26Oct23_54.txt" semicolon="1" consecutive="1" delimiter=":">
      <textFields>
        <textField/>
      </textFields>
    </textPr>
  </connection>
  <connection id="65" xr16:uid="{02A1AC58-F69D-4290-B5FC-DBB28B8E04B2}" name="DTNlon~RALxrootd01_davix-put_26Oct23_55" type="6" refreshedVersion="8" background="1" saveData="1">
    <textPr prompt="0" sourceFile="C:\_DANTE\100Gig\GEANT DTN\TCP\DTNlon~RALxrootd01_tcpmon_multiflow_26Oct23\DTNlon~RALxrootd01_davix-put_26Oct23_55.txt" semicolon="1" consecutive="1" delimiter=":">
      <textFields>
        <textField/>
      </textFields>
    </textPr>
  </connection>
  <connection id="66" xr16:uid="{718F19B3-57F1-4B9D-83A5-8C0D4AEED9DC}" name="DTNlon~RALxrootd01_tcpmon_01Nov23_11" type="6" refreshedVersion="8" background="1" saveData="1">
    <textPr prompt="0" sourceFile="C:\_DANTE\100Gig\GEANT DTN\TCP\DTNlon~RALxrootd01_tcpmon_multiflow_01Nov23\DTNlon~RALxrootd01_tcpmon_01Nov23_11.txt" semicolon="1" consecutive="1" delimiter=":">
      <textFields>
        <textField/>
      </textFields>
    </textPr>
  </connection>
  <connection id="67" xr16:uid="{845748FA-B4B5-4A45-B223-362E0BD86D23}" name="DTNlon~RALxrootd01_tcpmon_01Nov23_21" type="6" refreshedVersion="8" background="1" saveData="1">
    <textPr prompt="0" sourceFile="C:\_DANTE\100Gig\GEANT DTN\TCP\DTNlon~RALxrootd01_tcpmon_multiflow_01Nov23\DTNlon~RALxrootd01_tcpmon_01Nov23_21.txt" semicolon="1" consecutive="1" delimiter=":">
      <textFields>
        <textField/>
      </textFields>
    </textPr>
  </connection>
  <connection id="68" xr16:uid="{4F04A61C-D366-47ED-BD6A-F4B0D25527E9}" name="DTNlon~RALxrootd01_tcpmon_01Nov23_22" type="6" refreshedVersion="8" background="1" saveData="1">
    <textPr prompt="0" sourceFile="C:\_DANTE\100Gig\GEANT DTN\TCP\DTNlon~RALxrootd01_tcpmon_multiflow_01Nov23\DTNlon~RALxrootd01_tcpmon_01Nov23_22.txt" semicolon="1" consecutive="1" delimiter=":">
      <textFields>
        <textField/>
      </textFields>
    </textPr>
  </connection>
  <connection id="69" xr16:uid="{439B5626-C538-454A-AAE3-2926D1C3AB62}" name="DTNlon~RALxrootd01_tcpmon_01Nov23_31" type="6" refreshedVersion="8" background="1" saveData="1">
    <textPr prompt="0" sourceFile="C:\_DANTE\100Gig\GEANT DTN\TCP\DTNlon~RALxrootd01_tcpmon_multiflow_01Nov23\DTNlon~RALxrootd01_tcpmon_01Nov23_31.txt" semicolon="1" consecutive="1" delimiter=":">
      <textFields>
        <textField/>
      </textFields>
    </textPr>
  </connection>
  <connection id="70" xr16:uid="{0BE417C1-3033-488E-ADE5-AA2EEF0E6BF6}" name="DTNlon~RALxrootd01_tcpmon_01Nov23_32" type="6" refreshedVersion="8" background="1" saveData="1">
    <textPr prompt="0" sourceFile="C:\_DANTE\100Gig\GEANT DTN\TCP\DTNlon~RALxrootd01_tcpmon_multiflow_01Nov23\DTNlon~RALxrootd01_tcpmon_01Nov23_32.txt" semicolon="1" consecutive="1" delimiter=":">
      <textFields>
        <textField/>
      </textFields>
    </textPr>
  </connection>
  <connection id="71" xr16:uid="{59D993EC-D150-4484-910F-8AA1A6A8FCEE}" name="DTNlon~RALxrootd01_tcpmon_01Nov23_33" type="6" refreshedVersion="8" background="1" saveData="1">
    <textPr prompt="0" sourceFile="C:\_DANTE\100Gig\GEANT DTN\TCP\DTNlon~RALxrootd01_tcpmon_multiflow_01Nov23\DTNlon~RALxrootd01_tcpmon_01Nov23_33.txt" semicolon="1" consecutive="1" delimiter=":">
      <textFields>
        <textField/>
      </textFields>
    </textPr>
  </connection>
  <connection id="72" xr16:uid="{F4B08C3D-3445-49F8-8658-481F9A5DCF04}" name="DTNlon~RALxrootd01_tcpmon_01Nov23_41" type="6" refreshedVersion="8" background="1" saveData="1">
    <textPr prompt="0" sourceFile="C:\_DANTE\100Gig\GEANT DTN\TCP\DTNlon~RALxrootd01_tcpmon_multiflow_01Nov23\DTNlon~RALxrootd01_tcpmon_01Nov23_41.txt" semicolon="1" consecutive="1" delimiter=":">
      <textFields>
        <textField/>
      </textFields>
    </textPr>
  </connection>
  <connection id="73" xr16:uid="{4A33FDC6-D672-4E5A-A036-D170C1C66ECF}" name="DTNlon~RALxrootd01_tcpmon_01Nov23_42" type="6" refreshedVersion="8" background="1" saveData="1">
    <textPr prompt="0" sourceFile="C:\_DANTE\100Gig\GEANT DTN\TCP\DTNlon~RALxrootd01_tcpmon_multiflow_01Nov23\DTNlon~RALxrootd01_tcpmon_01Nov23_42.txt" semicolon="1" consecutive="1" delimiter=":">
      <textFields>
        <textField/>
      </textFields>
    </textPr>
  </connection>
  <connection id="74" xr16:uid="{58458FC0-ECA5-4AB1-8720-BCAF9AE50A68}" name="DTNlon~RALxrootd01_tcpmon_01Nov23_43" type="6" refreshedVersion="8" background="1" saveData="1">
    <textPr prompt="0" sourceFile="C:\_DANTE\100Gig\GEANT DTN\TCP\DTNlon~RALxrootd01_tcpmon_multiflow_01Nov23\DTNlon~RALxrootd01_tcpmon_01Nov23_43.txt" semicolon="1" consecutive="1" delimiter=":">
      <textFields>
        <textField/>
      </textFields>
    </textPr>
  </connection>
  <connection id="75" xr16:uid="{18F78139-F78B-4F6D-8C5B-19BFE4B8580E}" name="DTNlon~RALxrootd01_tcpmon_01Nov23_44" type="6" refreshedVersion="8" background="1" saveData="1">
    <textPr prompt="0" sourceFile="C:\_DANTE\100Gig\GEANT DTN\TCP\DTNlon~RALxrootd01_tcpmon_multiflow_01Nov23\DTNlon~RALxrootd01_tcpmon_01Nov23_44.txt" semicolon="1" consecutive="1" delimiter=":">
      <textFields>
        <textField/>
      </textFields>
    </textPr>
  </connection>
  <connection id="76" xr16:uid="{8D31E5D8-A0CB-434C-AF4E-94069E8E5B91}" name="DTNlon~RALxrootd01_tcpmon_01Nov23_51" type="6" refreshedVersion="8" background="1" saveData="1">
    <textPr prompt="0" sourceFile="C:\_DANTE\100Gig\GEANT DTN\TCP\DTNlon~RALxrootd01_tcpmon_multiflow_01Nov23\DTNlon~RALxrootd01_tcpmon_01Nov23_51.txt" semicolon="1" consecutive="1" delimiter=":">
      <textFields>
        <textField/>
      </textFields>
    </textPr>
  </connection>
  <connection id="77" xr16:uid="{00D9DB63-CD71-40DA-8098-520F809EB16E}" name="DTNlon~RALxrootd01_tcpmon_01Nov23_52" type="6" refreshedVersion="8" background="1" saveData="1">
    <textPr prompt="0" sourceFile="C:\_DANTE\100Gig\GEANT DTN\TCP\DTNlon~RALxrootd01_tcpmon_multiflow_01Nov23\DTNlon~RALxrootd01_tcpmon_01Nov23_52.txt" semicolon="1" consecutive="1" delimiter=":">
      <textFields>
        <textField/>
      </textFields>
    </textPr>
  </connection>
  <connection id="78" xr16:uid="{5D9699EB-1513-4A8B-8584-43A2949A91CD}" name="DTNlon~RALxrootd01_tcpmon_01Nov23_53" type="6" refreshedVersion="8" background="1" saveData="1">
    <textPr prompt="0" sourceFile="C:\_DANTE\100Gig\GEANT DTN\TCP\DTNlon~RALxrootd01_tcpmon_multiflow_01Nov23\DTNlon~RALxrootd01_tcpmon_01Nov23_53.txt" semicolon="1" consecutive="1" delimiter=":">
      <textFields>
        <textField/>
      </textFields>
    </textPr>
  </connection>
  <connection id="79" xr16:uid="{916A3363-08A1-464E-89AC-556EDE1389F7}" name="DTNlon~RALxrootd01_tcpmon_01Nov23_54" type="6" refreshedVersion="8" background="1" saveData="1">
    <textPr prompt="0" sourceFile="C:\_DANTE\100Gig\GEANT DTN\TCP\DTNlon~RALxrootd01_tcpmon_multiflow_01Nov23\DTNlon~RALxrootd01_tcpmon_01Nov23_54.txt" semicolon="1" consecutive="1" delimiter=":">
      <textFields>
        <textField/>
      </textFields>
    </textPr>
  </connection>
  <connection id="80" xr16:uid="{AFDF8B99-C143-44C7-B99B-2D982862ABFF}" name="DTNlon~RALxrootd01_tcpmon_01Nov23_55" type="6" refreshedVersion="8" background="1" saveData="1">
    <textPr prompt="0" sourceFile="C:\_DANTE\100Gig\GEANT DTN\TCP\DTNlon~RALxrootd01_tcpmon_multiflow_01Nov23\DTNlon~RALxrootd01_tcpmon_01Nov23_55.txt" semicolon="1" consecutive="1" delimiter=":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<sst xmlns="http://schemas.openxmlformats.org/spreadsheetml/2006/main" count="2921" uniqueCount="282">
  <si>
    <t>Time unix</t>
  </si>
  <si>
    <t>udp test</t>
  </si>
  <si>
    <t>ping test</t>
  </si>
  <si>
    <t>time through flow</t>
  </si>
  <si>
    <t>re transmit</t>
  </si>
  <si>
    <t>Tab11_</t>
  </si>
  <si>
    <t>elapsed_time</t>
  </si>
  <si>
    <t>flow_rate</t>
  </si>
  <si>
    <t>flow_retrans</t>
  </si>
  <si>
    <t>Tab21_</t>
  </si>
  <si>
    <t>Tab22_</t>
  </si>
  <si>
    <t>Tab31_</t>
  </si>
  <si>
    <t>Tab32_</t>
  </si>
  <si>
    <t>Tab33_</t>
  </si>
  <si>
    <t>Tab41_</t>
  </si>
  <si>
    <t>Tab42_</t>
  </si>
  <si>
    <t>Tab43_</t>
  </si>
  <si>
    <t>Tab44_</t>
  </si>
  <si>
    <t>Flow start line</t>
  </si>
  <si>
    <t>Flow last line</t>
  </si>
  <si>
    <t>Summary</t>
  </si>
  <si>
    <t>convert time</t>
  </si>
  <si>
    <t>Sheet Names</t>
  </si>
  <si>
    <t>sum2</t>
  </si>
  <si>
    <t>sum3</t>
  </si>
  <si>
    <t>sum4</t>
  </si>
  <si>
    <t>TabSum_</t>
  </si>
  <si>
    <t>retrans2</t>
  </si>
  <si>
    <t>retrans3</t>
  </si>
  <si>
    <t>retrans4</t>
  </si>
  <si>
    <t>retrans1</t>
  </si>
  <si>
    <t>seg sent</t>
  </si>
  <si>
    <t>Tab51_</t>
  </si>
  <si>
    <t>Tab52_</t>
  </si>
  <si>
    <t>Tab53_</t>
  </si>
  <si>
    <t>Tab54_</t>
  </si>
  <si>
    <t>Tab55_</t>
  </si>
  <si>
    <t>Data_rate column</t>
  </si>
  <si>
    <t>re-trans column</t>
  </si>
  <si>
    <t>j</t>
  </si>
  <si>
    <t>Tab61_</t>
  </si>
  <si>
    <t>g</t>
  </si>
  <si>
    <t>Tab62_</t>
  </si>
  <si>
    <t>Tab63_</t>
  </si>
  <si>
    <t>Tab64_</t>
  </si>
  <si>
    <t>Tab65_</t>
  </si>
  <si>
    <t>Tab66_</t>
  </si>
  <si>
    <t xml:space="preserve"> </t>
  </si>
  <si>
    <t>davix-put</t>
  </si>
  <si>
    <t>Defaults</t>
  </si>
  <si>
    <t>Settings</t>
  </si>
  <si>
    <t>Time</t>
  </si>
  <si>
    <t>c</t>
  </si>
  <si>
    <t>d</t>
  </si>
  <si>
    <t>sum1</t>
  </si>
  <si>
    <t>sum5</t>
  </si>
  <si>
    <t>sum6</t>
  </si>
  <si>
    <t>retrans5</t>
  </si>
  <si>
    <t>retrans6</t>
  </si>
  <si>
    <t>tcpmon</t>
  </si>
  <si>
    <t xml:space="preserve">  TCPmon Version 2.2.1  CPUs Command line</t>
  </si>
  <si>
    <t>Default affinity</t>
  </si>
  <si>
    <t>StopWatch_Stop calibrated</t>
  </si>
  <si>
    <t xml:space="preserve">  StopWatch_Delay calibrated</t>
  </si>
  <si>
    <t xml:space="preserve"> RCVBUF no change SNDBUF no change IP_TOS 0x0 IP prec 0 IP tos 0 TCP_NODELAY 1  </t>
  </si>
  <si>
    <t xml:space="preserve"> The destination IP name</t>
  </si>
  <si>
    <t xml:space="preserve"> The destination TCP port is   5201 1451</t>
  </si>
  <si>
    <t xml:space="preserve"> The TCP maximum segment size is   8948</t>
  </si>
  <si>
    <t xml:space="preserve"> Bytes sent</t>
  </si>
  <si>
    <t xml:space="preserve"> Rate Gbit/s</t>
  </si>
  <si>
    <t xml:space="preserve"> Retrans</t>
  </si>
  <si>
    <t xml:space="preserve"> Cwnd MBytes</t>
  </si>
  <si>
    <t xml:space="preserve"> TCPInSegs</t>
  </si>
  <si>
    <t xml:space="preserve"> TCPOutSegs </t>
  </si>
  <si>
    <t xml:space="preserve"> 98380 bytes</t>
  </si>
  <si>
    <t xml:space="preserve"> pkt len</t>
  </si>
  <si>
    <t xml:space="preserve"> soc_buf_size</t>
  </si>
  <si>
    <t xml:space="preserve"> num_sent</t>
  </si>
  <si>
    <t xml:space="preserve"> wait_time</t>
  </si>
  <si>
    <t xml:space="preserve"> Time/frame us</t>
  </si>
  <si>
    <t xml:space="preserve"> Send_time</t>
  </si>
  <si>
    <t xml:space="preserve"> send_data_rate Mbit</t>
  </si>
  <si>
    <t xml:space="preserve"> TCPOutSegs</t>
  </si>
  <si>
    <t xml:space="preserve"> tcpi_total_retrans</t>
  </si>
  <si>
    <t xml:space="preserve"> tcp_retrans_rate%</t>
  </si>
  <si>
    <t xml:space="preserve">  </t>
  </si>
  <si>
    <t xml:space="preserve"> Recv soc_buf_size</t>
  </si>
  <si>
    <t xml:space="preserve"> num_recv</t>
  </si>
  <si>
    <t xml:space="preserve"> bytes_recv</t>
  </si>
  <si>
    <t xml:space="preserve"> Recv time/Frame</t>
  </si>
  <si>
    <t xml:space="preserve"> recv_time</t>
  </si>
  <si>
    <t xml:space="preserve"> recv_data_rate Mbit</t>
  </si>
  <si>
    <t xml:space="preserve"> L if</t>
  </si>
  <si>
    <t xml:space="preserve"> interface</t>
  </si>
  <si>
    <t xml:space="preserve"> pktsin</t>
  </si>
  <si>
    <t xml:space="preserve"> bytesin</t>
  </si>
  <si>
    <t xml:space="preserve"> errin</t>
  </si>
  <si>
    <t xml:space="preserve"> dropin</t>
  </si>
  <si>
    <t xml:space="preserve"> pktsout</t>
  </si>
  <si>
    <t xml:space="preserve"> bytesout</t>
  </si>
  <si>
    <t xml:space="preserve"> errout</t>
  </si>
  <si>
    <t xml:space="preserve"> dropout</t>
  </si>
  <si>
    <t>L TCP</t>
  </si>
  <si>
    <t xml:space="preserve"> TCPInErrs</t>
  </si>
  <si>
    <t xml:space="preserve"> TCPOutRsts</t>
  </si>
  <si>
    <t xml:space="preserve"> TCPRetransSegs</t>
  </si>
  <si>
    <t xml:space="preserve"> R if</t>
  </si>
  <si>
    <t>R TCP</t>
  </si>
  <si>
    <t xml:space="preserve"> R NIC</t>
  </si>
  <si>
    <t xml:space="preserve"> rx_packets</t>
  </si>
  <si>
    <t xml:space="preserve"> tx_packets</t>
  </si>
  <si>
    <t xml:space="preserve"> rx_packets_phy</t>
  </si>
  <si>
    <t xml:space="preserve"> tx_packets_phy</t>
  </si>
  <si>
    <t xml:space="preserve"> rx_pause_ctrl_phy</t>
  </si>
  <si>
    <t xml:space="preserve"> tx_pause_ctrl_phy</t>
  </si>
  <si>
    <t xml:space="preserve"> tx_global_pause_duration</t>
  </si>
  <si>
    <t xml:space="preserve"> rx_crc_errors_phy</t>
  </si>
  <si>
    <t xml:space="preserve"> rx_out_of_buffer</t>
  </si>
  <si>
    <t xml:space="preserve">   </t>
  </si>
  <si>
    <t>L if</t>
  </si>
  <si>
    <t xml:space="preserve">    lo</t>
  </si>
  <si>
    <t>R if</t>
  </si>
  <si>
    <t xml:space="preserve"> &lt;L CPU&gt;</t>
  </si>
  <si>
    <t xml:space="preserve"> user cpu %</t>
  </si>
  <si>
    <t xml:space="preserve"> low-prio cpu %</t>
  </si>
  <si>
    <t xml:space="preserve"> kernel cpu%</t>
  </si>
  <si>
    <t xml:space="preserve"> idle cpu%</t>
  </si>
  <si>
    <t xml:space="preserve"> iowait cpu %</t>
  </si>
  <si>
    <t xml:space="preserve"> irq cpu%</t>
  </si>
  <si>
    <t xml:space="preserve"> softirq cpu%</t>
  </si>
  <si>
    <t xml:space="preserve">L </t>
  </si>
  <si>
    <t xml:space="preserve">L0 </t>
  </si>
  <si>
    <t xml:space="preserve">L1 </t>
  </si>
  <si>
    <t xml:space="preserve">L2 </t>
  </si>
  <si>
    <t xml:space="preserve">L3 </t>
  </si>
  <si>
    <t xml:space="preserve"> &lt;R CPU&gt;</t>
  </si>
  <si>
    <t xml:space="preserve">R </t>
  </si>
  <si>
    <t xml:space="preserve">R0 </t>
  </si>
  <si>
    <t xml:space="preserve">R1 </t>
  </si>
  <si>
    <t xml:space="preserve">R2 </t>
  </si>
  <si>
    <t xml:space="preserve">R3 </t>
  </si>
  <si>
    <t xml:space="preserve">R4 </t>
  </si>
  <si>
    <t xml:space="preserve">R5 </t>
  </si>
  <si>
    <t xml:space="preserve">R6 </t>
  </si>
  <si>
    <t xml:space="preserve">R7 </t>
  </si>
  <si>
    <t xml:space="preserve">R8 </t>
  </si>
  <si>
    <t xml:space="preserve">R9 </t>
  </si>
  <si>
    <t xml:space="preserve">R10 </t>
  </si>
  <si>
    <t xml:space="preserve">R11 </t>
  </si>
  <si>
    <t xml:space="preserve">R12 </t>
  </si>
  <si>
    <t xml:space="preserve">R13 </t>
  </si>
  <si>
    <t xml:space="preserve">R14 </t>
  </si>
  <si>
    <t xml:space="preserve">R15 </t>
  </si>
  <si>
    <t xml:space="preserve">R16 </t>
  </si>
  <si>
    <t xml:space="preserve">R17 </t>
  </si>
  <si>
    <t xml:space="preserve">R18 </t>
  </si>
  <si>
    <t xml:space="preserve">R19 </t>
  </si>
  <si>
    <t xml:space="preserve">R20 </t>
  </si>
  <si>
    <t xml:space="preserve">R21 </t>
  </si>
  <si>
    <t xml:space="preserve">R22 </t>
  </si>
  <si>
    <t xml:space="preserve">R23 </t>
  </si>
  <si>
    <t xml:space="preserve">R24 </t>
  </si>
  <si>
    <t xml:space="preserve">R25 </t>
  </si>
  <si>
    <t xml:space="preserve">R26 </t>
  </si>
  <si>
    <t xml:space="preserve">R27 </t>
  </si>
  <si>
    <t xml:space="preserve">R28 </t>
  </si>
  <si>
    <t xml:space="preserve">R29 </t>
  </si>
  <si>
    <t xml:space="preserve">R30 </t>
  </si>
  <si>
    <t xml:space="preserve">R31 </t>
  </si>
  <si>
    <t xml:space="preserve">R32 </t>
  </si>
  <si>
    <t xml:space="preserve">R33 </t>
  </si>
  <si>
    <t xml:space="preserve">R34 </t>
  </si>
  <si>
    <t xml:space="preserve">R35 </t>
  </si>
  <si>
    <t xml:space="preserve">R36 </t>
  </si>
  <si>
    <t xml:space="preserve">R37 </t>
  </si>
  <si>
    <t xml:space="preserve">R38 </t>
  </si>
  <si>
    <t xml:space="preserve">R39 </t>
  </si>
  <si>
    <t xml:space="preserve">R40 </t>
  </si>
  <si>
    <t xml:space="preserve">R41 </t>
  </si>
  <si>
    <t xml:space="preserve">R42 </t>
  </si>
  <si>
    <t xml:space="preserve">R43 </t>
  </si>
  <si>
    <t xml:space="preserve">R44 </t>
  </si>
  <si>
    <t xml:space="preserve">R45 </t>
  </si>
  <si>
    <t xml:space="preserve">R46 </t>
  </si>
  <si>
    <t xml:space="preserve">R47 </t>
  </si>
  <si>
    <t xml:space="preserve">R48 </t>
  </si>
  <si>
    <t xml:space="preserve">R49 </t>
  </si>
  <si>
    <t xml:space="preserve">R50 </t>
  </si>
  <si>
    <t xml:space="preserve">R51 </t>
  </si>
  <si>
    <t xml:space="preserve">R52 </t>
  </si>
  <si>
    <t xml:space="preserve">R53 </t>
  </si>
  <si>
    <t xml:space="preserve">R54 </t>
  </si>
  <si>
    <t xml:space="preserve">R55 </t>
  </si>
  <si>
    <t xml:space="preserve"> The destination TCP port is   5202 1452</t>
  </si>
  <si>
    <t xml:space="preserve"> The destination TCP port is   5203 1453</t>
  </si>
  <si>
    <t xml:space="preserve"> The destination TCP port is   5204 1454</t>
  </si>
  <si>
    <t xml:space="preserve">44 2024 </t>
  </si>
  <si>
    <t xml:space="preserve"> 0.0103 us minimum  </t>
  </si>
  <si>
    <t xml:space="preserve"> 0.0086 us minimum</t>
  </si>
  <si>
    <t>clock ticks for 1 sec = 1000070 us</t>
  </si>
  <si>
    <t xml:space="preserve"> RCVBUF 87380 SNDBUF 65536 IP_TOS 0x0 IP prec 0 IP tos 0 TCP_NODELAY 0  </t>
  </si>
  <si>
    <t xml:space="preserve"> 192.84.5.1 IP address</t>
  </si>
  <si>
    <t xml:space="preserve"> 192.84.5.1</t>
  </si>
  <si>
    <t xml:space="preserve">  eno2</t>
  </si>
  <si>
    <t>ens2f0</t>
  </si>
  <si>
    <t>enp3s0</t>
  </si>
  <si>
    <t xml:space="preserve">  eno1</t>
  </si>
  <si>
    <t>ens2f1</t>
  </si>
  <si>
    <t>p4p2.43</t>
  </si>
  <si>
    <t xml:space="preserve">  p4p2</t>
  </si>
  <si>
    <t>p4p2.791</t>
  </si>
  <si>
    <t xml:space="preserve">   ib0</t>
  </si>
  <si>
    <t xml:space="preserve"> p4p2</t>
  </si>
  <si>
    <t xml:space="preserve"> 0.0120 us minimum  </t>
  </si>
  <si>
    <t>clock ticks for 1 sec = 1000069 us</t>
  </si>
  <si>
    <t>clock ticks for 1 sec = 1000072 us</t>
  </si>
  <si>
    <t xml:space="preserve"> 0.0106 us minimum</t>
  </si>
  <si>
    <t>AARnetCBR-CamDTN1_tcpmon_ts_11</t>
  </si>
  <si>
    <t>AARnetCBR-CamDTN1_tcpmon_ts_21</t>
  </si>
  <si>
    <t>AARnetCBR-CamDTN1_tcpmon_ts_22</t>
  </si>
  <si>
    <t>AARnetCBR-CamDTN1_tcpmon_ts_31</t>
  </si>
  <si>
    <t>AARnetCBR-CamDTN1_tcpmon_ts_32</t>
  </si>
  <si>
    <t>AARnetCBR-CamDTN1_tcpmon_ts_33</t>
  </si>
  <si>
    <t>AARnetCBR-CamDTN1_tcpmon_ts_41</t>
  </si>
  <si>
    <t>AARnetCBR-CamDTN1_tcpmon_ts_42</t>
  </si>
  <si>
    <t>AARnetCBR-CamDTN1_tcpmon_ts_43</t>
  </si>
  <si>
    <t>AARnetCBR-CamDTN1_tcpmon_ts_44</t>
  </si>
  <si>
    <t>AARnetCBR-CamDTN1_tcpmon_ts_51</t>
  </si>
  <si>
    <t>AARnetCBR-CamDTN1_tcpmon_ts_52</t>
  </si>
  <si>
    <t>AARnetCBR-CamDTN1_tcpmon_ts_53</t>
  </si>
  <si>
    <t>AARnetCBR-CamDTN1_tcpmon_ts_54</t>
  </si>
  <si>
    <t>AARnetCBR-CamDTN1_tcpmon_ts_55</t>
  </si>
  <si>
    <t>AARnetCBR-CamDTN1_tcpmon_ts_61</t>
  </si>
  <si>
    <t>AARnetCBR-CamDTN1_tcpmon_ts_62</t>
  </si>
  <si>
    <t>AARnetCBR-CamDTN1_tcpmon_ts_63</t>
  </si>
  <si>
    <t>AARnetCBR-CamDTN1_tcpmon_ts_64</t>
  </si>
  <si>
    <t>AARnetCBR-CamDTN1_tcpmon_ts_65</t>
  </si>
  <si>
    <t>AARnetCBR-CamDTN1_tcpmon_ts_66</t>
  </si>
  <si>
    <t>AARnetCBR-CamDTN1_tcpmon_ts_81</t>
  </si>
  <si>
    <t>AARnetCBR-CamDTN1_tcpmon_ts_82</t>
  </si>
  <si>
    <t>AARnetCBR-CamDTN1_tcpmon_ts_83</t>
  </si>
  <si>
    <t>AARnetCBR-CamDTN1_tcpmon_ts_84</t>
  </si>
  <si>
    <t>AARnetCBR-CamDTN1_tcpmon_ts_85</t>
  </si>
  <si>
    <t>AARnetCBR-CamDTN1_tcpmon_ts_86</t>
  </si>
  <si>
    <t>AARnetCBR-CamDTN1_tcpmon_ts_87</t>
  </si>
  <si>
    <t>AARnetCBR-CamDTN1_tcpmon_ts_88</t>
  </si>
  <si>
    <t xml:space="preserve"> Thu Feb 22 21</t>
  </si>
  <si>
    <t xml:space="preserve">  /home/richard/tcpmon-2.2.1/tcpmon_mon -C -d 192.84.5.1 -u 5201 -a 0x1 -i 2 -p 98380 -t 300 -w 0 -S 0 </t>
  </si>
  <si>
    <t xml:space="preserve"> 0000000f Set affinity</t>
  </si>
  <si>
    <t xml:space="preserve"> Initialising real-time clock.</t>
  </si>
  <si>
    <t>CPU speed = 3500.0537293 +- 0.0178253 MHz (3500.0122899 - 3500.0957971)</t>
  </si>
  <si>
    <t xml:space="preserve"> 0.0094 us minimum</t>
  </si>
  <si>
    <t>clock ticks for 1 sec = 1000104 us</t>
  </si>
  <si>
    <t>CPU speed = 3500.0534374 +- 0.0167860 MHz (3500.0143521 - 3500.0931539)</t>
  </si>
  <si>
    <t xml:space="preserve">  /home/richard/tcpmon-2.2.1/tcpmon_mon -C -d 192.84.5.1 -u 5202 -a 0x2 -i 2 -p 98380 -t 300 -w 0 -S 0 </t>
  </si>
  <si>
    <t>CPU speed = 3500.0533161 +- 0.0166421 MHz (3500.0140371 - 3500.0930866)</t>
  </si>
  <si>
    <t xml:space="preserve"> 0.0072 us minimum</t>
  </si>
  <si>
    <t xml:space="preserve">45 2024 </t>
  </si>
  <si>
    <t>CPU speed = 3500.0535326 +- 0.0166694 MHz (3500.0140038 - 3500.0921782)</t>
  </si>
  <si>
    <t xml:space="preserve"> 0.0090 us minimum</t>
  </si>
  <si>
    <t>CPU speed = 3500.0533205 +- 0.0164919 MHz (3500.0129464 - 3500.0926787)</t>
  </si>
  <si>
    <t xml:space="preserve"> 0.0077 us minimum</t>
  </si>
  <si>
    <t xml:space="preserve">  /home/richard/tcpmon-2.2.1/tcpmon_mon -C -d 192.84.5.1 -u 5203 -a 0x4 -i 2 -p 98380 -t 300 -w 0 -S 0 </t>
  </si>
  <si>
    <t>CPU speed = 3500.0536732 +- 0.0167733 MHz (3500.0149235 - 3500.0937496)</t>
  </si>
  <si>
    <t xml:space="preserve"> Thu Feb 22 22</t>
  </si>
  <si>
    <t>CPU speed = 3500.0536265 +- 0.0156532 MHz (3500.0154199 - 3500.0917223)</t>
  </si>
  <si>
    <t xml:space="preserve"> 0.0065 us minimum</t>
  </si>
  <si>
    <t>clock ticks for 1 sec = 1000103 us</t>
  </si>
  <si>
    <t>CPU speed = 3500.0533223 +- 0.0171023 MHz (3500.0124594 - 3500.0928825)</t>
  </si>
  <si>
    <t xml:space="preserve"> 0.0082 us minimum</t>
  </si>
  <si>
    <t>CPU speed = 3500.0534486 +- 0.0167483 MHz (3500.0136372 - 3500.0920472)</t>
  </si>
  <si>
    <t>clock ticks for 1 sec = 1000098 us</t>
  </si>
  <si>
    <t xml:space="preserve">  /home/richard/tcpmon-2.2.1/tcpmon_mon -C -d 192.84.5.1 -u 5204 -a 0x8 -i 2 -p 98380 -t 300 -w 0 -S 0 </t>
  </si>
  <si>
    <t>CPU speed = 3500.0532944 +- 0.0165781 MHz (3500.0126912 - 3500.0917113)</t>
  </si>
  <si>
    <t xml:space="preserve"> 0.0078 us minimum</t>
  </si>
  <si>
    <t>clock ticks for 1 sec = 1000101 us</t>
  </si>
  <si>
    <t>AARnetCBR-CamDTN1_tcpmon_tseries_22Feb24</t>
  </si>
  <si>
    <t>outsegs</t>
  </si>
  <si>
    <t xml:space="preserve">all retrans  </t>
  </si>
  <si>
    <t>%loss</t>
  </si>
  <si>
    <t>sum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</si>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</sst>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\ hh:mm"/>
  </numFmts>
  <fonts count="5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rgb="FF000000"/>
      <name val="Arial Unicode MS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164" fontId="3" fillId="0" borderId="0" xfId="0" applyNumberFormat="1" applyFont="1"/>
    <xf numFmtId="0" fontId="0" fillId="0" borderId="0" xfId="0" applyAlignment="1">
      <alignment wrapText="1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A7EBB"/>
      <color rgb="FFFF3300"/>
      <color rgb="FF00FF00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Plots!$U$1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C-4210-BC0D-C1F56C991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Plots!$AN$5</c:f>
          <c:strCache>
            <c:ptCount val="1"/>
            <c:pt idx="0">
              <c:v>AARnetCBR-CamDTN1_tcpmon_tseries_22Feb24 3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0.67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3.57</c:v>
                </c:pt>
                <c:pt idx="7">
                  <c:v>4.88</c:v>
                </c:pt>
                <c:pt idx="8">
                  <c:v>7.36</c:v>
                </c:pt>
                <c:pt idx="9">
                  <c:v>11.29</c:v>
                </c:pt>
                <c:pt idx="10">
                  <c:v>15.08</c:v>
                </c:pt>
                <c:pt idx="11">
                  <c:v>17.89</c:v>
                </c:pt>
                <c:pt idx="12">
                  <c:v>25.68</c:v>
                </c:pt>
                <c:pt idx="13">
                  <c:v>23.23</c:v>
                </c:pt>
                <c:pt idx="14">
                  <c:v>23.53</c:v>
                </c:pt>
                <c:pt idx="15">
                  <c:v>24.1</c:v>
                </c:pt>
                <c:pt idx="16">
                  <c:v>23</c:v>
                </c:pt>
                <c:pt idx="17">
                  <c:v>21.35</c:v>
                </c:pt>
                <c:pt idx="18">
                  <c:v>24.5</c:v>
                </c:pt>
                <c:pt idx="19">
                  <c:v>19.29</c:v>
                </c:pt>
                <c:pt idx="20">
                  <c:v>25.25</c:v>
                </c:pt>
                <c:pt idx="21">
                  <c:v>20.57</c:v>
                </c:pt>
                <c:pt idx="22">
                  <c:v>23.32</c:v>
                </c:pt>
                <c:pt idx="23">
                  <c:v>20.32</c:v>
                </c:pt>
                <c:pt idx="24">
                  <c:v>24.39</c:v>
                </c:pt>
                <c:pt idx="25">
                  <c:v>21.94</c:v>
                </c:pt>
                <c:pt idx="26">
                  <c:v>19.84</c:v>
                </c:pt>
                <c:pt idx="27">
                  <c:v>23.73</c:v>
                </c:pt>
                <c:pt idx="28">
                  <c:v>21.45</c:v>
                </c:pt>
                <c:pt idx="29">
                  <c:v>23.34</c:v>
                </c:pt>
                <c:pt idx="30">
                  <c:v>19.54</c:v>
                </c:pt>
                <c:pt idx="31">
                  <c:v>24.63</c:v>
                </c:pt>
                <c:pt idx="32">
                  <c:v>19.5</c:v>
                </c:pt>
                <c:pt idx="33">
                  <c:v>24.4</c:v>
                </c:pt>
                <c:pt idx="34">
                  <c:v>19.61</c:v>
                </c:pt>
                <c:pt idx="35">
                  <c:v>24.19</c:v>
                </c:pt>
                <c:pt idx="36">
                  <c:v>19.850000000000001</c:v>
                </c:pt>
                <c:pt idx="37">
                  <c:v>24.61</c:v>
                </c:pt>
                <c:pt idx="38">
                  <c:v>19.239999999999998</c:v>
                </c:pt>
                <c:pt idx="39">
                  <c:v>23.42</c:v>
                </c:pt>
                <c:pt idx="40">
                  <c:v>22.64</c:v>
                </c:pt>
                <c:pt idx="41">
                  <c:v>20.83</c:v>
                </c:pt>
                <c:pt idx="42">
                  <c:v>23.75</c:v>
                </c:pt>
                <c:pt idx="43">
                  <c:v>19.47</c:v>
                </c:pt>
                <c:pt idx="44">
                  <c:v>24.33</c:v>
                </c:pt>
                <c:pt idx="45">
                  <c:v>20.239999999999998</c:v>
                </c:pt>
                <c:pt idx="46">
                  <c:v>23.8</c:v>
                </c:pt>
                <c:pt idx="47">
                  <c:v>19.920000000000002</c:v>
                </c:pt>
                <c:pt idx="48">
                  <c:v>24.3</c:v>
                </c:pt>
                <c:pt idx="49">
                  <c:v>20.07</c:v>
                </c:pt>
                <c:pt idx="50">
                  <c:v>23.71</c:v>
                </c:pt>
                <c:pt idx="51">
                  <c:v>20.239999999999998</c:v>
                </c:pt>
                <c:pt idx="52">
                  <c:v>24.08</c:v>
                </c:pt>
                <c:pt idx="53">
                  <c:v>20.09</c:v>
                </c:pt>
                <c:pt idx="54">
                  <c:v>23.51</c:v>
                </c:pt>
                <c:pt idx="55">
                  <c:v>20.34</c:v>
                </c:pt>
                <c:pt idx="56">
                  <c:v>24.62</c:v>
                </c:pt>
                <c:pt idx="57">
                  <c:v>19.39</c:v>
                </c:pt>
                <c:pt idx="58">
                  <c:v>24.16</c:v>
                </c:pt>
                <c:pt idx="59">
                  <c:v>19.850000000000001</c:v>
                </c:pt>
                <c:pt idx="60">
                  <c:v>24.55</c:v>
                </c:pt>
                <c:pt idx="61">
                  <c:v>19.7</c:v>
                </c:pt>
                <c:pt idx="62">
                  <c:v>24.32</c:v>
                </c:pt>
                <c:pt idx="63">
                  <c:v>21.66</c:v>
                </c:pt>
                <c:pt idx="64">
                  <c:v>20.67</c:v>
                </c:pt>
                <c:pt idx="65">
                  <c:v>23.79</c:v>
                </c:pt>
                <c:pt idx="66">
                  <c:v>19.399999999999999</c:v>
                </c:pt>
                <c:pt idx="67">
                  <c:v>24.66</c:v>
                </c:pt>
                <c:pt idx="68">
                  <c:v>19.559999999999999</c:v>
                </c:pt>
                <c:pt idx="69">
                  <c:v>24.03</c:v>
                </c:pt>
                <c:pt idx="70">
                  <c:v>19.739999999999998</c:v>
                </c:pt>
                <c:pt idx="71">
                  <c:v>24.87</c:v>
                </c:pt>
                <c:pt idx="72">
                  <c:v>19.899999999999999</c:v>
                </c:pt>
                <c:pt idx="73">
                  <c:v>23.75</c:v>
                </c:pt>
                <c:pt idx="74">
                  <c:v>19.95</c:v>
                </c:pt>
                <c:pt idx="75">
                  <c:v>24.1</c:v>
                </c:pt>
                <c:pt idx="76">
                  <c:v>20.72</c:v>
                </c:pt>
                <c:pt idx="77">
                  <c:v>23.72</c:v>
                </c:pt>
                <c:pt idx="78">
                  <c:v>19.39</c:v>
                </c:pt>
                <c:pt idx="79">
                  <c:v>24.73</c:v>
                </c:pt>
                <c:pt idx="80">
                  <c:v>19.38</c:v>
                </c:pt>
                <c:pt idx="81">
                  <c:v>24.16</c:v>
                </c:pt>
                <c:pt idx="82">
                  <c:v>20.07</c:v>
                </c:pt>
                <c:pt idx="83">
                  <c:v>23.46</c:v>
                </c:pt>
                <c:pt idx="84">
                  <c:v>20.66</c:v>
                </c:pt>
                <c:pt idx="85">
                  <c:v>24.4</c:v>
                </c:pt>
                <c:pt idx="86">
                  <c:v>19.670000000000002</c:v>
                </c:pt>
                <c:pt idx="87">
                  <c:v>24.27</c:v>
                </c:pt>
                <c:pt idx="88">
                  <c:v>19.79</c:v>
                </c:pt>
                <c:pt idx="89">
                  <c:v>23.98</c:v>
                </c:pt>
                <c:pt idx="90">
                  <c:v>19.829999999999998</c:v>
                </c:pt>
                <c:pt idx="91">
                  <c:v>24.57</c:v>
                </c:pt>
                <c:pt idx="92">
                  <c:v>19.260000000000002</c:v>
                </c:pt>
                <c:pt idx="93">
                  <c:v>23.7</c:v>
                </c:pt>
                <c:pt idx="94">
                  <c:v>21.51</c:v>
                </c:pt>
                <c:pt idx="95">
                  <c:v>23.53</c:v>
                </c:pt>
                <c:pt idx="96">
                  <c:v>19.37</c:v>
                </c:pt>
                <c:pt idx="97">
                  <c:v>24.76</c:v>
                </c:pt>
                <c:pt idx="98">
                  <c:v>19.63</c:v>
                </c:pt>
                <c:pt idx="99">
                  <c:v>23.8</c:v>
                </c:pt>
                <c:pt idx="100">
                  <c:v>20.03</c:v>
                </c:pt>
                <c:pt idx="101">
                  <c:v>23.96</c:v>
                </c:pt>
                <c:pt idx="102">
                  <c:v>20.440000000000001</c:v>
                </c:pt>
                <c:pt idx="103">
                  <c:v>23.62</c:v>
                </c:pt>
                <c:pt idx="104">
                  <c:v>20.02</c:v>
                </c:pt>
                <c:pt idx="105">
                  <c:v>24.56</c:v>
                </c:pt>
                <c:pt idx="106">
                  <c:v>20.02</c:v>
                </c:pt>
                <c:pt idx="107">
                  <c:v>23.43</c:v>
                </c:pt>
                <c:pt idx="108">
                  <c:v>20.100000000000001</c:v>
                </c:pt>
                <c:pt idx="109">
                  <c:v>24.52</c:v>
                </c:pt>
                <c:pt idx="110">
                  <c:v>19.850000000000001</c:v>
                </c:pt>
                <c:pt idx="111">
                  <c:v>23.08</c:v>
                </c:pt>
                <c:pt idx="112">
                  <c:v>21.34</c:v>
                </c:pt>
                <c:pt idx="113">
                  <c:v>23.18</c:v>
                </c:pt>
                <c:pt idx="114">
                  <c:v>21.43</c:v>
                </c:pt>
                <c:pt idx="115">
                  <c:v>22.89</c:v>
                </c:pt>
                <c:pt idx="116">
                  <c:v>19.77</c:v>
                </c:pt>
                <c:pt idx="117">
                  <c:v>24.38</c:v>
                </c:pt>
                <c:pt idx="118">
                  <c:v>20.079999999999998</c:v>
                </c:pt>
                <c:pt idx="119">
                  <c:v>23.52</c:v>
                </c:pt>
                <c:pt idx="120">
                  <c:v>20.190000000000001</c:v>
                </c:pt>
                <c:pt idx="121">
                  <c:v>24.39</c:v>
                </c:pt>
                <c:pt idx="122">
                  <c:v>19.97</c:v>
                </c:pt>
                <c:pt idx="123">
                  <c:v>24.21</c:v>
                </c:pt>
                <c:pt idx="124">
                  <c:v>19.61</c:v>
                </c:pt>
                <c:pt idx="125">
                  <c:v>24.41</c:v>
                </c:pt>
                <c:pt idx="126">
                  <c:v>19.440000000000001</c:v>
                </c:pt>
                <c:pt idx="127">
                  <c:v>23.99</c:v>
                </c:pt>
                <c:pt idx="128">
                  <c:v>19.920000000000002</c:v>
                </c:pt>
                <c:pt idx="129">
                  <c:v>24.73</c:v>
                </c:pt>
                <c:pt idx="130">
                  <c:v>20.260000000000002</c:v>
                </c:pt>
                <c:pt idx="131">
                  <c:v>21.8</c:v>
                </c:pt>
                <c:pt idx="132">
                  <c:v>23.75</c:v>
                </c:pt>
                <c:pt idx="133">
                  <c:v>19.59</c:v>
                </c:pt>
                <c:pt idx="134">
                  <c:v>24.61</c:v>
                </c:pt>
                <c:pt idx="135">
                  <c:v>19.41</c:v>
                </c:pt>
                <c:pt idx="136">
                  <c:v>24.16</c:v>
                </c:pt>
                <c:pt idx="137">
                  <c:v>20.16</c:v>
                </c:pt>
                <c:pt idx="138">
                  <c:v>23.34</c:v>
                </c:pt>
                <c:pt idx="139">
                  <c:v>21</c:v>
                </c:pt>
                <c:pt idx="140">
                  <c:v>23.53</c:v>
                </c:pt>
                <c:pt idx="141">
                  <c:v>19.68</c:v>
                </c:pt>
                <c:pt idx="142">
                  <c:v>24.05</c:v>
                </c:pt>
                <c:pt idx="143">
                  <c:v>20.03</c:v>
                </c:pt>
                <c:pt idx="144">
                  <c:v>24.04</c:v>
                </c:pt>
                <c:pt idx="145">
                  <c:v>19.88</c:v>
                </c:pt>
                <c:pt idx="146">
                  <c:v>24.53</c:v>
                </c:pt>
                <c:pt idx="147">
                  <c:v>19.52</c:v>
                </c:pt>
                <c:pt idx="148">
                  <c:v>23.98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F-4114-96C6-A7D1A9070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F-4114-96C6-A7D1A9070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Plots!$AN$7</c:f>
          <c:strCache>
            <c:ptCount val="1"/>
            <c:pt idx="0">
              <c:v>AARnetCBR-CamDTN1_tcpmon_tseries_22Feb24 3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0.79</c:v>
                </c:pt>
                <c:pt idx="10">
                  <c:v>1.1299999999999999</c:v>
                </c:pt>
                <c:pt idx="11">
                  <c:v>1.46</c:v>
                </c:pt>
                <c:pt idx="12">
                  <c:v>2.39</c:v>
                </c:pt>
                <c:pt idx="13">
                  <c:v>3.54</c:v>
                </c:pt>
                <c:pt idx="14">
                  <c:v>5.35</c:v>
                </c:pt>
                <c:pt idx="15">
                  <c:v>7.24</c:v>
                </c:pt>
                <c:pt idx="16">
                  <c:v>10.43</c:v>
                </c:pt>
                <c:pt idx="17">
                  <c:v>16.559999999999999</c:v>
                </c:pt>
                <c:pt idx="18">
                  <c:v>20.56</c:v>
                </c:pt>
                <c:pt idx="19">
                  <c:v>22.87</c:v>
                </c:pt>
                <c:pt idx="20">
                  <c:v>24.88</c:v>
                </c:pt>
                <c:pt idx="21">
                  <c:v>20.14</c:v>
                </c:pt>
                <c:pt idx="22">
                  <c:v>24.23</c:v>
                </c:pt>
                <c:pt idx="23">
                  <c:v>19.55</c:v>
                </c:pt>
                <c:pt idx="24">
                  <c:v>24.02</c:v>
                </c:pt>
                <c:pt idx="25">
                  <c:v>21.38</c:v>
                </c:pt>
                <c:pt idx="26">
                  <c:v>21.2</c:v>
                </c:pt>
                <c:pt idx="27">
                  <c:v>22.91</c:v>
                </c:pt>
                <c:pt idx="28">
                  <c:v>21.37</c:v>
                </c:pt>
                <c:pt idx="29">
                  <c:v>23.61</c:v>
                </c:pt>
                <c:pt idx="30">
                  <c:v>19.510000000000002</c:v>
                </c:pt>
                <c:pt idx="31">
                  <c:v>24.3</c:v>
                </c:pt>
                <c:pt idx="32">
                  <c:v>19.739999999999998</c:v>
                </c:pt>
                <c:pt idx="33">
                  <c:v>24.6</c:v>
                </c:pt>
                <c:pt idx="34">
                  <c:v>19.559999999999999</c:v>
                </c:pt>
                <c:pt idx="35">
                  <c:v>23.35</c:v>
                </c:pt>
                <c:pt idx="36">
                  <c:v>20.440000000000001</c:v>
                </c:pt>
                <c:pt idx="37">
                  <c:v>24.34</c:v>
                </c:pt>
                <c:pt idx="38">
                  <c:v>19.82</c:v>
                </c:pt>
                <c:pt idx="39">
                  <c:v>23.22</c:v>
                </c:pt>
                <c:pt idx="40">
                  <c:v>22.57</c:v>
                </c:pt>
                <c:pt idx="41">
                  <c:v>20.36</c:v>
                </c:pt>
                <c:pt idx="42">
                  <c:v>24.2</c:v>
                </c:pt>
                <c:pt idx="43">
                  <c:v>19.48</c:v>
                </c:pt>
                <c:pt idx="44">
                  <c:v>23.84</c:v>
                </c:pt>
                <c:pt idx="45">
                  <c:v>20.170000000000002</c:v>
                </c:pt>
                <c:pt idx="46">
                  <c:v>24.37</c:v>
                </c:pt>
                <c:pt idx="47">
                  <c:v>19.670000000000002</c:v>
                </c:pt>
                <c:pt idx="48">
                  <c:v>24.49</c:v>
                </c:pt>
                <c:pt idx="49">
                  <c:v>19.420000000000002</c:v>
                </c:pt>
                <c:pt idx="50">
                  <c:v>24.25</c:v>
                </c:pt>
                <c:pt idx="51">
                  <c:v>20.37</c:v>
                </c:pt>
                <c:pt idx="52">
                  <c:v>23.38</c:v>
                </c:pt>
                <c:pt idx="53">
                  <c:v>20.95</c:v>
                </c:pt>
                <c:pt idx="54">
                  <c:v>23.47</c:v>
                </c:pt>
                <c:pt idx="55">
                  <c:v>19.760000000000002</c:v>
                </c:pt>
                <c:pt idx="56">
                  <c:v>24.23</c:v>
                </c:pt>
                <c:pt idx="57">
                  <c:v>19.86</c:v>
                </c:pt>
                <c:pt idx="58">
                  <c:v>24.65</c:v>
                </c:pt>
                <c:pt idx="59">
                  <c:v>19.3</c:v>
                </c:pt>
                <c:pt idx="60">
                  <c:v>24.76</c:v>
                </c:pt>
                <c:pt idx="61">
                  <c:v>19.39</c:v>
                </c:pt>
                <c:pt idx="62">
                  <c:v>23.92</c:v>
                </c:pt>
                <c:pt idx="63">
                  <c:v>21.29</c:v>
                </c:pt>
                <c:pt idx="64">
                  <c:v>21.2</c:v>
                </c:pt>
                <c:pt idx="65">
                  <c:v>24.22</c:v>
                </c:pt>
                <c:pt idx="66">
                  <c:v>19.38</c:v>
                </c:pt>
                <c:pt idx="67">
                  <c:v>24.35</c:v>
                </c:pt>
                <c:pt idx="68">
                  <c:v>19.55</c:v>
                </c:pt>
                <c:pt idx="69">
                  <c:v>24.62</c:v>
                </c:pt>
                <c:pt idx="70">
                  <c:v>19.510000000000002</c:v>
                </c:pt>
                <c:pt idx="71">
                  <c:v>24.07</c:v>
                </c:pt>
                <c:pt idx="72">
                  <c:v>20.05</c:v>
                </c:pt>
                <c:pt idx="73">
                  <c:v>24.53</c:v>
                </c:pt>
                <c:pt idx="74">
                  <c:v>19.27</c:v>
                </c:pt>
                <c:pt idx="75">
                  <c:v>24.37</c:v>
                </c:pt>
                <c:pt idx="76">
                  <c:v>20.37</c:v>
                </c:pt>
                <c:pt idx="77">
                  <c:v>23.77</c:v>
                </c:pt>
                <c:pt idx="78">
                  <c:v>19.489999999999998</c:v>
                </c:pt>
                <c:pt idx="79">
                  <c:v>24.54</c:v>
                </c:pt>
                <c:pt idx="80">
                  <c:v>19.420000000000002</c:v>
                </c:pt>
                <c:pt idx="81">
                  <c:v>24.44</c:v>
                </c:pt>
                <c:pt idx="82">
                  <c:v>19.64</c:v>
                </c:pt>
                <c:pt idx="83">
                  <c:v>24.23</c:v>
                </c:pt>
                <c:pt idx="84">
                  <c:v>19.989999999999998</c:v>
                </c:pt>
                <c:pt idx="85">
                  <c:v>24.5</c:v>
                </c:pt>
                <c:pt idx="86">
                  <c:v>19.29</c:v>
                </c:pt>
                <c:pt idx="87">
                  <c:v>24.42</c:v>
                </c:pt>
                <c:pt idx="88">
                  <c:v>19.600000000000001</c:v>
                </c:pt>
                <c:pt idx="89">
                  <c:v>24.66</c:v>
                </c:pt>
                <c:pt idx="90">
                  <c:v>19.260000000000002</c:v>
                </c:pt>
                <c:pt idx="91">
                  <c:v>24.5</c:v>
                </c:pt>
                <c:pt idx="92">
                  <c:v>19.73</c:v>
                </c:pt>
                <c:pt idx="93">
                  <c:v>23.82</c:v>
                </c:pt>
                <c:pt idx="94">
                  <c:v>20.190000000000001</c:v>
                </c:pt>
                <c:pt idx="95">
                  <c:v>24.21</c:v>
                </c:pt>
                <c:pt idx="96">
                  <c:v>19.78</c:v>
                </c:pt>
                <c:pt idx="97">
                  <c:v>24.1</c:v>
                </c:pt>
                <c:pt idx="98">
                  <c:v>19.87</c:v>
                </c:pt>
                <c:pt idx="99">
                  <c:v>24.62</c:v>
                </c:pt>
                <c:pt idx="100">
                  <c:v>19.329999999999998</c:v>
                </c:pt>
                <c:pt idx="101">
                  <c:v>23.89</c:v>
                </c:pt>
                <c:pt idx="102">
                  <c:v>20.190000000000001</c:v>
                </c:pt>
                <c:pt idx="103">
                  <c:v>24.47</c:v>
                </c:pt>
                <c:pt idx="104">
                  <c:v>19.38</c:v>
                </c:pt>
                <c:pt idx="105">
                  <c:v>24.32</c:v>
                </c:pt>
                <c:pt idx="106">
                  <c:v>19.93</c:v>
                </c:pt>
                <c:pt idx="107">
                  <c:v>24.37</c:v>
                </c:pt>
                <c:pt idx="108">
                  <c:v>19.3</c:v>
                </c:pt>
                <c:pt idx="109">
                  <c:v>24.64</c:v>
                </c:pt>
                <c:pt idx="110">
                  <c:v>19.59</c:v>
                </c:pt>
                <c:pt idx="111">
                  <c:v>23.33</c:v>
                </c:pt>
                <c:pt idx="112">
                  <c:v>20.7</c:v>
                </c:pt>
                <c:pt idx="113">
                  <c:v>23.36</c:v>
                </c:pt>
                <c:pt idx="114">
                  <c:v>21.27</c:v>
                </c:pt>
                <c:pt idx="115">
                  <c:v>23.6</c:v>
                </c:pt>
                <c:pt idx="116">
                  <c:v>19.5</c:v>
                </c:pt>
                <c:pt idx="117">
                  <c:v>24.1</c:v>
                </c:pt>
                <c:pt idx="118">
                  <c:v>20.07</c:v>
                </c:pt>
                <c:pt idx="119">
                  <c:v>24.36</c:v>
                </c:pt>
                <c:pt idx="120">
                  <c:v>19.54</c:v>
                </c:pt>
                <c:pt idx="121">
                  <c:v>24</c:v>
                </c:pt>
                <c:pt idx="122">
                  <c:v>20.010000000000002</c:v>
                </c:pt>
                <c:pt idx="123">
                  <c:v>24.69</c:v>
                </c:pt>
                <c:pt idx="124">
                  <c:v>19.22</c:v>
                </c:pt>
                <c:pt idx="125">
                  <c:v>24.34</c:v>
                </c:pt>
                <c:pt idx="126">
                  <c:v>19.760000000000002</c:v>
                </c:pt>
                <c:pt idx="127">
                  <c:v>24.47</c:v>
                </c:pt>
                <c:pt idx="128">
                  <c:v>19.48</c:v>
                </c:pt>
                <c:pt idx="129">
                  <c:v>24.44</c:v>
                </c:pt>
                <c:pt idx="130">
                  <c:v>19.72</c:v>
                </c:pt>
                <c:pt idx="131">
                  <c:v>22.81</c:v>
                </c:pt>
                <c:pt idx="132">
                  <c:v>22.96</c:v>
                </c:pt>
                <c:pt idx="133">
                  <c:v>20.03</c:v>
                </c:pt>
                <c:pt idx="134">
                  <c:v>24.36</c:v>
                </c:pt>
                <c:pt idx="135">
                  <c:v>19.52</c:v>
                </c:pt>
                <c:pt idx="136">
                  <c:v>24.6</c:v>
                </c:pt>
                <c:pt idx="137">
                  <c:v>19.53</c:v>
                </c:pt>
                <c:pt idx="138">
                  <c:v>23.33</c:v>
                </c:pt>
                <c:pt idx="139">
                  <c:v>20.82</c:v>
                </c:pt>
                <c:pt idx="140">
                  <c:v>24.44</c:v>
                </c:pt>
                <c:pt idx="141">
                  <c:v>19.22</c:v>
                </c:pt>
                <c:pt idx="142">
                  <c:v>24.41</c:v>
                </c:pt>
                <c:pt idx="143">
                  <c:v>19.579999999999998</c:v>
                </c:pt>
                <c:pt idx="144">
                  <c:v>24.6</c:v>
                </c:pt>
                <c:pt idx="145">
                  <c:v>19.45</c:v>
                </c:pt>
                <c:pt idx="146">
                  <c:v>24.26</c:v>
                </c:pt>
                <c:pt idx="147">
                  <c:v>19.579999999999998</c:v>
                </c:pt>
                <c:pt idx="148">
                  <c:v>24.53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6-4D00-BE2B-ABA9FAEA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A6-4D00-BE2B-ABA9FAEA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Plots!$AV$1</c:f>
          <c:strCache>
            <c:ptCount val="1"/>
            <c:pt idx="0">
              <c:v>AARnetCBR-CamDTN1_tcpmon_tseries_22Feb24 4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0.54</c:v>
                </c:pt>
                <c:pt idx="9">
                  <c:v>0.79</c:v>
                </c:pt>
                <c:pt idx="10">
                  <c:v>1.1499999999999999</c:v>
                </c:pt>
                <c:pt idx="11">
                  <c:v>1.54</c:v>
                </c:pt>
                <c:pt idx="12">
                  <c:v>2.2599999999999998</c:v>
                </c:pt>
                <c:pt idx="13">
                  <c:v>3.55</c:v>
                </c:pt>
                <c:pt idx="14">
                  <c:v>5.25</c:v>
                </c:pt>
                <c:pt idx="15">
                  <c:v>7.76</c:v>
                </c:pt>
                <c:pt idx="16">
                  <c:v>10.35</c:v>
                </c:pt>
                <c:pt idx="17">
                  <c:v>13.65</c:v>
                </c:pt>
                <c:pt idx="18">
                  <c:v>20.02</c:v>
                </c:pt>
                <c:pt idx="19">
                  <c:v>21.82</c:v>
                </c:pt>
                <c:pt idx="20">
                  <c:v>28.7</c:v>
                </c:pt>
                <c:pt idx="21">
                  <c:v>19.55</c:v>
                </c:pt>
                <c:pt idx="22">
                  <c:v>25.19</c:v>
                </c:pt>
                <c:pt idx="23">
                  <c:v>23.03</c:v>
                </c:pt>
                <c:pt idx="24">
                  <c:v>26.33</c:v>
                </c:pt>
                <c:pt idx="25">
                  <c:v>23.94</c:v>
                </c:pt>
                <c:pt idx="26">
                  <c:v>27.79</c:v>
                </c:pt>
                <c:pt idx="27">
                  <c:v>24.91</c:v>
                </c:pt>
                <c:pt idx="28">
                  <c:v>28.55</c:v>
                </c:pt>
                <c:pt idx="29">
                  <c:v>28.29</c:v>
                </c:pt>
                <c:pt idx="30">
                  <c:v>26.29</c:v>
                </c:pt>
                <c:pt idx="31">
                  <c:v>24</c:v>
                </c:pt>
                <c:pt idx="32">
                  <c:v>22.21</c:v>
                </c:pt>
                <c:pt idx="33">
                  <c:v>21.37</c:v>
                </c:pt>
                <c:pt idx="34">
                  <c:v>23.14</c:v>
                </c:pt>
                <c:pt idx="35">
                  <c:v>21.54</c:v>
                </c:pt>
                <c:pt idx="36">
                  <c:v>24.14</c:v>
                </c:pt>
                <c:pt idx="37">
                  <c:v>25.54</c:v>
                </c:pt>
                <c:pt idx="38">
                  <c:v>23.15</c:v>
                </c:pt>
                <c:pt idx="39">
                  <c:v>25.1</c:v>
                </c:pt>
                <c:pt idx="40">
                  <c:v>25.72</c:v>
                </c:pt>
                <c:pt idx="41">
                  <c:v>25.81</c:v>
                </c:pt>
                <c:pt idx="42">
                  <c:v>22.49</c:v>
                </c:pt>
                <c:pt idx="43">
                  <c:v>25.42</c:v>
                </c:pt>
                <c:pt idx="44">
                  <c:v>25.43</c:v>
                </c:pt>
                <c:pt idx="45">
                  <c:v>24.77</c:v>
                </c:pt>
                <c:pt idx="46">
                  <c:v>28.21</c:v>
                </c:pt>
                <c:pt idx="47">
                  <c:v>24.08</c:v>
                </c:pt>
                <c:pt idx="48">
                  <c:v>25.79</c:v>
                </c:pt>
                <c:pt idx="49">
                  <c:v>24.42</c:v>
                </c:pt>
                <c:pt idx="50">
                  <c:v>26.33</c:v>
                </c:pt>
                <c:pt idx="51">
                  <c:v>26.52</c:v>
                </c:pt>
                <c:pt idx="52">
                  <c:v>24.03</c:v>
                </c:pt>
                <c:pt idx="53">
                  <c:v>25.48</c:v>
                </c:pt>
                <c:pt idx="54">
                  <c:v>25.77</c:v>
                </c:pt>
                <c:pt idx="55">
                  <c:v>24.81</c:v>
                </c:pt>
                <c:pt idx="56">
                  <c:v>27.76</c:v>
                </c:pt>
                <c:pt idx="57">
                  <c:v>26.38</c:v>
                </c:pt>
                <c:pt idx="58">
                  <c:v>22.62</c:v>
                </c:pt>
                <c:pt idx="59">
                  <c:v>27.32</c:v>
                </c:pt>
                <c:pt idx="60">
                  <c:v>27.74</c:v>
                </c:pt>
                <c:pt idx="61">
                  <c:v>26.23</c:v>
                </c:pt>
                <c:pt idx="62">
                  <c:v>25.37</c:v>
                </c:pt>
                <c:pt idx="63">
                  <c:v>27.21</c:v>
                </c:pt>
                <c:pt idx="64">
                  <c:v>27.13</c:v>
                </c:pt>
                <c:pt idx="65">
                  <c:v>19.27</c:v>
                </c:pt>
                <c:pt idx="66">
                  <c:v>21.01</c:v>
                </c:pt>
                <c:pt idx="67">
                  <c:v>21.47</c:v>
                </c:pt>
                <c:pt idx="68">
                  <c:v>24.1</c:v>
                </c:pt>
                <c:pt idx="69">
                  <c:v>24.34</c:v>
                </c:pt>
                <c:pt idx="70">
                  <c:v>24.91</c:v>
                </c:pt>
                <c:pt idx="71">
                  <c:v>26.62</c:v>
                </c:pt>
                <c:pt idx="72">
                  <c:v>25.74</c:v>
                </c:pt>
                <c:pt idx="73">
                  <c:v>26.26</c:v>
                </c:pt>
                <c:pt idx="74">
                  <c:v>24.86</c:v>
                </c:pt>
                <c:pt idx="75">
                  <c:v>27.21</c:v>
                </c:pt>
                <c:pt idx="76">
                  <c:v>28.12</c:v>
                </c:pt>
                <c:pt idx="77">
                  <c:v>27.54</c:v>
                </c:pt>
                <c:pt idx="78">
                  <c:v>27.91</c:v>
                </c:pt>
                <c:pt idx="79">
                  <c:v>25.42</c:v>
                </c:pt>
                <c:pt idx="80">
                  <c:v>26.9</c:v>
                </c:pt>
                <c:pt idx="81">
                  <c:v>28.16</c:v>
                </c:pt>
                <c:pt idx="82">
                  <c:v>18.7</c:v>
                </c:pt>
                <c:pt idx="83">
                  <c:v>21.2</c:v>
                </c:pt>
                <c:pt idx="84">
                  <c:v>21.69</c:v>
                </c:pt>
                <c:pt idx="85">
                  <c:v>21.81</c:v>
                </c:pt>
                <c:pt idx="86">
                  <c:v>23.16</c:v>
                </c:pt>
                <c:pt idx="87">
                  <c:v>22.35</c:v>
                </c:pt>
                <c:pt idx="88">
                  <c:v>23.25</c:v>
                </c:pt>
                <c:pt idx="89">
                  <c:v>23.99</c:v>
                </c:pt>
                <c:pt idx="90">
                  <c:v>23.24</c:v>
                </c:pt>
                <c:pt idx="91">
                  <c:v>23.24</c:v>
                </c:pt>
                <c:pt idx="92">
                  <c:v>26.31</c:v>
                </c:pt>
                <c:pt idx="93">
                  <c:v>21.84</c:v>
                </c:pt>
                <c:pt idx="94">
                  <c:v>25.64</c:v>
                </c:pt>
                <c:pt idx="95">
                  <c:v>22.82</c:v>
                </c:pt>
                <c:pt idx="96">
                  <c:v>25.04</c:v>
                </c:pt>
                <c:pt idx="97">
                  <c:v>25.08</c:v>
                </c:pt>
                <c:pt idx="98">
                  <c:v>23.49</c:v>
                </c:pt>
                <c:pt idx="99">
                  <c:v>26.24</c:v>
                </c:pt>
                <c:pt idx="100">
                  <c:v>23.26</c:v>
                </c:pt>
                <c:pt idx="101">
                  <c:v>25.51</c:v>
                </c:pt>
                <c:pt idx="102">
                  <c:v>22.75</c:v>
                </c:pt>
                <c:pt idx="103">
                  <c:v>24.13</c:v>
                </c:pt>
                <c:pt idx="104">
                  <c:v>26.83</c:v>
                </c:pt>
                <c:pt idx="105">
                  <c:v>22.71</c:v>
                </c:pt>
                <c:pt idx="106">
                  <c:v>24.62</c:v>
                </c:pt>
                <c:pt idx="107">
                  <c:v>23.73</c:v>
                </c:pt>
                <c:pt idx="108">
                  <c:v>23.91</c:v>
                </c:pt>
                <c:pt idx="109">
                  <c:v>26.08</c:v>
                </c:pt>
                <c:pt idx="110">
                  <c:v>23.71</c:v>
                </c:pt>
                <c:pt idx="111">
                  <c:v>25.22</c:v>
                </c:pt>
                <c:pt idx="112">
                  <c:v>26.67</c:v>
                </c:pt>
                <c:pt idx="113">
                  <c:v>25.97</c:v>
                </c:pt>
                <c:pt idx="114">
                  <c:v>24.93</c:v>
                </c:pt>
                <c:pt idx="115">
                  <c:v>26.87</c:v>
                </c:pt>
                <c:pt idx="116">
                  <c:v>25.03</c:v>
                </c:pt>
                <c:pt idx="117">
                  <c:v>28.51</c:v>
                </c:pt>
                <c:pt idx="118">
                  <c:v>27.45</c:v>
                </c:pt>
                <c:pt idx="119">
                  <c:v>28.16</c:v>
                </c:pt>
                <c:pt idx="120">
                  <c:v>26.83</c:v>
                </c:pt>
                <c:pt idx="121">
                  <c:v>25.57</c:v>
                </c:pt>
                <c:pt idx="122">
                  <c:v>21</c:v>
                </c:pt>
                <c:pt idx="123">
                  <c:v>26.53</c:v>
                </c:pt>
                <c:pt idx="124">
                  <c:v>24.42</c:v>
                </c:pt>
                <c:pt idx="125">
                  <c:v>23.35</c:v>
                </c:pt>
                <c:pt idx="126">
                  <c:v>27.81</c:v>
                </c:pt>
                <c:pt idx="127">
                  <c:v>25.84</c:v>
                </c:pt>
                <c:pt idx="128">
                  <c:v>27.82</c:v>
                </c:pt>
                <c:pt idx="129">
                  <c:v>27.48</c:v>
                </c:pt>
                <c:pt idx="130">
                  <c:v>27.39</c:v>
                </c:pt>
                <c:pt idx="131">
                  <c:v>28.32</c:v>
                </c:pt>
                <c:pt idx="132">
                  <c:v>18.05</c:v>
                </c:pt>
                <c:pt idx="133">
                  <c:v>23.38</c:v>
                </c:pt>
                <c:pt idx="134">
                  <c:v>22.61</c:v>
                </c:pt>
                <c:pt idx="135">
                  <c:v>23.15</c:v>
                </c:pt>
                <c:pt idx="136">
                  <c:v>22.86</c:v>
                </c:pt>
                <c:pt idx="137">
                  <c:v>25.05</c:v>
                </c:pt>
                <c:pt idx="138">
                  <c:v>26.06</c:v>
                </c:pt>
                <c:pt idx="139">
                  <c:v>23.4</c:v>
                </c:pt>
                <c:pt idx="140">
                  <c:v>24.25</c:v>
                </c:pt>
                <c:pt idx="141">
                  <c:v>26.71</c:v>
                </c:pt>
                <c:pt idx="142">
                  <c:v>24.37</c:v>
                </c:pt>
                <c:pt idx="143">
                  <c:v>28.06</c:v>
                </c:pt>
                <c:pt idx="144">
                  <c:v>25.01</c:v>
                </c:pt>
                <c:pt idx="145">
                  <c:v>26.74</c:v>
                </c:pt>
                <c:pt idx="146">
                  <c:v>25.66</c:v>
                </c:pt>
                <c:pt idx="147">
                  <c:v>24.94</c:v>
                </c:pt>
                <c:pt idx="148">
                  <c:v>28.39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9-486C-8770-B9FA36844C86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3.33</c:v>
                </c:pt>
                <c:pt idx="6">
                  <c:v>4.25</c:v>
                </c:pt>
                <c:pt idx="7">
                  <c:v>6.96</c:v>
                </c:pt>
                <c:pt idx="8">
                  <c:v>9.51</c:v>
                </c:pt>
                <c:pt idx="9">
                  <c:v>16.09</c:v>
                </c:pt>
                <c:pt idx="10">
                  <c:v>16.78</c:v>
                </c:pt>
                <c:pt idx="11">
                  <c:v>22.8</c:v>
                </c:pt>
                <c:pt idx="12">
                  <c:v>26.58</c:v>
                </c:pt>
                <c:pt idx="13">
                  <c:v>26.54</c:v>
                </c:pt>
                <c:pt idx="14">
                  <c:v>26.21</c:v>
                </c:pt>
                <c:pt idx="15">
                  <c:v>24.36</c:v>
                </c:pt>
                <c:pt idx="16">
                  <c:v>25.83</c:v>
                </c:pt>
                <c:pt idx="17">
                  <c:v>23.68</c:v>
                </c:pt>
                <c:pt idx="18">
                  <c:v>26.41</c:v>
                </c:pt>
                <c:pt idx="19">
                  <c:v>24.36</c:v>
                </c:pt>
                <c:pt idx="20">
                  <c:v>22.28</c:v>
                </c:pt>
                <c:pt idx="21">
                  <c:v>20.27</c:v>
                </c:pt>
                <c:pt idx="22">
                  <c:v>20.9</c:v>
                </c:pt>
                <c:pt idx="23">
                  <c:v>24.5</c:v>
                </c:pt>
                <c:pt idx="24">
                  <c:v>22.26</c:v>
                </c:pt>
                <c:pt idx="25">
                  <c:v>26.02</c:v>
                </c:pt>
                <c:pt idx="26">
                  <c:v>23.11</c:v>
                </c:pt>
                <c:pt idx="27">
                  <c:v>27.11</c:v>
                </c:pt>
                <c:pt idx="28">
                  <c:v>24.95</c:v>
                </c:pt>
                <c:pt idx="29">
                  <c:v>25.38</c:v>
                </c:pt>
                <c:pt idx="30">
                  <c:v>27.67</c:v>
                </c:pt>
                <c:pt idx="31">
                  <c:v>19.03</c:v>
                </c:pt>
                <c:pt idx="32">
                  <c:v>22.21</c:v>
                </c:pt>
                <c:pt idx="33">
                  <c:v>21.29</c:v>
                </c:pt>
                <c:pt idx="34">
                  <c:v>20.48</c:v>
                </c:pt>
                <c:pt idx="35">
                  <c:v>19.920000000000002</c:v>
                </c:pt>
                <c:pt idx="36">
                  <c:v>24.91</c:v>
                </c:pt>
                <c:pt idx="37">
                  <c:v>21.86</c:v>
                </c:pt>
                <c:pt idx="38">
                  <c:v>21.31</c:v>
                </c:pt>
                <c:pt idx="39">
                  <c:v>25.57</c:v>
                </c:pt>
                <c:pt idx="40">
                  <c:v>22.31</c:v>
                </c:pt>
                <c:pt idx="41">
                  <c:v>24.67</c:v>
                </c:pt>
                <c:pt idx="42">
                  <c:v>22.93</c:v>
                </c:pt>
                <c:pt idx="43">
                  <c:v>23.68</c:v>
                </c:pt>
                <c:pt idx="44">
                  <c:v>24.79</c:v>
                </c:pt>
                <c:pt idx="45">
                  <c:v>22.58</c:v>
                </c:pt>
                <c:pt idx="46">
                  <c:v>25.38</c:v>
                </c:pt>
                <c:pt idx="47">
                  <c:v>23.47</c:v>
                </c:pt>
                <c:pt idx="48">
                  <c:v>24.93</c:v>
                </c:pt>
                <c:pt idx="49">
                  <c:v>23.15</c:v>
                </c:pt>
                <c:pt idx="50">
                  <c:v>24.66</c:v>
                </c:pt>
                <c:pt idx="51">
                  <c:v>23.53</c:v>
                </c:pt>
                <c:pt idx="52">
                  <c:v>22.53</c:v>
                </c:pt>
                <c:pt idx="53">
                  <c:v>25.56</c:v>
                </c:pt>
                <c:pt idx="54">
                  <c:v>24.39</c:v>
                </c:pt>
                <c:pt idx="55">
                  <c:v>22.59</c:v>
                </c:pt>
                <c:pt idx="56">
                  <c:v>26.7</c:v>
                </c:pt>
                <c:pt idx="57">
                  <c:v>24.36</c:v>
                </c:pt>
                <c:pt idx="58">
                  <c:v>22.11</c:v>
                </c:pt>
                <c:pt idx="59">
                  <c:v>27.05</c:v>
                </c:pt>
                <c:pt idx="60">
                  <c:v>23.25</c:v>
                </c:pt>
                <c:pt idx="61">
                  <c:v>26.7</c:v>
                </c:pt>
                <c:pt idx="62">
                  <c:v>25.7</c:v>
                </c:pt>
                <c:pt idx="63">
                  <c:v>25.72</c:v>
                </c:pt>
                <c:pt idx="64">
                  <c:v>26.41</c:v>
                </c:pt>
                <c:pt idx="65">
                  <c:v>16.25</c:v>
                </c:pt>
                <c:pt idx="66">
                  <c:v>22.25</c:v>
                </c:pt>
                <c:pt idx="67">
                  <c:v>21.17</c:v>
                </c:pt>
                <c:pt idx="68">
                  <c:v>21.24</c:v>
                </c:pt>
                <c:pt idx="69">
                  <c:v>25.22</c:v>
                </c:pt>
                <c:pt idx="70">
                  <c:v>23.36</c:v>
                </c:pt>
                <c:pt idx="71">
                  <c:v>24.31</c:v>
                </c:pt>
                <c:pt idx="72">
                  <c:v>25.18</c:v>
                </c:pt>
                <c:pt idx="73">
                  <c:v>23.72</c:v>
                </c:pt>
                <c:pt idx="74">
                  <c:v>28.02</c:v>
                </c:pt>
                <c:pt idx="75">
                  <c:v>26.01</c:v>
                </c:pt>
                <c:pt idx="76">
                  <c:v>23.88</c:v>
                </c:pt>
                <c:pt idx="77">
                  <c:v>28.02</c:v>
                </c:pt>
                <c:pt idx="78">
                  <c:v>25.86</c:v>
                </c:pt>
                <c:pt idx="79">
                  <c:v>25.43</c:v>
                </c:pt>
                <c:pt idx="80">
                  <c:v>26.15</c:v>
                </c:pt>
                <c:pt idx="81">
                  <c:v>27.95</c:v>
                </c:pt>
                <c:pt idx="82">
                  <c:v>16.09</c:v>
                </c:pt>
                <c:pt idx="83">
                  <c:v>19.78</c:v>
                </c:pt>
                <c:pt idx="84">
                  <c:v>22.01</c:v>
                </c:pt>
                <c:pt idx="85">
                  <c:v>21.5</c:v>
                </c:pt>
                <c:pt idx="86">
                  <c:v>21.96</c:v>
                </c:pt>
                <c:pt idx="87">
                  <c:v>21.89</c:v>
                </c:pt>
                <c:pt idx="88">
                  <c:v>19.78</c:v>
                </c:pt>
                <c:pt idx="89">
                  <c:v>24.95</c:v>
                </c:pt>
                <c:pt idx="90">
                  <c:v>20.6</c:v>
                </c:pt>
                <c:pt idx="91">
                  <c:v>25.61</c:v>
                </c:pt>
                <c:pt idx="92">
                  <c:v>20.91</c:v>
                </c:pt>
                <c:pt idx="93">
                  <c:v>24.73</c:v>
                </c:pt>
                <c:pt idx="94">
                  <c:v>23.47</c:v>
                </c:pt>
                <c:pt idx="95">
                  <c:v>23.4</c:v>
                </c:pt>
                <c:pt idx="96">
                  <c:v>23.51</c:v>
                </c:pt>
                <c:pt idx="97">
                  <c:v>22.32</c:v>
                </c:pt>
                <c:pt idx="98">
                  <c:v>26.24</c:v>
                </c:pt>
                <c:pt idx="99">
                  <c:v>21.3</c:v>
                </c:pt>
                <c:pt idx="100">
                  <c:v>23.42</c:v>
                </c:pt>
                <c:pt idx="101">
                  <c:v>25.04</c:v>
                </c:pt>
                <c:pt idx="102">
                  <c:v>24.29</c:v>
                </c:pt>
                <c:pt idx="103">
                  <c:v>22.49</c:v>
                </c:pt>
                <c:pt idx="104">
                  <c:v>24.4</c:v>
                </c:pt>
                <c:pt idx="105">
                  <c:v>22.25</c:v>
                </c:pt>
                <c:pt idx="106">
                  <c:v>24.91</c:v>
                </c:pt>
                <c:pt idx="107">
                  <c:v>22.06</c:v>
                </c:pt>
                <c:pt idx="108">
                  <c:v>26.12</c:v>
                </c:pt>
                <c:pt idx="109">
                  <c:v>25.38</c:v>
                </c:pt>
                <c:pt idx="110">
                  <c:v>22.84</c:v>
                </c:pt>
                <c:pt idx="111">
                  <c:v>26.01</c:v>
                </c:pt>
                <c:pt idx="112">
                  <c:v>25.44</c:v>
                </c:pt>
                <c:pt idx="113">
                  <c:v>26.55</c:v>
                </c:pt>
                <c:pt idx="114">
                  <c:v>26.22</c:v>
                </c:pt>
                <c:pt idx="115">
                  <c:v>25.76</c:v>
                </c:pt>
                <c:pt idx="116">
                  <c:v>28.18</c:v>
                </c:pt>
                <c:pt idx="117">
                  <c:v>24.21</c:v>
                </c:pt>
                <c:pt idx="118">
                  <c:v>28.11</c:v>
                </c:pt>
                <c:pt idx="119">
                  <c:v>26.21</c:v>
                </c:pt>
                <c:pt idx="120">
                  <c:v>24.2</c:v>
                </c:pt>
                <c:pt idx="121">
                  <c:v>23.96</c:v>
                </c:pt>
                <c:pt idx="122">
                  <c:v>19.96</c:v>
                </c:pt>
                <c:pt idx="123">
                  <c:v>20.37</c:v>
                </c:pt>
                <c:pt idx="124">
                  <c:v>22.48</c:v>
                </c:pt>
                <c:pt idx="125">
                  <c:v>22.56</c:v>
                </c:pt>
                <c:pt idx="126">
                  <c:v>27.18</c:v>
                </c:pt>
                <c:pt idx="127">
                  <c:v>22.72</c:v>
                </c:pt>
                <c:pt idx="128">
                  <c:v>26.17</c:v>
                </c:pt>
                <c:pt idx="129">
                  <c:v>25.41</c:v>
                </c:pt>
                <c:pt idx="130">
                  <c:v>26.69</c:v>
                </c:pt>
                <c:pt idx="131">
                  <c:v>25.75</c:v>
                </c:pt>
                <c:pt idx="132">
                  <c:v>20.2</c:v>
                </c:pt>
                <c:pt idx="133">
                  <c:v>20.440000000000001</c:v>
                </c:pt>
                <c:pt idx="134">
                  <c:v>18.29</c:v>
                </c:pt>
                <c:pt idx="135">
                  <c:v>22.26</c:v>
                </c:pt>
                <c:pt idx="136">
                  <c:v>21.34</c:v>
                </c:pt>
                <c:pt idx="137">
                  <c:v>22.58</c:v>
                </c:pt>
                <c:pt idx="138">
                  <c:v>22.26</c:v>
                </c:pt>
                <c:pt idx="139">
                  <c:v>21.81</c:v>
                </c:pt>
                <c:pt idx="140">
                  <c:v>23.53</c:v>
                </c:pt>
                <c:pt idx="141">
                  <c:v>22.87</c:v>
                </c:pt>
                <c:pt idx="142">
                  <c:v>20.92</c:v>
                </c:pt>
                <c:pt idx="143">
                  <c:v>24.88</c:v>
                </c:pt>
                <c:pt idx="144">
                  <c:v>22.98</c:v>
                </c:pt>
                <c:pt idx="145">
                  <c:v>22.89</c:v>
                </c:pt>
                <c:pt idx="146">
                  <c:v>22.46</c:v>
                </c:pt>
                <c:pt idx="147">
                  <c:v>25.38</c:v>
                </c:pt>
                <c:pt idx="148">
                  <c:v>23.65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9-486C-8770-B9FA36844C86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F9-486C-8770-B9FA36844C86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0.52</c:v>
                </c:pt>
                <c:pt idx="9">
                  <c:v>0.69</c:v>
                </c:pt>
                <c:pt idx="10">
                  <c:v>1.1299999999999999</c:v>
                </c:pt>
                <c:pt idx="11">
                  <c:v>1.62</c:v>
                </c:pt>
                <c:pt idx="12">
                  <c:v>2.44</c:v>
                </c:pt>
                <c:pt idx="13">
                  <c:v>3.48</c:v>
                </c:pt>
                <c:pt idx="14">
                  <c:v>5.1100000000000003</c:v>
                </c:pt>
                <c:pt idx="15">
                  <c:v>7.11</c:v>
                </c:pt>
                <c:pt idx="16">
                  <c:v>10.99</c:v>
                </c:pt>
                <c:pt idx="17">
                  <c:v>15</c:v>
                </c:pt>
                <c:pt idx="18">
                  <c:v>17.84</c:v>
                </c:pt>
                <c:pt idx="19">
                  <c:v>22.24</c:v>
                </c:pt>
                <c:pt idx="20">
                  <c:v>20.81</c:v>
                </c:pt>
                <c:pt idx="21">
                  <c:v>14.92</c:v>
                </c:pt>
                <c:pt idx="22">
                  <c:v>19.25</c:v>
                </c:pt>
                <c:pt idx="23">
                  <c:v>19.350000000000001</c:v>
                </c:pt>
                <c:pt idx="24">
                  <c:v>20.420000000000002</c:v>
                </c:pt>
                <c:pt idx="25">
                  <c:v>20.440000000000001</c:v>
                </c:pt>
                <c:pt idx="26">
                  <c:v>19.63</c:v>
                </c:pt>
                <c:pt idx="27">
                  <c:v>18.579999999999998</c:v>
                </c:pt>
                <c:pt idx="28">
                  <c:v>19.649999999999999</c:v>
                </c:pt>
                <c:pt idx="29">
                  <c:v>17.829999999999998</c:v>
                </c:pt>
                <c:pt idx="30">
                  <c:v>19.77</c:v>
                </c:pt>
                <c:pt idx="31">
                  <c:v>17.77</c:v>
                </c:pt>
                <c:pt idx="32">
                  <c:v>16.72</c:v>
                </c:pt>
                <c:pt idx="33">
                  <c:v>16.52</c:v>
                </c:pt>
                <c:pt idx="34">
                  <c:v>17.53</c:v>
                </c:pt>
                <c:pt idx="35">
                  <c:v>17.170000000000002</c:v>
                </c:pt>
                <c:pt idx="36">
                  <c:v>17.649999999999999</c:v>
                </c:pt>
                <c:pt idx="37">
                  <c:v>18.75</c:v>
                </c:pt>
                <c:pt idx="38">
                  <c:v>17.350000000000001</c:v>
                </c:pt>
                <c:pt idx="39">
                  <c:v>18.190000000000001</c:v>
                </c:pt>
                <c:pt idx="40">
                  <c:v>19.670000000000002</c:v>
                </c:pt>
                <c:pt idx="41">
                  <c:v>19.420000000000002</c:v>
                </c:pt>
                <c:pt idx="42">
                  <c:v>17.87</c:v>
                </c:pt>
                <c:pt idx="43">
                  <c:v>19.829999999999998</c:v>
                </c:pt>
                <c:pt idx="44">
                  <c:v>19.260000000000002</c:v>
                </c:pt>
                <c:pt idx="45">
                  <c:v>18.25</c:v>
                </c:pt>
                <c:pt idx="46">
                  <c:v>18.55</c:v>
                </c:pt>
                <c:pt idx="47">
                  <c:v>19.100000000000001</c:v>
                </c:pt>
                <c:pt idx="48">
                  <c:v>20.03</c:v>
                </c:pt>
                <c:pt idx="49">
                  <c:v>18.22</c:v>
                </c:pt>
                <c:pt idx="50">
                  <c:v>20.03</c:v>
                </c:pt>
                <c:pt idx="51">
                  <c:v>18.38</c:v>
                </c:pt>
                <c:pt idx="52">
                  <c:v>19.920000000000002</c:v>
                </c:pt>
                <c:pt idx="53">
                  <c:v>19.14</c:v>
                </c:pt>
                <c:pt idx="54">
                  <c:v>18.079999999999998</c:v>
                </c:pt>
                <c:pt idx="55">
                  <c:v>20.56</c:v>
                </c:pt>
                <c:pt idx="56">
                  <c:v>17.21</c:v>
                </c:pt>
                <c:pt idx="57">
                  <c:v>20.87</c:v>
                </c:pt>
                <c:pt idx="58">
                  <c:v>18.39</c:v>
                </c:pt>
                <c:pt idx="59">
                  <c:v>22.3</c:v>
                </c:pt>
                <c:pt idx="60">
                  <c:v>19.46</c:v>
                </c:pt>
                <c:pt idx="61">
                  <c:v>18.73</c:v>
                </c:pt>
                <c:pt idx="62">
                  <c:v>20.23</c:v>
                </c:pt>
                <c:pt idx="63">
                  <c:v>20.36</c:v>
                </c:pt>
                <c:pt idx="64">
                  <c:v>18.850000000000001</c:v>
                </c:pt>
                <c:pt idx="65">
                  <c:v>14.68</c:v>
                </c:pt>
                <c:pt idx="66">
                  <c:v>17.399999999999999</c:v>
                </c:pt>
                <c:pt idx="67">
                  <c:v>16.14</c:v>
                </c:pt>
                <c:pt idx="68">
                  <c:v>18.18</c:v>
                </c:pt>
                <c:pt idx="69">
                  <c:v>20.23</c:v>
                </c:pt>
                <c:pt idx="70">
                  <c:v>21.12</c:v>
                </c:pt>
                <c:pt idx="71">
                  <c:v>19.77</c:v>
                </c:pt>
                <c:pt idx="72">
                  <c:v>19.57</c:v>
                </c:pt>
                <c:pt idx="73">
                  <c:v>21.3</c:v>
                </c:pt>
                <c:pt idx="74">
                  <c:v>20.3</c:v>
                </c:pt>
                <c:pt idx="75">
                  <c:v>19.47</c:v>
                </c:pt>
                <c:pt idx="76">
                  <c:v>19.190000000000001</c:v>
                </c:pt>
                <c:pt idx="77">
                  <c:v>17.21</c:v>
                </c:pt>
                <c:pt idx="78">
                  <c:v>19.350000000000001</c:v>
                </c:pt>
                <c:pt idx="79">
                  <c:v>19</c:v>
                </c:pt>
                <c:pt idx="80">
                  <c:v>19.05</c:v>
                </c:pt>
                <c:pt idx="81">
                  <c:v>19.52</c:v>
                </c:pt>
                <c:pt idx="82">
                  <c:v>14.24</c:v>
                </c:pt>
                <c:pt idx="83">
                  <c:v>16.32</c:v>
                </c:pt>
                <c:pt idx="84">
                  <c:v>17.190000000000001</c:v>
                </c:pt>
                <c:pt idx="85">
                  <c:v>16.75</c:v>
                </c:pt>
                <c:pt idx="86">
                  <c:v>17.32</c:v>
                </c:pt>
                <c:pt idx="87">
                  <c:v>17.16</c:v>
                </c:pt>
                <c:pt idx="88">
                  <c:v>17.09</c:v>
                </c:pt>
                <c:pt idx="89">
                  <c:v>19.600000000000001</c:v>
                </c:pt>
                <c:pt idx="90">
                  <c:v>17.38</c:v>
                </c:pt>
                <c:pt idx="91">
                  <c:v>19.27</c:v>
                </c:pt>
                <c:pt idx="92">
                  <c:v>17.05</c:v>
                </c:pt>
                <c:pt idx="93">
                  <c:v>19.5</c:v>
                </c:pt>
                <c:pt idx="94">
                  <c:v>18.600000000000001</c:v>
                </c:pt>
                <c:pt idx="95">
                  <c:v>17.93</c:v>
                </c:pt>
                <c:pt idx="96">
                  <c:v>19.670000000000002</c:v>
                </c:pt>
                <c:pt idx="97">
                  <c:v>17.190000000000001</c:v>
                </c:pt>
                <c:pt idx="98">
                  <c:v>19.21</c:v>
                </c:pt>
                <c:pt idx="99">
                  <c:v>18.32</c:v>
                </c:pt>
                <c:pt idx="100">
                  <c:v>19.670000000000002</c:v>
                </c:pt>
                <c:pt idx="101">
                  <c:v>18.18</c:v>
                </c:pt>
                <c:pt idx="102">
                  <c:v>19.079999999999998</c:v>
                </c:pt>
                <c:pt idx="103">
                  <c:v>18</c:v>
                </c:pt>
                <c:pt idx="104">
                  <c:v>19.23</c:v>
                </c:pt>
                <c:pt idx="105">
                  <c:v>18.940000000000001</c:v>
                </c:pt>
                <c:pt idx="106">
                  <c:v>18.2</c:v>
                </c:pt>
                <c:pt idx="107">
                  <c:v>18.309999999999999</c:v>
                </c:pt>
                <c:pt idx="108">
                  <c:v>19.329999999999998</c:v>
                </c:pt>
                <c:pt idx="109">
                  <c:v>21.15</c:v>
                </c:pt>
                <c:pt idx="110">
                  <c:v>19.64</c:v>
                </c:pt>
                <c:pt idx="111">
                  <c:v>20.079999999999998</c:v>
                </c:pt>
                <c:pt idx="112">
                  <c:v>19.21</c:v>
                </c:pt>
                <c:pt idx="113">
                  <c:v>18.68</c:v>
                </c:pt>
                <c:pt idx="114">
                  <c:v>20.68</c:v>
                </c:pt>
                <c:pt idx="115">
                  <c:v>20.5</c:v>
                </c:pt>
                <c:pt idx="116">
                  <c:v>18.34</c:v>
                </c:pt>
                <c:pt idx="117">
                  <c:v>18.72</c:v>
                </c:pt>
                <c:pt idx="118">
                  <c:v>18.25</c:v>
                </c:pt>
                <c:pt idx="119">
                  <c:v>19.27</c:v>
                </c:pt>
                <c:pt idx="120">
                  <c:v>20.059999999999999</c:v>
                </c:pt>
                <c:pt idx="121">
                  <c:v>15.4</c:v>
                </c:pt>
                <c:pt idx="122">
                  <c:v>18.059999999999999</c:v>
                </c:pt>
                <c:pt idx="123">
                  <c:v>19.43</c:v>
                </c:pt>
                <c:pt idx="124">
                  <c:v>22.09</c:v>
                </c:pt>
                <c:pt idx="125">
                  <c:v>18.989999999999998</c:v>
                </c:pt>
                <c:pt idx="126">
                  <c:v>20.97</c:v>
                </c:pt>
                <c:pt idx="127">
                  <c:v>21.09</c:v>
                </c:pt>
                <c:pt idx="128">
                  <c:v>20.54</c:v>
                </c:pt>
                <c:pt idx="129">
                  <c:v>19.170000000000002</c:v>
                </c:pt>
                <c:pt idx="130">
                  <c:v>18.399999999999999</c:v>
                </c:pt>
                <c:pt idx="131">
                  <c:v>18.7</c:v>
                </c:pt>
                <c:pt idx="132">
                  <c:v>15.28</c:v>
                </c:pt>
                <c:pt idx="133">
                  <c:v>18.440000000000001</c:v>
                </c:pt>
                <c:pt idx="134">
                  <c:v>17.13</c:v>
                </c:pt>
                <c:pt idx="135">
                  <c:v>18.23</c:v>
                </c:pt>
                <c:pt idx="136">
                  <c:v>18.55</c:v>
                </c:pt>
                <c:pt idx="137">
                  <c:v>18.850000000000001</c:v>
                </c:pt>
                <c:pt idx="138">
                  <c:v>17.21</c:v>
                </c:pt>
                <c:pt idx="139">
                  <c:v>18.75</c:v>
                </c:pt>
                <c:pt idx="140">
                  <c:v>20.66</c:v>
                </c:pt>
                <c:pt idx="141">
                  <c:v>20.350000000000001</c:v>
                </c:pt>
                <c:pt idx="142">
                  <c:v>18</c:v>
                </c:pt>
                <c:pt idx="143">
                  <c:v>19.82</c:v>
                </c:pt>
                <c:pt idx="144">
                  <c:v>20.86</c:v>
                </c:pt>
                <c:pt idx="145">
                  <c:v>20.149999999999999</c:v>
                </c:pt>
                <c:pt idx="146">
                  <c:v>19.25</c:v>
                </c:pt>
                <c:pt idx="147">
                  <c:v>20.28</c:v>
                </c:pt>
                <c:pt idx="148">
                  <c:v>19.55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F9-486C-8770-B9FA36844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Plots!$AM$1</c:f>
          <c:strCache>
            <c:ptCount val="1"/>
            <c:pt idx="0">
              <c:v>AARnetCBR-CamDTN1_tcpmon_tseries_22Feb24 3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0.67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3.57</c:v>
                </c:pt>
                <c:pt idx="7">
                  <c:v>4.88</c:v>
                </c:pt>
                <c:pt idx="8">
                  <c:v>7.36</c:v>
                </c:pt>
                <c:pt idx="9">
                  <c:v>11.29</c:v>
                </c:pt>
                <c:pt idx="10">
                  <c:v>15.08</c:v>
                </c:pt>
                <c:pt idx="11">
                  <c:v>17.89</c:v>
                </c:pt>
                <c:pt idx="12">
                  <c:v>25.68</c:v>
                </c:pt>
                <c:pt idx="13">
                  <c:v>23.23</c:v>
                </c:pt>
                <c:pt idx="14">
                  <c:v>23.53</c:v>
                </c:pt>
                <c:pt idx="15">
                  <c:v>24.1</c:v>
                </c:pt>
                <c:pt idx="16">
                  <c:v>23</c:v>
                </c:pt>
                <c:pt idx="17">
                  <c:v>21.35</c:v>
                </c:pt>
                <c:pt idx="18">
                  <c:v>24.5</c:v>
                </c:pt>
                <c:pt idx="19">
                  <c:v>19.29</c:v>
                </c:pt>
                <c:pt idx="20">
                  <c:v>25.25</c:v>
                </c:pt>
                <c:pt idx="21">
                  <c:v>20.57</c:v>
                </c:pt>
                <c:pt idx="22">
                  <c:v>23.32</c:v>
                </c:pt>
                <c:pt idx="23">
                  <c:v>20.32</c:v>
                </c:pt>
                <c:pt idx="24">
                  <c:v>24.39</c:v>
                </c:pt>
                <c:pt idx="25">
                  <c:v>21.94</c:v>
                </c:pt>
                <c:pt idx="26">
                  <c:v>19.84</c:v>
                </c:pt>
                <c:pt idx="27">
                  <c:v>23.73</c:v>
                </c:pt>
                <c:pt idx="28">
                  <c:v>21.45</c:v>
                </c:pt>
                <c:pt idx="29">
                  <c:v>23.34</c:v>
                </c:pt>
                <c:pt idx="30">
                  <c:v>19.54</c:v>
                </c:pt>
                <c:pt idx="31">
                  <c:v>24.63</c:v>
                </c:pt>
                <c:pt idx="32">
                  <c:v>19.5</c:v>
                </c:pt>
                <c:pt idx="33">
                  <c:v>24.4</c:v>
                </c:pt>
                <c:pt idx="34">
                  <c:v>19.61</c:v>
                </c:pt>
                <c:pt idx="35">
                  <c:v>24.19</c:v>
                </c:pt>
                <c:pt idx="36">
                  <c:v>19.850000000000001</c:v>
                </c:pt>
                <c:pt idx="37">
                  <c:v>24.61</c:v>
                </c:pt>
                <c:pt idx="38">
                  <c:v>19.239999999999998</c:v>
                </c:pt>
                <c:pt idx="39">
                  <c:v>23.42</c:v>
                </c:pt>
                <c:pt idx="40">
                  <c:v>22.64</c:v>
                </c:pt>
                <c:pt idx="41">
                  <c:v>20.83</c:v>
                </c:pt>
                <c:pt idx="42">
                  <c:v>23.75</c:v>
                </c:pt>
                <c:pt idx="43">
                  <c:v>19.47</c:v>
                </c:pt>
                <c:pt idx="44">
                  <c:v>24.33</c:v>
                </c:pt>
                <c:pt idx="45">
                  <c:v>20.239999999999998</c:v>
                </c:pt>
                <c:pt idx="46">
                  <c:v>23.8</c:v>
                </c:pt>
                <c:pt idx="47">
                  <c:v>19.920000000000002</c:v>
                </c:pt>
                <c:pt idx="48">
                  <c:v>24.3</c:v>
                </c:pt>
                <c:pt idx="49">
                  <c:v>20.07</c:v>
                </c:pt>
                <c:pt idx="50">
                  <c:v>23.71</c:v>
                </c:pt>
                <c:pt idx="51">
                  <c:v>20.239999999999998</c:v>
                </c:pt>
                <c:pt idx="52">
                  <c:v>24.08</c:v>
                </c:pt>
                <c:pt idx="53">
                  <c:v>20.09</c:v>
                </c:pt>
                <c:pt idx="54">
                  <c:v>23.51</c:v>
                </c:pt>
                <c:pt idx="55">
                  <c:v>20.34</c:v>
                </c:pt>
                <c:pt idx="56">
                  <c:v>24.62</c:v>
                </c:pt>
                <c:pt idx="57">
                  <c:v>19.39</c:v>
                </c:pt>
                <c:pt idx="58">
                  <c:v>24.16</c:v>
                </c:pt>
                <c:pt idx="59">
                  <c:v>19.850000000000001</c:v>
                </c:pt>
                <c:pt idx="60">
                  <c:v>24.55</c:v>
                </c:pt>
                <c:pt idx="61">
                  <c:v>19.7</c:v>
                </c:pt>
                <c:pt idx="62">
                  <c:v>24.32</c:v>
                </c:pt>
                <c:pt idx="63">
                  <c:v>21.66</c:v>
                </c:pt>
                <c:pt idx="64">
                  <c:v>20.67</c:v>
                </c:pt>
                <c:pt idx="65">
                  <c:v>23.79</c:v>
                </c:pt>
                <c:pt idx="66">
                  <c:v>19.399999999999999</c:v>
                </c:pt>
                <c:pt idx="67">
                  <c:v>24.66</c:v>
                </c:pt>
                <c:pt idx="68">
                  <c:v>19.559999999999999</c:v>
                </c:pt>
                <c:pt idx="69">
                  <c:v>24.03</c:v>
                </c:pt>
                <c:pt idx="70">
                  <c:v>19.739999999999998</c:v>
                </c:pt>
                <c:pt idx="71">
                  <c:v>24.87</c:v>
                </c:pt>
                <c:pt idx="72">
                  <c:v>19.899999999999999</c:v>
                </c:pt>
                <c:pt idx="73">
                  <c:v>23.75</c:v>
                </c:pt>
                <c:pt idx="74">
                  <c:v>19.95</c:v>
                </c:pt>
                <c:pt idx="75">
                  <c:v>24.1</c:v>
                </c:pt>
                <c:pt idx="76">
                  <c:v>20.72</c:v>
                </c:pt>
                <c:pt idx="77">
                  <c:v>23.72</c:v>
                </c:pt>
                <c:pt idx="78">
                  <c:v>19.39</c:v>
                </c:pt>
                <c:pt idx="79">
                  <c:v>24.73</c:v>
                </c:pt>
                <c:pt idx="80">
                  <c:v>19.38</c:v>
                </c:pt>
                <c:pt idx="81">
                  <c:v>24.16</c:v>
                </c:pt>
                <c:pt idx="82">
                  <c:v>20.07</c:v>
                </c:pt>
                <c:pt idx="83">
                  <c:v>23.46</c:v>
                </c:pt>
                <c:pt idx="84">
                  <c:v>20.66</c:v>
                </c:pt>
                <c:pt idx="85">
                  <c:v>24.4</c:v>
                </c:pt>
                <c:pt idx="86">
                  <c:v>19.670000000000002</c:v>
                </c:pt>
                <c:pt idx="87">
                  <c:v>24.27</c:v>
                </c:pt>
                <c:pt idx="88">
                  <c:v>19.79</c:v>
                </c:pt>
                <c:pt idx="89">
                  <c:v>23.98</c:v>
                </c:pt>
                <c:pt idx="90">
                  <c:v>19.829999999999998</c:v>
                </c:pt>
                <c:pt idx="91">
                  <c:v>24.57</c:v>
                </c:pt>
                <c:pt idx="92">
                  <c:v>19.260000000000002</c:v>
                </c:pt>
                <c:pt idx="93">
                  <c:v>23.7</c:v>
                </c:pt>
                <c:pt idx="94">
                  <c:v>21.51</c:v>
                </c:pt>
                <c:pt idx="95">
                  <c:v>23.53</c:v>
                </c:pt>
                <c:pt idx="96">
                  <c:v>19.37</c:v>
                </c:pt>
                <c:pt idx="97">
                  <c:v>24.76</c:v>
                </c:pt>
                <c:pt idx="98">
                  <c:v>19.63</c:v>
                </c:pt>
                <c:pt idx="99">
                  <c:v>23.8</c:v>
                </c:pt>
                <c:pt idx="100">
                  <c:v>20.03</c:v>
                </c:pt>
                <c:pt idx="101">
                  <c:v>23.96</c:v>
                </c:pt>
                <c:pt idx="102">
                  <c:v>20.440000000000001</c:v>
                </c:pt>
                <c:pt idx="103">
                  <c:v>23.62</c:v>
                </c:pt>
                <c:pt idx="104">
                  <c:v>20.02</c:v>
                </c:pt>
                <c:pt idx="105">
                  <c:v>24.56</c:v>
                </c:pt>
                <c:pt idx="106">
                  <c:v>20.02</c:v>
                </c:pt>
                <c:pt idx="107">
                  <c:v>23.43</c:v>
                </c:pt>
                <c:pt idx="108">
                  <c:v>20.100000000000001</c:v>
                </c:pt>
                <c:pt idx="109">
                  <c:v>24.52</c:v>
                </c:pt>
                <c:pt idx="110">
                  <c:v>19.850000000000001</c:v>
                </c:pt>
                <c:pt idx="111">
                  <c:v>23.08</c:v>
                </c:pt>
                <c:pt idx="112">
                  <c:v>21.34</c:v>
                </c:pt>
                <c:pt idx="113">
                  <c:v>23.18</c:v>
                </c:pt>
                <c:pt idx="114">
                  <c:v>21.43</c:v>
                </c:pt>
                <c:pt idx="115">
                  <c:v>22.89</c:v>
                </c:pt>
                <c:pt idx="116">
                  <c:v>19.77</c:v>
                </c:pt>
                <c:pt idx="117">
                  <c:v>24.38</c:v>
                </c:pt>
                <c:pt idx="118">
                  <c:v>20.079999999999998</c:v>
                </c:pt>
                <c:pt idx="119">
                  <c:v>23.52</c:v>
                </c:pt>
                <c:pt idx="120">
                  <c:v>20.190000000000001</c:v>
                </c:pt>
                <c:pt idx="121">
                  <c:v>24.39</c:v>
                </c:pt>
                <c:pt idx="122">
                  <c:v>19.97</c:v>
                </c:pt>
                <c:pt idx="123">
                  <c:v>24.21</c:v>
                </c:pt>
                <c:pt idx="124">
                  <c:v>19.61</c:v>
                </c:pt>
                <c:pt idx="125">
                  <c:v>24.41</c:v>
                </c:pt>
                <c:pt idx="126">
                  <c:v>19.440000000000001</c:v>
                </c:pt>
                <c:pt idx="127">
                  <c:v>23.99</c:v>
                </c:pt>
                <c:pt idx="128">
                  <c:v>19.920000000000002</c:v>
                </c:pt>
                <c:pt idx="129">
                  <c:v>24.73</c:v>
                </c:pt>
                <c:pt idx="130">
                  <c:v>20.260000000000002</c:v>
                </c:pt>
                <c:pt idx="131">
                  <c:v>21.8</c:v>
                </c:pt>
                <c:pt idx="132">
                  <c:v>23.75</c:v>
                </c:pt>
                <c:pt idx="133">
                  <c:v>19.59</c:v>
                </c:pt>
                <c:pt idx="134">
                  <c:v>24.61</c:v>
                </c:pt>
                <c:pt idx="135">
                  <c:v>19.41</c:v>
                </c:pt>
                <c:pt idx="136">
                  <c:v>24.16</c:v>
                </c:pt>
                <c:pt idx="137">
                  <c:v>20.16</c:v>
                </c:pt>
                <c:pt idx="138">
                  <c:v>23.34</c:v>
                </c:pt>
                <c:pt idx="139">
                  <c:v>21</c:v>
                </c:pt>
                <c:pt idx="140">
                  <c:v>23.53</c:v>
                </c:pt>
                <c:pt idx="141">
                  <c:v>19.68</c:v>
                </c:pt>
                <c:pt idx="142">
                  <c:v>24.05</c:v>
                </c:pt>
                <c:pt idx="143">
                  <c:v>20.03</c:v>
                </c:pt>
                <c:pt idx="144">
                  <c:v>24.04</c:v>
                </c:pt>
                <c:pt idx="145">
                  <c:v>19.88</c:v>
                </c:pt>
                <c:pt idx="146">
                  <c:v>24.53</c:v>
                </c:pt>
                <c:pt idx="147">
                  <c:v>19.52</c:v>
                </c:pt>
                <c:pt idx="148">
                  <c:v>23.98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A-4012-813B-1B2FBC08465A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0.66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3.56</c:v>
                </c:pt>
                <c:pt idx="7">
                  <c:v>4.88</c:v>
                </c:pt>
                <c:pt idx="8">
                  <c:v>7.14</c:v>
                </c:pt>
                <c:pt idx="9">
                  <c:v>11.84</c:v>
                </c:pt>
                <c:pt idx="10">
                  <c:v>14.73</c:v>
                </c:pt>
                <c:pt idx="11">
                  <c:v>17.899999999999999</c:v>
                </c:pt>
                <c:pt idx="12">
                  <c:v>24.76</c:v>
                </c:pt>
                <c:pt idx="13">
                  <c:v>26.36</c:v>
                </c:pt>
                <c:pt idx="14">
                  <c:v>27.58</c:v>
                </c:pt>
                <c:pt idx="15">
                  <c:v>22.67</c:v>
                </c:pt>
                <c:pt idx="16">
                  <c:v>25.63</c:v>
                </c:pt>
                <c:pt idx="17">
                  <c:v>24.47</c:v>
                </c:pt>
                <c:pt idx="18">
                  <c:v>26.72</c:v>
                </c:pt>
                <c:pt idx="19">
                  <c:v>21.57</c:v>
                </c:pt>
                <c:pt idx="20">
                  <c:v>24.42</c:v>
                </c:pt>
                <c:pt idx="21">
                  <c:v>23.08</c:v>
                </c:pt>
                <c:pt idx="22">
                  <c:v>26.22</c:v>
                </c:pt>
                <c:pt idx="23">
                  <c:v>21</c:v>
                </c:pt>
                <c:pt idx="24">
                  <c:v>25.22</c:v>
                </c:pt>
                <c:pt idx="25">
                  <c:v>23.99</c:v>
                </c:pt>
                <c:pt idx="26">
                  <c:v>21.48</c:v>
                </c:pt>
                <c:pt idx="27">
                  <c:v>24.22</c:v>
                </c:pt>
                <c:pt idx="28">
                  <c:v>22.79</c:v>
                </c:pt>
                <c:pt idx="29">
                  <c:v>24.99</c:v>
                </c:pt>
                <c:pt idx="30">
                  <c:v>21.84</c:v>
                </c:pt>
                <c:pt idx="31">
                  <c:v>25.2</c:v>
                </c:pt>
                <c:pt idx="32">
                  <c:v>21.51</c:v>
                </c:pt>
                <c:pt idx="33">
                  <c:v>25.73</c:v>
                </c:pt>
                <c:pt idx="34">
                  <c:v>21.36</c:v>
                </c:pt>
                <c:pt idx="35">
                  <c:v>24.79</c:v>
                </c:pt>
                <c:pt idx="36">
                  <c:v>21.91</c:v>
                </c:pt>
                <c:pt idx="37">
                  <c:v>25.6</c:v>
                </c:pt>
                <c:pt idx="38">
                  <c:v>21.38</c:v>
                </c:pt>
                <c:pt idx="39">
                  <c:v>24.5</c:v>
                </c:pt>
                <c:pt idx="40">
                  <c:v>23.76</c:v>
                </c:pt>
                <c:pt idx="41">
                  <c:v>22.24</c:v>
                </c:pt>
                <c:pt idx="42">
                  <c:v>26</c:v>
                </c:pt>
                <c:pt idx="43">
                  <c:v>20.88</c:v>
                </c:pt>
                <c:pt idx="44">
                  <c:v>24.89</c:v>
                </c:pt>
                <c:pt idx="45">
                  <c:v>22.02</c:v>
                </c:pt>
                <c:pt idx="46">
                  <c:v>26.14</c:v>
                </c:pt>
                <c:pt idx="47">
                  <c:v>20.76</c:v>
                </c:pt>
                <c:pt idx="48">
                  <c:v>24.13</c:v>
                </c:pt>
                <c:pt idx="49">
                  <c:v>22.85</c:v>
                </c:pt>
                <c:pt idx="50">
                  <c:v>26.15</c:v>
                </c:pt>
                <c:pt idx="51">
                  <c:v>21.2</c:v>
                </c:pt>
                <c:pt idx="52">
                  <c:v>24.46</c:v>
                </c:pt>
                <c:pt idx="53">
                  <c:v>22.01</c:v>
                </c:pt>
                <c:pt idx="54">
                  <c:v>25.94</c:v>
                </c:pt>
                <c:pt idx="55">
                  <c:v>21.13</c:v>
                </c:pt>
                <c:pt idx="56">
                  <c:v>25.34</c:v>
                </c:pt>
                <c:pt idx="57">
                  <c:v>21.42</c:v>
                </c:pt>
                <c:pt idx="58">
                  <c:v>25.98</c:v>
                </c:pt>
                <c:pt idx="59">
                  <c:v>21.05</c:v>
                </c:pt>
                <c:pt idx="60">
                  <c:v>25.9</c:v>
                </c:pt>
                <c:pt idx="61">
                  <c:v>21.1</c:v>
                </c:pt>
                <c:pt idx="62">
                  <c:v>25.33</c:v>
                </c:pt>
                <c:pt idx="63">
                  <c:v>23.46</c:v>
                </c:pt>
                <c:pt idx="64">
                  <c:v>21.72</c:v>
                </c:pt>
                <c:pt idx="65">
                  <c:v>24.6</c:v>
                </c:pt>
                <c:pt idx="66">
                  <c:v>22.18</c:v>
                </c:pt>
                <c:pt idx="67">
                  <c:v>25.61</c:v>
                </c:pt>
                <c:pt idx="68">
                  <c:v>21.24</c:v>
                </c:pt>
                <c:pt idx="69">
                  <c:v>25.58</c:v>
                </c:pt>
                <c:pt idx="70">
                  <c:v>21.62</c:v>
                </c:pt>
                <c:pt idx="71">
                  <c:v>24.56</c:v>
                </c:pt>
                <c:pt idx="72">
                  <c:v>22.13</c:v>
                </c:pt>
                <c:pt idx="73">
                  <c:v>26.03</c:v>
                </c:pt>
                <c:pt idx="74">
                  <c:v>21.61</c:v>
                </c:pt>
                <c:pt idx="75">
                  <c:v>23.8</c:v>
                </c:pt>
                <c:pt idx="76">
                  <c:v>23</c:v>
                </c:pt>
                <c:pt idx="77">
                  <c:v>25.39</c:v>
                </c:pt>
                <c:pt idx="78">
                  <c:v>21.02</c:v>
                </c:pt>
                <c:pt idx="79">
                  <c:v>25.31</c:v>
                </c:pt>
                <c:pt idx="80">
                  <c:v>21.7</c:v>
                </c:pt>
                <c:pt idx="81">
                  <c:v>25.68</c:v>
                </c:pt>
                <c:pt idx="82">
                  <c:v>21.33</c:v>
                </c:pt>
                <c:pt idx="83">
                  <c:v>25.12</c:v>
                </c:pt>
                <c:pt idx="84">
                  <c:v>21.68</c:v>
                </c:pt>
                <c:pt idx="85">
                  <c:v>25.87</c:v>
                </c:pt>
                <c:pt idx="86">
                  <c:v>21.14</c:v>
                </c:pt>
                <c:pt idx="87">
                  <c:v>25.63</c:v>
                </c:pt>
                <c:pt idx="88">
                  <c:v>21.26</c:v>
                </c:pt>
                <c:pt idx="89">
                  <c:v>25.89</c:v>
                </c:pt>
                <c:pt idx="90">
                  <c:v>21.11</c:v>
                </c:pt>
                <c:pt idx="91">
                  <c:v>25.75</c:v>
                </c:pt>
                <c:pt idx="92">
                  <c:v>21.12</c:v>
                </c:pt>
                <c:pt idx="93">
                  <c:v>25.02</c:v>
                </c:pt>
                <c:pt idx="94">
                  <c:v>22.18</c:v>
                </c:pt>
                <c:pt idx="95">
                  <c:v>25.82</c:v>
                </c:pt>
                <c:pt idx="96">
                  <c:v>21.08</c:v>
                </c:pt>
                <c:pt idx="97">
                  <c:v>25.26</c:v>
                </c:pt>
                <c:pt idx="98">
                  <c:v>21.43</c:v>
                </c:pt>
                <c:pt idx="99">
                  <c:v>26.18</c:v>
                </c:pt>
                <c:pt idx="100">
                  <c:v>20.97</c:v>
                </c:pt>
                <c:pt idx="101">
                  <c:v>25.04</c:v>
                </c:pt>
                <c:pt idx="102">
                  <c:v>21.68</c:v>
                </c:pt>
                <c:pt idx="103">
                  <c:v>26.13</c:v>
                </c:pt>
                <c:pt idx="104">
                  <c:v>20.95</c:v>
                </c:pt>
                <c:pt idx="105">
                  <c:v>25.26</c:v>
                </c:pt>
                <c:pt idx="106">
                  <c:v>21.81</c:v>
                </c:pt>
                <c:pt idx="107">
                  <c:v>25.92</c:v>
                </c:pt>
                <c:pt idx="108">
                  <c:v>20.92</c:v>
                </c:pt>
                <c:pt idx="109">
                  <c:v>24.02</c:v>
                </c:pt>
                <c:pt idx="110">
                  <c:v>22.76</c:v>
                </c:pt>
                <c:pt idx="111">
                  <c:v>24.69</c:v>
                </c:pt>
                <c:pt idx="112">
                  <c:v>22.24</c:v>
                </c:pt>
                <c:pt idx="113">
                  <c:v>24.76</c:v>
                </c:pt>
                <c:pt idx="114">
                  <c:v>22.6</c:v>
                </c:pt>
                <c:pt idx="115">
                  <c:v>24.9</c:v>
                </c:pt>
                <c:pt idx="116">
                  <c:v>21.69</c:v>
                </c:pt>
                <c:pt idx="117">
                  <c:v>25.01</c:v>
                </c:pt>
                <c:pt idx="118">
                  <c:v>21.75</c:v>
                </c:pt>
                <c:pt idx="119">
                  <c:v>25.81</c:v>
                </c:pt>
                <c:pt idx="120">
                  <c:v>21.23</c:v>
                </c:pt>
                <c:pt idx="121">
                  <c:v>25.33</c:v>
                </c:pt>
                <c:pt idx="122">
                  <c:v>21.59</c:v>
                </c:pt>
                <c:pt idx="123">
                  <c:v>25.91</c:v>
                </c:pt>
                <c:pt idx="124">
                  <c:v>21.07</c:v>
                </c:pt>
                <c:pt idx="125">
                  <c:v>25.68</c:v>
                </c:pt>
                <c:pt idx="126">
                  <c:v>21.05</c:v>
                </c:pt>
                <c:pt idx="127">
                  <c:v>25.67</c:v>
                </c:pt>
                <c:pt idx="128">
                  <c:v>21.29</c:v>
                </c:pt>
                <c:pt idx="129">
                  <c:v>25.41</c:v>
                </c:pt>
                <c:pt idx="130">
                  <c:v>21.71</c:v>
                </c:pt>
                <c:pt idx="131">
                  <c:v>24.01</c:v>
                </c:pt>
                <c:pt idx="132">
                  <c:v>24.36</c:v>
                </c:pt>
                <c:pt idx="133">
                  <c:v>21.83</c:v>
                </c:pt>
                <c:pt idx="134">
                  <c:v>25.5</c:v>
                </c:pt>
                <c:pt idx="135">
                  <c:v>21.29</c:v>
                </c:pt>
                <c:pt idx="136">
                  <c:v>25.66</c:v>
                </c:pt>
                <c:pt idx="137">
                  <c:v>21.62</c:v>
                </c:pt>
                <c:pt idx="138">
                  <c:v>24.22</c:v>
                </c:pt>
                <c:pt idx="139">
                  <c:v>22.4</c:v>
                </c:pt>
                <c:pt idx="140">
                  <c:v>25.81</c:v>
                </c:pt>
                <c:pt idx="141">
                  <c:v>21.03</c:v>
                </c:pt>
                <c:pt idx="142">
                  <c:v>25.42</c:v>
                </c:pt>
                <c:pt idx="143">
                  <c:v>21.5</c:v>
                </c:pt>
                <c:pt idx="144">
                  <c:v>25.99</c:v>
                </c:pt>
                <c:pt idx="145">
                  <c:v>20.84</c:v>
                </c:pt>
                <c:pt idx="146">
                  <c:v>25.53</c:v>
                </c:pt>
                <c:pt idx="147">
                  <c:v>21.58</c:v>
                </c:pt>
                <c:pt idx="148">
                  <c:v>25.78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DA-4012-813B-1B2FBC08465A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[0]!Tab33_flow_rate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0.79</c:v>
                </c:pt>
                <c:pt idx="10">
                  <c:v>1.1299999999999999</c:v>
                </c:pt>
                <c:pt idx="11">
                  <c:v>1.46</c:v>
                </c:pt>
                <c:pt idx="12">
                  <c:v>2.39</c:v>
                </c:pt>
                <c:pt idx="13">
                  <c:v>3.54</c:v>
                </c:pt>
                <c:pt idx="14">
                  <c:v>5.35</c:v>
                </c:pt>
                <c:pt idx="15">
                  <c:v>7.24</c:v>
                </c:pt>
                <c:pt idx="16">
                  <c:v>10.43</c:v>
                </c:pt>
                <c:pt idx="17">
                  <c:v>16.559999999999999</c:v>
                </c:pt>
                <c:pt idx="18">
                  <c:v>20.56</c:v>
                </c:pt>
                <c:pt idx="19">
                  <c:v>22.87</c:v>
                </c:pt>
                <c:pt idx="20">
                  <c:v>24.88</c:v>
                </c:pt>
                <c:pt idx="21">
                  <c:v>20.14</c:v>
                </c:pt>
                <c:pt idx="22">
                  <c:v>24.23</c:v>
                </c:pt>
                <c:pt idx="23">
                  <c:v>19.55</c:v>
                </c:pt>
                <c:pt idx="24">
                  <c:v>24.02</c:v>
                </c:pt>
                <c:pt idx="25">
                  <c:v>21.38</c:v>
                </c:pt>
                <c:pt idx="26">
                  <c:v>21.2</c:v>
                </c:pt>
                <c:pt idx="27">
                  <c:v>22.91</c:v>
                </c:pt>
                <c:pt idx="28">
                  <c:v>21.37</c:v>
                </c:pt>
                <c:pt idx="29">
                  <c:v>23.61</c:v>
                </c:pt>
                <c:pt idx="30">
                  <c:v>19.510000000000002</c:v>
                </c:pt>
                <c:pt idx="31">
                  <c:v>24.3</c:v>
                </c:pt>
                <c:pt idx="32">
                  <c:v>19.739999999999998</c:v>
                </c:pt>
                <c:pt idx="33">
                  <c:v>24.6</c:v>
                </c:pt>
                <c:pt idx="34">
                  <c:v>19.559999999999999</c:v>
                </c:pt>
                <c:pt idx="35">
                  <c:v>23.35</c:v>
                </c:pt>
                <c:pt idx="36">
                  <c:v>20.440000000000001</c:v>
                </c:pt>
                <c:pt idx="37">
                  <c:v>24.34</c:v>
                </c:pt>
                <c:pt idx="38">
                  <c:v>19.82</c:v>
                </c:pt>
                <c:pt idx="39">
                  <c:v>23.22</c:v>
                </c:pt>
                <c:pt idx="40">
                  <c:v>22.57</c:v>
                </c:pt>
                <c:pt idx="41">
                  <c:v>20.36</c:v>
                </c:pt>
                <c:pt idx="42">
                  <c:v>24.2</c:v>
                </c:pt>
                <c:pt idx="43">
                  <c:v>19.48</c:v>
                </c:pt>
                <c:pt idx="44">
                  <c:v>23.84</c:v>
                </c:pt>
                <c:pt idx="45">
                  <c:v>20.170000000000002</c:v>
                </c:pt>
                <c:pt idx="46">
                  <c:v>24.37</c:v>
                </c:pt>
                <c:pt idx="47">
                  <c:v>19.670000000000002</c:v>
                </c:pt>
                <c:pt idx="48">
                  <c:v>24.49</c:v>
                </c:pt>
                <c:pt idx="49">
                  <c:v>19.420000000000002</c:v>
                </c:pt>
                <c:pt idx="50">
                  <c:v>24.25</c:v>
                </c:pt>
                <c:pt idx="51">
                  <c:v>20.37</c:v>
                </c:pt>
                <c:pt idx="52">
                  <c:v>23.38</c:v>
                </c:pt>
                <c:pt idx="53">
                  <c:v>20.95</c:v>
                </c:pt>
                <c:pt idx="54">
                  <c:v>23.47</c:v>
                </c:pt>
                <c:pt idx="55">
                  <c:v>19.760000000000002</c:v>
                </c:pt>
                <c:pt idx="56">
                  <c:v>24.23</c:v>
                </c:pt>
                <c:pt idx="57">
                  <c:v>19.86</c:v>
                </c:pt>
                <c:pt idx="58">
                  <c:v>24.65</c:v>
                </c:pt>
                <c:pt idx="59">
                  <c:v>19.3</c:v>
                </c:pt>
                <c:pt idx="60">
                  <c:v>24.76</c:v>
                </c:pt>
                <c:pt idx="61">
                  <c:v>19.39</c:v>
                </c:pt>
                <c:pt idx="62">
                  <c:v>23.92</c:v>
                </c:pt>
                <c:pt idx="63">
                  <c:v>21.29</c:v>
                </c:pt>
                <c:pt idx="64">
                  <c:v>21.2</c:v>
                </c:pt>
                <c:pt idx="65">
                  <c:v>24.22</c:v>
                </c:pt>
                <c:pt idx="66">
                  <c:v>19.38</c:v>
                </c:pt>
                <c:pt idx="67">
                  <c:v>24.35</c:v>
                </c:pt>
                <c:pt idx="68">
                  <c:v>19.55</c:v>
                </c:pt>
                <c:pt idx="69">
                  <c:v>24.62</c:v>
                </c:pt>
                <c:pt idx="70">
                  <c:v>19.510000000000002</c:v>
                </c:pt>
                <c:pt idx="71">
                  <c:v>24.07</c:v>
                </c:pt>
                <c:pt idx="72">
                  <c:v>20.05</c:v>
                </c:pt>
                <c:pt idx="73">
                  <c:v>24.53</c:v>
                </c:pt>
                <c:pt idx="74">
                  <c:v>19.27</c:v>
                </c:pt>
                <c:pt idx="75">
                  <c:v>24.37</c:v>
                </c:pt>
                <c:pt idx="76">
                  <c:v>20.37</c:v>
                </c:pt>
                <c:pt idx="77">
                  <c:v>23.77</c:v>
                </c:pt>
                <c:pt idx="78">
                  <c:v>19.489999999999998</c:v>
                </c:pt>
                <c:pt idx="79">
                  <c:v>24.54</c:v>
                </c:pt>
                <c:pt idx="80">
                  <c:v>19.420000000000002</c:v>
                </c:pt>
                <c:pt idx="81">
                  <c:v>24.44</c:v>
                </c:pt>
                <c:pt idx="82">
                  <c:v>19.64</c:v>
                </c:pt>
                <c:pt idx="83">
                  <c:v>24.23</c:v>
                </c:pt>
                <c:pt idx="84">
                  <c:v>19.989999999999998</c:v>
                </c:pt>
                <c:pt idx="85">
                  <c:v>24.5</c:v>
                </c:pt>
                <c:pt idx="86">
                  <c:v>19.29</c:v>
                </c:pt>
                <c:pt idx="87">
                  <c:v>24.42</c:v>
                </c:pt>
                <c:pt idx="88">
                  <c:v>19.600000000000001</c:v>
                </c:pt>
                <c:pt idx="89">
                  <c:v>24.66</c:v>
                </c:pt>
                <c:pt idx="90">
                  <c:v>19.260000000000002</c:v>
                </c:pt>
                <c:pt idx="91">
                  <c:v>24.5</c:v>
                </c:pt>
                <c:pt idx="92">
                  <c:v>19.73</c:v>
                </c:pt>
                <c:pt idx="93">
                  <c:v>23.82</c:v>
                </c:pt>
                <c:pt idx="94">
                  <c:v>20.190000000000001</c:v>
                </c:pt>
                <c:pt idx="95">
                  <c:v>24.21</c:v>
                </c:pt>
                <c:pt idx="96">
                  <c:v>19.78</c:v>
                </c:pt>
                <c:pt idx="97">
                  <c:v>24.1</c:v>
                </c:pt>
                <c:pt idx="98">
                  <c:v>19.87</c:v>
                </c:pt>
                <c:pt idx="99">
                  <c:v>24.62</c:v>
                </c:pt>
                <c:pt idx="100">
                  <c:v>19.329999999999998</c:v>
                </c:pt>
                <c:pt idx="101">
                  <c:v>23.89</c:v>
                </c:pt>
                <c:pt idx="102">
                  <c:v>20.190000000000001</c:v>
                </c:pt>
                <c:pt idx="103">
                  <c:v>24.47</c:v>
                </c:pt>
                <c:pt idx="104">
                  <c:v>19.38</c:v>
                </c:pt>
                <c:pt idx="105">
                  <c:v>24.32</c:v>
                </c:pt>
                <c:pt idx="106">
                  <c:v>19.93</c:v>
                </c:pt>
                <c:pt idx="107">
                  <c:v>24.37</c:v>
                </c:pt>
                <c:pt idx="108">
                  <c:v>19.3</c:v>
                </c:pt>
                <c:pt idx="109">
                  <c:v>24.64</c:v>
                </c:pt>
                <c:pt idx="110">
                  <c:v>19.59</c:v>
                </c:pt>
                <c:pt idx="111">
                  <c:v>23.33</c:v>
                </c:pt>
                <c:pt idx="112">
                  <c:v>20.7</c:v>
                </c:pt>
                <c:pt idx="113">
                  <c:v>23.36</c:v>
                </c:pt>
                <c:pt idx="114">
                  <c:v>21.27</c:v>
                </c:pt>
                <c:pt idx="115">
                  <c:v>23.6</c:v>
                </c:pt>
                <c:pt idx="116">
                  <c:v>19.5</c:v>
                </c:pt>
                <c:pt idx="117">
                  <c:v>24.1</c:v>
                </c:pt>
                <c:pt idx="118">
                  <c:v>20.07</c:v>
                </c:pt>
                <c:pt idx="119">
                  <c:v>24.36</c:v>
                </c:pt>
                <c:pt idx="120">
                  <c:v>19.54</c:v>
                </c:pt>
                <c:pt idx="121">
                  <c:v>24</c:v>
                </c:pt>
                <c:pt idx="122">
                  <c:v>20.010000000000002</c:v>
                </c:pt>
                <c:pt idx="123">
                  <c:v>24.69</c:v>
                </c:pt>
                <c:pt idx="124">
                  <c:v>19.22</c:v>
                </c:pt>
                <c:pt idx="125">
                  <c:v>24.34</c:v>
                </c:pt>
                <c:pt idx="126">
                  <c:v>19.760000000000002</c:v>
                </c:pt>
                <c:pt idx="127">
                  <c:v>24.47</c:v>
                </c:pt>
                <c:pt idx="128">
                  <c:v>19.48</c:v>
                </c:pt>
                <c:pt idx="129">
                  <c:v>24.44</c:v>
                </c:pt>
                <c:pt idx="130">
                  <c:v>19.72</c:v>
                </c:pt>
                <c:pt idx="131">
                  <c:v>22.81</c:v>
                </c:pt>
                <c:pt idx="132">
                  <c:v>22.96</c:v>
                </c:pt>
                <c:pt idx="133">
                  <c:v>20.03</c:v>
                </c:pt>
                <c:pt idx="134">
                  <c:v>24.36</c:v>
                </c:pt>
                <c:pt idx="135">
                  <c:v>19.52</c:v>
                </c:pt>
                <c:pt idx="136">
                  <c:v>24.6</c:v>
                </c:pt>
                <c:pt idx="137">
                  <c:v>19.53</c:v>
                </c:pt>
                <c:pt idx="138">
                  <c:v>23.33</c:v>
                </c:pt>
                <c:pt idx="139">
                  <c:v>20.82</c:v>
                </c:pt>
                <c:pt idx="140">
                  <c:v>24.44</c:v>
                </c:pt>
                <c:pt idx="141">
                  <c:v>19.22</c:v>
                </c:pt>
                <c:pt idx="142">
                  <c:v>24.41</c:v>
                </c:pt>
                <c:pt idx="143">
                  <c:v>19.579999999999998</c:v>
                </c:pt>
                <c:pt idx="144">
                  <c:v>24.6</c:v>
                </c:pt>
                <c:pt idx="145">
                  <c:v>19.45</c:v>
                </c:pt>
                <c:pt idx="146">
                  <c:v>24.26</c:v>
                </c:pt>
                <c:pt idx="147">
                  <c:v>19.579999999999998</c:v>
                </c:pt>
                <c:pt idx="148">
                  <c:v>24.53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DA-4012-813B-1B2FBC084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Plots!$AD$1</c:f>
          <c:strCache>
            <c:ptCount val="1"/>
            <c:pt idx="0">
              <c:v>AARnetCBR-CamDTN1_tcpmon_tseries_22Feb24 2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0.56999999999999995</c:v>
                </c:pt>
                <c:pt idx="2">
                  <c:v>0.62</c:v>
                </c:pt>
                <c:pt idx="3">
                  <c:v>1.03</c:v>
                </c:pt>
                <c:pt idx="4">
                  <c:v>1.52</c:v>
                </c:pt>
                <c:pt idx="5">
                  <c:v>2.29</c:v>
                </c:pt>
                <c:pt idx="6">
                  <c:v>3.38</c:v>
                </c:pt>
                <c:pt idx="7">
                  <c:v>5.07</c:v>
                </c:pt>
                <c:pt idx="8">
                  <c:v>6.31</c:v>
                </c:pt>
                <c:pt idx="9">
                  <c:v>10.34</c:v>
                </c:pt>
                <c:pt idx="10">
                  <c:v>13.5</c:v>
                </c:pt>
                <c:pt idx="11">
                  <c:v>19.14</c:v>
                </c:pt>
                <c:pt idx="12">
                  <c:v>21.75</c:v>
                </c:pt>
                <c:pt idx="13">
                  <c:v>27</c:v>
                </c:pt>
                <c:pt idx="14">
                  <c:v>27.88</c:v>
                </c:pt>
                <c:pt idx="15">
                  <c:v>28.06</c:v>
                </c:pt>
                <c:pt idx="16">
                  <c:v>29.11</c:v>
                </c:pt>
                <c:pt idx="17">
                  <c:v>31.95</c:v>
                </c:pt>
                <c:pt idx="18">
                  <c:v>27.75</c:v>
                </c:pt>
                <c:pt idx="19">
                  <c:v>28.54</c:v>
                </c:pt>
                <c:pt idx="20">
                  <c:v>30.27</c:v>
                </c:pt>
                <c:pt idx="21">
                  <c:v>32.200000000000003</c:v>
                </c:pt>
                <c:pt idx="22">
                  <c:v>28.85</c:v>
                </c:pt>
                <c:pt idx="23">
                  <c:v>28.18</c:v>
                </c:pt>
                <c:pt idx="24">
                  <c:v>30.61</c:v>
                </c:pt>
                <c:pt idx="25">
                  <c:v>28.46</c:v>
                </c:pt>
                <c:pt idx="26">
                  <c:v>31.27</c:v>
                </c:pt>
                <c:pt idx="27">
                  <c:v>29.53</c:v>
                </c:pt>
                <c:pt idx="28">
                  <c:v>28.21</c:v>
                </c:pt>
                <c:pt idx="29">
                  <c:v>28.21</c:v>
                </c:pt>
                <c:pt idx="30">
                  <c:v>29.37</c:v>
                </c:pt>
                <c:pt idx="31">
                  <c:v>28.35</c:v>
                </c:pt>
                <c:pt idx="32">
                  <c:v>29.19</c:v>
                </c:pt>
                <c:pt idx="33">
                  <c:v>31.06</c:v>
                </c:pt>
                <c:pt idx="34">
                  <c:v>31.2</c:v>
                </c:pt>
                <c:pt idx="35">
                  <c:v>28.21</c:v>
                </c:pt>
                <c:pt idx="36">
                  <c:v>28.11</c:v>
                </c:pt>
                <c:pt idx="37">
                  <c:v>28.6</c:v>
                </c:pt>
                <c:pt idx="38">
                  <c:v>30.06</c:v>
                </c:pt>
                <c:pt idx="39">
                  <c:v>29.5</c:v>
                </c:pt>
                <c:pt idx="40">
                  <c:v>29.53</c:v>
                </c:pt>
                <c:pt idx="41">
                  <c:v>28.5</c:v>
                </c:pt>
                <c:pt idx="42">
                  <c:v>30.28</c:v>
                </c:pt>
                <c:pt idx="43">
                  <c:v>31.73</c:v>
                </c:pt>
                <c:pt idx="44">
                  <c:v>29.83</c:v>
                </c:pt>
                <c:pt idx="45">
                  <c:v>28.25</c:v>
                </c:pt>
                <c:pt idx="46">
                  <c:v>27.86</c:v>
                </c:pt>
                <c:pt idx="47">
                  <c:v>28.44</c:v>
                </c:pt>
                <c:pt idx="48">
                  <c:v>30.06</c:v>
                </c:pt>
                <c:pt idx="49">
                  <c:v>32.659999999999997</c:v>
                </c:pt>
                <c:pt idx="50">
                  <c:v>28.13</c:v>
                </c:pt>
                <c:pt idx="51">
                  <c:v>28.12</c:v>
                </c:pt>
                <c:pt idx="52">
                  <c:v>30.24</c:v>
                </c:pt>
                <c:pt idx="53">
                  <c:v>28.43</c:v>
                </c:pt>
                <c:pt idx="54">
                  <c:v>28.66</c:v>
                </c:pt>
                <c:pt idx="55">
                  <c:v>29.21</c:v>
                </c:pt>
                <c:pt idx="56">
                  <c:v>30.53</c:v>
                </c:pt>
                <c:pt idx="57">
                  <c:v>30.41</c:v>
                </c:pt>
                <c:pt idx="58">
                  <c:v>29.21</c:v>
                </c:pt>
                <c:pt idx="59">
                  <c:v>28.26</c:v>
                </c:pt>
                <c:pt idx="60">
                  <c:v>31.3</c:v>
                </c:pt>
                <c:pt idx="61">
                  <c:v>28.55</c:v>
                </c:pt>
                <c:pt idx="62">
                  <c:v>28.97</c:v>
                </c:pt>
                <c:pt idx="63">
                  <c:v>30.11</c:v>
                </c:pt>
                <c:pt idx="64">
                  <c:v>30.03</c:v>
                </c:pt>
                <c:pt idx="65">
                  <c:v>28.5</c:v>
                </c:pt>
                <c:pt idx="66">
                  <c:v>29.47</c:v>
                </c:pt>
                <c:pt idx="67">
                  <c:v>28.94</c:v>
                </c:pt>
                <c:pt idx="68">
                  <c:v>29.72</c:v>
                </c:pt>
                <c:pt idx="69">
                  <c:v>29.22</c:v>
                </c:pt>
                <c:pt idx="70">
                  <c:v>29.95</c:v>
                </c:pt>
                <c:pt idx="71">
                  <c:v>28.61</c:v>
                </c:pt>
                <c:pt idx="72">
                  <c:v>29.7</c:v>
                </c:pt>
                <c:pt idx="73">
                  <c:v>29.48</c:v>
                </c:pt>
                <c:pt idx="74">
                  <c:v>29.35</c:v>
                </c:pt>
                <c:pt idx="75">
                  <c:v>29.24</c:v>
                </c:pt>
                <c:pt idx="76">
                  <c:v>29.16</c:v>
                </c:pt>
                <c:pt idx="77">
                  <c:v>30.36</c:v>
                </c:pt>
                <c:pt idx="78">
                  <c:v>30.24</c:v>
                </c:pt>
                <c:pt idx="79">
                  <c:v>28.39</c:v>
                </c:pt>
                <c:pt idx="80">
                  <c:v>29.13</c:v>
                </c:pt>
                <c:pt idx="81">
                  <c:v>31</c:v>
                </c:pt>
                <c:pt idx="82">
                  <c:v>28.8</c:v>
                </c:pt>
                <c:pt idx="83">
                  <c:v>28.56</c:v>
                </c:pt>
                <c:pt idx="84">
                  <c:v>29.8</c:v>
                </c:pt>
                <c:pt idx="85">
                  <c:v>29.03</c:v>
                </c:pt>
                <c:pt idx="86">
                  <c:v>30.05</c:v>
                </c:pt>
                <c:pt idx="87">
                  <c:v>28.39</c:v>
                </c:pt>
                <c:pt idx="88">
                  <c:v>30.04</c:v>
                </c:pt>
                <c:pt idx="89">
                  <c:v>28.25</c:v>
                </c:pt>
                <c:pt idx="90">
                  <c:v>28.53</c:v>
                </c:pt>
                <c:pt idx="91">
                  <c:v>30.4</c:v>
                </c:pt>
                <c:pt idx="92">
                  <c:v>31.74</c:v>
                </c:pt>
                <c:pt idx="93">
                  <c:v>28.23</c:v>
                </c:pt>
                <c:pt idx="94">
                  <c:v>28.62</c:v>
                </c:pt>
                <c:pt idx="95">
                  <c:v>28.43</c:v>
                </c:pt>
                <c:pt idx="96">
                  <c:v>30.53</c:v>
                </c:pt>
                <c:pt idx="97">
                  <c:v>31.89</c:v>
                </c:pt>
                <c:pt idx="98">
                  <c:v>28.76</c:v>
                </c:pt>
                <c:pt idx="99">
                  <c:v>28.62</c:v>
                </c:pt>
                <c:pt idx="100">
                  <c:v>29.09</c:v>
                </c:pt>
                <c:pt idx="101">
                  <c:v>29.87</c:v>
                </c:pt>
                <c:pt idx="102">
                  <c:v>28.34</c:v>
                </c:pt>
                <c:pt idx="103">
                  <c:v>28.65</c:v>
                </c:pt>
                <c:pt idx="104">
                  <c:v>29.42</c:v>
                </c:pt>
                <c:pt idx="105">
                  <c:v>31.23</c:v>
                </c:pt>
                <c:pt idx="106">
                  <c:v>29.65</c:v>
                </c:pt>
                <c:pt idx="107">
                  <c:v>27.76</c:v>
                </c:pt>
                <c:pt idx="108">
                  <c:v>32.200000000000003</c:v>
                </c:pt>
                <c:pt idx="109">
                  <c:v>28.32</c:v>
                </c:pt>
                <c:pt idx="110">
                  <c:v>29.64</c:v>
                </c:pt>
                <c:pt idx="111">
                  <c:v>28.23</c:v>
                </c:pt>
                <c:pt idx="112">
                  <c:v>30.44</c:v>
                </c:pt>
                <c:pt idx="113">
                  <c:v>28.26</c:v>
                </c:pt>
                <c:pt idx="114">
                  <c:v>28.17</c:v>
                </c:pt>
                <c:pt idx="115">
                  <c:v>29.52</c:v>
                </c:pt>
                <c:pt idx="116">
                  <c:v>29.41</c:v>
                </c:pt>
                <c:pt idx="117">
                  <c:v>30.45</c:v>
                </c:pt>
                <c:pt idx="118">
                  <c:v>30.89</c:v>
                </c:pt>
                <c:pt idx="119">
                  <c:v>28.02</c:v>
                </c:pt>
                <c:pt idx="120">
                  <c:v>29.99</c:v>
                </c:pt>
                <c:pt idx="121">
                  <c:v>28.71</c:v>
                </c:pt>
                <c:pt idx="122">
                  <c:v>29.25</c:v>
                </c:pt>
                <c:pt idx="123">
                  <c:v>31.12</c:v>
                </c:pt>
                <c:pt idx="124">
                  <c:v>30.32</c:v>
                </c:pt>
                <c:pt idx="125">
                  <c:v>28.74</c:v>
                </c:pt>
                <c:pt idx="126">
                  <c:v>29.97</c:v>
                </c:pt>
                <c:pt idx="127">
                  <c:v>28.4</c:v>
                </c:pt>
                <c:pt idx="128">
                  <c:v>29.21</c:v>
                </c:pt>
                <c:pt idx="129">
                  <c:v>28.4</c:v>
                </c:pt>
                <c:pt idx="130">
                  <c:v>29.17</c:v>
                </c:pt>
                <c:pt idx="131">
                  <c:v>28.78</c:v>
                </c:pt>
                <c:pt idx="132">
                  <c:v>29.75</c:v>
                </c:pt>
                <c:pt idx="133">
                  <c:v>29.85</c:v>
                </c:pt>
                <c:pt idx="134">
                  <c:v>29.01</c:v>
                </c:pt>
                <c:pt idx="135">
                  <c:v>30.56</c:v>
                </c:pt>
                <c:pt idx="136">
                  <c:v>28.2</c:v>
                </c:pt>
                <c:pt idx="137">
                  <c:v>28.59</c:v>
                </c:pt>
                <c:pt idx="138">
                  <c:v>28.77</c:v>
                </c:pt>
                <c:pt idx="139">
                  <c:v>30.67</c:v>
                </c:pt>
                <c:pt idx="140">
                  <c:v>31.21</c:v>
                </c:pt>
                <c:pt idx="141">
                  <c:v>28.04</c:v>
                </c:pt>
                <c:pt idx="142">
                  <c:v>29.53</c:v>
                </c:pt>
                <c:pt idx="143">
                  <c:v>29.19</c:v>
                </c:pt>
                <c:pt idx="144">
                  <c:v>29.14</c:v>
                </c:pt>
                <c:pt idx="145">
                  <c:v>28.4</c:v>
                </c:pt>
                <c:pt idx="146">
                  <c:v>29.01</c:v>
                </c:pt>
                <c:pt idx="147">
                  <c:v>30.79</c:v>
                </c:pt>
                <c:pt idx="148">
                  <c:v>30.33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16-4AC5-A75E-7C09191A4ACF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3.32</c:v>
                </c:pt>
                <c:pt idx="6">
                  <c:v>4.96</c:v>
                </c:pt>
                <c:pt idx="7">
                  <c:v>6.02</c:v>
                </c:pt>
                <c:pt idx="8">
                  <c:v>10.9</c:v>
                </c:pt>
                <c:pt idx="9">
                  <c:v>12.67</c:v>
                </c:pt>
                <c:pt idx="10">
                  <c:v>17.670000000000002</c:v>
                </c:pt>
                <c:pt idx="11">
                  <c:v>25</c:v>
                </c:pt>
                <c:pt idx="12">
                  <c:v>27.75</c:v>
                </c:pt>
                <c:pt idx="13">
                  <c:v>26.53</c:v>
                </c:pt>
                <c:pt idx="14">
                  <c:v>30.06</c:v>
                </c:pt>
                <c:pt idx="15">
                  <c:v>26.36</c:v>
                </c:pt>
                <c:pt idx="16">
                  <c:v>26.98</c:v>
                </c:pt>
                <c:pt idx="17">
                  <c:v>28.17</c:v>
                </c:pt>
                <c:pt idx="18">
                  <c:v>29.8</c:v>
                </c:pt>
                <c:pt idx="19">
                  <c:v>25.42</c:v>
                </c:pt>
                <c:pt idx="20">
                  <c:v>27.26</c:v>
                </c:pt>
                <c:pt idx="21">
                  <c:v>29.97</c:v>
                </c:pt>
                <c:pt idx="22">
                  <c:v>25.59</c:v>
                </c:pt>
                <c:pt idx="23">
                  <c:v>29.12</c:v>
                </c:pt>
                <c:pt idx="24">
                  <c:v>26.29</c:v>
                </c:pt>
                <c:pt idx="25">
                  <c:v>28.37</c:v>
                </c:pt>
                <c:pt idx="26">
                  <c:v>27.23</c:v>
                </c:pt>
                <c:pt idx="27">
                  <c:v>27.79</c:v>
                </c:pt>
                <c:pt idx="28">
                  <c:v>28.39</c:v>
                </c:pt>
                <c:pt idx="29">
                  <c:v>26.47</c:v>
                </c:pt>
                <c:pt idx="30">
                  <c:v>29.91</c:v>
                </c:pt>
                <c:pt idx="31">
                  <c:v>25.78</c:v>
                </c:pt>
                <c:pt idx="32">
                  <c:v>27.34</c:v>
                </c:pt>
                <c:pt idx="33">
                  <c:v>28.67</c:v>
                </c:pt>
                <c:pt idx="34">
                  <c:v>28.71</c:v>
                </c:pt>
                <c:pt idx="35">
                  <c:v>25.79</c:v>
                </c:pt>
                <c:pt idx="36">
                  <c:v>30.2</c:v>
                </c:pt>
                <c:pt idx="37">
                  <c:v>25.6</c:v>
                </c:pt>
                <c:pt idx="38">
                  <c:v>27.14</c:v>
                </c:pt>
                <c:pt idx="39">
                  <c:v>29.55</c:v>
                </c:pt>
                <c:pt idx="40">
                  <c:v>26.37</c:v>
                </c:pt>
                <c:pt idx="41">
                  <c:v>27.37</c:v>
                </c:pt>
                <c:pt idx="42">
                  <c:v>28.3</c:v>
                </c:pt>
                <c:pt idx="43">
                  <c:v>29.31</c:v>
                </c:pt>
                <c:pt idx="44">
                  <c:v>25.89</c:v>
                </c:pt>
                <c:pt idx="45">
                  <c:v>27.72</c:v>
                </c:pt>
                <c:pt idx="46">
                  <c:v>30.38</c:v>
                </c:pt>
                <c:pt idx="47">
                  <c:v>25.77</c:v>
                </c:pt>
                <c:pt idx="48">
                  <c:v>27.11</c:v>
                </c:pt>
                <c:pt idx="49">
                  <c:v>30.03</c:v>
                </c:pt>
                <c:pt idx="50">
                  <c:v>25.68</c:v>
                </c:pt>
                <c:pt idx="51">
                  <c:v>29.23</c:v>
                </c:pt>
                <c:pt idx="52">
                  <c:v>26.17</c:v>
                </c:pt>
                <c:pt idx="53">
                  <c:v>30.04</c:v>
                </c:pt>
                <c:pt idx="54">
                  <c:v>26.02</c:v>
                </c:pt>
                <c:pt idx="55">
                  <c:v>27.41</c:v>
                </c:pt>
                <c:pt idx="56">
                  <c:v>27.99</c:v>
                </c:pt>
                <c:pt idx="57">
                  <c:v>29</c:v>
                </c:pt>
                <c:pt idx="58">
                  <c:v>26.09</c:v>
                </c:pt>
                <c:pt idx="59">
                  <c:v>29.8</c:v>
                </c:pt>
                <c:pt idx="60">
                  <c:v>26.94</c:v>
                </c:pt>
                <c:pt idx="61">
                  <c:v>26.99</c:v>
                </c:pt>
                <c:pt idx="62">
                  <c:v>29.11</c:v>
                </c:pt>
                <c:pt idx="63">
                  <c:v>26.16</c:v>
                </c:pt>
                <c:pt idx="64">
                  <c:v>28.78</c:v>
                </c:pt>
                <c:pt idx="65">
                  <c:v>28.08</c:v>
                </c:pt>
                <c:pt idx="66">
                  <c:v>27.08</c:v>
                </c:pt>
                <c:pt idx="67">
                  <c:v>28.61</c:v>
                </c:pt>
                <c:pt idx="68">
                  <c:v>26.84</c:v>
                </c:pt>
                <c:pt idx="69">
                  <c:v>28.71</c:v>
                </c:pt>
                <c:pt idx="70">
                  <c:v>26.31</c:v>
                </c:pt>
                <c:pt idx="71">
                  <c:v>29.75</c:v>
                </c:pt>
                <c:pt idx="72">
                  <c:v>26</c:v>
                </c:pt>
                <c:pt idx="73">
                  <c:v>28.61</c:v>
                </c:pt>
                <c:pt idx="74">
                  <c:v>27.73</c:v>
                </c:pt>
                <c:pt idx="75">
                  <c:v>28.4</c:v>
                </c:pt>
                <c:pt idx="76">
                  <c:v>26.38</c:v>
                </c:pt>
                <c:pt idx="77">
                  <c:v>27.52</c:v>
                </c:pt>
                <c:pt idx="78">
                  <c:v>28.65</c:v>
                </c:pt>
                <c:pt idx="79">
                  <c:v>27.92</c:v>
                </c:pt>
                <c:pt idx="80">
                  <c:v>28</c:v>
                </c:pt>
                <c:pt idx="81">
                  <c:v>27.15</c:v>
                </c:pt>
                <c:pt idx="82">
                  <c:v>26.9</c:v>
                </c:pt>
                <c:pt idx="83">
                  <c:v>29.27</c:v>
                </c:pt>
                <c:pt idx="84">
                  <c:v>26.42</c:v>
                </c:pt>
                <c:pt idx="85">
                  <c:v>28.7</c:v>
                </c:pt>
                <c:pt idx="86">
                  <c:v>27.14</c:v>
                </c:pt>
                <c:pt idx="87">
                  <c:v>29</c:v>
                </c:pt>
                <c:pt idx="88">
                  <c:v>26.46</c:v>
                </c:pt>
                <c:pt idx="89">
                  <c:v>30.12</c:v>
                </c:pt>
                <c:pt idx="90">
                  <c:v>25.6</c:v>
                </c:pt>
                <c:pt idx="91">
                  <c:v>27.32</c:v>
                </c:pt>
                <c:pt idx="92">
                  <c:v>29.65</c:v>
                </c:pt>
                <c:pt idx="93">
                  <c:v>26.41</c:v>
                </c:pt>
                <c:pt idx="94">
                  <c:v>29.97</c:v>
                </c:pt>
                <c:pt idx="95">
                  <c:v>25.55</c:v>
                </c:pt>
                <c:pt idx="96">
                  <c:v>27.44</c:v>
                </c:pt>
                <c:pt idx="97">
                  <c:v>30.23</c:v>
                </c:pt>
                <c:pt idx="98">
                  <c:v>25.76</c:v>
                </c:pt>
                <c:pt idx="99">
                  <c:v>28.06</c:v>
                </c:pt>
                <c:pt idx="100">
                  <c:v>28.61</c:v>
                </c:pt>
                <c:pt idx="101">
                  <c:v>26.34</c:v>
                </c:pt>
                <c:pt idx="102">
                  <c:v>30.12</c:v>
                </c:pt>
                <c:pt idx="103">
                  <c:v>25.93</c:v>
                </c:pt>
                <c:pt idx="104">
                  <c:v>26.92</c:v>
                </c:pt>
                <c:pt idx="105">
                  <c:v>28.93</c:v>
                </c:pt>
                <c:pt idx="106">
                  <c:v>28.2</c:v>
                </c:pt>
                <c:pt idx="107">
                  <c:v>26.52</c:v>
                </c:pt>
                <c:pt idx="108">
                  <c:v>29.63</c:v>
                </c:pt>
                <c:pt idx="109">
                  <c:v>25.86</c:v>
                </c:pt>
                <c:pt idx="110">
                  <c:v>28.27</c:v>
                </c:pt>
                <c:pt idx="111">
                  <c:v>29.23</c:v>
                </c:pt>
                <c:pt idx="112">
                  <c:v>25.79</c:v>
                </c:pt>
                <c:pt idx="113">
                  <c:v>29.84</c:v>
                </c:pt>
                <c:pt idx="114">
                  <c:v>26.82</c:v>
                </c:pt>
                <c:pt idx="115">
                  <c:v>26.76</c:v>
                </c:pt>
                <c:pt idx="116">
                  <c:v>28.03</c:v>
                </c:pt>
                <c:pt idx="117">
                  <c:v>28.45</c:v>
                </c:pt>
                <c:pt idx="118">
                  <c:v>28.41</c:v>
                </c:pt>
                <c:pt idx="119">
                  <c:v>28.24</c:v>
                </c:pt>
                <c:pt idx="120">
                  <c:v>26.11</c:v>
                </c:pt>
                <c:pt idx="121">
                  <c:v>29.85</c:v>
                </c:pt>
                <c:pt idx="122">
                  <c:v>26.26</c:v>
                </c:pt>
                <c:pt idx="123">
                  <c:v>27.69</c:v>
                </c:pt>
                <c:pt idx="124">
                  <c:v>26.99</c:v>
                </c:pt>
                <c:pt idx="125">
                  <c:v>29.52</c:v>
                </c:pt>
                <c:pt idx="126">
                  <c:v>26.97</c:v>
                </c:pt>
                <c:pt idx="127">
                  <c:v>27</c:v>
                </c:pt>
                <c:pt idx="128">
                  <c:v>27.96</c:v>
                </c:pt>
                <c:pt idx="129">
                  <c:v>28.67</c:v>
                </c:pt>
                <c:pt idx="130">
                  <c:v>27.88</c:v>
                </c:pt>
                <c:pt idx="131">
                  <c:v>26.65</c:v>
                </c:pt>
                <c:pt idx="132">
                  <c:v>27.39</c:v>
                </c:pt>
                <c:pt idx="133">
                  <c:v>28.84</c:v>
                </c:pt>
                <c:pt idx="134">
                  <c:v>28.34</c:v>
                </c:pt>
                <c:pt idx="135">
                  <c:v>25.98</c:v>
                </c:pt>
                <c:pt idx="136">
                  <c:v>29.9</c:v>
                </c:pt>
                <c:pt idx="137">
                  <c:v>26.02</c:v>
                </c:pt>
                <c:pt idx="138">
                  <c:v>27.26</c:v>
                </c:pt>
                <c:pt idx="139">
                  <c:v>28.3</c:v>
                </c:pt>
                <c:pt idx="140">
                  <c:v>29.05</c:v>
                </c:pt>
                <c:pt idx="141">
                  <c:v>27.29</c:v>
                </c:pt>
                <c:pt idx="142">
                  <c:v>27.78</c:v>
                </c:pt>
                <c:pt idx="143">
                  <c:v>26.51</c:v>
                </c:pt>
                <c:pt idx="144">
                  <c:v>30.32</c:v>
                </c:pt>
                <c:pt idx="145">
                  <c:v>25.86</c:v>
                </c:pt>
                <c:pt idx="146">
                  <c:v>27.03</c:v>
                </c:pt>
                <c:pt idx="147">
                  <c:v>28.54</c:v>
                </c:pt>
                <c:pt idx="148">
                  <c:v>29.02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6-4AC5-A75E-7C09191A4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875513442175671E-2"/>
          <c:h val="0.54435247641826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Plots!$AE$4</c:f>
          <c:strCache>
            <c:ptCount val="1"/>
            <c:pt idx="0">
              <c:v>AARnetCBR-CamDTN1_tcpmon_tseries_22Feb24 2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0.56999999999999995</c:v>
                </c:pt>
                <c:pt idx="2">
                  <c:v>0.62</c:v>
                </c:pt>
                <c:pt idx="3">
                  <c:v>1.03</c:v>
                </c:pt>
                <c:pt idx="4">
                  <c:v>1.52</c:v>
                </c:pt>
                <c:pt idx="5">
                  <c:v>2.29</c:v>
                </c:pt>
                <c:pt idx="6">
                  <c:v>3.38</c:v>
                </c:pt>
                <c:pt idx="7">
                  <c:v>5.07</c:v>
                </c:pt>
                <c:pt idx="8">
                  <c:v>6.31</c:v>
                </c:pt>
                <c:pt idx="9">
                  <c:v>10.34</c:v>
                </c:pt>
                <c:pt idx="10">
                  <c:v>13.5</c:v>
                </c:pt>
                <c:pt idx="11">
                  <c:v>19.14</c:v>
                </c:pt>
                <c:pt idx="12">
                  <c:v>21.75</c:v>
                </c:pt>
                <c:pt idx="13">
                  <c:v>27</c:v>
                </c:pt>
                <c:pt idx="14">
                  <c:v>27.88</c:v>
                </c:pt>
                <c:pt idx="15">
                  <c:v>28.06</c:v>
                </c:pt>
                <c:pt idx="16">
                  <c:v>29.11</c:v>
                </c:pt>
                <c:pt idx="17">
                  <c:v>31.95</c:v>
                </c:pt>
                <c:pt idx="18">
                  <c:v>27.75</c:v>
                </c:pt>
                <c:pt idx="19">
                  <c:v>28.54</c:v>
                </c:pt>
                <c:pt idx="20">
                  <c:v>30.27</c:v>
                </c:pt>
                <c:pt idx="21">
                  <c:v>32.200000000000003</c:v>
                </c:pt>
                <c:pt idx="22">
                  <c:v>28.85</c:v>
                </c:pt>
                <c:pt idx="23">
                  <c:v>28.18</c:v>
                </c:pt>
                <c:pt idx="24">
                  <c:v>30.61</c:v>
                </c:pt>
                <c:pt idx="25">
                  <c:v>28.46</c:v>
                </c:pt>
                <c:pt idx="26">
                  <c:v>31.27</c:v>
                </c:pt>
                <c:pt idx="27">
                  <c:v>29.53</c:v>
                </c:pt>
                <c:pt idx="28">
                  <c:v>28.21</c:v>
                </c:pt>
                <c:pt idx="29">
                  <c:v>28.21</c:v>
                </c:pt>
                <c:pt idx="30">
                  <c:v>29.37</c:v>
                </c:pt>
                <c:pt idx="31">
                  <c:v>28.35</c:v>
                </c:pt>
                <c:pt idx="32">
                  <c:v>29.19</c:v>
                </c:pt>
                <c:pt idx="33">
                  <c:v>31.06</c:v>
                </c:pt>
                <c:pt idx="34">
                  <c:v>31.2</c:v>
                </c:pt>
                <c:pt idx="35">
                  <c:v>28.21</c:v>
                </c:pt>
                <c:pt idx="36">
                  <c:v>28.11</c:v>
                </c:pt>
                <c:pt idx="37">
                  <c:v>28.6</c:v>
                </c:pt>
                <c:pt idx="38">
                  <c:v>30.06</c:v>
                </c:pt>
                <c:pt idx="39">
                  <c:v>29.5</c:v>
                </c:pt>
                <c:pt idx="40">
                  <c:v>29.53</c:v>
                </c:pt>
                <c:pt idx="41">
                  <c:v>28.5</c:v>
                </c:pt>
                <c:pt idx="42">
                  <c:v>30.28</c:v>
                </c:pt>
                <c:pt idx="43">
                  <c:v>31.73</c:v>
                </c:pt>
                <c:pt idx="44">
                  <c:v>29.83</c:v>
                </c:pt>
                <c:pt idx="45">
                  <c:v>28.25</c:v>
                </c:pt>
                <c:pt idx="46">
                  <c:v>27.86</c:v>
                </c:pt>
                <c:pt idx="47">
                  <c:v>28.44</c:v>
                </c:pt>
                <c:pt idx="48">
                  <c:v>30.06</c:v>
                </c:pt>
                <c:pt idx="49">
                  <c:v>32.659999999999997</c:v>
                </c:pt>
                <c:pt idx="50">
                  <c:v>28.13</c:v>
                </c:pt>
                <c:pt idx="51">
                  <c:v>28.12</c:v>
                </c:pt>
                <c:pt idx="52">
                  <c:v>30.24</c:v>
                </c:pt>
                <c:pt idx="53">
                  <c:v>28.43</c:v>
                </c:pt>
                <c:pt idx="54">
                  <c:v>28.66</c:v>
                </c:pt>
                <c:pt idx="55">
                  <c:v>29.21</c:v>
                </c:pt>
                <c:pt idx="56">
                  <c:v>30.53</c:v>
                </c:pt>
                <c:pt idx="57">
                  <c:v>30.41</c:v>
                </c:pt>
                <c:pt idx="58">
                  <c:v>29.21</c:v>
                </c:pt>
                <c:pt idx="59">
                  <c:v>28.26</c:v>
                </c:pt>
                <c:pt idx="60">
                  <c:v>31.3</c:v>
                </c:pt>
                <c:pt idx="61">
                  <c:v>28.55</c:v>
                </c:pt>
                <c:pt idx="62">
                  <c:v>28.97</c:v>
                </c:pt>
                <c:pt idx="63">
                  <c:v>30.11</c:v>
                </c:pt>
                <c:pt idx="64">
                  <c:v>30.03</c:v>
                </c:pt>
                <c:pt idx="65">
                  <c:v>28.5</c:v>
                </c:pt>
                <c:pt idx="66">
                  <c:v>29.47</c:v>
                </c:pt>
                <c:pt idx="67">
                  <c:v>28.94</c:v>
                </c:pt>
                <c:pt idx="68">
                  <c:v>29.72</c:v>
                </c:pt>
                <c:pt idx="69">
                  <c:v>29.22</c:v>
                </c:pt>
                <c:pt idx="70">
                  <c:v>29.95</c:v>
                </c:pt>
                <c:pt idx="71">
                  <c:v>28.61</c:v>
                </c:pt>
                <c:pt idx="72">
                  <c:v>29.7</c:v>
                </c:pt>
                <c:pt idx="73">
                  <c:v>29.48</c:v>
                </c:pt>
                <c:pt idx="74">
                  <c:v>29.35</c:v>
                </c:pt>
                <c:pt idx="75">
                  <c:v>29.24</c:v>
                </c:pt>
                <c:pt idx="76">
                  <c:v>29.16</c:v>
                </c:pt>
                <c:pt idx="77">
                  <c:v>30.36</c:v>
                </c:pt>
                <c:pt idx="78">
                  <c:v>30.24</c:v>
                </c:pt>
                <c:pt idx="79">
                  <c:v>28.39</c:v>
                </c:pt>
                <c:pt idx="80">
                  <c:v>29.13</c:v>
                </c:pt>
                <c:pt idx="81">
                  <c:v>31</c:v>
                </c:pt>
                <c:pt idx="82">
                  <c:v>28.8</c:v>
                </c:pt>
                <c:pt idx="83">
                  <c:v>28.56</c:v>
                </c:pt>
                <c:pt idx="84">
                  <c:v>29.8</c:v>
                </c:pt>
                <c:pt idx="85">
                  <c:v>29.03</c:v>
                </c:pt>
                <c:pt idx="86">
                  <c:v>30.05</c:v>
                </c:pt>
                <c:pt idx="87">
                  <c:v>28.39</c:v>
                </c:pt>
                <c:pt idx="88">
                  <c:v>30.04</c:v>
                </c:pt>
                <c:pt idx="89">
                  <c:v>28.25</c:v>
                </c:pt>
                <c:pt idx="90">
                  <c:v>28.53</c:v>
                </c:pt>
                <c:pt idx="91">
                  <c:v>30.4</c:v>
                </c:pt>
                <c:pt idx="92">
                  <c:v>31.74</c:v>
                </c:pt>
                <c:pt idx="93">
                  <c:v>28.23</c:v>
                </c:pt>
                <c:pt idx="94">
                  <c:v>28.62</c:v>
                </c:pt>
                <c:pt idx="95">
                  <c:v>28.43</c:v>
                </c:pt>
                <c:pt idx="96">
                  <c:v>30.53</c:v>
                </c:pt>
                <c:pt idx="97">
                  <c:v>31.89</c:v>
                </c:pt>
                <c:pt idx="98">
                  <c:v>28.76</c:v>
                </c:pt>
                <c:pt idx="99">
                  <c:v>28.62</c:v>
                </c:pt>
                <c:pt idx="100">
                  <c:v>29.09</c:v>
                </c:pt>
                <c:pt idx="101">
                  <c:v>29.87</c:v>
                </c:pt>
                <c:pt idx="102">
                  <c:v>28.34</c:v>
                </c:pt>
                <c:pt idx="103">
                  <c:v>28.65</c:v>
                </c:pt>
                <c:pt idx="104">
                  <c:v>29.42</c:v>
                </c:pt>
                <c:pt idx="105">
                  <c:v>31.23</c:v>
                </c:pt>
                <c:pt idx="106">
                  <c:v>29.65</c:v>
                </c:pt>
                <c:pt idx="107">
                  <c:v>27.76</c:v>
                </c:pt>
                <c:pt idx="108">
                  <c:v>32.200000000000003</c:v>
                </c:pt>
                <c:pt idx="109">
                  <c:v>28.32</c:v>
                </c:pt>
                <c:pt idx="110">
                  <c:v>29.64</c:v>
                </c:pt>
                <c:pt idx="111">
                  <c:v>28.23</c:v>
                </c:pt>
                <c:pt idx="112">
                  <c:v>30.44</c:v>
                </c:pt>
                <c:pt idx="113">
                  <c:v>28.26</c:v>
                </c:pt>
                <c:pt idx="114">
                  <c:v>28.17</c:v>
                </c:pt>
                <c:pt idx="115">
                  <c:v>29.52</c:v>
                </c:pt>
                <c:pt idx="116">
                  <c:v>29.41</c:v>
                </c:pt>
                <c:pt idx="117">
                  <c:v>30.45</c:v>
                </c:pt>
                <c:pt idx="118">
                  <c:v>30.89</c:v>
                </c:pt>
                <c:pt idx="119">
                  <c:v>28.02</c:v>
                </c:pt>
                <c:pt idx="120">
                  <c:v>29.99</c:v>
                </c:pt>
                <c:pt idx="121">
                  <c:v>28.71</c:v>
                </c:pt>
                <c:pt idx="122">
                  <c:v>29.25</c:v>
                </c:pt>
                <c:pt idx="123">
                  <c:v>31.12</c:v>
                </c:pt>
                <c:pt idx="124">
                  <c:v>30.32</c:v>
                </c:pt>
                <c:pt idx="125">
                  <c:v>28.74</c:v>
                </c:pt>
                <c:pt idx="126">
                  <c:v>29.97</c:v>
                </c:pt>
                <c:pt idx="127">
                  <c:v>28.4</c:v>
                </c:pt>
                <c:pt idx="128">
                  <c:v>29.21</c:v>
                </c:pt>
                <c:pt idx="129">
                  <c:v>28.4</c:v>
                </c:pt>
                <c:pt idx="130">
                  <c:v>29.17</c:v>
                </c:pt>
                <c:pt idx="131">
                  <c:v>28.78</c:v>
                </c:pt>
                <c:pt idx="132">
                  <c:v>29.75</c:v>
                </c:pt>
                <c:pt idx="133">
                  <c:v>29.85</c:v>
                </c:pt>
                <c:pt idx="134">
                  <c:v>29.01</c:v>
                </c:pt>
                <c:pt idx="135">
                  <c:v>30.56</c:v>
                </c:pt>
                <c:pt idx="136">
                  <c:v>28.2</c:v>
                </c:pt>
                <c:pt idx="137">
                  <c:v>28.59</c:v>
                </c:pt>
                <c:pt idx="138">
                  <c:v>28.77</c:v>
                </c:pt>
                <c:pt idx="139">
                  <c:v>30.67</c:v>
                </c:pt>
                <c:pt idx="140">
                  <c:v>31.21</c:v>
                </c:pt>
                <c:pt idx="141">
                  <c:v>28.04</c:v>
                </c:pt>
                <c:pt idx="142">
                  <c:v>29.53</c:v>
                </c:pt>
                <c:pt idx="143">
                  <c:v>29.19</c:v>
                </c:pt>
                <c:pt idx="144">
                  <c:v>29.14</c:v>
                </c:pt>
                <c:pt idx="145">
                  <c:v>28.4</c:v>
                </c:pt>
                <c:pt idx="146">
                  <c:v>29.01</c:v>
                </c:pt>
                <c:pt idx="147">
                  <c:v>30.79</c:v>
                </c:pt>
                <c:pt idx="148">
                  <c:v>30.33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9-4482-B5DA-8E09A7E2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19-4482-B5DA-8E09A7E2D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Plots!$AE$5</c:f>
          <c:strCache>
            <c:ptCount val="1"/>
            <c:pt idx="0">
              <c:v>AARnetCBR-CamDTN1_tcpmon_tseries_22Feb24 2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3.32</c:v>
                </c:pt>
                <c:pt idx="6">
                  <c:v>4.96</c:v>
                </c:pt>
                <c:pt idx="7">
                  <c:v>6.02</c:v>
                </c:pt>
                <c:pt idx="8">
                  <c:v>10.9</c:v>
                </c:pt>
                <c:pt idx="9">
                  <c:v>12.67</c:v>
                </c:pt>
                <c:pt idx="10">
                  <c:v>17.670000000000002</c:v>
                </c:pt>
                <c:pt idx="11">
                  <c:v>25</c:v>
                </c:pt>
                <c:pt idx="12">
                  <c:v>27.75</c:v>
                </c:pt>
                <c:pt idx="13">
                  <c:v>26.53</c:v>
                </c:pt>
                <c:pt idx="14">
                  <c:v>30.06</c:v>
                </c:pt>
                <c:pt idx="15">
                  <c:v>26.36</c:v>
                </c:pt>
                <c:pt idx="16">
                  <c:v>26.98</c:v>
                </c:pt>
                <c:pt idx="17">
                  <c:v>28.17</c:v>
                </c:pt>
                <c:pt idx="18">
                  <c:v>29.8</c:v>
                </c:pt>
                <c:pt idx="19">
                  <c:v>25.42</c:v>
                </c:pt>
                <c:pt idx="20">
                  <c:v>27.26</c:v>
                </c:pt>
                <c:pt idx="21">
                  <c:v>29.97</c:v>
                </c:pt>
                <c:pt idx="22">
                  <c:v>25.59</c:v>
                </c:pt>
                <c:pt idx="23">
                  <c:v>29.12</c:v>
                </c:pt>
                <c:pt idx="24">
                  <c:v>26.29</c:v>
                </c:pt>
                <c:pt idx="25">
                  <c:v>28.37</c:v>
                </c:pt>
                <c:pt idx="26">
                  <c:v>27.23</c:v>
                </c:pt>
                <c:pt idx="27">
                  <c:v>27.79</c:v>
                </c:pt>
                <c:pt idx="28">
                  <c:v>28.39</c:v>
                </c:pt>
                <c:pt idx="29">
                  <c:v>26.47</c:v>
                </c:pt>
                <c:pt idx="30">
                  <c:v>29.91</c:v>
                </c:pt>
                <c:pt idx="31">
                  <c:v>25.78</c:v>
                </c:pt>
                <c:pt idx="32">
                  <c:v>27.34</c:v>
                </c:pt>
                <c:pt idx="33">
                  <c:v>28.67</c:v>
                </c:pt>
                <c:pt idx="34">
                  <c:v>28.71</c:v>
                </c:pt>
                <c:pt idx="35">
                  <c:v>25.79</c:v>
                </c:pt>
                <c:pt idx="36">
                  <c:v>30.2</c:v>
                </c:pt>
                <c:pt idx="37">
                  <c:v>25.6</c:v>
                </c:pt>
                <c:pt idx="38">
                  <c:v>27.14</c:v>
                </c:pt>
                <c:pt idx="39">
                  <c:v>29.55</c:v>
                </c:pt>
                <c:pt idx="40">
                  <c:v>26.37</c:v>
                </c:pt>
                <c:pt idx="41">
                  <c:v>27.37</c:v>
                </c:pt>
                <c:pt idx="42">
                  <c:v>28.3</c:v>
                </c:pt>
                <c:pt idx="43">
                  <c:v>29.31</c:v>
                </c:pt>
                <c:pt idx="44">
                  <c:v>25.89</c:v>
                </c:pt>
                <c:pt idx="45">
                  <c:v>27.72</c:v>
                </c:pt>
                <c:pt idx="46">
                  <c:v>30.38</c:v>
                </c:pt>
                <c:pt idx="47">
                  <c:v>25.77</c:v>
                </c:pt>
                <c:pt idx="48">
                  <c:v>27.11</c:v>
                </c:pt>
                <c:pt idx="49">
                  <c:v>30.03</c:v>
                </c:pt>
                <c:pt idx="50">
                  <c:v>25.68</c:v>
                </c:pt>
                <c:pt idx="51">
                  <c:v>29.23</c:v>
                </c:pt>
                <c:pt idx="52">
                  <c:v>26.17</c:v>
                </c:pt>
                <c:pt idx="53">
                  <c:v>30.04</c:v>
                </c:pt>
                <c:pt idx="54">
                  <c:v>26.02</c:v>
                </c:pt>
                <c:pt idx="55">
                  <c:v>27.41</c:v>
                </c:pt>
                <c:pt idx="56">
                  <c:v>27.99</c:v>
                </c:pt>
                <c:pt idx="57">
                  <c:v>29</c:v>
                </c:pt>
                <c:pt idx="58">
                  <c:v>26.09</c:v>
                </c:pt>
                <c:pt idx="59">
                  <c:v>29.8</c:v>
                </c:pt>
                <c:pt idx="60">
                  <c:v>26.94</c:v>
                </c:pt>
                <c:pt idx="61">
                  <c:v>26.99</c:v>
                </c:pt>
                <c:pt idx="62">
                  <c:v>29.11</c:v>
                </c:pt>
                <c:pt idx="63">
                  <c:v>26.16</c:v>
                </c:pt>
                <c:pt idx="64">
                  <c:v>28.78</c:v>
                </c:pt>
                <c:pt idx="65">
                  <c:v>28.08</c:v>
                </c:pt>
                <c:pt idx="66">
                  <c:v>27.08</c:v>
                </c:pt>
                <c:pt idx="67">
                  <c:v>28.61</c:v>
                </c:pt>
                <c:pt idx="68">
                  <c:v>26.84</c:v>
                </c:pt>
                <c:pt idx="69">
                  <c:v>28.71</c:v>
                </c:pt>
                <c:pt idx="70">
                  <c:v>26.31</c:v>
                </c:pt>
                <c:pt idx="71">
                  <c:v>29.75</c:v>
                </c:pt>
                <c:pt idx="72">
                  <c:v>26</c:v>
                </c:pt>
                <c:pt idx="73">
                  <c:v>28.61</c:v>
                </c:pt>
                <c:pt idx="74">
                  <c:v>27.73</c:v>
                </c:pt>
                <c:pt idx="75">
                  <c:v>28.4</c:v>
                </c:pt>
                <c:pt idx="76">
                  <c:v>26.38</c:v>
                </c:pt>
                <c:pt idx="77">
                  <c:v>27.52</c:v>
                </c:pt>
                <c:pt idx="78">
                  <c:v>28.65</c:v>
                </c:pt>
                <c:pt idx="79">
                  <c:v>27.92</c:v>
                </c:pt>
                <c:pt idx="80">
                  <c:v>28</c:v>
                </c:pt>
                <c:pt idx="81">
                  <c:v>27.15</c:v>
                </c:pt>
                <c:pt idx="82">
                  <c:v>26.9</c:v>
                </c:pt>
                <c:pt idx="83">
                  <c:v>29.27</c:v>
                </c:pt>
                <c:pt idx="84">
                  <c:v>26.42</c:v>
                </c:pt>
                <c:pt idx="85">
                  <c:v>28.7</c:v>
                </c:pt>
                <c:pt idx="86">
                  <c:v>27.14</c:v>
                </c:pt>
                <c:pt idx="87">
                  <c:v>29</c:v>
                </c:pt>
                <c:pt idx="88">
                  <c:v>26.46</c:v>
                </c:pt>
                <c:pt idx="89">
                  <c:v>30.12</c:v>
                </c:pt>
                <c:pt idx="90">
                  <c:v>25.6</c:v>
                </c:pt>
                <c:pt idx="91">
                  <c:v>27.32</c:v>
                </c:pt>
                <c:pt idx="92">
                  <c:v>29.65</c:v>
                </c:pt>
                <c:pt idx="93">
                  <c:v>26.41</c:v>
                </c:pt>
                <c:pt idx="94">
                  <c:v>29.97</c:v>
                </c:pt>
                <c:pt idx="95">
                  <c:v>25.55</c:v>
                </c:pt>
                <c:pt idx="96">
                  <c:v>27.44</c:v>
                </c:pt>
                <c:pt idx="97">
                  <c:v>30.23</c:v>
                </c:pt>
                <c:pt idx="98">
                  <c:v>25.76</c:v>
                </c:pt>
                <c:pt idx="99">
                  <c:v>28.06</c:v>
                </c:pt>
                <c:pt idx="100">
                  <c:v>28.61</c:v>
                </c:pt>
                <c:pt idx="101">
                  <c:v>26.34</c:v>
                </c:pt>
                <c:pt idx="102">
                  <c:v>30.12</c:v>
                </c:pt>
                <c:pt idx="103">
                  <c:v>25.93</c:v>
                </c:pt>
                <c:pt idx="104">
                  <c:v>26.92</c:v>
                </c:pt>
                <c:pt idx="105">
                  <c:v>28.93</c:v>
                </c:pt>
                <c:pt idx="106">
                  <c:v>28.2</c:v>
                </c:pt>
                <c:pt idx="107">
                  <c:v>26.52</c:v>
                </c:pt>
                <c:pt idx="108">
                  <c:v>29.63</c:v>
                </c:pt>
                <c:pt idx="109">
                  <c:v>25.86</c:v>
                </c:pt>
                <c:pt idx="110">
                  <c:v>28.27</c:v>
                </c:pt>
                <c:pt idx="111">
                  <c:v>29.23</c:v>
                </c:pt>
                <c:pt idx="112">
                  <c:v>25.79</c:v>
                </c:pt>
                <c:pt idx="113">
                  <c:v>29.84</c:v>
                </c:pt>
                <c:pt idx="114">
                  <c:v>26.82</c:v>
                </c:pt>
                <c:pt idx="115">
                  <c:v>26.76</c:v>
                </c:pt>
                <c:pt idx="116">
                  <c:v>28.03</c:v>
                </c:pt>
                <c:pt idx="117">
                  <c:v>28.45</c:v>
                </c:pt>
                <c:pt idx="118">
                  <c:v>28.41</c:v>
                </c:pt>
                <c:pt idx="119">
                  <c:v>28.24</c:v>
                </c:pt>
                <c:pt idx="120">
                  <c:v>26.11</c:v>
                </c:pt>
                <c:pt idx="121">
                  <c:v>29.85</c:v>
                </c:pt>
                <c:pt idx="122">
                  <c:v>26.26</c:v>
                </c:pt>
                <c:pt idx="123">
                  <c:v>27.69</c:v>
                </c:pt>
                <c:pt idx="124">
                  <c:v>26.99</c:v>
                </c:pt>
                <c:pt idx="125">
                  <c:v>29.52</c:v>
                </c:pt>
                <c:pt idx="126">
                  <c:v>26.97</c:v>
                </c:pt>
                <c:pt idx="127">
                  <c:v>27</c:v>
                </c:pt>
                <c:pt idx="128">
                  <c:v>27.96</c:v>
                </c:pt>
                <c:pt idx="129">
                  <c:v>28.67</c:v>
                </c:pt>
                <c:pt idx="130">
                  <c:v>27.88</c:v>
                </c:pt>
                <c:pt idx="131">
                  <c:v>26.65</c:v>
                </c:pt>
                <c:pt idx="132">
                  <c:v>27.39</c:v>
                </c:pt>
                <c:pt idx="133">
                  <c:v>28.84</c:v>
                </c:pt>
                <c:pt idx="134">
                  <c:v>28.34</c:v>
                </c:pt>
                <c:pt idx="135">
                  <c:v>25.98</c:v>
                </c:pt>
                <c:pt idx="136">
                  <c:v>29.9</c:v>
                </c:pt>
                <c:pt idx="137">
                  <c:v>26.02</c:v>
                </c:pt>
                <c:pt idx="138">
                  <c:v>27.26</c:v>
                </c:pt>
                <c:pt idx="139">
                  <c:v>28.3</c:v>
                </c:pt>
                <c:pt idx="140">
                  <c:v>29.05</c:v>
                </c:pt>
                <c:pt idx="141">
                  <c:v>27.29</c:v>
                </c:pt>
                <c:pt idx="142">
                  <c:v>27.78</c:v>
                </c:pt>
                <c:pt idx="143">
                  <c:v>26.51</c:v>
                </c:pt>
                <c:pt idx="144">
                  <c:v>30.32</c:v>
                </c:pt>
                <c:pt idx="145">
                  <c:v>25.86</c:v>
                </c:pt>
                <c:pt idx="146">
                  <c:v>27.03</c:v>
                </c:pt>
                <c:pt idx="147">
                  <c:v>28.54</c:v>
                </c:pt>
                <c:pt idx="148">
                  <c:v>29.02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1-48DE-8AAA-A50F772CA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[0]!Tab22_flow_retrans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1-48DE-8AAA-A50F772CA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Plots!$AW$5</c:f>
          <c:strCache>
            <c:ptCount val="1"/>
            <c:pt idx="0">
              <c:v>AARnetCBR-CamDTN1_tcpmon_tseries_22Feb24 4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0.54</c:v>
                </c:pt>
                <c:pt idx="9">
                  <c:v>0.79</c:v>
                </c:pt>
                <c:pt idx="10">
                  <c:v>1.1499999999999999</c:v>
                </c:pt>
                <c:pt idx="11">
                  <c:v>1.54</c:v>
                </c:pt>
                <c:pt idx="12">
                  <c:v>2.2599999999999998</c:v>
                </c:pt>
                <c:pt idx="13">
                  <c:v>3.55</c:v>
                </c:pt>
                <c:pt idx="14">
                  <c:v>5.25</c:v>
                </c:pt>
                <c:pt idx="15">
                  <c:v>7.76</c:v>
                </c:pt>
                <c:pt idx="16">
                  <c:v>10.35</c:v>
                </c:pt>
                <c:pt idx="17">
                  <c:v>13.65</c:v>
                </c:pt>
                <c:pt idx="18">
                  <c:v>20.02</c:v>
                </c:pt>
                <c:pt idx="19">
                  <c:v>21.82</c:v>
                </c:pt>
                <c:pt idx="20">
                  <c:v>28.7</c:v>
                </c:pt>
                <c:pt idx="21">
                  <c:v>19.55</c:v>
                </c:pt>
                <c:pt idx="22">
                  <c:v>25.19</c:v>
                </c:pt>
                <c:pt idx="23">
                  <c:v>23.03</c:v>
                </c:pt>
                <c:pt idx="24">
                  <c:v>26.33</c:v>
                </c:pt>
                <c:pt idx="25">
                  <c:v>23.94</c:v>
                </c:pt>
                <c:pt idx="26">
                  <c:v>27.79</c:v>
                </c:pt>
                <c:pt idx="27">
                  <c:v>24.91</c:v>
                </c:pt>
                <c:pt idx="28">
                  <c:v>28.55</c:v>
                </c:pt>
                <c:pt idx="29">
                  <c:v>28.29</c:v>
                </c:pt>
                <c:pt idx="30">
                  <c:v>26.29</c:v>
                </c:pt>
                <c:pt idx="31">
                  <c:v>24</c:v>
                </c:pt>
                <c:pt idx="32">
                  <c:v>22.21</c:v>
                </c:pt>
                <c:pt idx="33">
                  <c:v>21.37</c:v>
                </c:pt>
                <c:pt idx="34">
                  <c:v>23.14</c:v>
                </c:pt>
                <c:pt idx="35">
                  <c:v>21.54</c:v>
                </c:pt>
                <c:pt idx="36">
                  <c:v>24.14</c:v>
                </c:pt>
                <c:pt idx="37">
                  <c:v>25.54</c:v>
                </c:pt>
                <c:pt idx="38">
                  <c:v>23.15</c:v>
                </c:pt>
                <c:pt idx="39">
                  <c:v>25.1</c:v>
                </c:pt>
                <c:pt idx="40">
                  <c:v>25.72</c:v>
                </c:pt>
                <c:pt idx="41">
                  <c:v>25.81</c:v>
                </c:pt>
                <c:pt idx="42">
                  <c:v>22.49</c:v>
                </c:pt>
                <c:pt idx="43">
                  <c:v>25.42</c:v>
                </c:pt>
                <c:pt idx="44">
                  <c:v>25.43</c:v>
                </c:pt>
                <c:pt idx="45">
                  <c:v>24.77</c:v>
                </c:pt>
                <c:pt idx="46">
                  <c:v>28.21</c:v>
                </c:pt>
                <c:pt idx="47">
                  <c:v>24.08</c:v>
                </c:pt>
                <c:pt idx="48">
                  <c:v>25.79</c:v>
                </c:pt>
                <c:pt idx="49">
                  <c:v>24.42</c:v>
                </c:pt>
                <c:pt idx="50">
                  <c:v>26.33</c:v>
                </c:pt>
                <c:pt idx="51">
                  <c:v>26.52</c:v>
                </c:pt>
                <c:pt idx="52">
                  <c:v>24.03</c:v>
                </c:pt>
                <c:pt idx="53">
                  <c:v>25.48</c:v>
                </c:pt>
                <c:pt idx="54">
                  <c:v>25.77</c:v>
                </c:pt>
                <c:pt idx="55">
                  <c:v>24.81</c:v>
                </c:pt>
                <c:pt idx="56">
                  <c:v>27.76</c:v>
                </c:pt>
                <c:pt idx="57">
                  <c:v>26.38</c:v>
                </c:pt>
                <c:pt idx="58">
                  <c:v>22.62</c:v>
                </c:pt>
                <c:pt idx="59">
                  <c:v>27.32</c:v>
                </c:pt>
                <c:pt idx="60">
                  <c:v>27.74</c:v>
                </c:pt>
                <c:pt idx="61">
                  <c:v>26.23</c:v>
                </c:pt>
                <c:pt idx="62">
                  <c:v>25.37</c:v>
                </c:pt>
                <c:pt idx="63">
                  <c:v>27.21</c:v>
                </c:pt>
                <c:pt idx="64">
                  <c:v>27.13</c:v>
                </c:pt>
                <c:pt idx="65">
                  <c:v>19.27</c:v>
                </c:pt>
                <c:pt idx="66">
                  <c:v>21.01</c:v>
                </c:pt>
                <c:pt idx="67">
                  <c:v>21.47</c:v>
                </c:pt>
                <c:pt idx="68">
                  <c:v>24.1</c:v>
                </c:pt>
                <c:pt idx="69">
                  <c:v>24.34</c:v>
                </c:pt>
                <c:pt idx="70">
                  <c:v>24.91</c:v>
                </c:pt>
                <c:pt idx="71">
                  <c:v>26.62</c:v>
                </c:pt>
                <c:pt idx="72">
                  <c:v>25.74</c:v>
                </c:pt>
                <c:pt idx="73">
                  <c:v>26.26</c:v>
                </c:pt>
                <c:pt idx="74">
                  <c:v>24.86</c:v>
                </c:pt>
                <c:pt idx="75">
                  <c:v>27.21</c:v>
                </c:pt>
                <c:pt idx="76">
                  <c:v>28.12</c:v>
                </c:pt>
                <c:pt idx="77">
                  <c:v>27.54</c:v>
                </c:pt>
                <c:pt idx="78">
                  <c:v>27.91</c:v>
                </c:pt>
                <c:pt idx="79">
                  <c:v>25.42</c:v>
                </c:pt>
                <c:pt idx="80">
                  <c:v>26.9</c:v>
                </c:pt>
                <c:pt idx="81">
                  <c:v>28.16</c:v>
                </c:pt>
                <c:pt idx="82">
                  <c:v>18.7</c:v>
                </c:pt>
                <c:pt idx="83">
                  <c:v>21.2</c:v>
                </c:pt>
                <c:pt idx="84">
                  <c:v>21.69</c:v>
                </c:pt>
                <c:pt idx="85">
                  <c:v>21.81</c:v>
                </c:pt>
                <c:pt idx="86">
                  <c:v>23.16</c:v>
                </c:pt>
                <c:pt idx="87">
                  <c:v>22.35</c:v>
                </c:pt>
                <c:pt idx="88">
                  <c:v>23.25</c:v>
                </c:pt>
                <c:pt idx="89">
                  <c:v>23.99</c:v>
                </c:pt>
                <c:pt idx="90">
                  <c:v>23.24</c:v>
                </c:pt>
                <c:pt idx="91">
                  <c:v>23.24</c:v>
                </c:pt>
                <c:pt idx="92">
                  <c:v>26.31</c:v>
                </c:pt>
                <c:pt idx="93">
                  <c:v>21.84</c:v>
                </c:pt>
                <c:pt idx="94">
                  <c:v>25.64</c:v>
                </c:pt>
                <c:pt idx="95">
                  <c:v>22.82</c:v>
                </c:pt>
                <c:pt idx="96">
                  <c:v>25.04</c:v>
                </c:pt>
                <c:pt idx="97">
                  <c:v>25.08</c:v>
                </c:pt>
                <c:pt idx="98">
                  <c:v>23.49</c:v>
                </c:pt>
                <c:pt idx="99">
                  <c:v>26.24</c:v>
                </c:pt>
                <c:pt idx="100">
                  <c:v>23.26</c:v>
                </c:pt>
                <c:pt idx="101">
                  <c:v>25.51</c:v>
                </c:pt>
                <c:pt idx="102">
                  <c:v>22.75</c:v>
                </c:pt>
                <c:pt idx="103">
                  <c:v>24.13</c:v>
                </c:pt>
                <c:pt idx="104">
                  <c:v>26.83</c:v>
                </c:pt>
                <c:pt idx="105">
                  <c:v>22.71</c:v>
                </c:pt>
                <c:pt idx="106">
                  <c:v>24.62</c:v>
                </c:pt>
                <c:pt idx="107">
                  <c:v>23.73</c:v>
                </c:pt>
                <c:pt idx="108">
                  <c:v>23.91</c:v>
                </c:pt>
                <c:pt idx="109">
                  <c:v>26.08</c:v>
                </c:pt>
                <c:pt idx="110">
                  <c:v>23.71</c:v>
                </c:pt>
                <c:pt idx="111">
                  <c:v>25.22</c:v>
                </c:pt>
                <c:pt idx="112">
                  <c:v>26.67</c:v>
                </c:pt>
                <c:pt idx="113">
                  <c:v>25.97</c:v>
                </c:pt>
                <c:pt idx="114">
                  <c:v>24.93</c:v>
                </c:pt>
                <c:pt idx="115">
                  <c:v>26.87</c:v>
                </c:pt>
                <c:pt idx="116">
                  <c:v>25.03</c:v>
                </c:pt>
                <c:pt idx="117">
                  <c:v>28.51</c:v>
                </c:pt>
                <c:pt idx="118">
                  <c:v>27.45</c:v>
                </c:pt>
                <c:pt idx="119">
                  <c:v>28.16</c:v>
                </c:pt>
                <c:pt idx="120">
                  <c:v>26.83</c:v>
                </c:pt>
                <c:pt idx="121">
                  <c:v>25.57</c:v>
                </c:pt>
                <c:pt idx="122">
                  <c:v>21</c:v>
                </c:pt>
                <c:pt idx="123">
                  <c:v>26.53</c:v>
                </c:pt>
                <c:pt idx="124">
                  <c:v>24.42</c:v>
                </c:pt>
                <c:pt idx="125">
                  <c:v>23.35</c:v>
                </c:pt>
                <c:pt idx="126">
                  <c:v>27.81</c:v>
                </c:pt>
                <c:pt idx="127">
                  <c:v>25.84</c:v>
                </c:pt>
                <c:pt idx="128">
                  <c:v>27.82</c:v>
                </c:pt>
                <c:pt idx="129">
                  <c:v>27.48</c:v>
                </c:pt>
                <c:pt idx="130">
                  <c:v>27.39</c:v>
                </c:pt>
                <c:pt idx="131">
                  <c:v>28.32</c:v>
                </c:pt>
                <c:pt idx="132">
                  <c:v>18.05</c:v>
                </c:pt>
                <c:pt idx="133">
                  <c:v>23.38</c:v>
                </c:pt>
                <c:pt idx="134">
                  <c:v>22.61</c:v>
                </c:pt>
                <c:pt idx="135">
                  <c:v>23.15</c:v>
                </c:pt>
                <c:pt idx="136">
                  <c:v>22.86</c:v>
                </c:pt>
                <c:pt idx="137">
                  <c:v>25.05</c:v>
                </c:pt>
                <c:pt idx="138">
                  <c:v>26.06</c:v>
                </c:pt>
                <c:pt idx="139">
                  <c:v>23.4</c:v>
                </c:pt>
                <c:pt idx="140">
                  <c:v>24.25</c:v>
                </c:pt>
                <c:pt idx="141">
                  <c:v>26.71</c:v>
                </c:pt>
                <c:pt idx="142">
                  <c:v>24.37</c:v>
                </c:pt>
                <c:pt idx="143">
                  <c:v>28.06</c:v>
                </c:pt>
                <c:pt idx="144">
                  <c:v>25.01</c:v>
                </c:pt>
                <c:pt idx="145">
                  <c:v>26.74</c:v>
                </c:pt>
                <c:pt idx="146">
                  <c:v>25.66</c:v>
                </c:pt>
                <c:pt idx="147">
                  <c:v>24.94</c:v>
                </c:pt>
                <c:pt idx="148">
                  <c:v>28.39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3-4463-8A4A-38233ECF8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218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482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9196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531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216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3-4463-8A4A-38233ECF8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Plots!$AN$6</c:f>
          <c:strCache>
            <c:ptCount val="1"/>
            <c:pt idx="0">
              <c:v>AARnetCBR-CamDTN1_tcpmon_tseries_22Feb24 3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[0]!Tab32_flow_rate</c:f>
              <c:numCache>
                <c:formatCode>General</c:formatCode>
                <c:ptCount val="149"/>
                <c:pt idx="0">
                  <c:v>0.11</c:v>
                </c:pt>
                <c:pt idx="1">
                  <c:v>0.59</c:v>
                </c:pt>
                <c:pt idx="2">
                  <c:v>0.66</c:v>
                </c:pt>
                <c:pt idx="3">
                  <c:v>1.0900000000000001</c:v>
                </c:pt>
                <c:pt idx="4">
                  <c:v>1.61</c:v>
                </c:pt>
                <c:pt idx="5">
                  <c:v>2.41</c:v>
                </c:pt>
                <c:pt idx="6">
                  <c:v>3.56</c:v>
                </c:pt>
                <c:pt idx="7">
                  <c:v>4.88</c:v>
                </c:pt>
                <c:pt idx="8">
                  <c:v>7.14</c:v>
                </c:pt>
                <c:pt idx="9">
                  <c:v>11.84</c:v>
                </c:pt>
                <c:pt idx="10">
                  <c:v>14.73</c:v>
                </c:pt>
                <c:pt idx="11">
                  <c:v>17.899999999999999</c:v>
                </c:pt>
                <c:pt idx="12">
                  <c:v>24.76</c:v>
                </c:pt>
                <c:pt idx="13">
                  <c:v>26.36</c:v>
                </c:pt>
                <c:pt idx="14">
                  <c:v>27.58</c:v>
                </c:pt>
                <c:pt idx="15">
                  <c:v>22.67</c:v>
                </c:pt>
                <c:pt idx="16">
                  <c:v>25.63</c:v>
                </c:pt>
                <c:pt idx="17">
                  <c:v>24.47</c:v>
                </c:pt>
                <c:pt idx="18">
                  <c:v>26.72</c:v>
                </c:pt>
                <c:pt idx="19">
                  <c:v>21.57</c:v>
                </c:pt>
                <c:pt idx="20">
                  <c:v>24.42</c:v>
                </c:pt>
                <c:pt idx="21">
                  <c:v>23.08</c:v>
                </c:pt>
                <c:pt idx="22">
                  <c:v>26.22</c:v>
                </c:pt>
                <c:pt idx="23">
                  <c:v>21</c:v>
                </c:pt>
                <c:pt idx="24">
                  <c:v>25.22</c:v>
                </c:pt>
                <c:pt idx="25">
                  <c:v>23.99</c:v>
                </c:pt>
                <c:pt idx="26">
                  <c:v>21.48</c:v>
                </c:pt>
                <c:pt idx="27">
                  <c:v>24.22</c:v>
                </c:pt>
                <c:pt idx="28">
                  <c:v>22.79</c:v>
                </c:pt>
                <c:pt idx="29">
                  <c:v>24.99</c:v>
                </c:pt>
                <c:pt idx="30">
                  <c:v>21.84</c:v>
                </c:pt>
                <c:pt idx="31">
                  <c:v>25.2</c:v>
                </c:pt>
                <c:pt idx="32">
                  <c:v>21.51</c:v>
                </c:pt>
                <c:pt idx="33">
                  <c:v>25.73</c:v>
                </c:pt>
                <c:pt idx="34">
                  <c:v>21.36</c:v>
                </c:pt>
                <c:pt idx="35">
                  <c:v>24.79</c:v>
                </c:pt>
                <c:pt idx="36">
                  <c:v>21.91</c:v>
                </c:pt>
                <c:pt idx="37">
                  <c:v>25.6</c:v>
                </c:pt>
                <c:pt idx="38">
                  <c:v>21.38</c:v>
                </c:pt>
                <c:pt idx="39">
                  <c:v>24.5</c:v>
                </c:pt>
                <c:pt idx="40">
                  <c:v>23.76</c:v>
                </c:pt>
                <c:pt idx="41">
                  <c:v>22.24</c:v>
                </c:pt>
                <c:pt idx="42">
                  <c:v>26</c:v>
                </c:pt>
                <c:pt idx="43">
                  <c:v>20.88</c:v>
                </c:pt>
                <c:pt idx="44">
                  <c:v>24.89</c:v>
                </c:pt>
                <c:pt idx="45">
                  <c:v>22.02</c:v>
                </c:pt>
                <c:pt idx="46">
                  <c:v>26.14</c:v>
                </c:pt>
                <c:pt idx="47">
                  <c:v>20.76</c:v>
                </c:pt>
                <c:pt idx="48">
                  <c:v>24.13</c:v>
                </c:pt>
                <c:pt idx="49">
                  <c:v>22.85</c:v>
                </c:pt>
                <c:pt idx="50">
                  <c:v>26.15</c:v>
                </c:pt>
                <c:pt idx="51">
                  <c:v>21.2</c:v>
                </c:pt>
                <c:pt idx="52">
                  <c:v>24.46</c:v>
                </c:pt>
                <c:pt idx="53">
                  <c:v>22.01</c:v>
                </c:pt>
                <c:pt idx="54">
                  <c:v>25.94</c:v>
                </c:pt>
                <c:pt idx="55">
                  <c:v>21.13</c:v>
                </c:pt>
                <c:pt idx="56">
                  <c:v>25.34</c:v>
                </c:pt>
                <c:pt idx="57">
                  <c:v>21.42</c:v>
                </c:pt>
                <c:pt idx="58">
                  <c:v>25.98</c:v>
                </c:pt>
                <c:pt idx="59">
                  <c:v>21.05</c:v>
                </c:pt>
                <c:pt idx="60">
                  <c:v>25.9</c:v>
                </c:pt>
                <c:pt idx="61">
                  <c:v>21.1</c:v>
                </c:pt>
                <c:pt idx="62">
                  <c:v>25.33</c:v>
                </c:pt>
                <c:pt idx="63">
                  <c:v>23.46</c:v>
                </c:pt>
                <c:pt idx="64">
                  <c:v>21.72</c:v>
                </c:pt>
                <c:pt idx="65">
                  <c:v>24.6</c:v>
                </c:pt>
                <c:pt idx="66">
                  <c:v>22.18</c:v>
                </c:pt>
                <c:pt idx="67">
                  <c:v>25.61</c:v>
                </c:pt>
                <c:pt idx="68">
                  <c:v>21.24</c:v>
                </c:pt>
                <c:pt idx="69">
                  <c:v>25.58</c:v>
                </c:pt>
                <c:pt idx="70">
                  <c:v>21.62</c:v>
                </c:pt>
                <c:pt idx="71">
                  <c:v>24.56</c:v>
                </c:pt>
                <c:pt idx="72">
                  <c:v>22.13</c:v>
                </c:pt>
                <c:pt idx="73">
                  <c:v>26.03</c:v>
                </c:pt>
                <c:pt idx="74">
                  <c:v>21.61</c:v>
                </c:pt>
                <c:pt idx="75">
                  <c:v>23.8</c:v>
                </c:pt>
                <c:pt idx="76">
                  <c:v>23</c:v>
                </c:pt>
                <c:pt idx="77">
                  <c:v>25.39</c:v>
                </c:pt>
                <c:pt idx="78">
                  <c:v>21.02</c:v>
                </c:pt>
                <c:pt idx="79">
                  <c:v>25.31</c:v>
                </c:pt>
                <c:pt idx="80">
                  <c:v>21.7</c:v>
                </c:pt>
                <c:pt idx="81">
                  <c:v>25.68</c:v>
                </c:pt>
                <c:pt idx="82">
                  <c:v>21.33</c:v>
                </c:pt>
                <c:pt idx="83">
                  <c:v>25.12</c:v>
                </c:pt>
                <c:pt idx="84">
                  <c:v>21.68</c:v>
                </c:pt>
                <c:pt idx="85">
                  <c:v>25.87</c:v>
                </c:pt>
                <c:pt idx="86">
                  <c:v>21.14</c:v>
                </c:pt>
                <c:pt idx="87">
                  <c:v>25.63</c:v>
                </c:pt>
                <c:pt idx="88">
                  <c:v>21.26</c:v>
                </c:pt>
                <c:pt idx="89">
                  <c:v>25.89</c:v>
                </c:pt>
                <c:pt idx="90">
                  <c:v>21.11</c:v>
                </c:pt>
                <c:pt idx="91">
                  <c:v>25.75</c:v>
                </c:pt>
                <c:pt idx="92">
                  <c:v>21.12</c:v>
                </c:pt>
                <c:pt idx="93">
                  <c:v>25.02</c:v>
                </c:pt>
                <c:pt idx="94">
                  <c:v>22.18</c:v>
                </c:pt>
                <c:pt idx="95">
                  <c:v>25.82</c:v>
                </c:pt>
                <c:pt idx="96">
                  <c:v>21.08</c:v>
                </c:pt>
                <c:pt idx="97">
                  <c:v>25.26</c:v>
                </c:pt>
                <c:pt idx="98">
                  <c:v>21.43</c:v>
                </c:pt>
                <c:pt idx="99">
                  <c:v>26.18</c:v>
                </c:pt>
                <c:pt idx="100">
                  <c:v>20.97</c:v>
                </c:pt>
                <c:pt idx="101">
                  <c:v>25.04</c:v>
                </c:pt>
                <c:pt idx="102">
                  <c:v>21.68</c:v>
                </c:pt>
                <c:pt idx="103">
                  <c:v>26.13</c:v>
                </c:pt>
                <c:pt idx="104">
                  <c:v>20.95</c:v>
                </c:pt>
                <c:pt idx="105">
                  <c:v>25.26</c:v>
                </c:pt>
                <c:pt idx="106">
                  <c:v>21.81</c:v>
                </c:pt>
                <c:pt idx="107">
                  <c:v>25.92</c:v>
                </c:pt>
                <c:pt idx="108">
                  <c:v>20.92</c:v>
                </c:pt>
                <c:pt idx="109">
                  <c:v>24.02</c:v>
                </c:pt>
                <c:pt idx="110">
                  <c:v>22.76</c:v>
                </c:pt>
                <c:pt idx="111">
                  <c:v>24.69</c:v>
                </c:pt>
                <c:pt idx="112">
                  <c:v>22.24</c:v>
                </c:pt>
                <c:pt idx="113">
                  <c:v>24.76</c:v>
                </c:pt>
                <c:pt idx="114">
                  <c:v>22.6</c:v>
                </c:pt>
                <c:pt idx="115">
                  <c:v>24.9</c:v>
                </c:pt>
                <c:pt idx="116">
                  <c:v>21.69</c:v>
                </c:pt>
                <c:pt idx="117">
                  <c:v>25.01</c:v>
                </c:pt>
                <c:pt idx="118">
                  <c:v>21.75</c:v>
                </c:pt>
                <c:pt idx="119">
                  <c:v>25.81</c:v>
                </c:pt>
                <c:pt idx="120">
                  <c:v>21.23</c:v>
                </c:pt>
                <c:pt idx="121">
                  <c:v>25.33</c:v>
                </c:pt>
                <c:pt idx="122">
                  <c:v>21.59</c:v>
                </c:pt>
                <c:pt idx="123">
                  <c:v>25.91</c:v>
                </c:pt>
                <c:pt idx="124">
                  <c:v>21.07</c:v>
                </c:pt>
                <c:pt idx="125">
                  <c:v>25.68</c:v>
                </c:pt>
                <c:pt idx="126">
                  <c:v>21.05</c:v>
                </c:pt>
                <c:pt idx="127">
                  <c:v>25.67</c:v>
                </c:pt>
                <c:pt idx="128">
                  <c:v>21.29</c:v>
                </c:pt>
                <c:pt idx="129">
                  <c:v>25.41</c:v>
                </c:pt>
                <c:pt idx="130">
                  <c:v>21.71</c:v>
                </c:pt>
                <c:pt idx="131">
                  <c:v>24.01</c:v>
                </c:pt>
                <c:pt idx="132">
                  <c:v>24.36</c:v>
                </c:pt>
                <c:pt idx="133">
                  <c:v>21.83</c:v>
                </c:pt>
                <c:pt idx="134">
                  <c:v>25.5</c:v>
                </c:pt>
                <c:pt idx="135">
                  <c:v>21.29</c:v>
                </c:pt>
                <c:pt idx="136">
                  <c:v>25.66</c:v>
                </c:pt>
                <c:pt idx="137">
                  <c:v>21.62</c:v>
                </c:pt>
                <c:pt idx="138">
                  <c:v>24.22</c:v>
                </c:pt>
                <c:pt idx="139">
                  <c:v>22.4</c:v>
                </c:pt>
                <c:pt idx="140">
                  <c:v>25.81</c:v>
                </c:pt>
                <c:pt idx="141">
                  <c:v>21.03</c:v>
                </c:pt>
                <c:pt idx="142">
                  <c:v>25.42</c:v>
                </c:pt>
                <c:pt idx="143">
                  <c:v>21.5</c:v>
                </c:pt>
                <c:pt idx="144">
                  <c:v>25.99</c:v>
                </c:pt>
                <c:pt idx="145">
                  <c:v>20.84</c:v>
                </c:pt>
                <c:pt idx="146">
                  <c:v>25.53</c:v>
                </c:pt>
                <c:pt idx="147">
                  <c:v>21.58</c:v>
                </c:pt>
                <c:pt idx="148">
                  <c:v>25.78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1-47E4-AC78-EA626597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[0]!Tab32_flow_retrans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A1-47E4-AC78-EA626597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Plots!$AW$6</c:f>
          <c:strCache>
            <c:ptCount val="1"/>
            <c:pt idx="0">
              <c:v>AARnetCBR-CamDTN1_tcpmon_tseries_22Feb24 4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[0]!Tab42_flow_rate</c:f>
              <c:numCache>
                <c:formatCode>General</c:formatCode>
                <c:ptCount val="149"/>
                <c:pt idx="0">
                  <c:v>0.09</c:v>
                </c:pt>
                <c:pt idx="1">
                  <c:v>0.8</c:v>
                </c:pt>
                <c:pt idx="2">
                  <c:v>0.9</c:v>
                </c:pt>
                <c:pt idx="3">
                  <c:v>1.49</c:v>
                </c:pt>
                <c:pt idx="4">
                  <c:v>2.2000000000000002</c:v>
                </c:pt>
                <c:pt idx="5">
                  <c:v>3.33</c:v>
                </c:pt>
                <c:pt idx="6">
                  <c:v>4.25</c:v>
                </c:pt>
                <c:pt idx="7">
                  <c:v>6.96</c:v>
                </c:pt>
                <c:pt idx="8">
                  <c:v>9.51</c:v>
                </c:pt>
                <c:pt idx="9">
                  <c:v>16.09</c:v>
                </c:pt>
                <c:pt idx="10">
                  <c:v>16.78</c:v>
                </c:pt>
                <c:pt idx="11">
                  <c:v>22.8</c:v>
                </c:pt>
                <c:pt idx="12">
                  <c:v>26.58</c:v>
                </c:pt>
                <c:pt idx="13">
                  <c:v>26.54</c:v>
                </c:pt>
                <c:pt idx="14">
                  <c:v>26.21</c:v>
                </c:pt>
                <c:pt idx="15">
                  <c:v>24.36</c:v>
                </c:pt>
                <c:pt idx="16">
                  <c:v>25.83</c:v>
                </c:pt>
                <c:pt idx="17">
                  <c:v>23.68</c:v>
                </c:pt>
                <c:pt idx="18">
                  <c:v>26.41</c:v>
                </c:pt>
                <c:pt idx="19">
                  <c:v>24.36</c:v>
                </c:pt>
                <c:pt idx="20">
                  <c:v>22.28</c:v>
                </c:pt>
                <c:pt idx="21">
                  <c:v>20.27</c:v>
                </c:pt>
                <c:pt idx="22">
                  <c:v>20.9</c:v>
                </c:pt>
                <c:pt idx="23">
                  <c:v>24.5</c:v>
                </c:pt>
                <c:pt idx="24">
                  <c:v>22.26</c:v>
                </c:pt>
                <c:pt idx="25">
                  <c:v>26.02</c:v>
                </c:pt>
                <c:pt idx="26">
                  <c:v>23.11</c:v>
                </c:pt>
                <c:pt idx="27">
                  <c:v>27.11</c:v>
                </c:pt>
                <c:pt idx="28">
                  <c:v>24.95</c:v>
                </c:pt>
                <c:pt idx="29">
                  <c:v>25.38</c:v>
                </c:pt>
                <c:pt idx="30">
                  <c:v>27.67</c:v>
                </c:pt>
                <c:pt idx="31">
                  <c:v>19.03</c:v>
                </c:pt>
                <c:pt idx="32">
                  <c:v>22.21</c:v>
                </c:pt>
                <c:pt idx="33">
                  <c:v>21.29</c:v>
                </c:pt>
                <c:pt idx="34">
                  <c:v>20.48</c:v>
                </c:pt>
                <c:pt idx="35">
                  <c:v>19.920000000000002</c:v>
                </c:pt>
                <c:pt idx="36">
                  <c:v>24.91</c:v>
                </c:pt>
                <c:pt idx="37">
                  <c:v>21.86</c:v>
                </c:pt>
                <c:pt idx="38">
                  <c:v>21.31</c:v>
                </c:pt>
                <c:pt idx="39">
                  <c:v>25.57</c:v>
                </c:pt>
                <c:pt idx="40">
                  <c:v>22.31</c:v>
                </c:pt>
                <c:pt idx="41">
                  <c:v>24.67</c:v>
                </c:pt>
                <c:pt idx="42">
                  <c:v>22.93</c:v>
                </c:pt>
                <c:pt idx="43">
                  <c:v>23.68</c:v>
                </c:pt>
                <c:pt idx="44">
                  <c:v>24.79</c:v>
                </c:pt>
                <c:pt idx="45">
                  <c:v>22.58</c:v>
                </c:pt>
                <c:pt idx="46">
                  <c:v>25.38</c:v>
                </c:pt>
                <c:pt idx="47">
                  <c:v>23.47</c:v>
                </c:pt>
                <c:pt idx="48">
                  <c:v>24.93</c:v>
                </c:pt>
                <c:pt idx="49">
                  <c:v>23.15</c:v>
                </c:pt>
                <c:pt idx="50">
                  <c:v>24.66</c:v>
                </c:pt>
                <c:pt idx="51">
                  <c:v>23.53</c:v>
                </c:pt>
                <c:pt idx="52">
                  <c:v>22.53</c:v>
                </c:pt>
                <c:pt idx="53">
                  <c:v>25.56</c:v>
                </c:pt>
                <c:pt idx="54">
                  <c:v>24.39</c:v>
                </c:pt>
                <c:pt idx="55">
                  <c:v>22.59</c:v>
                </c:pt>
                <c:pt idx="56">
                  <c:v>26.7</c:v>
                </c:pt>
                <c:pt idx="57">
                  <c:v>24.36</c:v>
                </c:pt>
                <c:pt idx="58">
                  <c:v>22.11</c:v>
                </c:pt>
                <c:pt idx="59">
                  <c:v>27.05</c:v>
                </c:pt>
                <c:pt idx="60">
                  <c:v>23.25</c:v>
                </c:pt>
                <c:pt idx="61">
                  <c:v>26.7</c:v>
                </c:pt>
                <c:pt idx="62">
                  <c:v>25.7</c:v>
                </c:pt>
                <c:pt idx="63">
                  <c:v>25.72</c:v>
                </c:pt>
                <c:pt idx="64">
                  <c:v>26.41</c:v>
                </c:pt>
                <c:pt idx="65">
                  <c:v>16.25</c:v>
                </c:pt>
                <c:pt idx="66">
                  <c:v>22.25</c:v>
                </c:pt>
                <c:pt idx="67">
                  <c:v>21.17</c:v>
                </c:pt>
                <c:pt idx="68">
                  <c:v>21.24</c:v>
                </c:pt>
                <c:pt idx="69">
                  <c:v>25.22</c:v>
                </c:pt>
                <c:pt idx="70">
                  <c:v>23.36</c:v>
                </c:pt>
                <c:pt idx="71">
                  <c:v>24.31</c:v>
                </c:pt>
                <c:pt idx="72">
                  <c:v>25.18</c:v>
                </c:pt>
                <c:pt idx="73">
                  <c:v>23.72</c:v>
                </c:pt>
                <c:pt idx="74">
                  <c:v>28.02</c:v>
                </c:pt>
                <c:pt idx="75">
                  <c:v>26.01</c:v>
                </c:pt>
                <c:pt idx="76">
                  <c:v>23.88</c:v>
                </c:pt>
                <c:pt idx="77">
                  <c:v>28.02</c:v>
                </c:pt>
                <c:pt idx="78">
                  <c:v>25.86</c:v>
                </c:pt>
                <c:pt idx="79">
                  <c:v>25.43</c:v>
                </c:pt>
                <c:pt idx="80">
                  <c:v>26.15</c:v>
                </c:pt>
                <c:pt idx="81">
                  <c:v>27.95</c:v>
                </c:pt>
                <c:pt idx="82">
                  <c:v>16.09</c:v>
                </c:pt>
                <c:pt idx="83">
                  <c:v>19.78</c:v>
                </c:pt>
                <c:pt idx="84">
                  <c:v>22.01</c:v>
                </c:pt>
                <c:pt idx="85">
                  <c:v>21.5</c:v>
                </c:pt>
                <c:pt idx="86">
                  <c:v>21.96</c:v>
                </c:pt>
                <c:pt idx="87">
                  <c:v>21.89</c:v>
                </c:pt>
                <c:pt idx="88">
                  <c:v>19.78</c:v>
                </c:pt>
                <c:pt idx="89">
                  <c:v>24.95</c:v>
                </c:pt>
                <c:pt idx="90">
                  <c:v>20.6</c:v>
                </c:pt>
                <c:pt idx="91">
                  <c:v>25.61</c:v>
                </c:pt>
                <c:pt idx="92">
                  <c:v>20.91</c:v>
                </c:pt>
                <c:pt idx="93">
                  <c:v>24.73</c:v>
                </c:pt>
                <c:pt idx="94">
                  <c:v>23.47</c:v>
                </c:pt>
                <c:pt idx="95">
                  <c:v>23.4</c:v>
                </c:pt>
                <c:pt idx="96">
                  <c:v>23.51</c:v>
                </c:pt>
                <c:pt idx="97">
                  <c:v>22.32</c:v>
                </c:pt>
                <c:pt idx="98">
                  <c:v>26.24</c:v>
                </c:pt>
                <c:pt idx="99">
                  <c:v>21.3</c:v>
                </c:pt>
                <c:pt idx="100">
                  <c:v>23.42</c:v>
                </c:pt>
                <c:pt idx="101">
                  <c:v>25.04</c:v>
                </c:pt>
                <c:pt idx="102">
                  <c:v>24.29</c:v>
                </c:pt>
                <c:pt idx="103">
                  <c:v>22.49</c:v>
                </c:pt>
                <c:pt idx="104">
                  <c:v>24.4</c:v>
                </c:pt>
                <c:pt idx="105">
                  <c:v>22.25</c:v>
                </c:pt>
                <c:pt idx="106">
                  <c:v>24.91</c:v>
                </c:pt>
                <c:pt idx="107">
                  <c:v>22.06</c:v>
                </c:pt>
                <c:pt idx="108">
                  <c:v>26.12</c:v>
                </c:pt>
                <c:pt idx="109">
                  <c:v>25.38</c:v>
                </c:pt>
                <c:pt idx="110">
                  <c:v>22.84</c:v>
                </c:pt>
                <c:pt idx="111">
                  <c:v>26.01</c:v>
                </c:pt>
                <c:pt idx="112">
                  <c:v>25.44</c:v>
                </c:pt>
                <c:pt idx="113">
                  <c:v>26.55</c:v>
                </c:pt>
                <c:pt idx="114">
                  <c:v>26.22</c:v>
                </c:pt>
                <c:pt idx="115">
                  <c:v>25.76</c:v>
                </c:pt>
                <c:pt idx="116">
                  <c:v>28.18</c:v>
                </c:pt>
                <c:pt idx="117">
                  <c:v>24.21</c:v>
                </c:pt>
                <c:pt idx="118">
                  <c:v>28.11</c:v>
                </c:pt>
                <c:pt idx="119">
                  <c:v>26.21</c:v>
                </c:pt>
                <c:pt idx="120">
                  <c:v>24.2</c:v>
                </c:pt>
                <c:pt idx="121">
                  <c:v>23.96</c:v>
                </c:pt>
                <c:pt idx="122">
                  <c:v>19.96</c:v>
                </c:pt>
                <c:pt idx="123">
                  <c:v>20.37</c:v>
                </c:pt>
                <c:pt idx="124">
                  <c:v>22.48</c:v>
                </c:pt>
                <c:pt idx="125">
                  <c:v>22.56</c:v>
                </c:pt>
                <c:pt idx="126">
                  <c:v>27.18</c:v>
                </c:pt>
                <c:pt idx="127">
                  <c:v>22.72</c:v>
                </c:pt>
                <c:pt idx="128">
                  <c:v>26.17</c:v>
                </c:pt>
                <c:pt idx="129">
                  <c:v>25.41</c:v>
                </c:pt>
                <c:pt idx="130">
                  <c:v>26.69</c:v>
                </c:pt>
                <c:pt idx="131">
                  <c:v>25.75</c:v>
                </c:pt>
                <c:pt idx="132">
                  <c:v>20.2</c:v>
                </c:pt>
                <c:pt idx="133">
                  <c:v>20.440000000000001</c:v>
                </c:pt>
                <c:pt idx="134">
                  <c:v>18.29</c:v>
                </c:pt>
                <c:pt idx="135">
                  <c:v>22.26</c:v>
                </c:pt>
                <c:pt idx="136">
                  <c:v>21.34</c:v>
                </c:pt>
                <c:pt idx="137">
                  <c:v>22.58</c:v>
                </c:pt>
                <c:pt idx="138">
                  <c:v>22.26</c:v>
                </c:pt>
                <c:pt idx="139">
                  <c:v>21.81</c:v>
                </c:pt>
                <c:pt idx="140">
                  <c:v>23.53</c:v>
                </c:pt>
                <c:pt idx="141">
                  <c:v>22.87</c:v>
                </c:pt>
                <c:pt idx="142">
                  <c:v>20.92</c:v>
                </c:pt>
                <c:pt idx="143">
                  <c:v>24.88</c:v>
                </c:pt>
                <c:pt idx="144">
                  <c:v>22.98</c:v>
                </c:pt>
                <c:pt idx="145">
                  <c:v>22.89</c:v>
                </c:pt>
                <c:pt idx="146">
                  <c:v>22.46</c:v>
                </c:pt>
                <c:pt idx="147">
                  <c:v>25.38</c:v>
                </c:pt>
                <c:pt idx="148">
                  <c:v>23.65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4-4429-8AA7-738FD579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[0]!Tab42_flow_retrans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247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179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774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196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153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4-4429-8AA7-738FD579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Plots!$AW$7</c:f>
          <c:strCache>
            <c:ptCount val="1"/>
            <c:pt idx="0">
              <c:v>AARnetCBR-CamDTN1_tcpmon_tseries_22Feb24 4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5DD-A857-930B4D9BE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222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112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1629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138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5-45DD-A857-930B4D9BE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Plots!$AW$8</c:f>
          <c:strCache>
            <c:ptCount val="1"/>
            <c:pt idx="0">
              <c:v>AARnetCBR-CamDTN1_tcpmon_tseries_22Feb24 4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0.52</c:v>
                </c:pt>
                <c:pt idx="9">
                  <c:v>0.69</c:v>
                </c:pt>
                <c:pt idx="10">
                  <c:v>1.1299999999999999</c:v>
                </c:pt>
                <c:pt idx="11">
                  <c:v>1.62</c:v>
                </c:pt>
                <c:pt idx="12">
                  <c:v>2.44</c:v>
                </c:pt>
                <c:pt idx="13">
                  <c:v>3.48</c:v>
                </c:pt>
                <c:pt idx="14">
                  <c:v>5.1100000000000003</c:v>
                </c:pt>
                <c:pt idx="15">
                  <c:v>7.11</c:v>
                </c:pt>
                <c:pt idx="16">
                  <c:v>10.99</c:v>
                </c:pt>
                <c:pt idx="17">
                  <c:v>15</c:v>
                </c:pt>
                <c:pt idx="18">
                  <c:v>17.84</c:v>
                </c:pt>
                <c:pt idx="19">
                  <c:v>22.24</c:v>
                </c:pt>
                <c:pt idx="20">
                  <c:v>20.81</c:v>
                </c:pt>
                <c:pt idx="21">
                  <c:v>14.92</c:v>
                </c:pt>
                <c:pt idx="22">
                  <c:v>19.25</c:v>
                </c:pt>
                <c:pt idx="23">
                  <c:v>19.350000000000001</c:v>
                </c:pt>
                <c:pt idx="24">
                  <c:v>20.420000000000002</c:v>
                </c:pt>
                <c:pt idx="25">
                  <c:v>20.440000000000001</c:v>
                </c:pt>
                <c:pt idx="26">
                  <c:v>19.63</c:v>
                </c:pt>
                <c:pt idx="27">
                  <c:v>18.579999999999998</c:v>
                </c:pt>
                <c:pt idx="28">
                  <c:v>19.649999999999999</c:v>
                </c:pt>
                <c:pt idx="29">
                  <c:v>17.829999999999998</c:v>
                </c:pt>
                <c:pt idx="30">
                  <c:v>19.77</c:v>
                </c:pt>
                <c:pt idx="31">
                  <c:v>17.77</c:v>
                </c:pt>
                <c:pt idx="32">
                  <c:v>16.72</c:v>
                </c:pt>
                <c:pt idx="33">
                  <c:v>16.52</c:v>
                </c:pt>
                <c:pt idx="34">
                  <c:v>17.53</c:v>
                </c:pt>
                <c:pt idx="35">
                  <c:v>17.170000000000002</c:v>
                </c:pt>
                <c:pt idx="36">
                  <c:v>17.649999999999999</c:v>
                </c:pt>
                <c:pt idx="37">
                  <c:v>18.75</c:v>
                </c:pt>
                <c:pt idx="38">
                  <c:v>17.350000000000001</c:v>
                </c:pt>
                <c:pt idx="39">
                  <c:v>18.190000000000001</c:v>
                </c:pt>
                <c:pt idx="40">
                  <c:v>19.670000000000002</c:v>
                </c:pt>
                <c:pt idx="41">
                  <c:v>19.420000000000002</c:v>
                </c:pt>
                <c:pt idx="42">
                  <c:v>17.87</c:v>
                </c:pt>
                <c:pt idx="43">
                  <c:v>19.829999999999998</c:v>
                </c:pt>
                <c:pt idx="44">
                  <c:v>19.260000000000002</c:v>
                </c:pt>
                <c:pt idx="45">
                  <c:v>18.25</c:v>
                </c:pt>
                <c:pt idx="46">
                  <c:v>18.55</c:v>
                </c:pt>
                <c:pt idx="47">
                  <c:v>19.100000000000001</c:v>
                </c:pt>
                <c:pt idx="48">
                  <c:v>20.03</c:v>
                </c:pt>
                <c:pt idx="49">
                  <c:v>18.22</c:v>
                </c:pt>
                <c:pt idx="50">
                  <c:v>20.03</c:v>
                </c:pt>
                <c:pt idx="51">
                  <c:v>18.38</c:v>
                </c:pt>
                <c:pt idx="52">
                  <c:v>19.920000000000002</c:v>
                </c:pt>
                <c:pt idx="53">
                  <c:v>19.14</c:v>
                </c:pt>
                <c:pt idx="54">
                  <c:v>18.079999999999998</c:v>
                </c:pt>
                <c:pt idx="55">
                  <c:v>20.56</c:v>
                </c:pt>
                <c:pt idx="56">
                  <c:v>17.21</c:v>
                </c:pt>
                <c:pt idx="57">
                  <c:v>20.87</c:v>
                </c:pt>
                <c:pt idx="58">
                  <c:v>18.39</c:v>
                </c:pt>
                <c:pt idx="59">
                  <c:v>22.3</c:v>
                </c:pt>
                <c:pt idx="60">
                  <c:v>19.46</c:v>
                </c:pt>
                <c:pt idx="61">
                  <c:v>18.73</c:v>
                </c:pt>
                <c:pt idx="62">
                  <c:v>20.23</c:v>
                </c:pt>
                <c:pt idx="63">
                  <c:v>20.36</c:v>
                </c:pt>
                <c:pt idx="64">
                  <c:v>18.850000000000001</c:v>
                </c:pt>
                <c:pt idx="65">
                  <c:v>14.68</c:v>
                </c:pt>
                <c:pt idx="66">
                  <c:v>17.399999999999999</c:v>
                </c:pt>
                <c:pt idx="67">
                  <c:v>16.14</c:v>
                </c:pt>
                <c:pt idx="68">
                  <c:v>18.18</c:v>
                </c:pt>
                <c:pt idx="69">
                  <c:v>20.23</c:v>
                </c:pt>
                <c:pt idx="70">
                  <c:v>21.12</c:v>
                </c:pt>
                <c:pt idx="71">
                  <c:v>19.77</c:v>
                </c:pt>
                <c:pt idx="72">
                  <c:v>19.57</c:v>
                </c:pt>
                <c:pt idx="73">
                  <c:v>21.3</c:v>
                </c:pt>
                <c:pt idx="74">
                  <c:v>20.3</c:v>
                </c:pt>
                <c:pt idx="75">
                  <c:v>19.47</c:v>
                </c:pt>
                <c:pt idx="76">
                  <c:v>19.190000000000001</c:v>
                </c:pt>
                <c:pt idx="77">
                  <c:v>17.21</c:v>
                </c:pt>
                <c:pt idx="78">
                  <c:v>19.350000000000001</c:v>
                </c:pt>
                <c:pt idx="79">
                  <c:v>19</c:v>
                </c:pt>
                <c:pt idx="80">
                  <c:v>19.05</c:v>
                </c:pt>
                <c:pt idx="81">
                  <c:v>19.52</c:v>
                </c:pt>
                <c:pt idx="82">
                  <c:v>14.24</c:v>
                </c:pt>
                <c:pt idx="83">
                  <c:v>16.32</c:v>
                </c:pt>
                <c:pt idx="84">
                  <c:v>17.190000000000001</c:v>
                </c:pt>
                <c:pt idx="85">
                  <c:v>16.75</c:v>
                </c:pt>
                <c:pt idx="86">
                  <c:v>17.32</c:v>
                </c:pt>
                <c:pt idx="87">
                  <c:v>17.16</c:v>
                </c:pt>
                <c:pt idx="88">
                  <c:v>17.09</c:v>
                </c:pt>
                <c:pt idx="89">
                  <c:v>19.600000000000001</c:v>
                </c:pt>
                <c:pt idx="90">
                  <c:v>17.38</c:v>
                </c:pt>
                <c:pt idx="91">
                  <c:v>19.27</c:v>
                </c:pt>
                <c:pt idx="92">
                  <c:v>17.05</c:v>
                </c:pt>
                <c:pt idx="93">
                  <c:v>19.5</c:v>
                </c:pt>
                <c:pt idx="94">
                  <c:v>18.600000000000001</c:v>
                </c:pt>
                <c:pt idx="95">
                  <c:v>17.93</c:v>
                </c:pt>
                <c:pt idx="96">
                  <c:v>19.670000000000002</c:v>
                </c:pt>
                <c:pt idx="97">
                  <c:v>17.190000000000001</c:v>
                </c:pt>
                <c:pt idx="98">
                  <c:v>19.21</c:v>
                </c:pt>
                <c:pt idx="99">
                  <c:v>18.32</c:v>
                </c:pt>
                <c:pt idx="100">
                  <c:v>19.670000000000002</c:v>
                </c:pt>
                <c:pt idx="101">
                  <c:v>18.18</c:v>
                </c:pt>
                <c:pt idx="102">
                  <c:v>19.079999999999998</c:v>
                </c:pt>
                <c:pt idx="103">
                  <c:v>18</c:v>
                </c:pt>
                <c:pt idx="104">
                  <c:v>19.23</c:v>
                </c:pt>
                <c:pt idx="105">
                  <c:v>18.940000000000001</c:v>
                </c:pt>
                <c:pt idx="106">
                  <c:v>18.2</c:v>
                </c:pt>
                <c:pt idx="107">
                  <c:v>18.309999999999999</c:v>
                </c:pt>
                <c:pt idx="108">
                  <c:v>19.329999999999998</c:v>
                </c:pt>
                <c:pt idx="109">
                  <c:v>21.15</c:v>
                </c:pt>
                <c:pt idx="110">
                  <c:v>19.64</c:v>
                </c:pt>
                <c:pt idx="111">
                  <c:v>20.079999999999998</c:v>
                </c:pt>
                <c:pt idx="112">
                  <c:v>19.21</c:v>
                </c:pt>
                <c:pt idx="113">
                  <c:v>18.68</c:v>
                </c:pt>
                <c:pt idx="114">
                  <c:v>20.68</c:v>
                </c:pt>
                <c:pt idx="115">
                  <c:v>20.5</c:v>
                </c:pt>
                <c:pt idx="116">
                  <c:v>18.34</c:v>
                </c:pt>
                <c:pt idx="117">
                  <c:v>18.72</c:v>
                </c:pt>
                <c:pt idx="118">
                  <c:v>18.25</c:v>
                </c:pt>
                <c:pt idx="119">
                  <c:v>19.27</c:v>
                </c:pt>
                <c:pt idx="120">
                  <c:v>20.059999999999999</c:v>
                </c:pt>
                <c:pt idx="121">
                  <c:v>15.4</c:v>
                </c:pt>
                <c:pt idx="122">
                  <c:v>18.059999999999999</c:v>
                </c:pt>
                <c:pt idx="123">
                  <c:v>19.43</c:v>
                </c:pt>
                <c:pt idx="124">
                  <c:v>22.09</c:v>
                </c:pt>
                <c:pt idx="125">
                  <c:v>18.989999999999998</c:v>
                </c:pt>
                <c:pt idx="126">
                  <c:v>20.97</c:v>
                </c:pt>
                <c:pt idx="127">
                  <c:v>21.09</c:v>
                </c:pt>
                <c:pt idx="128">
                  <c:v>20.54</c:v>
                </c:pt>
                <c:pt idx="129">
                  <c:v>19.170000000000002</c:v>
                </c:pt>
                <c:pt idx="130">
                  <c:v>18.399999999999999</c:v>
                </c:pt>
                <c:pt idx="131">
                  <c:v>18.7</c:v>
                </c:pt>
                <c:pt idx="132">
                  <c:v>15.28</c:v>
                </c:pt>
                <c:pt idx="133">
                  <c:v>18.440000000000001</c:v>
                </c:pt>
                <c:pt idx="134">
                  <c:v>17.13</c:v>
                </c:pt>
                <c:pt idx="135">
                  <c:v>18.23</c:v>
                </c:pt>
                <c:pt idx="136">
                  <c:v>18.55</c:v>
                </c:pt>
                <c:pt idx="137">
                  <c:v>18.850000000000001</c:v>
                </c:pt>
                <c:pt idx="138">
                  <c:v>17.21</c:v>
                </c:pt>
                <c:pt idx="139">
                  <c:v>18.75</c:v>
                </c:pt>
                <c:pt idx="140">
                  <c:v>20.66</c:v>
                </c:pt>
                <c:pt idx="141">
                  <c:v>20.350000000000001</c:v>
                </c:pt>
                <c:pt idx="142">
                  <c:v>18</c:v>
                </c:pt>
                <c:pt idx="143">
                  <c:v>19.82</c:v>
                </c:pt>
                <c:pt idx="144">
                  <c:v>20.86</c:v>
                </c:pt>
                <c:pt idx="145">
                  <c:v>20.149999999999999</c:v>
                </c:pt>
                <c:pt idx="146">
                  <c:v>19.25</c:v>
                </c:pt>
                <c:pt idx="147">
                  <c:v>20.28</c:v>
                </c:pt>
                <c:pt idx="148">
                  <c:v>19.55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1-4103-AF65-66CA42F6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[0]!Tab44_flow_retrans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392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6461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494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120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F1-4103-AF65-66CA42F6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Plots!$U$1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D-4207-A106-8A85F7FE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[0]!Tab11_flow_retrans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D-4207-A106-8A85F7FE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Plots!$AW$7</c:f>
          <c:strCache>
            <c:ptCount val="1"/>
            <c:pt idx="0">
              <c:v>AARnetCBR-CamDTN1_tcpmon_tseries_22Feb24 4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[0]!Tab43_flow_rate</c:f>
              <c:numCache>
                <c:formatCode>General</c:formatCode>
                <c:ptCount val="149"/>
                <c:pt idx="0">
                  <c:v>0.08</c:v>
                </c:pt>
                <c:pt idx="1">
                  <c:v>0.81</c:v>
                </c:pt>
                <c:pt idx="2">
                  <c:v>0.91</c:v>
                </c:pt>
                <c:pt idx="3">
                  <c:v>1.5</c:v>
                </c:pt>
                <c:pt idx="4">
                  <c:v>2.21</c:v>
                </c:pt>
                <c:pt idx="5">
                  <c:v>3.34</c:v>
                </c:pt>
                <c:pt idx="6">
                  <c:v>4.9800000000000004</c:v>
                </c:pt>
                <c:pt idx="7">
                  <c:v>5.97</c:v>
                </c:pt>
                <c:pt idx="8">
                  <c:v>10.26</c:v>
                </c:pt>
                <c:pt idx="9">
                  <c:v>14.16</c:v>
                </c:pt>
                <c:pt idx="10">
                  <c:v>17.600000000000001</c:v>
                </c:pt>
                <c:pt idx="11">
                  <c:v>25.25</c:v>
                </c:pt>
                <c:pt idx="12">
                  <c:v>23.24</c:v>
                </c:pt>
                <c:pt idx="13">
                  <c:v>25.54</c:v>
                </c:pt>
                <c:pt idx="14">
                  <c:v>21.01</c:v>
                </c:pt>
                <c:pt idx="15">
                  <c:v>23.26</c:v>
                </c:pt>
                <c:pt idx="16">
                  <c:v>23.68</c:v>
                </c:pt>
                <c:pt idx="17">
                  <c:v>21.54</c:v>
                </c:pt>
                <c:pt idx="18">
                  <c:v>23.45</c:v>
                </c:pt>
                <c:pt idx="19">
                  <c:v>21.46</c:v>
                </c:pt>
                <c:pt idx="20">
                  <c:v>21.4</c:v>
                </c:pt>
                <c:pt idx="21">
                  <c:v>18.739999999999998</c:v>
                </c:pt>
                <c:pt idx="22">
                  <c:v>18.43</c:v>
                </c:pt>
                <c:pt idx="23">
                  <c:v>21.74</c:v>
                </c:pt>
                <c:pt idx="24">
                  <c:v>21.1</c:v>
                </c:pt>
                <c:pt idx="25">
                  <c:v>22.63</c:v>
                </c:pt>
                <c:pt idx="26">
                  <c:v>21.6</c:v>
                </c:pt>
                <c:pt idx="27">
                  <c:v>21.25</c:v>
                </c:pt>
                <c:pt idx="28">
                  <c:v>20.53</c:v>
                </c:pt>
                <c:pt idx="29">
                  <c:v>18.739999999999998</c:v>
                </c:pt>
                <c:pt idx="30">
                  <c:v>20.85</c:v>
                </c:pt>
                <c:pt idx="31">
                  <c:v>19.399999999999999</c:v>
                </c:pt>
                <c:pt idx="32">
                  <c:v>16.420000000000002</c:v>
                </c:pt>
                <c:pt idx="33">
                  <c:v>18</c:v>
                </c:pt>
                <c:pt idx="34">
                  <c:v>18.010000000000002</c:v>
                </c:pt>
                <c:pt idx="35">
                  <c:v>17.64</c:v>
                </c:pt>
                <c:pt idx="36">
                  <c:v>19.739999999999998</c:v>
                </c:pt>
                <c:pt idx="37">
                  <c:v>19.73</c:v>
                </c:pt>
                <c:pt idx="38">
                  <c:v>18.399999999999999</c:v>
                </c:pt>
                <c:pt idx="39">
                  <c:v>20.77</c:v>
                </c:pt>
                <c:pt idx="40">
                  <c:v>19.07</c:v>
                </c:pt>
                <c:pt idx="41">
                  <c:v>21.48</c:v>
                </c:pt>
                <c:pt idx="42">
                  <c:v>19.14</c:v>
                </c:pt>
                <c:pt idx="43">
                  <c:v>20.12</c:v>
                </c:pt>
                <c:pt idx="44">
                  <c:v>20.95</c:v>
                </c:pt>
                <c:pt idx="45">
                  <c:v>19.77</c:v>
                </c:pt>
                <c:pt idx="46">
                  <c:v>22.29</c:v>
                </c:pt>
                <c:pt idx="47">
                  <c:v>19.68</c:v>
                </c:pt>
                <c:pt idx="48">
                  <c:v>19.16</c:v>
                </c:pt>
                <c:pt idx="49">
                  <c:v>21.01</c:v>
                </c:pt>
                <c:pt idx="50">
                  <c:v>20.64</c:v>
                </c:pt>
                <c:pt idx="51">
                  <c:v>19.809999999999999</c:v>
                </c:pt>
                <c:pt idx="52">
                  <c:v>20.66</c:v>
                </c:pt>
                <c:pt idx="53">
                  <c:v>21.51</c:v>
                </c:pt>
                <c:pt idx="54">
                  <c:v>19.38</c:v>
                </c:pt>
                <c:pt idx="55">
                  <c:v>21.34</c:v>
                </c:pt>
                <c:pt idx="56">
                  <c:v>20.37</c:v>
                </c:pt>
                <c:pt idx="57">
                  <c:v>21.31</c:v>
                </c:pt>
                <c:pt idx="58">
                  <c:v>20.91</c:v>
                </c:pt>
                <c:pt idx="59">
                  <c:v>21.36</c:v>
                </c:pt>
                <c:pt idx="60">
                  <c:v>21.89</c:v>
                </c:pt>
                <c:pt idx="61">
                  <c:v>19.91</c:v>
                </c:pt>
                <c:pt idx="62">
                  <c:v>20.81</c:v>
                </c:pt>
                <c:pt idx="63">
                  <c:v>21.53</c:v>
                </c:pt>
                <c:pt idx="64">
                  <c:v>20.3</c:v>
                </c:pt>
                <c:pt idx="65">
                  <c:v>14.96</c:v>
                </c:pt>
                <c:pt idx="66">
                  <c:v>19.739999999999998</c:v>
                </c:pt>
                <c:pt idx="67">
                  <c:v>17.16</c:v>
                </c:pt>
                <c:pt idx="68">
                  <c:v>18.59</c:v>
                </c:pt>
                <c:pt idx="69">
                  <c:v>21.39</c:v>
                </c:pt>
                <c:pt idx="70">
                  <c:v>19.79</c:v>
                </c:pt>
                <c:pt idx="71">
                  <c:v>21.56</c:v>
                </c:pt>
                <c:pt idx="72">
                  <c:v>21.24</c:v>
                </c:pt>
                <c:pt idx="73">
                  <c:v>20.05</c:v>
                </c:pt>
                <c:pt idx="74">
                  <c:v>21.58</c:v>
                </c:pt>
                <c:pt idx="75">
                  <c:v>20.99</c:v>
                </c:pt>
                <c:pt idx="76">
                  <c:v>19.41</c:v>
                </c:pt>
                <c:pt idx="77">
                  <c:v>19.14</c:v>
                </c:pt>
                <c:pt idx="78">
                  <c:v>20.22</c:v>
                </c:pt>
                <c:pt idx="79">
                  <c:v>20.05</c:v>
                </c:pt>
                <c:pt idx="80">
                  <c:v>19.579999999999998</c:v>
                </c:pt>
                <c:pt idx="81">
                  <c:v>19.670000000000002</c:v>
                </c:pt>
                <c:pt idx="82">
                  <c:v>14.93</c:v>
                </c:pt>
                <c:pt idx="83">
                  <c:v>18.690000000000001</c:v>
                </c:pt>
                <c:pt idx="84">
                  <c:v>16.04</c:v>
                </c:pt>
                <c:pt idx="85">
                  <c:v>17.82</c:v>
                </c:pt>
                <c:pt idx="86">
                  <c:v>16.75</c:v>
                </c:pt>
                <c:pt idx="87">
                  <c:v>19.260000000000002</c:v>
                </c:pt>
                <c:pt idx="88">
                  <c:v>18.45</c:v>
                </c:pt>
                <c:pt idx="89">
                  <c:v>19.760000000000002</c:v>
                </c:pt>
                <c:pt idx="90">
                  <c:v>17.54</c:v>
                </c:pt>
                <c:pt idx="91">
                  <c:v>20.57</c:v>
                </c:pt>
                <c:pt idx="92">
                  <c:v>17.89</c:v>
                </c:pt>
                <c:pt idx="93">
                  <c:v>19.88</c:v>
                </c:pt>
                <c:pt idx="94">
                  <c:v>19.27</c:v>
                </c:pt>
                <c:pt idx="95">
                  <c:v>19.25</c:v>
                </c:pt>
                <c:pt idx="96">
                  <c:v>19.100000000000001</c:v>
                </c:pt>
                <c:pt idx="97">
                  <c:v>19.079999999999998</c:v>
                </c:pt>
                <c:pt idx="98">
                  <c:v>20.18</c:v>
                </c:pt>
                <c:pt idx="99">
                  <c:v>18.34</c:v>
                </c:pt>
                <c:pt idx="100">
                  <c:v>19.48</c:v>
                </c:pt>
                <c:pt idx="101">
                  <c:v>20.05</c:v>
                </c:pt>
                <c:pt idx="102">
                  <c:v>19.46</c:v>
                </c:pt>
                <c:pt idx="103">
                  <c:v>18.62</c:v>
                </c:pt>
                <c:pt idx="104">
                  <c:v>20.21</c:v>
                </c:pt>
                <c:pt idx="105">
                  <c:v>19.13</c:v>
                </c:pt>
                <c:pt idx="106">
                  <c:v>21.27</c:v>
                </c:pt>
                <c:pt idx="107">
                  <c:v>18.489999999999998</c:v>
                </c:pt>
                <c:pt idx="108">
                  <c:v>20.350000000000001</c:v>
                </c:pt>
                <c:pt idx="109">
                  <c:v>19.670000000000002</c:v>
                </c:pt>
                <c:pt idx="110">
                  <c:v>19.829999999999998</c:v>
                </c:pt>
                <c:pt idx="111">
                  <c:v>21.54</c:v>
                </c:pt>
                <c:pt idx="112">
                  <c:v>19.59</c:v>
                </c:pt>
                <c:pt idx="113">
                  <c:v>20.79</c:v>
                </c:pt>
                <c:pt idx="114">
                  <c:v>20.57</c:v>
                </c:pt>
                <c:pt idx="115">
                  <c:v>19.989999999999998</c:v>
                </c:pt>
                <c:pt idx="116">
                  <c:v>19.489999999999998</c:v>
                </c:pt>
                <c:pt idx="117">
                  <c:v>20.34</c:v>
                </c:pt>
                <c:pt idx="118">
                  <c:v>20.05</c:v>
                </c:pt>
                <c:pt idx="119">
                  <c:v>20.32</c:v>
                </c:pt>
                <c:pt idx="120">
                  <c:v>19.38</c:v>
                </c:pt>
                <c:pt idx="121">
                  <c:v>16.170000000000002</c:v>
                </c:pt>
                <c:pt idx="122">
                  <c:v>21.15</c:v>
                </c:pt>
                <c:pt idx="123">
                  <c:v>18.07</c:v>
                </c:pt>
                <c:pt idx="124">
                  <c:v>20.76</c:v>
                </c:pt>
                <c:pt idx="125">
                  <c:v>20.51</c:v>
                </c:pt>
                <c:pt idx="126">
                  <c:v>20.18</c:v>
                </c:pt>
                <c:pt idx="127">
                  <c:v>20.48</c:v>
                </c:pt>
                <c:pt idx="128">
                  <c:v>21.44</c:v>
                </c:pt>
                <c:pt idx="129">
                  <c:v>18.920000000000002</c:v>
                </c:pt>
                <c:pt idx="130">
                  <c:v>19.64</c:v>
                </c:pt>
                <c:pt idx="131">
                  <c:v>19.940000000000001</c:v>
                </c:pt>
                <c:pt idx="132">
                  <c:v>18.5</c:v>
                </c:pt>
                <c:pt idx="133">
                  <c:v>14.96</c:v>
                </c:pt>
                <c:pt idx="134">
                  <c:v>17.11</c:v>
                </c:pt>
                <c:pt idx="135">
                  <c:v>18.829999999999998</c:v>
                </c:pt>
                <c:pt idx="136">
                  <c:v>16.82</c:v>
                </c:pt>
                <c:pt idx="137">
                  <c:v>19.07</c:v>
                </c:pt>
                <c:pt idx="138">
                  <c:v>17.55</c:v>
                </c:pt>
                <c:pt idx="139">
                  <c:v>18.850000000000001</c:v>
                </c:pt>
                <c:pt idx="140">
                  <c:v>19.48</c:v>
                </c:pt>
                <c:pt idx="141">
                  <c:v>18.940000000000001</c:v>
                </c:pt>
                <c:pt idx="142">
                  <c:v>19.55</c:v>
                </c:pt>
                <c:pt idx="143">
                  <c:v>20.23</c:v>
                </c:pt>
                <c:pt idx="144">
                  <c:v>18.71</c:v>
                </c:pt>
                <c:pt idx="145">
                  <c:v>19.170000000000002</c:v>
                </c:pt>
                <c:pt idx="146">
                  <c:v>19.52</c:v>
                </c:pt>
                <c:pt idx="147">
                  <c:v>19.670000000000002</c:v>
                </c:pt>
                <c:pt idx="148">
                  <c:v>19.05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3-4F0A-B9BD-EF496460C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'AARnetCBR-CamDTN1_tcpmon_ts_43'!$E$16:$E$611</c:f>
              <c:numCache>
                <c:formatCode>General</c:formatCode>
                <c:ptCount val="596"/>
                <c:pt idx="0">
                  <c:v>51.72</c:v>
                </c:pt>
                <c:pt idx="1">
                  <c:v>75.97</c:v>
                </c:pt>
                <c:pt idx="2">
                  <c:v>110.78</c:v>
                </c:pt>
                <c:pt idx="3">
                  <c:v>161.51</c:v>
                </c:pt>
                <c:pt idx="4">
                  <c:v>235.51</c:v>
                </c:pt>
                <c:pt idx="5">
                  <c:v>344.41</c:v>
                </c:pt>
                <c:pt idx="6">
                  <c:v>496.78</c:v>
                </c:pt>
                <c:pt idx="7">
                  <c:v>663.86</c:v>
                </c:pt>
                <c:pt idx="8">
                  <c:v>852.47</c:v>
                </c:pt>
                <c:pt idx="9">
                  <c:v>874.14</c:v>
                </c:pt>
                <c:pt idx="10">
                  <c:v>874.14</c:v>
                </c:pt>
                <c:pt idx="11">
                  <c:v>874.14</c:v>
                </c:pt>
                <c:pt idx="12">
                  <c:v>874.14</c:v>
                </c:pt>
                <c:pt idx="13">
                  <c:v>874.14</c:v>
                </c:pt>
                <c:pt idx="14">
                  <c:v>874.14</c:v>
                </c:pt>
                <c:pt idx="15">
                  <c:v>874.14</c:v>
                </c:pt>
                <c:pt idx="16">
                  <c:v>874.14</c:v>
                </c:pt>
                <c:pt idx="17">
                  <c:v>874.14</c:v>
                </c:pt>
                <c:pt idx="18">
                  <c:v>636.16</c:v>
                </c:pt>
                <c:pt idx="19">
                  <c:v>670.46</c:v>
                </c:pt>
                <c:pt idx="20">
                  <c:v>700.54</c:v>
                </c:pt>
                <c:pt idx="21">
                  <c:v>727.65</c:v>
                </c:pt>
                <c:pt idx="22">
                  <c:v>748.38</c:v>
                </c:pt>
                <c:pt idx="23">
                  <c:v>757.13</c:v>
                </c:pt>
                <c:pt idx="24">
                  <c:v>757.13</c:v>
                </c:pt>
                <c:pt idx="25">
                  <c:v>757.13</c:v>
                </c:pt>
                <c:pt idx="26">
                  <c:v>757.13</c:v>
                </c:pt>
                <c:pt idx="27">
                  <c:v>769.47</c:v>
                </c:pt>
                <c:pt idx="28">
                  <c:v>542.11</c:v>
                </c:pt>
                <c:pt idx="29">
                  <c:v>560.71</c:v>
                </c:pt>
                <c:pt idx="30">
                  <c:v>579.21</c:v>
                </c:pt>
                <c:pt idx="31">
                  <c:v>595</c:v>
                </c:pt>
                <c:pt idx="32">
                  <c:v>608.41</c:v>
                </c:pt>
                <c:pt idx="33">
                  <c:v>619.83000000000004</c:v>
                </c:pt>
                <c:pt idx="34">
                  <c:v>629.41</c:v>
                </c:pt>
                <c:pt idx="35">
                  <c:v>637.17999999999995</c:v>
                </c:pt>
                <c:pt idx="36">
                  <c:v>643.4</c:v>
                </c:pt>
                <c:pt idx="37">
                  <c:v>648.26</c:v>
                </c:pt>
                <c:pt idx="38">
                  <c:v>651.91999999999996</c:v>
                </c:pt>
                <c:pt idx="39">
                  <c:v>654.54999999999995</c:v>
                </c:pt>
                <c:pt idx="40">
                  <c:v>656.31</c:v>
                </c:pt>
                <c:pt idx="41">
                  <c:v>657.37</c:v>
                </c:pt>
                <c:pt idx="42">
                  <c:v>657.93</c:v>
                </c:pt>
                <c:pt idx="43">
                  <c:v>658.13</c:v>
                </c:pt>
                <c:pt idx="44">
                  <c:v>658.16</c:v>
                </c:pt>
                <c:pt idx="45">
                  <c:v>658.19</c:v>
                </c:pt>
                <c:pt idx="46">
                  <c:v>658.38</c:v>
                </c:pt>
                <c:pt idx="47">
                  <c:v>658.92</c:v>
                </c:pt>
                <c:pt idx="48">
                  <c:v>659.98</c:v>
                </c:pt>
                <c:pt idx="49">
                  <c:v>661.71</c:v>
                </c:pt>
                <c:pt idx="50">
                  <c:v>664.32</c:v>
                </c:pt>
                <c:pt idx="51">
                  <c:v>667.94</c:v>
                </c:pt>
                <c:pt idx="52">
                  <c:v>672.77</c:v>
                </c:pt>
                <c:pt idx="53">
                  <c:v>678.97</c:v>
                </c:pt>
                <c:pt idx="54">
                  <c:v>686.71</c:v>
                </c:pt>
                <c:pt idx="55">
                  <c:v>696.16</c:v>
                </c:pt>
                <c:pt idx="56">
                  <c:v>705.21</c:v>
                </c:pt>
                <c:pt idx="57">
                  <c:v>716.42</c:v>
                </c:pt>
                <c:pt idx="58">
                  <c:v>729.52</c:v>
                </c:pt>
                <c:pt idx="59">
                  <c:v>734.77</c:v>
                </c:pt>
                <c:pt idx="60">
                  <c:v>769.67</c:v>
                </c:pt>
                <c:pt idx="61">
                  <c:v>769.67</c:v>
                </c:pt>
                <c:pt idx="62">
                  <c:v>553.25</c:v>
                </c:pt>
                <c:pt idx="63">
                  <c:v>584.47</c:v>
                </c:pt>
                <c:pt idx="64">
                  <c:v>613.16999999999996</c:v>
                </c:pt>
                <c:pt idx="65">
                  <c:v>638.54999999999995</c:v>
                </c:pt>
                <c:pt idx="66">
                  <c:v>660.79</c:v>
                </c:pt>
                <c:pt idx="67">
                  <c:v>680.41</c:v>
                </c:pt>
                <c:pt idx="68">
                  <c:v>697.37</c:v>
                </c:pt>
                <c:pt idx="69">
                  <c:v>705.39</c:v>
                </c:pt>
                <c:pt idx="70">
                  <c:v>711.37</c:v>
                </c:pt>
                <c:pt idx="71">
                  <c:v>732.21</c:v>
                </c:pt>
                <c:pt idx="72">
                  <c:v>740.73</c:v>
                </c:pt>
                <c:pt idx="73">
                  <c:v>740.73</c:v>
                </c:pt>
                <c:pt idx="74">
                  <c:v>740.73</c:v>
                </c:pt>
                <c:pt idx="75">
                  <c:v>740.73</c:v>
                </c:pt>
                <c:pt idx="76">
                  <c:v>740.73</c:v>
                </c:pt>
                <c:pt idx="77">
                  <c:v>740.73</c:v>
                </c:pt>
                <c:pt idx="78">
                  <c:v>740.73</c:v>
                </c:pt>
                <c:pt idx="79">
                  <c:v>524.64</c:v>
                </c:pt>
                <c:pt idx="80">
                  <c:v>544.30999999999995</c:v>
                </c:pt>
                <c:pt idx="81">
                  <c:v>561.17999999999995</c:v>
                </c:pt>
                <c:pt idx="82">
                  <c:v>575.52</c:v>
                </c:pt>
                <c:pt idx="83">
                  <c:v>587.70000000000005</c:v>
                </c:pt>
                <c:pt idx="84">
                  <c:v>597.97</c:v>
                </c:pt>
                <c:pt idx="85">
                  <c:v>606.48</c:v>
                </c:pt>
                <c:pt idx="86">
                  <c:v>613.29999999999995</c:v>
                </c:pt>
                <c:pt idx="87">
                  <c:v>618.72</c:v>
                </c:pt>
                <c:pt idx="88">
                  <c:v>622.86</c:v>
                </c:pt>
                <c:pt idx="89">
                  <c:v>625.88</c:v>
                </c:pt>
                <c:pt idx="90">
                  <c:v>627.97</c:v>
                </c:pt>
                <c:pt idx="91">
                  <c:v>629.29999999999995</c:v>
                </c:pt>
                <c:pt idx="92">
                  <c:v>630.04999999999995</c:v>
                </c:pt>
                <c:pt idx="93">
                  <c:v>630.38</c:v>
                </c:pt>
                <c:pt idx="94">
                  <c:v>630.46</c:v>
                </c:pt>
                <c:pt idx="95">
                  <c:v>630.47</c:v>
                </c:pt>
                <c:pt idx="96">
                  <c:v>630.57000000000005</c:v>
                </c:pt>
                <c:pt idx="97">
                  <c:v>630.95000000000005</c:v>
                </c:pt>
                <c:pt idx="98">
                  <c:v>631.76</c:v>
                </c:pt>
                <c:pt idx="99">
                  <c:v>633.21</c:v>
                </c:pt>
                <c:pt idx="100">
                  <c:v>635.42999999999995</c:v>
                </c:pt>
                <c:pt idx="101">
                  <c:v>638.61</c:v>
                </c:pt>
                <c:pt idx="102">
                  <c:v>642.91999999999996</c:v>
                </c:pt>
                <c:pt idx="103">
                  <c:v>648.52</c:v>
                </c:pt>
                <c:pt idx="104">
                  <c:v>655.61</c:v>
                </c:pt>
                <c:pt idx="105">
                  <c:v>664.36</c:v>
                </c:pt>
                <c:pt idx="106">
                  <c:v>674.8</c:v>
                </c:pt>
                <c:pt idx="107">
                  <c:v>687.32</c:v>
                </c:pt>
                <c:pt idx="108">
                  <c:v>701.41</c:v>
                </c:pt>
                <c:pt idx="109">
                  <c:v>715.47</c:v>
                </c:pt>
                <c:pt idx="110">
                  <c:v>726.7</c:v>
                </c:pt>
                <c:pt idx="111">
                  <c:v>727.23</c:v>
                </c:pt>
                <c:pt idx="112">
                  <c:v>762.22</c:v>
                </c:pt>
                <c:pt idx="113">
                  <c:v>762.22</c:v>
                </c:pt>
                <c:pt idx="114">
                  <c:v>762.22</c:v>
                </c:pt>
                <c:pt idx="115">
                  <c:v>835.4</c:v>
                </c:pt>
                <c:pt idx="116">
                  <c:v>835.4</c:v>
                </c:pt>
                <c:pt idx="117">
                  <c:v>835.4</c:v>
                </c:pt>
                <c:pt idx="118">
                  <c:v>588.71</c:v>
                </c:pt>
                <c:pt idx="119">
                  <c:v>624.6</c:v>
                </c:pt>
                <c:pt idx="120">
                  <c:v>656.05</c:v>
                </c:pt>
                <c:pt idx="121">
                  <c:v>684.2</c:v>
                </c:pt>
                <c:pt idx="122">
                  <c:v>706.02</c:v>
                </c:pt>
                <c:pt idx="123">
                  <c:v>724.42</c:v>
                </c:pt>
                <c:pt idx="124">
                  <c:v>743.05</c:v>
                </c:pt>
                <c:pt idx="125">
                  <c:v>743.05</c:v>
                </c:pt>
                <c:pt idx="126">
                  <c:v>743.05</c:v>
                </c:pt>
                <c:pt idx="127">
                  <c:v>743.05</c:v>
                </c:pt>
                <c:pt idx="128">
                  <c:v>743.05</c:v>
                </c:pt>
                <c:pt idx="129">
                  <c:v>528.91</c:v>
                </c:pt>
                <c:pt idx="130">
                  <c:v>547.87</c:v>
                </c:pt>
                <c:pt idx="131">
                  <c:v>564.48</c:v>
                </c:pt>
                <c:pt idx="132">
                  <c:v>578.49</c:v>
                </c:pt>
                <c:pt idx="133">
                  <c:v>590.4</c:v>
                </c:pt>
                <c:pt idx="134">
                  <c:v>600.42999999999995</c:v>
                </c:pt>
                <c:pt idx="135">
                  <c:v>608.71</c:v>
                </c:pt>
                <c:pt idx="136">
                  <c:v>615.33000000000004</c:v>
                </c:pt>
                <c:pt idx="137">
                  <c:v>620.54999999999995</c:v>
                </c:pt>
                <c:pt idx="138">
                  <c:v>624.53</c:v>
                </c:pt>
                <c:pt idx="139">
                  <c:v>627.41</c:v>
                </c:pt>
                <c:pt idx="140">
                  <c:v>629.39</c:v>
                </c:pt>
                <c:pt idx="141">
                  <c:v>630.64</c:v>
                </c:pt>
                <c:pt idx="142">
                  <c:v>631.32000000000005</c:v>
                </c:pt>
                <c:pt idx="143">
                  <c:v>631.6</c:v>
                </c:pt>
                <c:pt idx="144">
                  <c:v>631.66</c:v>
                </c:pt>
                <c:pt idx="145">
                  <c:v>631.66999999999996</c:v>
                </c:pt>
                <c:pt idx="147">
                  <c:v>0</c:v>
                </c:pt>
                <c:pt idx="148">
                  <c:v>41.882100000000001</c:v>
                </c:pt>
                <c:pt idx="149">
                  <c:v>0</c:v>
                </c:pt>
                <c:pt idx="150">
                  <c:v>35</c:v>
                </c:pt>
                <c:pt idx="151">
                  <c:v>20</c:v>
                </c:pt>
                <c:pt idx="152">
                  <c:v>30</c:v>
                </c:pt>
                <c:pt idx="153">
                  <c:v>53</c:v>
                </c:pt>
                <c:pt idx="154">
                  <c:v>36</c:v>
                </c:pt>
                <c:pt idx="155">
                  <c:v>0</c:v>
                </c:pt>
                <c:pt idx="156">
                  <c:v>93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13</c:v>
                </c:pt>
                <c:pt idx="164">
                  <c:v>7</c:v>
                </c:pt>
                <c:pt idx="165">
                  <c:v>7</c:v>
                </c:pt>
                <c:pt idx="166">
                  <c:v>11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96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43-4F0A-B9BD-EF496460C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cwnd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Plots!$BE$1</c:f>
          <c:strCache>
            <c:ptCount val="1"/>
            <c:pt idx="0">
              <c:v>AARnetCBR-CamDTN1_tcpmon_tseries_22Feb24 5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D-4D34-A8AC-A683D53B88AF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D-4D34-A8AC-A683D53B88AF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D-4D34-A8AC-A683D53B88AF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D-4D34-A8AC-A683D53B88AF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CD-4D34-A8AC-A683D53B8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through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915492487602981E-2"/>
          <c:h val="0.47582122789543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Plots!$BF$4</c:f>
          <c:strCache>
            <c:ptCount val="1"/>
            <c:pt idx="0">
              <c:v>AARnetCBR-CamDTN1_tcpmon_tseries_22Feb24 5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6-47CB-A22B-A40899F4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[0]!Tab51_flow_retrans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6-47CB-A22B-A40899F4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Plots!$BF$5</c:f>
          <c:strCache>
            <c:ptCount val="1"/>
            <c:pt idx="0">
              <c:v>AARnetCBR-CamDTN1_tcpmon_tseries_22Feb24 5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3A-4A83-86C4-E674F82F2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[0]!Tab52_flow_retrans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3A-4A83-86C4-E674F82F2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Plots!$BF$6</c:f>
          <c:strCache>
            <c:ptCount val="1"/>
            <c:pt idx="0">
              <c:v>AARnetCBR-CamDTN1_tcpmon_tseries_22Feb24 5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0-4DE6-9468-14F967BD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[0]!Tab53_flow_retrans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0-4DE6-9468-14F967BD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Plots!$BF$7</c:f>
          <c:strCache>
            <c:ptCount val="1"/>
            <c:pt idx="0">
              <c:v>AARnetCBR-CamDTN1_tcpmon_tseries_22Feb24 5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1-4A11-B74D-40EF2305B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[0]!Tab54_flow_retrans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41-4A11-B74D-40EF2305B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Plots!$BF$8</c:f>
          <c:strCache>
            <c:ptCount val="1"/>
            <c:pt idx="0">
              <c:v>AARnetCBR-CamDTN1_tcpmon_tseries_22Feb24 5 Flows flow 5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9-407E-9AB1-40A2144A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[0]!Tab55_flow_retrans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9-407E-9AB1-40A2144A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AARnetCBR-CamDTN1_tcpmon_tseries_22Feb24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[0]!TabSum_sum1</c:f>
              <c:numCache>
                <c:formatCode>General</c:formatCode>
                <c:ptCount val="14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0.08</c:v>
                </c:pt>
                <c:pt idx="5">
                  <c:v>0.15</c:v>
                </c:pt>
                <c:pt idx="6">
                  <c:v>0.24</c:v>
                </c:pt>
                <c:pt idx="7">
                  <c:v>0.37</c:v>
                </c:pt>
                <c:pt idx="8">
                  <c:v>0.55000000000000004</c:v>
                </c:pt>
                <c:pt idx="9">
                  <c:v>0.75</c:v>
                </c:pt>
                <c:pt idx="10">
                  <c:v>1.01</c:v>
                </c:pt>
                <c:pt idx="11">
                  <c:v>1.64</c:v>
                </c:pt>
                <c:pt idx="12">
                  <c:v>2.39</c:v>
                </c:pt>
                <c:pt idx="13">
                  <c:v>3.53</c:v>
                </c:pt>
                <c:pt idx="14">
                  <c:v>5.57</c:v>
                </c:pt>
                <c:pt idx="15">
                  <c:v>6.6</c:v>
                </c:pt>
                <c:pt idx="16">
                  <c:v>11.02</c:v>
                </c:pt>
                <c:pt idx="17">
                  <c:v>16.899999999999999</c:v>
                </c:pt>
                <c:pt idx="18">
                  <c:v>20.03</c:v>
                </c:pt>
                <c:pt idx="19">
                  <c:v>24.32</c:v>
                </c:pt>
                <c:pt idx="20">
                  <c:v>31.68</c:v>
                </c:pt>
                <c:pt idx="21">
                  <c:v>28.09</c:v>
                </c:pt>
                <c:pt idx="22">
                  <c:v>29.16</c:v>
                </c:pt>
                <c:pt idx="23">
                  <c:v>30.98</c:v>
                </c:pt>
                <c:pt idx="24">
                  <c:v>29.87</c:v>
                </c:pt>
                <c:pt idx="25">
                  <c:v>27.24</c:v>
                </c:pt>
                <c:pt idx="26">
                  <c:v>30.4</c:v>
                </c:pt>
                <c:pt idx="27">
                  <c:v>29.3</c:v>
                </c:pt>
                <c:pt idx="28">
                  <c:v>31.91</c:v>
                </c:pt>
                <c:pt idx="29">
                  <c:v>27.36</c:v>
                </c:pt>
                <c:pt idx="30">
                  <c:v>29.61</c:v>
                </c:pt>
                <c:pt idx="31">
                  <c:v>31.48</c:v>
                </c:pt>
                <c:pt idx="32">
                  <c:v>26.99</c:v>
                </c:pt>
                <c:pt idx="33">
                  <c:v>29.42</c:v>
                </c:pt>
                <c:pt idx="34">
                  <c:v>26.23</c:v>
                </c:pt>
                <c:pt idx="35">
                  <c:v>26.09</c:v>
                </c:pt>
                <c:pt idx="36">
                  <c:v>27.86</c:v>
                </c:pt>
                <c:pt idx="37">
                  <c:v>26.1</c:v>
                </c:pt>
                <c:pt idx="38">
                  <c:v>24.33</c:v>
                </c:pt>
                <c:pt idx="39">
                  <c:v>26.75</c:v>
                </c:pt>
                <c:pt idx="40">
                  <c:v>27.34</c:v>
                </c:pt>
                <c:pt idx="41">
                  <c:v>25.43</c:v>
                </c:pt>
                <c:pt idx="42">
                  <c:v>26.22</c:v>
                </c:pt>
                <c:pt idx="43">
                  <c:v>26.38</c:v>
                </c:pt>
                <c:pt idx="44">
                  <c:v>26.35</c:v>
                </c:pt>
                <c:pt idx="45">
                  <c:v>25.08</c:v>
                </c:pt>
                <c:pt idx="46">
                  <c:v>23.76</c:v>
                </c:pt>
                <c:pt idx="47">
                  <c:v>26.2</c:v>
                </c:pt>
                <c:pt idx="48">
                  <c:v>27.49</c:v>
                </c:pt>
                <c:pt idx="49">
                  <c:v>26.07</c:v>
                </c:pt>
                <c:pt idx="50">
                  <c:v>24.66</c:v>
                </c:pt>
                <c:pt idx="51">
                  <c:v>25.6</c:v>
                </c:pt>
                <c:pt idx="52">
                  <c:v>25.83</c:v>
                </c:pt>
                <c:pt idx="53">
                  <c:v>25.9</c:v>
                </c:pt>
                <c:pt idx="54">
                  <c:v>25.98</c:v>
                </c:pt>
                <c:pt idx="55">
                  <c:v>25.97</c:v>
                </c:pt>
                <c:pt idx="56">
                  <c:v>26.11</c:v>
                </c:pt>
                <c:pt idx="57">
                  <c:v>27.6</c:v>
                </c:pt>
                <c:pt idx="58">
                  <c:v>25.96</c:v>
                </c:pt>
                <c:pt idx="59">
                  <c:v>25.03</c:v>
                </c:pt>
                <c:pt idx="60">
                  <c:v>25.35</c:v>
                </c:pt>
                <c:pt idx="61">
                  <c:v>25.82</c:v>
                </c:pt>
                <c:pt idx="62">
                  <c:v>25.92</c:v>
                </c:pt>
                <c:pt idx="63">
                  <c:v>26.28</c:v>
                </c:pt>
                <c:pt idx="64">
                  <c:v>26.18</c:v>
                </c:pt>
                <c:pt idx="65">
                  <c:v>27</c:v>
                </c:pt>
                <c:pt idx="66">
                  <c:v>26.33</c:v>
                </c:pt>
                <c:pt idx="67">
                  <c:v>26</c:v>
                </c:pt>
                <c:pt idx="68">
                  <c:v>26.21</c:v>
                </c:pt>
                <c:pt idx="69">
                  <c:v>26.35</c:v>
                </c:pt>
                <c:pt idx="70">
                  <c:v>26.23</c:v>
                </c:pt>
                <c:pt idx="71">
                  <c:v>26</c:v>
                </c:pt>
                <c:pt idx="72">
                  <c:v>26.33</c:v>
                </c:pt>
                <c:pt idx="73">
                  <c:v>25.59</c:v>
                </c:pt>
                <c:pt idx="74">
                  <c:v>26.47</c:v>
                </c:pt>
                <c:pt idx="75">
                  <c:v>25.48</c:v>
                </c:pt>
                <c:pt idx="76">
                  <c:v>26.06</c:v>
                </c:pt>
                <c:pt idx="77">
                  <c:v>26.2</c:v>
                </c:pt>
                <c:pt idx="78">
                  <c:v>25.8</c:v>
                </c:pt>
                <c:pt idx="79">
                  <c:v>25.91</c:v>
                </c:pt>
                <c:pt idx="80">
                  <c:v>26.45</c:v>
                </c:pt>
                <c:pt idx="81">
                  <c:v>25.11</c:v>
                </c:pt>
                <c:pt idx="82">
                  <c:v>25.22</c:v>
                </c:pt>
                <c:pt idx="83">
                  <c:v>26.39</c:v>
                </c:pt>
                <c:pt idx="84">
                  <c:v>26.47</c:v>
                </c:pt>
                <c:pt idx="85">
                  <c:v>26.33</c:v>
                </c:pt>
                <c:pt idx="86">
                  <c:v>25.84</c:v>
                </c:pt>
                <c:pt idx="87">
                  <c:v>26.12</c:v>
                </c:pt>
                <c:pt idx="88">
                  <c:v>26.14</c:v>
                </c:pt>
                <c:pt idx="89">
                  <c:v>26.12</c:v>
                </c:pt>
                <c:pt idx="90">
                  <c:v>25.53</c:v>
                </c:pt>
                <c:pt idx="91">
                  <c:v>25.85</c:v>
                </c:pt>
                <c:pt idx="92">
                  <c:v>26.61</c:v>
                </c:pt>
                <c:pt idx="93">
                  <c:v>26.18</c:v>
                </c:pt>
                <c:pt idx="94">
                  <c:v>25.14</c:v>
                </c:pt>
                <c:pt idx="95">
                  <c:v>26.3</c:v>
                </c:pt>
                <c:pt idx="96">
                  <c:v>26.54</c:v>
                </c:pt>
                <c:pt idx="97">
                  <c:v>25.91</c:v>
                </c:pt>
                <c:pt idx="98">
                  <c:v>26.04</c:v>
                </c:pt>
                <c:pt idx="99">
                  <c:v>25.2</c:v>
                </c:pt>
                <c:pt idx="100">
                  <c:v>24.84</c:v>
                </c:pt>
                <c:pt idx="101">
                  <c:v>25.91</c:v>
                </c:pt>
                <c:pt idx="102">
                  <c:v>26.29</c:v>
                </c:pt>
                <c:pt idx="103">
                  <c:v>26.75</c:v>
                </c:pt>
                <c:pt idx="104">
                  <c:v>25.81</c:v>
                </c:pt>
                <c:pt idx="105">
                  <c:v>26.57</c:v>
                </c:pt>
                <c:pt idx="106">
                  <c:v>26.24</c:v>
                </c:pt>
                <c:pt idx="107">
                  <c:v>26.23</c:v>
                </c:pt>
                <c:pt idx="108">
                  <c:v>26.12</c:v>
                </c:pt>
                <c:pt idx="109">
                  <c:v>26.02</c:v>
                </c:pt>
                <c:pt idx="110">
                  <c:v>26.11</c:v>
                </c:pt>
                <c:pt idx="111">
                  <c:v>25.77</c:v>
                </c:pt>
                <c:pt idx="112">
                  <c:v>26.21</c:v>
                </c:pt>
                <c:pt idx="113">
                  <c:v>25.03</c:v>
                </c:pt>
                <c:pt idx="114">
                  <c:v>25.39</c:v>
                </c:pt>
                <c:pt idx="115">
                  <c:v>26.47</c:v>
                </c:pt>
                <c:pt idx="116">
                  <c:v>26.35</c:v>
                </c:pt>
                <c:pt idx="117">
                  <c:v>26.51</c:v>
                </c:pt>
                <c:pt idx="118">
                  <c:v>26.13</c:v>
                </c:pt>
                <c:pt idx="119">
                  <c:v>25.73</c:v>
                </c:pt>
                <c:pt idx="120">
                  <c:v>25.66</c:v>
                </c:pt>
                <c:pt idx="121">
                  <c:v>26.02</c:v>
                </c:pt>
                <c:pt idx="122">
                  <c:v>25.9</c:v>
                </c:pt>
                <c:pt idx="123">
                  <c:v>25.37</c:v>
                </c:pt>
                <c:pt idx="124">
                  <c:v>26.75</c:v>
                </c:pt>
                <c:pt idx="125">
                  <c:v>26.07</c:v>
                </c:pt>
                <c:pt idx="126">
                  <c:v>26.35</c:v>
                </c:pt>
                <c:pt idx="127">
                  <c:v>26.15</c:v>
                </c:pt>
                <c:pt idx="128">
                  <c:v>25.61</c:v>
                </c:pt>
                <c:pt idx="129">
                  <c:v>25.3</c:v>
                </c:pt>
                <c:pt idx="130">
                  <c:v>26.3</c:v>
                </c:pt>
                <c:pt idx="131">
                  <c:v>26.43</c:v>
                </c:pt>
                <c:pt idx="132">
                  <c:v>26.16</c:v>
                </c:pt>
                <c:pt idx="133">
                  <c:v>25.9</c:v>
                </c:pt>
                <c:pt idx="134">
                  <c:v>26.09</c:v>
                </c:pt>
                <c:pt idx="135">
                  <c:v>25.88</c:v>
                </c:pt>
                <c:pt idx="136">
                  <c:v>26.03</c:v>
                </c:pt>
                <c:pt idx="137">
                  <c:v>26.15</c:v>
                </c:pt>
                <c:pt idx="138">
                  <c:v>25.86</c:v>
                </c:pt>
                <c:pt idx="139">
                  <c:v>24.53</c:v>
                </c:pt>
                <c:pt idx="140">
                  <c:v>26.42</c:v>
                </c:pt>
                <c:pt idx="141">
                  <c:v>26.24</c:v>
                </c:pt>
                <c:pt idx="142">
                  <c:v>26.2</c:v>
                </c:pt>
                <c:pt idx="143">
                  <c:v>26.48</c:v>
                </c:pt>
                <c:pt idx="144">
                  <c:v>25.88</c:v>
                </c:pt>
                <c:pt idx="145">
                  <c:v>26.05</c:v>
                </c:pt>
                <c:pt idx="146">
                  <c:v>26.27</c:v>
                </c:pt>
                <c:pt idx="147">
                  <c:v>26</c:v>
                </c:pt>
                <c:pt idx="148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9-4EA0-9B3B-FC4DFAA8A8CB}"/>
            </c:ext>
          </c:extLst>
        </c:ser>
        <c:ser>
          <c:idx val="1"/>
          <c:order val="1"/>
          <c:tx>
            <c:strRef>
              <c:f>Summary!$D$1</c:f>
              <c:strCache>
                <c:ptCount val="1"/>
                <c:pt idx="0">
                  <c:v>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[0]!TabSum_sum2</c:f>
              <c:numCache>
                <c:formatCode>General</c:formatCode>
                <c:ptCount val="149"/>
                <c:pt idx="0">
                  <c:v>0.2</c:v>
                </c:pt>
                <c:pt idx="1">
                  <c:v>1.37</c:v>
                </c:pt>
                <c:pt idx="2">
                  <c:v>1.52</c:v>
                </c:pt>
                <c:pt idx="3">
                  <c:v>2.52</c:v>
                </c:pt>
                <c:pt idx="4">
                  <c:v>3.72</c:v>
                </c:pt>
                <c:pt idx="5">
                  <c:v>5.6099999999999994</c:v>
                </c:pt>
                <c:pt idx="6">
                  <c:v>8.34</c:v>
                </c:pt>
                <c:pt idx="7">
                  <c:v>11.09</c:v>
                </c:pt>
                <c:pt idx="8">
                  <c:v>17.21</c:v>
                </c:pt>
                <c:pt idx="9">
                  <c:v>23.009999999999998</c:v>
                </c:pt>
                <c:pt idx="10">
                  <c:v>31.17</c:v>
                </c:pt>
                <c:pt idx="11">
                  <c:v>44.14</c:v>
                </c:pt>
                <c:pt idx="12">
                  <c:v>49.5</c:v>
                </c:pt>
                <c:pt idx="13">
                  <c:v>53.53</c:v>
                </c:pt>
                <c:pt idx="14">
                  <c:v>57.94</c:v>
                </c:pt>
                <c:pt idx="15">
                  <c:v>54.42</c:v>
                </c:pt>
                <c:pt idx="16">
                  <c:v>56.09</c:v>
                </c:pt>
                <c:pt idx="17">
                  <c:v>60.120000000000005</c:v>
                </c:pt>
                <c:pt idx="18">
                  <c:v>57.55</c:v>
                </c:pt>
                <c:pt idx="19">
                  <c:v>53.96</c:v>
                </c:pt>
                <c:pt idx="20">
                  <c:v>57.53</c:v>
                </c:pt>
                <c:pt idx="21">
                  <c:v>62.17</c:v>
                </c:pt>
                <c:pt idx="22">
                  <c:v>54.44</c:v>
                </c:pt>
                <c:pt idx="23">
                  <c:v>57.3</c:v>
                </c:pt>
                <c:pt idx="24">
                  <c:v>56.9</c:v>
                </c:pt>
                <c:pt idx="25">
                  <c:v>56.83</c:v>
                </c:pt>
                <c:pt idx="26">
                  <c:v>58.5</c:v>
                </c:pt>
                <c:pt idx="27">
                  <c:v>57.32</c:v>
                </c:pt>
                <c:pt idx="28">
                  <c:v>56.6</c:v>
                </c:pt>
                <c:pt idx="29">
                  <c:v>54.68</c:v>
                </c:pt>
                <c:pt idx="30">
                  <c:v>59.28</c:v>
                </c:pt>
                <c:pt idx="31">
                  <c:v>54.13</c:v>
                </c:pt>
                <c:pt idx="32">
                  <c:v>56.53</c:v>
                </c:pt>
                <c:pt idx="33">
                  <c:v>59.730000000000004</c:v>
                </c:pt>
                <c:pt idx="34">
                  <c:v>59.91</c:v>
                </c:pt>
                <c:pt idx="35">
                  <c:v>54</c:v>
                </c:pt>
                <c:pt idx="36">
                  <c:v>58.31</c:v>
                </c:pt>
                <c:pt idx="37">
                  <c:v>54.2</c:v>
                </c:pt>
                <c:pt idx="38">
                  <c:v>57.2</c:v>
                </c:pt>
                <c:pt idx="39">
                  <c:v>59.05</c:v>
                </c:pt>
                <c:pt idx="40">
                  <c:v>55.900000000000006</c:v>
                </c:pt>
                <c:pt idx="41">
                  <c:v>55.870000000000005</c:v>
                </c:pt>
                <c:pt idx="42">
                  <c:v>58.58</c:v>
                </c:pt>
                <c:pt idx="43">
                  <c:v>61.04</c:v>
                </c:pt>
                <c:pt idx="44">
                  <c:v>55.72</c:v>
                </c:pt>
                <c:pt idx="45">
                  <c:v>55.97</c:v>
                </c:pt>
                <c:pt idx="46">
                  <c:v>58.239999999999995</c:v>
                </c:pt>
                <c:pt idx="47">
                  <c:v>54.21</c:v>
                </c:pt>
                <c:pt idx="48">
                  <c:v>57.17</c:v>
                </c:pt>
                <c:pt idx="49">
                  <c:v>62.69</c:v>
                </c:pt>
                <c:pt idx="50">
                  <c:v>53.81</c:v>
                </c:pt>
                <c:pt idx="51">
                  <c:v>57.35</c:v>
                </c:pt>
                <c:pt idx="52">
                  <c:v>56.41</c:v>
                </c:pt>
                <c:pt idx="53">
                  <c:v>58.47</c:v>
                </c:pt>
                <c:pt idx="54">
                  <c:v>54.68</c:v>
                </c:pt>
                <c:pt idx="55">
                  <c:v>56.620000000000005</c:v>
                </c:pt>
                <c:pt idx="56">
                  <c:v>58.519999999999996</c:v>
                </c:pt>
                <c:pt idx="57">
                  <c:v>59.41</c:v>
                </c:pt>
                <c:pt idx="58">
                  <c:v>55.3</c:v>
                </c:pt>
                <c:pt idx="59">
                  <c:v>58.06</c:v>
                </c:pt>
                <c:pt idx="60">
                  <c:v>58.24</c:v>
                </c:pt>
                <c:pt idx="61">
                  <c:v>55.54</c:v>
                </c:pt>
                <c:pt idx="62">
                  <c:v>58.08</c:v>
                </c:pt>
                <c:pt idx="63">
                  <c:v>56.269999999999996</c:v>
                </c:pt>
                <c:pt idx="64">
                  <c:v>58.81</c:v>
                </c:pt>
                <c:pt idx="65">
                  <c:v>56.58</c:v>
                </c:pt>
                <c:pt idx="66">
                  <c:v>56.55</c:v>
                </c:pt>
                <c:pt idx="67">
                  <c:v>57.55</c:v>
                </c:pt>
                <c:pt idx="68">
                  <c:v>56.56</c:v>
                </c:pt>
                <c:pt idx="69">
                  <c:v>57.93</c:v>
                </c:pt>
                <c:pt idx="70">
                  <c:v>56.26</c:v>
                </c:pt>
                <c:pt idx="71">
                  <c:v>58.36</c:v>
                </c:pt>
                <c:pt idx="72">
                  <c:v>55.7</c:v>
                </c:pt>
                <c:pt idx="73">
                  <c:v>58.09</c:v>
                </c:pt>
                <c:pt idx="74">
                  <c:v>57.08</c:v>
                </c:pt>
                <c:pt idx="75">
                  <c:v>57.64</c:v>
                </c:pt>
                <c:pt idx="76">
                  <c:v>55.54</c:v>
                </c:pt>
                <c:pt idx="77">
                  <c:v>57.879999999999995</c:v>
                </c:pt>
                <c:pt idx="78">
                  <c:v>58.89</c:v>
                </c:pt>
                <c:pt idx="79">
                  <c:v>56.31</c:v>
                </c:pt>
                <c:pt idx="80">
                  <c:v>57.129999999999995</c:v>
                </c:pt>
                <c:pt idx="81">
                  <c:v>58.15</c:v>
                </c:pt>
                <c:pt idx="82">
                  <c:v>55.7</c:v>
                </c:pt>
                <c:pt idx="83">
                  <c:v>57.83</c:v>
                </c:pt>
                <c:pt idx="84">
                  <c:v>56.22</c:v>
                </c:pt>
                <c:pt idx="85">
                  <c:v>57.730000000000004</c:v>
                </c:pt>
                <c:pt idx="86">
                  <c:v>57.19</c:v>
                </c:pt>
                <c:pt idx="87">
                  <c:v>57.39</c:v>
                </c:pt>
                <c:pt idx="88">
                  <c:v>56.5</c:v>
                </c:pt>
                <c:pt idx="89">
                  <c:v>58.370000000000005</c:v>
                </c:pt>
                <c:pt idx="90">
                  <c:v>54.13</c:v>
                </c:pt>
                <c:pt idx="91">
                  <c:v>57.72</c:v>
                </c:pt>
                <c:pt idx="92">
                  <c:v>61.39</c:v>
                </c:pt>
                <c:pt idx="93">
                  <c:v>54.64</c:v>
                </c:pt>
                <c:pt idx="94">
                  <c:v>58.59</c:v>
                </c:pt>
                <c:pt idx="95">
                  <c:v>53.980000000000004</c:v>
                </c:pt>
                <c:pt idx="96">
                  <c:v>57.97</c:v>
                </c:pt>
                <c:pt idx="97">
                  <c:v>62.120000000000005</c:v>
                </c:pt>
                <c:pt idx="98">
                  <c:v>54.52</c:v>
                </c:pt>
                <c:pt idx="99">
                  <c:v>56.68</c:v>
                </c:pt>
                <c:pt idx="100">
                  <c:v>57.7</c:v>
                </c:pt>
                <c:pt idx="101">
                  <c:v>56.21</c:v>
                </c:pt>
                <c:pt idx="102">
                  <c:v>58.46</c:v>
                </c:pt>
                <c:pt idx="103">
                  <c:v>54.58</c:v>
                </c:pt>
                <c:pt idx="104">
                  <c:v>56.34</c:v>
                </c:pt>
                <c:pt idx="105">
                  <c:v>60.16</c:v>
                </c:pt>
                <c:pt idx="106">
                  <c:v>57.849999999999994</c:v>
                </c:pt>
                <c:pt idx="107">
                  <c:v>54.28</c:v>
                </c:pt>
                <c:pt idx="108">
                  <c:v>61.83</c:v>
                </c:pt>
                <c:pt idx="109">
                  <c:v>54.18</c:v>
                </c:pt>
                <c:pt idx="110">
                  <c:v>57.91</c:v>
                </c:pt>
                <c:pt idx="111">
                  <c:v>57.46</c:v>
                </c:pt>
                <c:pt idx="112">
                  <c:v>56.230000000000004</c:v>
                </c:pt>
                <c:pt idx="113">
                  <c:v>58.1</c:v>
                </c:pt>
                <c:pt idx="114">
                  <c:v>54.99</c:v>
                </c:pt>
                <c:pt idx="115">
                  <c:v>56.28</c:v>
                </c:pt>
                <c:pt idx="116">
                  <c:v>57.44</c:v>
                </c:pt>
                <c:pt idx="117">
                  <c:v>58.9</c:v>
                </c:pt>
                <c:pt idx="118">
                  <c:v>59.3</c:v>
                </c:pt>
                <c:pt idx="119">
                  <c:v>56.26</c:v>
                </c:pt>
                <c:pt idx="120">
                  <c:v>56.099999999999994</c:v>
                </c:pt>
                <c:pt idx="121">
                  <c:v>58.56</c:v>
                </c:pt>
                <c:pt idx="122">
                  <c:v>55.510000000000005</c:v>
                </c:pt>
                <c:pt idx="123">
                  <c:v>58.81</c:v>
                </c:pt>
                <c:pt idx="124">
                  <c:v>57.31</c:v>
                </c:pt>
                <c:pt idx="125">
                  <c:v>58.26</c:v>
                </c:pt>
                <c:pt idx="126">
                  <c:v>56.94</c:v>
                </c:pt>
                <c:pt idx="127">
                  <c:v>55.4</c:v>
                </c:pt>
                <c:pt idx="128">
                  <c:v>57.17</c:v>
                </c:pt>
                <c:pt idx="129">
                  <c:v>57.07</c:v>
                </c:pt>
                <c:pt idx="130">
                  <c:v>57.05</c:v>
                </c:pt>
                <c:pt idx="131">
                  <c:v>55.43</c:v>
                </c:pt>
                <c:pt idx="132">
                  <c:v>57.14</c:v>
                </c:pt>
                <c:pt idx="133">
                  <c:v>58.69</c:v>
                </c:pt>
                <c:pt idx="134">
                  <c:v>57.35</c:v>
                </c:pt>
                <c:pt idx="135">
                  <c:v>56.54</c:v>
                </c:pt>
                <c:pt idx="136">
                  <c:v>58.099999999999994</c:v>
                </c:pt>
                <c:pt idx="137">
                  <c:v>54.61</c:v>
                </c:pt>
                <c:pt idx="138">
                  <c:v>56.03</c:v>
                </c:pt>
                <c:pt idx="139">
                  <c:v>58.97</c:v>
                </c:pt>
                <c:pt idx="140">
                  <c:v>60.260000000000005</c:v>
                </c:pt>
                <c:pt idx="141">
                  <c:v>55.33</c:v>
                </c:pt>
                <c:pt idx="142">
                  <c:v>57.31</c:v>
                </c:pt>
                <c:pt idx="143">
                  <c:v>55.7</c:v>
                </c:pt>
                <c:pt idx="144">
                  <c:v>59.46</c:v>
                </c:pt>
                <c:pt idx="145">
                  <c:v>54.26</c:v>
                </c:pt>
                <c:pt idx="146">
                  <c:v>56.040000000000006</c:v>
                </c:pt>
                <c:pt idx="147">
                  <c:v>59.33</c:v>
                </c:pt>
                <c:pt idx="148">
                  <c:v>59.349999999999994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9-4EA0-9B3B-FC4DFAA8A8CB}"/>
            </c:ext>
          </c:extLst>
        </c:ser>
        <c:ser>
          <c:idx val="2"/>
          <c:order val="2"/>
          <c:tx>
            <c:strRef>
              <c:f>Summary!$E$1</c:f>
              <c:strCache>
                <c:ptCount val="1"/>
                <c:pt idx="0">
                  <c:v>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[0]!TabSum_sum3</c:f>
              <c:numCache>
                <c:formatCode>General</c:formatCode>
                <c:ptCount val="149"/>
                <c:pt idx="0">
                  <c:v>0.23</c:v>
                </c:pt>
                <c:pt idx="1">
                  <c:v>1.2</c:v>
                </c:pt>
                <c:pt idx="2">
                  <c:v>1.36</c:v>
                </c:pt>
                <c:pt idx="3">
                  <c:v>2.23</c:v>
                </c:pt>
                <c:pt idx="4">
                  <c:v>3.3000000000000003</c:v>
                </c:pt>
                <c:pt idx="5">
                  <c:v>4.9700000000000006</c:v>
                </c:pt>
                <c:pt idx="6">
                  <c:v>7.37</c:v>
                </c:pt>
                <c:pt idx="7">
                  <c:v>10.129999999999999</c:v>
                </c:pt>
                <c:pt idx="8">
                  <c:v>15.05</c:v>
                </c:pt>
                <c:pt idx="9">
                  <c:v>23.919999999999998</c:v>
                </c:pt>
                <c:pt idx="10">
                  <c:v>30.94</c:v>
                </c:pt>
                <c:pt idx="11">
                  <c:v>37.25</c:v>
                </c:pt>
                <c:pt idx="12">
                  <c:v>52.83</c:v>
                </c:pt>
                <c:pt idx="13">
                  <c:v>53.13</c:v>
                </c:pt>
                <c:pt idx="14">
                  <c:v>56.46</c:v>
                </c:pt>
                <c:pt idx="15">
                  <c:v>54.010000000000005</c:v>
                </c:pt>
                <c:pt idx="16">
                  <c:v>59.059999999999995</c:v>
                </c:pt>
                <c:pt idx="17">
                  <c:v>62.379999999999995</c:v>
                </c:pt>
                <c:pt idx="18">
                  <c:v>71.78</c:v>
                </c:pt>
                <c:pt idx="19">
                  <c:v>63.730000000000004</c:v>
                </c:pt>
                <c:pt idx="20">
                  <c:v>74.55</c:v>
                </c:pt>
                <c:pt idx="21">
                  <c:v>63.79</c:v>
                </c:pt>
                <c:pt idx="22">
                  <c:v>73.77</c:v>
                </c:pt>
                <c:pt idx="23">
                  <c:v>60.870000000000005</c:v>
                </c:pt>
                <c:pt idx="24">
                  <c:v>73.63</c:v>
                </c:pt>
                <c:pt idx="25">
                  <c:v>67.31</c:v>
                </c:pt>
                <c:pt idx="26">
                  <c:v>62.519999999999996</c:v>
                </c:pt>
                <c:pt idx="27">
                  <c:v>70.86</c:v>
                </c:pt>
                <c:pt idx="28">
                  <c:v>65.61</c:v>
                </c:pt>
                <c:pt idx="29">
                  <c:v>71.94</c:v>
                </c:pt>
                <c:pt idx="30">
                  <c:v>60.89</c:v>
                </c:pt>
                <c:pt idx="31">
                  <c:v>74.13</c:v>
                </c:pt>
                <c:pt idx="32">
                  <c:v>60.75</c:v>
                </c:pt>
                <c:pt idx="33">
                  <c:v>74.72999999999999</c:v>
                </c:pt>
                <c:pt idx="34">
                  <c:v>60.53</c:v>
                </c:pt>
                <c:pt idx="35">
                  <c:v>72.330000000000013</c:v>
                </c:pt>
                <c:pt idx="36">
                  <c:v>62.2</c:v>
                </c:pt>
                <c:pt idx="37">
                  <c:v>74.55</c:v>
                </c:pt>
                <c:pt idx="38">
                  <c:v>60.44</c:v>
                </c:pt>
                <c:pt idx="39">
                  <c:v>71.14</c:v>
                </c:pt>
                <c:pt idx="40">
                  <c:v>68.97</c:v>
                </c:pt>
                <c:pt idx="41">
                  <c:v>63.429999999999993</c:v>
                </c:pt>
                <c:pt idx="42">
                  <c:v>73.95</c:v>
                </c:pt>
                <c:pt idx="43">
                  <c:v>59.83</c:v>
                </c:pt>
                <c:pt idx="44">
                  <c:v>73.06</c:v>
                </c:pt>
                <c:pt idx="45">
                  <c:v>62.43</c:v>
                </c:pt>
                <c:pt idx="46">
                  <c:v>74.31</c:v>
                </c:pt>
                <c:pt idx="47">
                  <c:v>60.350000000000009</c:v>
                </c:pt>
                <c:pt idx="48">
                  <c:v>72.92</c:v>
                </c:pt>
                <c:pt idx="49">
                  <c:v>62.34</c:v>
                </c:pt>
                <c:pt idx="50">
                  <c:v>74.11</c:v>
                </c:pt>
                <c:pt idx="51">
                  <c:v>61.81</c:v>
                </c:pt>
                <c:pt idx="52">
                  <c:v>71.92</c:v>
                </c:pt>
                <c:pt idx="53">
                  <c:v>63.05</c:v>
                </c:pt>
                <c:pt idx="54">
                  <c:v>72.92</c:v>
                </c:pt>
                <c:pt idx="55">
                  <c:v>61.230000000000004</c:v>
                </c:pt>
                <c:pt idx="56">
                  <c:v>74.19</c:v>
                </c:pt>
                <c:pt idx="57">
                  <c:v>60.67</c:v>
                </c:pt>
                <c:pt idx="58">
                  <c:v>74.789999999999992</c:v>
                </c:pt>
                <c:pt idx="59">
                  <c:v>60.2</c:v>
                </c:pt>
                <c:pt idx="60">
                  <c:v>75.210000000000008</c:v>
                </c:pt>
                <c:pt idx="61">
                  <c:v>60.19</c:v>
                </c:pt>
                <c:pt idx="62">
                  <c:v>73.569999999999993</c:v>
                </c:pt>
                <c:pt idx="63">
                  <c:v>66.41</c:v>
                </c:pt>
                <c:pt idx="64">
                  <c:v>63.59</c:v>
                </c:pt>
                <c:pt idx="65">
                  <c:v>72.61</c:v>
                </c:pt>
                <c:pt idx="66">
                  <c:v>60.959999999999994</c:v>
                </c:pt>
                <c:pt idx="67">
                  <c:v>74.62</c:v>
                </c:pt>
                <c:pt idx="68">
                  <c:v>60.349999999999994</c:v>
                </c:pt>
                <c:pt idx="69">
                  <c:v>74.23</c:v>
                </c:pt>
                <c:pt idx="70">
                  <c:v>60.870000000000005</c:v>
                </c:pt>
                <c:pt idx="71">
                  <c:v>73.5</c:v>
                </c:pt>
                <c:pt idx="72">
                  <c:v>62.08</c:v>
                </c:pt>
                <c:pt idx="73">
                  <c:v>74.31</c:v>
                </c:pt>
                <c:pt idx="74">
                  <c:v>60.83</c:v>
                </c:pt>
                <c:pt idx="75">
                  <c:v>72.27000000000001</c:v>
                </c:pt>
                <c:pt idx="76">
                  <c:v>64.09</c:v>
                </c:pt>
                <c:pt idx="77">
                  <c:v>72.88</c:v>
                </c:pt>
                <c:pt idx="78">
                  <c:v>59.899999999999991</c:v>
                </c:pt>
                <c:pt idx="79">
                  <c:v>74.58</c:v>
                </c:pt>
                <c:pt idx="80">
                  <c:v>60.5</c:v>
                </c:pt>
                <c:pt idx="81">
                  <c:v>74.28</c:v>
                </c:pt>
                <c:pt idx="82">
                  <c:v>61.04</c:v>
                </c:pt>
                <c:pt idx="83">
                  <c:v>72.81</c:v>
                </c:pt>
                <c:pt idx="84">
                  <c:v>62.33</c:v>
                </c:pt>
                <c:pt idx="85">
                  <c:v>74.77</c:v>
                </c:pt>
                <c:pt idx="86">
                  <c:v>60.1</c:v>
                </c:pt>
                <c:pt idx="87">
                  <c:v>74.319999999999993</c:v>
                </c:pt>
                <c:pt idx="88">
                  <c:v>60.65</c:v>
                </c:pt>
                <c:pt idx="89">
                  <c:v>74.53</c:v>
                </c:pt>
                <c:pt idx="90">
                  <c:v>60.2</c:v>
                </c:pt>
                <c:pt idx="91">
                  <c:v>74.819999999999993</c:v>
                </c:pt>
                <c:pt idx="92">
                  <c:v>60.11</c:v>
                </c:pt>
                <c:pt idx="93">
                  <c:v>72.539999999999992</c:v>
                </c:pt>
                <c:pt idx="94">
                  <c:v>63.879999999999995</c:v>
                </c:pt>
                <c:pt idx="95">
                  <c:v>73.56</c:v>
                </c:pt>
                <c:pt idx="96">
                  <c:v>60.230000000000004</c:v>
                </c:pt>
                <c:pt idx="97">
                  <c:v>74.12</c:v>
                </c:pt>
                <c:pt idx="98">
                  <c:v>60.930000000000007</c:v>
                </c:pt>
                <c:pt idx="99">
                  <c:v>74.600000000000009</c:v>
                </c:pt>
                <c:pt idx="100">
                  <c:v>60.33</c:v>
                </c:pt>
                <c:pt idx="101">
                  <c:v>72.89</c:v>
                </c:pt>
                <c:pt idx="102">
                  <c:v>62.31</c:v>
                </c:pt>
                <c:pt idx="103">
                  <c:v>74.22</c:v>
                </c:pt>
                <c:pt idx="104">
                  <c:v>60.349999999999994</c:v>
                </c:pt>
                <c:pt idx="105">
                  <c:v>74.14</c:v>
                </c:pt>
                <c:pt idx="106">
                  <c:v>61.76</c:v>
                </c:pt>
                <c:pt idx="107">
                  <c:v>73.72</c:v>
                </c:pt>
                <c:pt idx="108">
                  <c:v>60.320000000000007</c:v>
                </c:pt>
                <c:pt idx="109">
                  <c:v>73.180000000000007</c:v>
                </c:pt>
                <c:pt idx="110">
                  <c:v>62.2</c:v>
                </c:pt>
                <c:pt idx="111">
                  <c:v>71.099999999999994</c:v>
                </c:pt>
                <c:pt idx="112">
                  <c:v>64.28</c:v>
                </c:pt>
                <c:pt idx="113">
                  <c:v>71.3</c:v>
                </c:pt>
                <c:pt idx="114">
                  <c:v>65.3</c:v>
                </c:pt>
                <c:pt idx="115">
                  <c:v>71.39</c:v>
                </c:pt>
                <c:pt idx="116">
                  <c:v>60.96</c:v>
                </c:pt>
                <c:pt idx="117">
                  <c:v>73.490000000000009</c:v>
                </c:pt>
                <c:pt idx="118">
                  <c:v>61.9</c:v>
                </c:pt>
                <c:pt idx="119">
                  <c:v>73.69</c:v>
                </c:pt>
                <c:pt idx="120">
                  <c:v>60.96</c:v>
                </c:pt>
                <c:pt idx="121">
                  <c:v>73.72</c:v>
                </c:pt>
                <c:pt idx="122">
                  <c:v>61.570000000000007</c:v>
                </c:pt>
                <c:pt idx="123">
                  <c:v>74.81</c:v>
                </c:pt>
                <c:pt idx="124">
                  <c:v>59.9</c:v>
                </c:pt>
                <c:pt idx="125">
                  <c:v>74.430000000000007</c:v>
                </c:pt>
                <c:pt idx="126">
                  <c:v>60.25</c:v>
                </c:pt>
                <c:pt idx="127">
                  <c:v>74.13</c:v>
                </c:pt>
                <c:pt idx="128">
                  <c:v>60.69</c:v>
                </c:pt>
                <c:pt idx="129">
                  <c:v>74.58</c:v>
                </c:pt>
                <c:pt idx="130">
                  <c:v>61.69</c:v>
                </c:pt>
                <c:pt idx="131">
                  <c:v>68.62</c:v>
                </c:pt>
                <c:pt idx="132">
                  <c:v>71.069999999999993</c:v>
                </c:pt>
                <c:pt idx="133">
                  <c:v>61.45</c:v>
                </c:pt>
                <c:pt idx="134">
                  <c:v>74.47</c:v>
                </c:pt>
                <c:pt idx="135">
                  <c:v>60.22</c:v>
                </c:pt>
                <c:pt idx="136">
                  <c:v>74.42</c:v>
                </c:pt>
                <c:pt idx="137">
                  <c:v>61.31</c:v>
                </c:pt>
                <c:pt idx="138">
                  <c:v>70.89</c:v>
                </c:pt>
                <c:pt idx="139">
                  <c:v>64.22</c:v>
                </c:pt>
                <c:pt idx="140">
                  <c:v>73.78</c:v>
                </c:pt>
                <c:pt idx="141">
                  <c:v>59.93</c:v>
                </c:pt>
                <c:pt idx="142">
                  <c:v>73.88</c:v>
                </c:pt>
                <c:pt idx="143">
                  <c:v>61.11</c:v>
                </c:pt>
                <c:pt idx="144">
                  <c:v>74.63</c:v>
                </c:pt>
                <c:pt idx="145">
                  <c:v>60.17</c:v>
                </c:pt>
                <c:pt idx="146">
                  <c:v>74.320000000000007</c:v>
                </c:pt>
                <c:pt idx="147">
                  <c:v>60.679999999999993</c:v>
                </c:pt>
                <c:pt idx="148">
                  <c:v>74.290000000000006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E9-4EA0-9B3B-FC4DFAA8A8CB}"/>
            </c:ext>
          </c:extLst>
        </c:ser>
        <c:ser>
          <c:idx val="3"/>
          <c:order val="3"/>
          <c:tx>
            <c:strRef>
              <c:f>Summary!$F$1</c:f>
              <c:strCache>
                <c:ptCount val="1"/>
                <c:pt idx="0">
                  <c:v>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[0]!TabSum_sum4</c:f>
              <c:numCache>
                <c:formatCode>General</c:formatCode>
                <c:ptCount val="149"/>
                <c:pt idx="0">
                  <c:v>0.19</c:v>
                </c:pt>
                <c:pt idx="1">
                  <c:v>1.6500000000000001</c:v>
                </c:pt>
                <c:pt idx="2">
                  <c:v>1.87</c:v>
                </c:pt>
                <c:pt idx="3">
                  <c:v>3.09</c:v>
                </c:pt>
                <c:pt idx="4">
                  <c:v>4.57</c:v>
                </c:pt>
                <c:pt idx="5">
                  <c:v>6.9700000000000006</c:v>
                </c:pt>
                <c:pt idx="6">
                  <c:v>9.7100000000000009</c:v>
                </c:pt>
                <c:pt idx="7">
                  <c:v>13.67</c:v>
                </c:pt>
                <c:pt idx="8">
                  <c:v>20.830000000000002</c:v>
                </c:pt>
                <c:pt idx="9">
                  <c:v>31.73</c:v>
                </c:pt>
                <c:pt idx="10">
                  <c:v>36.660000000000004</c:v>
                </c:pt>
                <c:pt idx="11">
                  <c:v>51.21</c:v>
                </c:pt>
                <c:pt idx="12">
                  <c:v>54.519999999999996</c:v>
                </c:pt>
                <c:pt idx="13">
                  <c:v>59.109999999999992</c:v>
                </c:pt>
                <c:pt idx="14">
                  <c:v>57.58</c:v>
                </c:pt>
                <c:pt idx="15">
                  <c:v>62.489999999999995</c:v>
                </c:pt>
                <c:pt idx="16">
                  <c:v>70.849999999999994</c:v>
                </c:pt>
                <c:pt idx="17">
                  <c:v>73.87</c:v>
                </c:pt>
                <c:pt idx="18">
                  <c:v>87.72</c:v>
                </c:pt>
                <c:pt idx="19">
                  <c:v>89.88</c:v>
                </c:pt>
                <c:pt idx="20">
                  <c:v>93.19</c:v>
                </c:pt>
                <c:pt idx="21">
                  <c:v>73.48</c:v>
                </c:pt>
                <c:pt idx="22">
                  <c:v>83.77000000000001</c:v>
                </c:pt>
                <c:pt idx="23">
                  <c:v>88.62</c:v>
                </c:pt>
                <c:pt idx="24">
                  <c:v>90.11</c:v>
                </c:pt>
                <c:pt idx="25">
                  <c:v>93.03</c:v>
                </c:pt>
                <c:pt idx="26">
                  <c:v>92.13</c:v>
                </c:pt>
                <c:pt idx="27">
                  <c:v>91.85</c:v>
                </c:pt>
                <c:pt idx="28">
                  <c:v>93.68</c:v>
                </c:pt>
                <c:pt idx="29">
                  <c:v>90.24</c:v>
                </c:pt>
                <c:pt idx="30">
                  <c:v>94.58</c:v>
                </c:pt>
                <c:pt idx="31">
                  <c:v>80.2</c:v>
                </c:pt>
                <c:pt idx="32">
                  <c:v>77.56</c:v>
                </c:pt>
                <c:pt idx="33">
                  <c:v>77.179999999999993</c:v>
                </c:pt>
                <c:pt idx="34">
                  <c:v>79.160000000000011</c:v>
                </c:pt>
                <c:pt idx="35">
                  <c:v>76.27000000000001</c:v>
                </c:pt>
                <c:pt idx="36">
                  <c:v>86.44</c:v>
                </c:pt>
                <c:pt idx="37">
                  <c:v>85.88</c:v>
                </c:pt>
                <c:pt idx="38">
                  <c:v>80.209999999999994</c:v>
                </c:pt>
                <c:pt idx="39">
                  <c:v>89.63</c:v>
                </c:pt>
                <c:pt idx="40">
                  <c:v>86.77</c:v>
                </c:pt>
                <c:pt idx="41">
                  <c:v>91.38000000000001</c:v>
                </c:pt>
                <c:pt idx="42">
                  <c:v>82.43</c:v>
                </c:pt>
                <c:pt idx="43">
                  <c:v>89.05</c:v>
                </c:pt>
                <c:pt idx="44">
                  <c:v>90.43</c:v>
                </c:pt>
                <c:pt idx="45">
                  <c:v>85.36999999999999</c:v>
                </c:pt>
                <c:pt idx="46">
                  <c:v>94.429999999999993</c:v>
                </c:pt>
                <c:pt idx="47">
                  <c:v>86.329999999999984</c:v>
                </c:pt>
                <c:pt idx="48">
                  <c:v>89.91</c:v>
                </c:pt>
                <c:pt idx="49">
                  <c:v>86.8</c:v>
                </c:pt>
                <c:pt idx="50">
                  <c:v>91.66</c:v>
                </c:pt>
                <c:pt idx="51">
                  <c:v>88.24</c:v>
                </c:pt>
                <c:pt idx="52">
                  <c:v>87.14</c:v>
                </c:pt>
                <c:pt idx="53">
                  <c:v>91.69</c:v>
                </c:pt>
                <c:pt idx="54">
                  <c:v>87.61999999999999</c:v>
                </c:pt>
                <c:pt idx="55">
                  <c:v>89.3</c:v>
                </c:pt>
                <c:pt idx="56">
                  <c:v>92.039999999999992</c:v>
                </c:pt>
                <c:pt idx="57">
                  <c:v>92.92</c:v>
                </c:pt>
                <c:pt idx="58">
                  <c:v>84.03</c:v>
                </c:pt>
                <c:pt idx="59">
                  <c:v>98.03</c:v>
                </c:pt>
                <c:pt idx="60">
                  <c:v>92.34</c:v>
                </c:pt>
                <c:pt idx="61">
                  <c:v>91.570000000000007</c:v>
                </c:pt>
                <c:pt idx="62">
                  <c:v>92.11</c:v>
                </c:pt>
                <c:pt idx="63">
                  <c:v>94.820000000000007</c:v>
                </c:pt>
                <c:pt idx="64">
                  <c:v>92.69</c:v>
                </c:pt>
                <c:pt idx="65">
                  <c:v>65.16</c:v>
                </c:pt>
                <c:pt idx="66">
                  <c:v>80.400000000000006</c:v>
                </c:pt>
                <c:pt idx="67">
                  <c:v>75.94</c:v>
                </c:pt>
                <c:pt idx="68">
                  <c:v>82.110000000000014</c:v>
                </c:pt>
                <c:pt idx="69">
                  <c:v>91.18</c:v>
                </c:pt>
                <c:pt idx="70">
                  <c:v>89.18</c:v>
                </c:pt>
                <c:pt idx="71">
                  <c:v>92.259999999999991</c:v>
                </c:pt>
                <c:pt idx="72">
                  <c:v>91.72999999999999</c:v>
                </c:pt>
                <c:pt idx="73">
                  <c:v>91.33</c:v>
                </c:pt>
                <c:pt idx="74">
                  <c:v>94.759999999999991</c:v>
                </c:pt>
                <c:pt idx="75">
                  <c:v>93.679999999999993</c:v>
                </c:pt>
                <c:pt idx="76">
                  <c:v>90.6</c:v>
                </c:pt>
                <c:pt idx="77">
                  <c:v>91.91</c:v>
                </c:pt>
                <c:pt idx="78">
                  <c:v>93.34</c:v>
                </c:pt>
                <c:pt idx="79">
                  <c:v>89.9</c:v>
                </c:pt>
                <c:pt idx="80">
                  <c:v>91.679999999999993</c:v>
                </c:pt>
                <c:pt idx="81">
                  <c:v>95.3</c:v>
                </c:pt>
                <c:pt idx="82">
                  <c:v>63.96</c:v>
                </c:pt>
                <c:pt idx="83">
                  <c:v>75.990000000000009</c:v>
                </c:pt>
                <c:pt idx="84">
                  <c:v>76.930000000000007</c:v>
                </c:pt>
                <c:pt idx="85">
                  <c:v>77.88</c:v>
                </c:pt>
                <c:pt idx="86">
                  <c:v>79.19</c:v>
                </c:pt>
                <c:pt idx="87">
                  <c:v>80.66</c:v>
                </c:pt>
                <c:pt idx="88">
                  <c:v>78.570000000000007</c:v>
                </c:pt>
                <c:pt idx="89">
                  <c:v>88.300000000000011</c:v>
                </c:pt>
                <c:pt idx="90">
                  <c:v>78.760000000000005</c:v>
                </c:pt>
                <c:pt idx="91">
                  <c:v>88.689999999999984</c:v>
                </c:pt>
                <c:pt idx="92">
                  <c:v>82.16</c:v>
                </c:pt>
                <c:pt idx="93">
                  <c:v>85.95</c:v>
                </c:pt>
                <c:pt idx="94">
                  <c:v>86.97999999999999</c:v>
                </c:pt>
                <c:pt idx="95">
                  <c:v>83.4</c:v>
                </c:pt>
                <c:pt idx="96">
                  <c:v>87.320000000000007</c:v>
                </c:pt>
                <c:pt idx="97">
                  <c:v>83.669999999999987</c:v>
                </c:pt>
                <c:pt idx="98">
                  <c:v>89.12</c:v>
                </c:pt>
                <c:pt idx="99">
                  <c:v>84.199999999999989</c:v>
                </c:pt>
                <c:pt idx="100">
                  <c:v>85.830000000000013</c:v>
                </c:pt>
                <c:pt idx="101">
                  <c:v>88.78</c:v>
                </c:pt>
                <c:pt idx="102">
                  <c:v>85.58</c:v>
                </c:pt>
                <c:pt idx="103">
                  <c:v>83.24</c:v>
                </c:pt>
                <c:pt idx="104">
                  <c:v>90.67</c:v>
                </c:pt>
                <c:pt idx="105">
                  <c:v>83.03</c:v>
                </c:pt>
                <c:pt idx="106">
                  <c:v>89</c:v>
                </c:pt>
                <c:pt idx="107">
                  <c:v>82.59</c:v>
                </c:pt>
                <c:pt idx="108">
                  <c:v>89.71</c:v>
                </c:pt>
                <c:pt idx="109">
                  <c:v>92.28</c:v>
                </c:pt>
                <c:pt idx="110">
                  <c:v>86.02</c:v>
                </c:pt>
                <c:pt idx="111">
                  <c:v>92.850000000000009</c:v>
                </c:pt>
                <c:pt idx="112">
                  <c:v>90.91</c:v>
                </c:pt>
                <c:pt idx="113">
                  <c:v>91.990000000000009</c:v>
                </c:pt>
                <c:pt idx="114">
                  <c:v>92.4</c:v>
                </c:pt>
                <c:pt idx="115">
                  <c:v>93.12</c:v>
                </c:pt>
                <c:pt idx="116">
                  <c:v>91.04</c:v>
                </c:pt>
                <c:pt idx="117">
                  <c:v>91.78</c:v>
                </c:pt>
                <c:pt idx="118">
                  <c:v>93.86</c:v>
                </c:pt>
                <c:pt idx="119">
                  <c:v>93.96</c:v>
                </c:pt>
                <c:pt idx="120">
                  <c:v>90.47</c:v>
                </c:pt>
                <c:pt idx="121">
                  <c:v>81.100000000000009</c:v>
                </c:pt>
                <c:pt idx="122">
                  <c:v>80.17</c:v>
                </c:pt>
                <c:pt idx="123">
                  <c:v>84.4</c:v>
                </c:pt>
                <c:pt idx="124">
                  <c:v>89.750000000000014</c:v>
                </c:pt>
                <c:pt idx="125">
                  <c:v>85.41</c:v>
                </c:pt>
                <c:pt idx="126">
                  <c:v>96.139999999999986</c:v>
                </c:pt>
                <c:pt idx="127">
                  <c:v>90.13000000000001</c:v>
                </c:pt>
                <c:pt idx="128">
                  <c:v>95.97</c:v>
                </c:pt>
                <c:pt idx="129">
                  <c:v>90.98</c:v>
                </c:pt>
                <c:pt idx="130">
                  <c:v>92.12</c:v>
                </c:pt>
                <c:pt idx="131">
                  <c:v>92.710000000000008</c:v>
                </c:pt>
                <c:pt idx="132">
                  <c:v>72.03</c:v>
                </c:pt>
                <c:pt idx="133">
                  <c:v>77.22</c:v>
                </c:pt>
                <c:pt idx="134">
                  <c:v>75.14</c:v>
                </c:pt>
                <c:pt idx="135">
                  <c:v>82.47</c:v>
                </c:pt>
                <c:pt idx="136">
                  <c:v>79.570000000000007</c:v>
                </c:pt>
                <c:pt idx="137">
                  <c:v>85.549999999999983</c:v>
                </c:pt>
                <c:pt idx="138">
                  <c:v>83.080000000000013</c:v>
                </c:pt>
                <c:pt idx="139">
                  <c:v>82.81</c:v>
                </c:pt>
                <c:pt idx="140">
                  <c:v>87.92</c:v>
                </c:pt>
                <c:pt idx="141">
                  <c:v>88.87</c:v>
                </c:pt>
                <c:pt idx="142">
                  <c:v>82.84</c:v>
                </c:pt>
                <c:pt idx="143">
                  <c:v>92.990000000000009</c:v>
                </c:pt>
                <c:pt idx="144">
                  <c:v>87.56</c:v>
                </c:pt>
                <c:pt idx="145">
                  <c:v>88.949999999999989</c:v>
                </c:pt>
                <c:pt idx="146">
                  <c:v>86.89</c:v>
                </c:pt>
                <c:pt idx="147">
                  <c:v>90.27000000000001</c:v>
                </c:pt>
                <c:pt idx="148">
                  <c:v>90.64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9-4EA0-9B3B-FC4DFAA8A8CB}"/>
            </c:ext>
          </c:extLst>
        </c:ser>
        <c:ser>
          <c:idx val="5"/>
          <c:order val="4"/>
          <c:tx>
            <c:v>5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[0]!TabSum_sum5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E9-4EA0-9B3B-FC4DFAA8A8CB}"/>
            </c:ext>
          </c:extLst>
        </c:ser>
        <c:ser>
          <c:idx val="4"/>
          <c:order val="5"/>
          <c:tx>
            <c:v>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[0]!TabSum_sum6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5-49F7-B8C4-E33168BDE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Plots!$U$1</c:f>
          <c:strCache>
            <c:ptCount val="1"/>
            <c:pt idx="0">
              <c:v>AARnetCBR-CamDTN1_tcpmon_tseries_22Feb24 1 Flows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Summary!$C$1:$H$1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Summary!$C$162:$F$162</c:f>
              <c:numCache>
                <c:formatCode>General</c:formatCode>
                <c:ptCount val="4"/>
                <c:pt idx="0">
                  <c:v>22.164556962025319</c:v>
                </c:pt>
                <c:pt idx="1">
                  <c:v>50.782088607594943</c:v>
                </c:pt>
                <c:pt idx="2">
                  <c:v>59.320126582278483</c:v>
                </c:pt>
                <c:pt idx="3">
                  <c:v>76.151962025316394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8F-46D6-9BED-4CEE24D5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Summary!$C$1:$G$1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Summary!$L$162:$O$162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8F-46D6-9BED-4CEE24D5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Number of Concurrent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Plots!$BN$1</c:f>
          <c:strCache>
            <c:ptCount val="1"/>
            <c:pt idx="0">
              <c:v>AARnetCBR-CamDTN1_tcpmon_tseries_22Feb24 6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47-4AE9-881D-891B2679305E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7-4AE9-881D-891B2679305E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7-4AE9-881D-891B2679305E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47-4AE9-881D-891B2679305E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47-4AE9-881D-891B2679305E}"/>
            </c:ext>
          </c:extLst>
        </c:ser>
        <c:ser>
          <c:idx val="5"/>
          <c:order val="5"/>
          <c:tx>
            <c:v>flow6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47-4AE9-881D-891B26793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915492487602981E-2"/>
          <c:h val="0.57098547347452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Plots!$BO$4</c:f>
          <c:strCache>
            <c:ptCount val="1"/>
            <c:pt idx="0">
              <c:v>AARnetCBR-CamDTN1_tcpmon_tseries_22Feb24 6 Flows flow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7-4675-95BC-850F6765E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A7-4675-95BC-850F6765E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Plots!$BO$5</c:f>
          <c:strCache>
            <c:ptCount val="1"/>
            <c:pt idx="0">
              <c:v>AARnetCBR-CamDTN1_tcpmon_tseries_22Feb24 6 Flows flow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2-4901-8F19-241595BE7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2-4901-8F19-241595BE7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Plots!$BO$6</c:f>
          <c:strCache>
            <c:ptCount val="1"/>
            <c:pt idx="0">
              <c:v>AARnetCBR-CamDTN1_tcpmon_tseries_22Feb24 6 Flows flow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2-4D98-B470-9CC77DB31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2-4D98-B470-9CC77DB31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Plots!$BO$7</c:f>
          <c:strCache>
            <c:ptCount val="1"/>
            <c:pt idx="0">
              <c:v>AARnetCBR-CamDTN1_tcpmon_tseries_22Feb24 6 Flows flow 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0-4882-AB2E-05E0BD60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B0-4882-AB2E-05E0BD60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Plots!$BO$8</c:f>
          <c:strCache>
            <c:ptCount val="1"/>
            <c:pt idx="0">
              <c:v>AARnetCBR-CamDTN1_tcpmon_tseries_22Feb24 6 Flows flow 5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19-4917-8F2E-843E47BC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19-4917-8F2E-843E47BC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Plots!$BO$9</c:f>
          <c:strCache>
            <c:ptCount val="1"/>
            <c:pt idx="0">
              <c:v>AARnetCBR-CamDTN1_tcpmon_tseries_22Feb24 6 Flows flow 6</c:v>
            </c:pt>
          </c:strCache>
        </c:strRef>
      </c:tx>
      <c:layout>
        <c:manualLayout>
          <c:xMode val="edge"/>
          <c:yMode val="edge"/>
          <c:x val="0.19203145157702745"/>
          <c:y val="2.39952009598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BW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C0-4421-BF76-EDCB9A01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scatterChart>
        <c:scatterStyle val="lineMarker"/>
        <c:varyColors val="0"/>
        <c:ser>
          <c:idx val="0"/>
          <c:order val="0"/>
          <c:tx>
            <c:v>re-tries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[0]!Tab66_flow_retrans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C0-4421-BF76-EDCB9A01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78464"/>
        <c:axId val="1678480128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valAx>
        <c:axId val="1678480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8478464"/>
        <c:crosses val="max"/>
        <c:crossBetween val="midCat"/>
      </c:valAx>
      <c:valAx>
        <c:axId val="167847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4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AARnetCBR-CamDTN1_tcpmon_tseries_22Feb24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[0]!Tab11_elapsed_time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[0]!TabSum_retrans1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8-4B29-A4F0-E904B797ED6F}"/>
            </c:ext>
          </c:extLst>
        </c:ser>
        <c:ser>
          <c:idx val="1"/>
          <c:order val="1"/>
          <c:tx>
            <c:strRef>
              <c:f>Summary!$D$1</c:f>
              <c:strCache>
                <c:ptCount val="1"/>
                <c:pt idx="0">
                  <c:v>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[0]!Tab21_elapsed_time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[0]!TabSum_retrans2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8-4B29-A4F0-E904B797ED6F}"/>
            </c:ext>
          </c:extLst>
        </c:ser>
        <c:ser>
          <c:idx val="2"/>
          <c:order val="2"/>
          <c:tx>
            <c:strRef>
              <c:f>Summary!$E$1</c:f>
              <c:strCache>
                <c:ptCount val="1"/>
                <c:pt idx="0">
                  <c:v>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[0]!Tab31_elapsed_time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[0]!TabSum_retrans3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8-4B29-A4F0-E904B797ED6F}"/>
            </c:ext>
          </c:extLst>
        </c:ser>
        <c:ser>
          <c:idx val="3"/>
          <c:order val="3"/>
          <c:tx>
            <c:strRef>
              <c:f>Summary!$F$1</c:f>
              <c:strCache>
                <c:ptCount val="1"/>
                <c:pt idx="0">
                  <c:v>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[0]!Tab41_elapsed_time</c:f>
              <c:numCache>
                <c:formatCode>General</c:formatCode>
                <c:ptCount val="14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104</c:v>
                </c:pt>
                <c:pt idx="52">
                  <c:v>106</c:v>
                </c:pt>
                <c:pt idx="53">
                  <c:v>108</c:v>
                </c:pt>
                <c:pt idx="54">
                  <c:v>110</c:v>
                </c:pt>
                <c:pt idx="55">
                  <c:v>112</c:v>
                </c:pt>
                <c:pt idx="56">
                  <c:v>114</c:v>
                </c:pt>
                <c:pt idx="57">
                  <c:v>116</c:v>
                </c:pt>
                <c:pt idx="58">
                  <c:v>118</c:v>
                </c:pt>
                <c:pt idx="59">
                  <c:v>120</c:v>
                </c:pt>
                <c:pt idx="60">
                  <c:v>122</c:v>
                </c:pt>
                <c:pt idx="61">
                  <c:v>124</c:v>
                </c:pt>
                <c:pt idx="62">
                  <c:v>126</c:v>
                </c:pt>
                <c:pt idx="63">
                  <c:v>128</c:v>
                </c:pt>
                <c:pt idx="64">
                  <c:v>130</c:v>
                </c:pt>
                <c:pt idx="65">
                  <c:v>132</c:v>
                </c:pt>
                <c:pt idx="66">
                  <c:v>134</c:v>
                </c:pt>
                <c:pt idx="67">
                  <c:v>136</c:v>
                </c:pt>
                <c:pt idx="68">
                  <c:v>138</c:v>
                </c:pt>
                <c:pt idx="69">
                  <c:v>140</c:v>
                </c:pt>
                <c:pt idx="70">
                  <c:v>142</c:v>
                </c:pt>
                <c:pt idx="71">
                  <c:v>144</c:v>
                </c:pt>
                <c:pt idx="72">
                  <c:v>146</c:v>
                </c:pt>
                <c:pt idx="73">
                  <c:v>148</c:v>
                </c:pt>
                <c:pt idx="74">
                  <c:v>150</c:v>
                </c:pt>
                <c:pt idx="75">
                  <c:v>152</c:v>
                </c:pt>
                <c:pt idx="76">
                  <c:v>154</c:v>
                </c:pt>
                <c:pt idx="77">
                  <c:v>156</c:v>
                </c:pt>
                <c:pt idx="78">
                  <c:v>158</c:v>
                </c:pt>
                <c:pt idx="79">
                  <c:v>160</c:v>
                </c:pt>
                <c:pt idx="80">
                  <c:v>162</c:v>
                </c:pt>
                <c:pt idx="81">
                  <c:v>164</c:v>
                </c:pt>
                <c:pt idx="82">
                  <c:v>166</c:v>
                </c:pt>
                <c:pt idx="83">
                  <c:v>168</c:v>
                </c:pt>
                <c:pt idx="84">
                  <c:v>170</c:v>
                </c:pt>
                <c:pt idx="85">
                  <c:v>172</c:v>
                </c:pt>
                <c:pt idx="86">
                  <c:v>174</c:v>
                </c:pt>
                <c:pt idx="87">
                  <c:v>176</c:v>
                </c:pt>
                <c:pt idx="88">
                  <c:v>178</c:v>
                </c:pt>
                <c:pt idx="89">
                  <c:v>180</c:v>
                </c:pt>
                <c:pt idx="90">
                  <c:v>182</c:v>
                </c:pt>
                <c:pt idx="91">
                  <c:v>184</c:v>
                </c:pt>
                <c:pt idx="92">
                  <c:v>186</c:v>
                </c:pt>
                <c:pt idx="93">
                  <c:v>188</c:v>
                </c:pt>
                <c:pt idx="94">
                  <c:v>190</c:v>
                </c:pt>
                <c:pt idx="95">
                  <c:v>192</c:v>
                </c:pt>
                <c:pt idx="96">
                  <c:v>194</c:v>
                </c:pt>
                <c:pt idx="97">
                  <c:v>196</c:v>
                </c:pt>
                <c:pt idx="98">
                  <c:v>198</c:v>
                </c:pt>
                <c:pt idx="99">
                  <c:v>200</c:v>
                </c:pt>
                <c:pt idx="100">
                  <c:v>202</c:v>
                </c:pt>
                <c:pt idx="101">
                  <c:v>204</c:v>
                </c:pt>
                <c:pt idx="102">
                  <c:v>206</c:v>
                </c:pt>
                <c:pt idx="103">
                  <c:v>208</c:v>
                </c:pt>
                <c:pt idx="104">
                  <c:v>210</c:v>
                </c:pt>
                <c:pt idx="105">
                  <c:v>212</c:v>
                </c:pt>
                <c:pt idx="106">
                  <c:v>214</c:v>
                </c:pt>
                <c:pt idx="107">
                  <c:v>216</c:v>
                </c:pt>
                <c:pt idx="108">
                  <c:v>218</c:v>
                </c:pt>
                <c:pt idx="109">
                  <c:v>220</c:v>
                </c:pt>
                <c:pt idx="110">
                  <c:v>222</c:v>
                </c:pt>
                <c:pt idx="111">
                  <c:v>224</c:v>
                </c:pt>
                <c:pt idx="112">
                  <c:v>226</c:v>
                </c:pt>
                <c:pt idx="113">
                  <c:v>228</c:v>
                </c:pt>
                <c:pt idx="114">
                  <c:v>230</c:v>
                </c:pt>
                <c:pt idx="115">
                  <c:v>232</c:v>
                </c:pt>
                <c:pt idx="116">
                  <c:v>234</c:v>
                </c:pt>
                <c:pt idx="117">
                  <c:v>236</c:v>
                </c:pt>
                <c:pt idx="118">
                  <c:v>238</c:v>
                </c:pt>
                <c:pt idx="119">
                  <c:v>240</c:v>
                </c:pt>
                <c:pt idx="120">
                  <c:v>242</c:v>
                </c:pt>
                <c:pt idx="121">
                  <c:v>244</c:v>
                </c:pt>
                <c:pt idx="122">
                  <c:v>246</c:v>
                </c:pt>
                <c:pt idx="123">
                  <c:v>248</c:v>
                </c:pt>
                <c:pt idx="124">
                  <c:v>250</c:v>
                </c:pt>
                <c:pt idx="125">
                  <c:v>252</c:v>
                </c:pt>
                <c:pt idx="126">
                  <c:v>254</c:v>
                </c:pt>
                <c:pt idx="127">
                  <c:v>256</c:v>
                </c:pt>
                <c:pt idx="128">
                  <c:v>258</c:v>
                </c:pt>
                <c:pt idx="129">
                  <c:v>260</c:v>
                </c:pt>
                <c:pt idx="130">
                  <c:v>262</c:v>
                </c:pt>
                <c:pt idx="131">
                  <c:v>264</c:v>
                </c:pt>
                <c:pt idx="132">
                  <c:v>266</c:v>
                </c:pt>
                <c:pt idx="133">
                  <c:v>268</c:v>
                </c:pt>
                <c:pt idx="134">
                  <c:v>270</c:v>
                </c:pt>
                <c:pt idx="135">
                  <c:v>272</c:v>
                </c:pt>
                <c:pt idx="136">
                  <c:v>274</c:v>
                </c:pt>
                <c:pt idx="137">
                  <c:v>276</c:v>
                </c:pt>
                <c:pt idx="138">
                  <c:v>278</c:v>
                </c:pt>
                <c:pt idx="139">
                  <c:v>280</c:v>
                </c:pt>
                <c:pt idx="140">
                  <c:v>282</c:v>
                </c:pt>
                <c:pt idx="141">
                  <c:v>284</c:v>
                </c:pt>
                <c:pt idx="142">
                  <c:v>286</c:v>
                </c:pt>
                <c:pt idx="143">
                  <c:v>288</c:v>
                </c:pt>
                <c:pt idx="144">
                  <c:v>290</c:v>
                </c:pt>
                <c:pt idx="145">
                  <c:v>292</c:v>
                </c:pt>
                <c:pt idx="146">
                  <c:v>294</c:v>
                </c:pt>
                <c:pt idx="147">
                  <c:v>296</c:v>
                </c:pt>
                <c:pt idx="148">
                  <c:v>298</c:v>
                </c:pt>
              </c:numCache>
            </c:numRef>
          </c:xVal>
          <c:yVal>
            <c:numRef>
              <c:f>[0]!TabSum_retrans4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862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1165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18060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1429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627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8-4B29-A4F0-E904B797ED6F}"/>
            </c:ext>
          </c:extLst>
        </c:ser>
        <c:ser>
          <c:idx val="5"/>
          <c:order val="4"/>
          <c:tx>
            <c:v>5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[0]!Tab51_elapsed_time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[0]!TabSum_retrans5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A8-4B29-A4F0-E904B797ED6F}"/>
            </c:ext>
          </c:extLst>
        </c:ser>
        <c:ser>
          <c:idx val="4"/>
          <c:order val="5"/>
          <c:tx>
            <c:v>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[0]!TabSum_retrans6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A8-4B29-A4F0-E904B797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 through  transfer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TCP re-transmits</a:t>
                </a:r>
              </a:p>
            </c:rich>
          </c:tx>
          <c:layout>
            <c:manualLayout>
              <c:xMode val="edge"/>
              <c:yMode val="edge"/>
              <c:x val="1.8847326959394346E-2"/>
              <c:y val="0.2165883041598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Plots!$BN$1</c:f>
          <c:strCache>
            <c:ptCount val="1"/>
            <c:pt idx="0">
              <c:v>AARnetCBR-CamDTN1_tcpmon_tseries_22Feb24 6 Flows</c:v>
            </c:pt>
          </c:strCache>
        </c:strRef>
      </c:tx>
      <c:layout>
        <c:manualLayout>
          <c:xMode val="edge"/>
          <c:yMode val="edge"/>
          <c:x val="0.22945489864614385"/>
          <c:y val="2.9994001199760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4387650696206"/>
          <c:y val="0.18572241183162685"/>
          <c:w val="0.78975358482732028"/>
          <c:h val="0.57263936291240047"/>
        </c:manualLayout>
      </c:layout>
      <c:scatterChart>
        <c:scatterStyle val="lineMarker"/>
        <c:varyColors val="0"/>
        <c:ser>
          <c:idx val="1"/>
          <c:order val="0"/>
          <c:tx>
            <c:v>flow1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4A7EBB"/>
              </a:solidFill>
              <a:ln w="9525">
                <a:solidFill>
                  <a:srgbClr val="4A7EBB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[0]!Tab61_flow_rate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E-4934-9CAD-D6151300E6B8}"/>
            </c:ext>
          </c:extLst>
        </c:ser>
        <c:ser>
          <c:idx val="0"/>
          <c:order val="1"/>
          <c:tx>
            <c:v>flow2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[0]!Tab62_flow_rate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E-4934-9CAD-D6151300E6B8}"/>
            </c:ext>
          </c:extLst>
        </c:ser>
        <c:ser>
          <c:idx val="2"/>
          <c:order val="2"/>
          <c:tx>
            <c:v>flow3</c:v>
          </c:tx>
          <c:spPr>
            <a:ln w="25400" cap="rnd">
              <a:noFill/>
              <a:round/>
            </a:ln>
            <a:effectLst/>
          </c:spPr>
          <c:marker>
            <c:symbol val="dot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[0]!Tab63_flow_rate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E-4934-9CAD-D6151300E6B8}"/>
            </c:ext>
          </c:extLst>
        </c:ser>
        <c:ser>
          <c:idx val="3"/>
          <c:order val="3"/>
          <c:tx>
            <c:v>flow4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[0]!Tab64_flow_rate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E-4934-9CAD-D6151300E6B8}"/>
            </c:ext>
          </c:extLst>
        </c:ser>
        <c:ser>
          <c:idx val="4"/>
          <c:order val="4"/>
          <c:tx>
            <c:v>flow5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[0]!Tab65_flow_rate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E-4934-9CAD-D6151300E6B8}"/>
            </c:ext>
          </c:extLst>
        </c:ser>
        <c:ser>
          <c:idx val="5"/>
          <c:order val="5"/>
          <c:tx>
            <c:v>flow6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[0]!Tab61_elapsed_time</c:f>
              <c:numCache>
                <c:formatCode>General</c:formatCode>
                <c:ptCount val="149"/>
              </c:numCache>
            </c:numRef>
          </c:xVal>
          <c:yVal>
            <c:numRef>
              <c:f>[0]!Tab66_flow_rate</c:f>
              <c:numCache>
                <c:formatCode>General</c:formatCode>
                <c:ptCount val="1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9E-4934-9CAD-D6151300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002048"/>
        <c:axId val="2123051440"/>
      </c:scatterChart>
      <c:valAx>
        <c:axId val="185900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/>
                  <a:t>Time of transfer </a:t>
                </a:r>
                <a:r>
                  <a:rPr lang="en-GB" sz="1000" b="1" i="0" u="none" strike="noStrike" baseline="0">
                    <a:effectLst/>
                  </a:rPr>
                  <a:t>sec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3051440"/>
        <c:crosses val="autoZero"/>
        <c:crossBetween val="midCat"/>
      </c:valAx>
      <c:valAx>
        <c:axId val="212305144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4A7EBB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4A7EBB"/>
                    </a:solidFill>
                  </a:rPr>
                  <a:t>BW Gbit/s</a:t>
                </a:r>
              </a:p>
            </c:rich>
          </c:tx>
          <c:layout>
            <c:manualLayout>
              <c:xMode val="edge"/>
              <c:yMode val="edge"/>
              <c:x val="2.5894538606403013E-2"/>
              <c:y val="0.34848297546424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4A7EBB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90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335424173673207"/>
          <c:y val="0.18701011349690502"/>
          <c:w val="8.4915492487602981E-2"/>
          <c:h val="0.57098547347452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8890</xdr:colOff>
      <xdr:row>11</xdr:row>
      <xdr:rowOff>7620</xdr:rowOff>
    </xdr:from>
    <xdr:to>
      <xdr:col>28</xdr:col>
      <xdr:colOff>527050</xdr:colOff>
      <xdr:row>24</xdr:row>
      <xdr:rowOff>60960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0</xdr:colOff>
      <xdr:row>25</xdr:row>
      <xdr:rowOff>0</xdr:rowOff>
    </xdr:from>
    <xdr:to>
      <xdr:col>46</xdr:col>
      <xdr:colOff>518160</xdr:colOff>
      <xdr:row>38</xdr:row>
      <xdr:rowOff>53340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25400</xdr:colOff>
      <xdr:row>53</xdr:row>
      <xdr:rowOff>25400</xdr:rowOff>
    </xdr:from>
    <xdr:to>
      <xdr:col>46</xdr:col>
      <xdr:colOff>543560</xdr:colOff>
      <xdr:row>66</xdr:row>
      <xdr:rowOff>78740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44450</xdr:colOff>
      <xdr:row>11</xdr:row>
      <xdr:rowOff>12700</xdr:rowOff>
    </xdr:from>
    <xdr:to>
      <xdr:col>55</xdr:col>
      <xdr:colOff>562610</xdr:colOff>
      <xdr:row>24</xdr:row>
      <xdr:rowOff>66040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12700</xdr:colOff>
      <xdr:row>11</xdr:row>
      <xdr:rowOff>0</xdr:rowOff>
    </xdr:from>
    <xdr:to>
      <xdr:col>46</xdr:col>
      <xdr:colOff>530860</xdr:colOff>
      <xdr:row>24</xdr:row>
      <xdr:rowOff>53340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19050</xdr:colOff>
      <xdr:row>11</xdr:row>
      <xdr:rowOff>6350</xdr:rowOff>
    </xdr:from>
    <xdr:to>
      <xdr:col>37</xdr:col>
      <xdr:colOff>537210</xdr:colOff>
      <xdr:row>24</xdr:row>
      <xdr:rowOff>59690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158750</xdr:colOff>
          <xdr:row>6</xdr:row>
          <xdr:rowOff>120650</xdr:rowOff>
        </xdr:from>
        <xdr:to>
          <xdr:col>2</xdr:col>
          <xdr:colOff>590550</xdr:colOff>
          <xdr:row>9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Sheet Names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0</xdr:colOff>
      <xdr:row>25</xdr:row>
      <xdr:rowOff>19050</xdr:rowOff>
    </xdr:from>
    <xdr:to>
      <xdr:col>37</xdr:col>
      <xdr:colOff>518160</xdr:colOff>
      <xdr:row>38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25400</xdr:colOff>
      <xdr:row>39</xdr:row>
      <xdr:rowOff>6350</xdr:rowOff>
    </xdr:from>
    <xdr:to>
      <xdr:col>37</xdr:col>
      <xdr:colOff>543560</xdr:colOff>
      <xdr:row>52</xdr:row>
      <xdr:rowOff>59690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46</xdr:col>
      <xdr:colOff>603250</xdr:colOff>
      <xdr:row>24</xdr:row>
      <xdr:rowOff>133350</xdr:rowOff>
    </xdr:from>
    <xdr:to>
      <xdr:col>55</xdr:col>
      <xdr:colOff>511810</xdr:colOff>
      <xdr:row>38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0</xdr:colOff>
      <xdr:row>39</xdr:row>
      <xdr:rowOff>0</xdr:rowOff>
    </xdr:from>
    <xdr:to>
      <xdr:col>46</xdr:col>
      <xdr:colOff>518160</xdr:colOff>
      <xdr:row>52</xdr:row>
      <xdr:rowOff>53340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47</xdr:col>
      <xdr:colOff>31750</xdr:colOff>
      <xdr:row>39</xdr:row>
      <xdr:rowOff>6350</xdr:rowOff>
    </xdr:from>
    <xdr:to>
      <xdr:col>55</xdr:col>
      <xdr:colOff>549910</xdr:colOff>
      <xdr:row>52</xdr:row>
      <xdr:rowOff>59690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0</xdr:colOff>
      <xdr:row>53</xdr:row>
      <xdr:rowOff>0</xdr:rowOff>
    </xdr:from>
    <xdr:to>
      <xdr:col>55</xdr:col>
      <xdr:colOff>518160</xdr:colOff>
      <xdr:row>66</xdr:row>
      <xdr:rowOff>53340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47</xdr:col>
      <xdr:colOff>0</xdr:colOff>
      <xdr:row>67</xdr:row>
      <xdr:rowOff>0</xdr:rowOff>
    </xdr:from>
    <xdr:to>
      <xdr:col>55</xdr:col>
      <xdr:colOff>518160</xdr:colOff>
      <xdr:row>80</xdr:row>
      <xdr:rowOff>53340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25</xdr:row>
      <xdr:rowOff>0</xdr:rowOff>
    </xdr:from>
    <xdr:to>
      <xdr:col>28</xdr:col>
      <xdr:colOff>518160</xdr:colOff>
      <xdr:row>38</xdr:row>
      <xdr:rowOff>53340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83820</xdr:colOff>
      <xdr:row>83</xdr:row>
      <xdr:rowOff>38100</xdr:rowOff>
    </xdr:from>
    <xdr:to>
      <xdr:col>54</xdr:col>
      <xdr:colOff>599440</xdr:colOff>
      <xdr:row>96</xdr:row>
      <xdr:rowOff>93980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56</xdr:col>
      <xdr:colOff>19050</xdr:colOff>
      <xdr:row>11</xdr:row>
      <xdr:rowOff>19050</xdr:rowOff>
    </xdr:from>
    <xdr:to>
      <xdr:col>64</xdr:col>
      <xdr:colOff>537210</xdr:colOff>
      <xdr:row>24</xdr:row>
      <xdr:rowOff>72390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56</xdr:col>
      <xdr:colOff>12700</xdr:colOff>
      <xdr:row>24</xdr:row>
      <xdr:rowOff>152400</xdr:rowOff>
    </xdr:from>
    <xdr:to>
      <xdr:col>64</xdr:col>
      <xdr:colOff>530860</xdr:colOff>
      <xdr:row>38</xdr:row>
      <xdr:rowOff>46990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56</xdr:col>
      <xdr:colOff>57150</xdr:colOff>
      <xdr:row>39</xdr:row>
      <xdr:rowOff>0</xdr:rowOff>
    </xdr:from>
    <xdr:to>
      <xdr:col>64</xdr:col>
      <xdr:colOff>575310</xdr:colOff>
      <xdr:row>52</xdr:row>
      <xdr:rowOff>53340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0</xdr:colOff>
      <xdr:row>53</xdr:row>
      <xdr:rowOff>0</xdr:rowOff>
    </xdr:from>
    <xdr:to>
      <xdr:col>64</xdr:col>
      <xdr:colOff>518160</xdr:colOff>
      <xdr:row>66</xdr:row>
      <xdr:rowOff>53340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56</xdr:col>
      <xdr:colOff>6350</xdr:colOff>
      <xdr:row>66</xdr:row>
      <xdr:rowOff>139700</xdr:rowOff>
    </xdr:from>
    <xdr:to>
      <xdr:col>64</xdr:col>
      <xdr:colOff>524510</xdr:colOff>
      <xdr:row>80</xdr:row>
      <xdr:rowOff>34290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56</xdr:col>
      <xdr:colOff>0</xdr:colOff>
      <xdr:row>81</xdr:row>
      <xdr:rowOff>0</xdr:rowOff>
    </xdr:from>
    <xdr:to>
      <xdr:col>64</xdr:col>
      <xdr:colOff>518160</xdr:colOff>
      <xdr:row>94</xdr:row>
      <xdr:rowOff>53340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29210</xdr:colOff>
      <xdr:row>11</xdr:row>
      <xdr:rowOff>71120</xdr:rowOff>
    </xdr:from>
    <xdr:to>
      <xdr:col>17</xdr:col>
      <xdr:colOff>558800</xdr:colOff>
      <xdr:row>24</xdr:row>
      <xdr:rowOff>125730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571500</xdr:colOff>
      <xdr:row>0</xdr:row>
      <xdr:rowOff>1</xdr:rowOff>
    </xdr:from>
    <xdr:to>
      <xdr:col>26</xdr:col>
      <xdr:colOff>564515</xdr:colOff>
      <xdr:row>10</xdr:row>
      <xdr:rowOff>152401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11</xdr:row>
      <xdr:rowOff>19050</xdr:rowOff>
    </xdr:from>
    <xdr:to>
      <xdr:col>73</xdr:col>
      <xdr:colOff>537210</xdr:colOff>
      <xdr:row>24</xdr:row>
      <xdr:rowOff>72390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65</xdr:col>
      <xdr:colOff>6350</xdr:colOff>
      <xdr:row>24</xdr:row>
      <xdr:rowOff>152400</xdr:rowOff>
    </xdr:from>
    <xdr:to>
      <xdr:col>73</xdr:col>
      <xdr:colOff>524510</xdr:colOff>
      <xdr:row>38</xdr:row>
      <xdr:rowOff>46990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65</xdr:col>
      <xdr:colOff>0</xdr:colOff>
      <xdr:row>39</xdr:row>
      <xdr:rowOff>0</xdr:rowOff>
    </xdr:from>
    <xdr:to>
      <xdr:col>73</xdr:col>
      <xdr:colOff>518160</xdr:colOff>
      <xdr:row>52</xdr:row>
      <xdr:rowOff>53340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65</xdr:col>
      <xdr:colOff>0</xdr:colOff>
      <xdr:row>53</xdr:row>
      <xdr:rowOff>0</xdr:rowOff>
    </xdr:from>
    <xdr:to>
      <xdr:col>73</xdr:col>
      <xdr:colOff>518160</xdr:colOff>
      <xdr:row>66</xdr:row>
      <xdr:rowOff>53340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65</xdr:col>
      <xdr:colOff>0</xdr:colOff>
      <xdr:row>67</xdr:row>
      <xdr:rowOff>0</xdr:rowOff>
    </xdr:from>
    <xdr:to>
      <xdr:col>73</xdr:col>
      <xdr:colOff>518160</xdr:colOff>
      <xdr:row>80</xdr:row>
      <xdr:rowOff>53340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65</xdr:col>
      <xdr:colOff>0</xdr:colOff>
      <xdr:row>81</xdr:row>
      <xdr:rowOff>0</xdr:rowOff>
    </xdr:from>
    <xdr:to>
      <xdr:col>73</xdr:col>
      <xdr:colOff>518160</xdr:colOff>
      <xdr:row>94</xdr:row>
      <xdr:rowOff>53340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65</xdr:col>
      <xdr:colOff>0</xdr:colOff>
      <xdr:row>95</xdr:row>
      <xdr:rowOff>0</xdr:rowOff>
    </xdr:from>
    <xdr:to>
      <xdr:col>73</xdr:col>
      <xdr:colOff>518160</xdr:colOff>
      <xdr:row>108</xdr:row>
      <xdr:rowOff>53340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25400</xdr:colOff>
      <xdr:row>26</xdr:row>
      <xdr:rowOff>25400</xdr:rowOff>
    </xdr:from>
    <xdr:to>
      <xdr:col>17</xdr:col>
      <xdr:colOff>554990</xdr:colOff>
      <xdr:row>39</xdr:row>
      <xdr:rowOff>80010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74</xdr:col>
      <xdr:colOff>365760</xdr:colOff>
      <xdr:row>11</xdr:row>
      <xdr:rowOff>76200</xdr:rowOff>
    </xdr:from>
    <xdr:to>
      <xdr:col>83</xdr:col>
      <xdr:colOff>275590</xdr:colOff>
      <xdr:row>24</xdr:row>
      <xdr:rowOff>127000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1" xr16:uid="{3A8532BD-1E59-43A8-B59E-54EAB0638FA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1" xr16:uid="{F026340A-312F-4062-AD03-76E7EAB9E11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66" xr16:uid="{ABC49849-92DB-4957-ADB8-C95127DC0E7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21" xr16:uid="{EB99A865-30F8-4529-977D-9363ED9AAB4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22" xr16:uid="{894C94E8-5AB3-4A6D-AAE9-462C097B82C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1" xr16:uid="{464966C0-0F2D-4D43-9804-F349BFEEF3B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24" xr16:uid="{85F03957-5090-4564-BB4E-C9668AA1136C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2" xr16:uid="{4B4F6595-1942-4E6A-8681-EC724BFB7C8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67" xr16:uid="{9FB2AF17-C643-40F7-B25A-5826D18876B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23" xr16:uid="{FD2AAE0C-4638-4270-B8BA-FDA543FC036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2" xr16:uid="{E69DA4D7-DECD-45FF-A585-DE7750A411C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2" xr16:uid="{73A0A988-ECC6-45F2-906D-3BE3CE749E6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3" xr16:uid="{C1012581-D08A-4813-9E0B-2D84824DBD0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68" xr16:uid="{EEE0CEA9-4113-4E85-82D0-6B9F53C55B0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3" xr16:uid="{028766F8-214C-4CAF-9E70-9FFA0F9501B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3" xr16:uid="{0620EEE8-9363-41A0-AD2C-429A2044B74C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26" xr16:uid="{FE014A71-8B03-4E93-A4D7-53B981B8E15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25" xr16:uid="{64427079-CE3E-4BC1-B8A4-0C852DD012A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4" xr16:uid="{BDA00FE8-7BFC-41D8-AE19-335050C6FA9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69" xr16:uid="{127F4A66-7A0B-4ABE-A2E8-B8078ED2CDF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28" xr16:uid="{0AD2959F-42BC-4F0C-ACA7-4AA202598F26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27" xr16:uid="{2763BEFA-D8EA-44E3-BBEF-CDD0CA0C986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4" xr16:uid="{128E82E7-5D03-4F0E-8481-62B8A16844A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4" xr16:uid="{B13AB93C-5D0A-47EE-A9D2-0E01FDC3868C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0" xr16:uid="{3D330672-0391-4615-BEC3-45E5168EA05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29" xr16:uid="{23D67EB3-3E97-4D3F-ADCB-949C4280947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5" xr16:uid="{11669499-0174-4E8F-8642-67BD04742D28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30" xr16:uid="{25D33200-3F4B-4497-BA38-659A5853F319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5" xr16:uid="{F9357F49-D1EC-48EB-A04A-B6C72FCD68F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5" xr16:uid="{A33A1D6C-619D-46C3-9BB3-8D0B28DAA404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6" xr16:uid="{AE30AA31-8908-4E83-ADC2-8CEA1D9D8039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32" xr16:uid="{D554675D-849A-45E1-9A5C-B2484183EDAA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6" xr16:uid="{E83D3DD1-CC35-4783-A26D-E990364023A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31" xr16:uid="{F2FCF03C-927C-429C-87D2-FAA92AAED50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6" xr16:uid="{086FB955-9BF2-4485-BB8D-4B19E3201D9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1" xr16:uid="{0EB7F0A9-84E7-4893-8ABD-E85AAD124003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7" xr16:uid="{37795CEC-CBBB-4B80-9A54-722FCB99931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33" xr16:uid="{9517192A-C339-4D4C-B3E6-A0EF3858D39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7" xr16:uid="{D3ACC780-97C7-4FCF-9584-0119D0C1D108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7" xr16:uid="{F39552A4-491F-49DC-BABE-9F5C5B0D5D1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2" xr16:uid="{9BF12370-F8FB-4EC3-883E-F7951DF78B9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34" xr16:uid="{39C6030D-5E42-4ED0-92EE-08C7451E0AF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8" xr16:uid="{CE8BB8F5-E167-4C92-A594-438DBBFE1FE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36" xr16:uid="{299838FF-EB9B-47DB-B946-01DB06F35625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8" xr16:uid="{F0F7764A-6689-4B0C-A1F7-361FDD8AFA8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3" xr16:uid="{1BCF13F5-EEDA-416E-A105-8BA6523E56CD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8" xr16:uid="{1E4C5BBA-3F3C-410C-B85B-80ADF981D82F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35" xr16:uid="{98C21DBB-A07A-427E-8438-516ABCEE31A2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37" xr16:uid="{15CE1B69-C837-4305-8601-6906063F164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9" xr16:uid="{45004F79-9913-4FB4-A298-57ED30CB8665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19" xr16:uid="{314723A5-2D7B-475C-B868-A3C3182A7DB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4" xr16:uid="{B09E2B48-C5F9-42B8-B0CE-E49747CE9F7A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59" xr16:uid="{35EA20EA-4CB2-4073-998A-454D83994EC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38" xr16:uid="{3C8DEF7C-85B7-4F3D-8267-BAFEDA75F58A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5" adjustColumnWidth="0" connectionId="20" xr16:uid="{CD62874E-668B-4072-8764-6FAF37D4BC5A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4" adjustColumnWidth="0" connectionId="10" xr16:uid="{E85BD7F6-8E95-4A74-A9F3-CFB26A6E21C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5" xr16:uid="{E970637B-1331-400F-AF4B-E85A27A7EB0C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40" xr16:uid="{BBCC3B21-11E9-4882-B10E-8A3CC18229E4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39" xr16:uid="{11110DA0-3AFF-4223-B2BF-A3C85F0E02F7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0" xr16:uid="{55B19C3B-A08B-494A-B40D-57CB45F5B986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6" xr16:uid="{F117C81E-3469-46D7-B19E-CE241B5633D5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41" xr16:uid="{70D9F343-2BA8-455D-8EF7-7BE3C4550E8D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1" xr16:uid="{E360F129-BA11-4C5B-97B8-EF10C4FA487C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42" xr16:uid="{CBEB3B09-98EA-43A4-A3CD-11832D88F8B2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7" xr16:uid="{59B67F3F-D7BA-4D3E-9D40-71CA0A25DFE5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2" xr16:uid="{E9A80D16-86F4-4088-82E1-2A94F95FDE56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44" xr16:uid="{B63070CC-F728-402F-9B0D-98935CF864F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43" xr16:uid="{DD8D448B-9604-41AF-A63D-4F87F3026E18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8" xr16:uid="{C1AA9F10-232C-4936-929A-B1440DF253BD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46" xr16:uid="{22224405-F523-40FF-85DA-B7A9E83EC0C2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45" xr16:uid="{E94BF3E3-7CA6-4935-93D3-376E49857C2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3" xr16:uid="{C6D938F1-F536-4C88-970A-B59E840B8C3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79" xr16:uid="{BA07240B-16F2-4658-8B39-8B0145C1D72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47" xr16:uid="{F370E47A-DE83-46D5-9EC6-0C68FEFDCA52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4" xr16:uid="{C98B4A44-8201-48F2-AC2B-83E49071FBA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48" xr16:uid="{D24AD891-0B99-4432-A6B3-9687EE27261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3" adjustColumnWidth="0" connectionId="80" xr16:uid="{E6D1FD37-DC7A-423A-A2E0-3456DCFFB746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2" adjustColumnWidth="0" connectionId="65" xr16:uid="{FE302A20-A2A7-4AA6-9CDE-45A2ECD03E6E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_1" adjustColumnWidth="0" connectionId="50" xr16:uid="{E25DEFC7-0014-43A3-8ECE-6FE32CD5E1A8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s_gig_udp_31" adjustColumnWidth="0" connectionId="49" xr16:uid="{FA4BF449-A360-4EB9-8763-96485E636C0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Relationship Id="rId6" Type="http://schemas.openxmlformats.org/officeDocument/2006/relationships/queryTable" Target="../queryTables/queryTable1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Relationship Id="rId6" Type="http://schemas.openxmlformats.org/officeDocument/2006/relationships/queryTable" Target="../queryTables/queryTable18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queryTable" Target="../queryTables/queryTable25.xm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queryTable" Target="../queryTables/queryTable31.xml"/><Relationship Id="rId6" Type="http://schemas.openxmlformats.org/officeDocument/2006/relationships/queryTable" Target="../queryTables/queryTable36.xml"/><Relationship Id="rId5" Type="http://schemas.openxmlformats.org/officeDocument/2006/relationships/queryTable" Target="../queryTables/queryTable35.xml"/><Relationship Id="rId4" Type="http://schemas.openxmlformats.org/officeDocument/2006/relationships/queryTable" Target="../queryTables/queryTable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queryTable" Target="../queryTables/queryTable37.xml"/><Relationship Id="rId6" Type="http://schemas.openxmlformats.org/officeDocument/2006/relationships/queryTable" Target="../queryTables/queryTable42.xml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queryTable" Target="../queryTables/queryTable43.xml"/><Relationship Id="rId6" Type="http://schemas.openxmlformats.org/officeDocument/2006/relationships/queryTable" Target="../queryTables/queryTable48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queryTable" Target="../queryTables/queryTable49.xml"/><Relationship Id="rId6" Type="http://schemas.openxmlformats.org/officeDocument/2006/relationships/queryTable" Target="../queryTables/queryTable54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queryTable" Target="../queryTables/queryTable55.xml"/><Relationship Id="rId6" Type="http://schemas.openxmlformats.org/officeDocument/2006/relationships/queryTable" Target="../queryTables/queryTable60.xml"/><Relationship Id="rId5" Type="http://schemas.openxmlformats.org/officeDocument/2006/relationships/queryTable" Target="../queryTables/queryTable59.xml"/><Relationship Id="rId4" Type="http://schemas.openxmlformats.org/officeDocument/2006/relationships/queryTable" Target="../queryTables/queryTable5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queryTable" Target="../queryTables/queryTable61.xml"/><Relationship Id="rId4" Type="http://schemas.openxmlformats.org/officeDocument/2006/relationships/queryTable" Target="../queryTables/queryTable6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queryTable" Target="../queryTables/queryTable65.xml"/><Relationship Id="rId4" Type="http://schemas.openxmlformats.org/officeDocument/2006/relationships/queryTable" Target="../queryTables/queryTable6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queryTable" Target="../queryTables/queryTable69.xml"/><Relationship Id="rId4" Type="http://schemas.openxmlformats.org/officeDocument/2006/relationships/queryTable" Target="../queryTables/queryTable7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Relationship Id="rId4" Type="http://schemas.openxmlformats.org/officeDocument/2006/relationships/queryTable" Target="../queryTables/queryTable7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queryTable" Target="../queryTables/queryTable77.xml"/><Relationship Id="rId4" Type="http://schemas.openxmlformats.org/officeDocument/2006/relationships/queryTable" Target="../queryTables/queryTable8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146"/>
  <sheetViews>
    <sheetView tabSelected="1" topLeftCell="G10" zoomScaleNormal="100" workbookViewId="0">
      <selection activeCell="N7" sqref="N7"/>
    </sheetView>
  </sheetViews>
  <sheetFormatPr defaultRowHeight="12.5"/>
  <cols>
    <col min="1" max="1" width="8.90625" customWidth="1"/>
  </cols>
  <sheetData>
    <row r="1" spans="1:67">
      <c r="A1" s="1" t="s">
        <v>276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U1" t="str">
        <f>_xlfn.CONCAT($A$1," 1 Flows")</f>
        <v>AARnetCBR-CamDTN1_tcpmon_tseries_22Feb24 1 Flows</v>
      </c>
      <c r="AD1" t="str">
        <f>_xlfn.CONCAT($A$1," 2 Flows")</f>
        <v>AARnetCBR-CamDTN1_tcpmon_tseries_22Feb24 2 Flows</v>
      </c>
      <c r="AM1" t="str">
        <f>_xlfn.CONCAT($A$1," 3 Flows")</f>
        <v>AARnetCBR-CamDTN1_tcpmon_tseries_22Feb24 3 Flows</v>
      </c>
      <c r="AV1" t="str">
        <f>_xlfn.CONCAT($A$1," 4 Flows")</f>
        <v>AARnetCBR-CamDTN1_tcpmon_tseries_22Feb24 4 Flows</v>
      </c>
      <c r="BE1" t="str">
        <f>_xlfn.CONCAT($A$1," 5 Flows")</f>
        <v>AARnetCBR-CamDTN1_tcpmon_tseries_22Feb24 5 Flows</v>
      </c>
      <c r="BN1" t="str">
        <f>_xlfn.CONCAT($A$1," 6 Flows")</f>
        <v>AARnetCBR-CamDTN1_tcpmon_tseries_22Feb24 6 Flows</v>
      </c>
    </row>
    <row r="2" spans="1:67">
      <c r="A2" s="1"/>
      <c r="B2" s="1"/>
      <c r="C2" s="1"/>
      <c r="D2" s="1"/>
      <c r="E2" s="1"/>
      <c r="F2" s="1"/>
      <c r="G2" s="1"/>
      <c r="H2" s="1"/>
      <c r="I2" s="1"/>
      <c r="J2" s="1" t="s">
        <v>48</v>
      </c>
      <c r="K2" s="1"/>
      <c r="L2" s="1" t="s">
        <v>59</v>
      </c>
      <c r="M2" s="1"/>
      <c r="N2" s="1"/>
      <c r="O2" s="1"/>
      <c r="P2" s="1"/>
      <c r="Q2" s="1"/>
      <c r="R2" s="1"/>
      <c r="S2" s="1"/>
    </row>
    <row r="3" spans="1:67">
      <c r="A3" t="s">
        <v>18</v>
      </c>
      <c r="C3">
        <v>13</v>
      </c>
      <c r="E3" s="1" t="s">
        <v>37</v>
      </c>
      <c r="G3" s="1" t="s">
        <v>52</v>
      </c>
      <c r="H3" cm="1">
        <f t="array" aca="1" ref="H3" ca="1">COLUMN(INDIRECT(G3&amp;"1"))</f>
        <v>3</v>
      </c>
      <c r="J3">
        <v>4</v>
      </c>
      <c r="K3" s="1" t="s">
        <v>41</v>
      </c>
      <c r="L3">
        <v>13</v>
      </c>
      <c r="M3" s="1" t="s">
        <v>52</v>
      </c>
    </row>
    <row r="4" spans="1:67">
      <c r="A4" t="s">
        <v>19</v>
      </c>
      <c r="C4">
        <v>161</v>
      </c>
      <c r="E4" s="1" t="s">
        <v>38</v>
      </c>
      <c r="G4" s="1" t="s">
        <v>53</v>
      </c>
      <c r="H4" cm="1">
        <f t="array" aca="1" ref="H4" ca="1">COLUMN(INDIRECT(G4&amp;"1"))</f>
        <v>4</v>
      </c>
      <c r="J4">
        <v>31</v>
      </c>
      <c r="K4" s="1" t="s">
        <v>39</v>
      </c>
      <c r="L4">
        <v>311</v>
      </c>
      <c r="M4" s="1" t="s">
        <v>53</v>
      </c>
      <c r="AE4" t="str">
        <f>_xlfn.CONCAT($AD$1," flow 1")</f>
        <v>AARnetCBR-CamDTN1_tcpmon_tseries_22Feb24 2 Flows flow 1</v>
      </c>
      <c r="BF4" t="str">
        <f>_xlfn.CONCAT(BE$1," flow 1")</f>
        <v>AARnetCBR-CamDTN1_tcpmon_tseries_22Feb24 5 Flows flow 1</v>
      </c>
      <c r="BO4" t="str">
        <f>_xlfn.CONCAT(BN$1," flow 1")</f>
        <v>AARnetCBR-CamDTN1_tcpmon_tseries_22Feb24 6 Flows flow 1</v>
      </c>
    </row>
    <row r="5" spans="1:67">
      <c r="AE5" t="str">
        <f>_xlfn.CONCAT($AD$1," flow 2")</f>
        <v>AARnetCBR-CamDTN1_tcpmon_tseries_22Feb24 2 Flows flow 2</v>
      </c>
      <c r="AN5" t="str">
        <f>_xlfn.CONCAT(AM$1," flow 1")</f>
        <v>AARnetCBR-CamDTN1_tcpmon_tseries_22Feb24 3 Flows flow 1</v>
      </c>
      <c r="AW5" t="str">
        <f>_xlfn.CONCAT(AV$1," flow 1")</f>
        <v>AARnetCBR-CamDTN1_tcpmon_tseries_22Feb24 4 Flows flow 1</v>
      </c>
      <c r="BF5" t="str">
        <f>_xlfn.CONCAT(BE$1," flow 2")</f>
        <v>AARnetCBR-CamDTN1_tcpmon_tseries_22Feb24 5 Flows flow 2</v>
      </c>
      <c r="BO5" t="str">
        <f>_xlfn.CONCAT(BN$1," flow 2")</f>
        <v>AARnetCBR-CamDTN1_tcpmon_tseries_22Feb24 6 Flows flow 2</v>
      </c>
    </row>
    <row r="6" spans="1:67">
      <c r="AN6" t="str">
        <f>_xlfn.CONCAT(AM$1," flow 2")</f>
        <v>AARnetCBR-CamDTN1_tcpmon_tseries_22Feb24 3 Flows flow 2</v>
      </c>
      <c r="AW6" t="str">
        <f>_xlfn.CONCAT(AV$1," flow 2")</f>
        <v>AARnetCBR-CamDTN1_tcpmon_tseries_22Feb24 4 Flows flow 2</v>
      </c>
      <c r="BF6" t="str">
        <f>_xlfn.CONCAT(BE$1," flow 3")</f>
        <v>AARnetCBR-CamDTN1_tcpmon_tseries_22Feb24 5 Flows flow 3</v>
      </c>
      <c r="BO6" t="str">
        <f>_xlfn.CONCAT(BN$1," flow 3")</f>
        <v>AARnetCBR-CamDTN1_tcpmon_tseries_22Feb24 6 Flows flow 3</v>
      </c>
    </row>
    <row r="7" spans="1:67">
      <c r="AN7" t="str">
        <f>_xlfn.CONCAT(AM$1," flow 3")</f>
        <v>AARnetCBR-CamDTN1_tcpmon_tseries_22Feb24 3 Flows flow 3</v>
      </c>
      <c r="AW7" t="str">
        <f>_xlfn.CONCAT(AV$1," flow 3")</f>
        <v>AARnetCBR-CamDTN1_tcpmon_tseries_22Feb24 4 Flows flow 3</v>
      </c>
      <c r="BF7" t="str">
        <f>_xlfn.CONCAT(BE$1," flow 4")</f>
        <v>AARnetCBR-CamDTN1_tcpmon_tseries_22Feb24 5 Flows flow 4</v>
      </c>
      <c r="BO7" t="str">
        <f>_xlfn.CONCAT(BN$1," flow 4")</f>
        <v>AARnetCBR-CamDTN1_tcpmon_tseries_22Feb24 6 Flows flow 4</v>
      </c>
    </row>
    <row r="8" spans="1:67">
      <c r="AW8" t="str">
        <f>_xlfn.CONCAT(AV$1," flow 4")</f>
        <v>AARnetCBR-CamDTN1_tcpmon_tseries_22Feb24 4 Flows flow 4</v>
      </c>
      <c r="BF8" t="str">
        <f>_xlfn.CONCAT(BE$1," flow 5")</f>
        <v>AARnetCBR-CamDTN1_tcpmon_tseries_22Feb24 5 Flows flow 5</v>
      </c>
      <c r="BO8" t="str">
        <f>_xlfn.CONCAT(BN$1," flow 5")</f>
        <v>AARnetCBR-CamDTN1_tcpmon_tseries_22Feb24 6 Flows flow 5</v>
      </c>
    </row>
    <row r="9" spans="1:67">
      <c r="BO9" t="str">
        <f>_xlfn.CONCAT(BN$1," flow 6")</f>
        <v>AARnetCBR-CamDTN1_tcpmon_tseries_22Feb24 6 Flows flow 6</v>
      </c>
    </row>
    <row r="26" spans="11:11">
      <c r="K26" s="1"/>
    </row>
    <row r="27" spans="11:11">
      <c r="K27" s="1"/>
    </row>
    <row r="40" spans="1:24">
      <c r="J40" s="1" t="s">
        <v>26</v>
      </c>
    </row>
    <row r="41" spans="1:24">
      <c r="K41" s="1" t="s">
        <v>54</v>
      </c>
      <c r="L41" t="str">
        <f xml:space="preserve"> "'" &amp; $A$45 &amp; "'!$c" &amp; "$" &amp; flowStartRow &amp; ":$c" &amp; "$" &amp; flowEndRow</f>
        <v>'Summary'!$c$13:$c$161</v>
      </c>
      <c r="O41" s="1" t="s">
        <v>55</v>
      </c>
      <c r="P41" t="str">
        <f xml:space="preserve"> "'" &amp; $A$45 &amp; "'!$g" &amp; "$" &amp; flowStartRow &amp; ":$g" &amp; "$" &amp; flowEndRow</f>
        <v>'Summary'!$g$13:$g$161</v>
      </c>
      <c r="S41" s="1" t="s">
        <v>30</v>
      </c>
      <c r="T41" t="str">
        <f xml:space="preserve"> "'" &amp; $A$45 &amp; "'!$l" &amp; "$" &amp; flowStartRow &amp; ":$l" &amp; "$" &amp; flowEndRow</f>
        <v>'Summary'!$l$13:$l$161</v>
      </c>
      <c r="W41" s="1" t="s">
        <v>57</v>
      </c>
      <c r="X41" t="str">
        <f xml:space="preserve"> "'" &amp; $A$45 &amp; "'!$p" &amp; "$" &amp; flowStartRow &amp; ":$p" &amp; "$" &amp; flowEndRow</f>
        <v>'Summary'!$p$13:$p$161</v>
      </c>
    </row>
    <row r="42" spans="1:24">
      <c r="K42" s="1" t="s">
        <v>23</v>
      </c>
      <c r="L42" t="str">
        <f xml:space="preserve"> "'" &amp; $A$45 &amp; "'!$d" &amp; "$" &amp; flowStartRow &amp; ":$d" &amp; "$" &amp; flowEndRow</f>
        <v>'Summary'!$d$13:$d$161</v>
      </c>
      <c r="O42" s="1" t="s">
        <v>56</v>
      </c>
      <c r="P42" t="str">
        <f xml:space="preserve"> "'" &amp; $A$45 &amp; "'!$h" &amp; "$" &amp; flowStartRow &amp; ":$h" &amp; "$" &amp; flowEndRow</f>
        <v>'Summary'!$h$13:$h$161</v>
      </c>
      <c r="S42" s="1" t="s">
        <v>27</v>
      </c>
      <c r="T42" t="str">
        <f xml:space="preserve"> "'" &amp; $A$45 &amp; "'!$m" &amp; "$" &amp; flowStartRow &amp; ":$m" &amp; "$" &amp; flowEndRow</f>
        <v>'Summary'!$m$13:$m$161</v>
      </c>
      <c r="W42" s="1" t="s">
        <v>58</v>
      </c>
      <c r="X42" t="str">
        <f xml:space="preserve"> "'" &amp; $A$45 &amp; "'!$q" &amp; "$" &amp; flowStartRow &amp; ":$q" &amp; "$" &amp; flowEndRow</f>
        <v>'Summary'!$q$13:$q$161</v>
      </c>
    </row>
    <row r="43" spans="1:24">
      <c r="K43" s="1" t="s">
        <v>24</v>
      </c>
      <c r="L43" t="str">
        <f xml:space="preserve"> "'" &amp; $A$45 &amp; "'!$e" &amp; "$" &amp; flowStartRow &amp; ":$e" &amp; "$" &amp; flowEndRow</f>
        <v>'Summary'!$e$13:$e$161</v>
      </c>
      <c r="S43" s="1" t="s">
        <v>28</v>
      </c>
      <c r="T43" t="str">
        <f xml:space="preserve"> "'" &amp; $A$45 &amp; "'!$n" &amp; "$" &amp; flowStartRow &amp; ":$n" &amp; "$" &amp; flowEndRow</f>
        <v>'Summary'!$n$13:$n$161</v>
      </c>
    </row>
    <row r="44" spans="1:24">
      <c r="A44" s="1" t="s">
        <v>22</v>
      </c>
      <c r="K44" s="1" t="s">
        <v>25</v>
      </c>
      <c r="L44" t="str">
        <f xml:space="preserve"> "'" &amp; $A$45 &amp; "'!$f" &amp; "$" &amp; flowStartRow &amp; ":$f" &amp; "$" &amp; flowEndRow</f>
        <v>'Summary'!$f$13:$f$161</v>
      </c>
      <c r="S44" s="1" t="s">
        <v>29</v>
      </c>
      <c r="T44" t="str">
        <f xml:space="preserve"> "'" &amp; $A$45 &amp; "'!$o" &amp; "$" &amp; flowStartRow &amp; ":$o" &amp; "$" &amp; flowEndRow</f>
        <v>'Summary'!$o$13:$o$161</v>
      </c>
    </row>
    <row r="45" spans="1:24">
      <c r="A45" t="s">
        <v>20</v>
      </c>
      <c r="J45" s="1" t="s">
        <v>5</v>
      </c>
    </row>
    <row r="46" spans="1:24">
      <c r="A46" t="s">
        <v>21</v>
      </c>
      <c r="K46" s="1" t="s">
        <v>6</v>
      </c>
      <c r="M46" t="str">
        <f xml:space="preserve"> "'" &amp; $A$47 &amp; "'!$a" &amp; "$" &amp; flowStartRow &amp; ":$a" &amp; "$" &amp; flowEndRow</f>
        <v>'AARnetCBR-CamDTN1_tcpmon_ts_11'!$a$13:$a$161</v>
      </c>
    </row>
    <row r="47" spans="1:24">
      <c r="A47" t="s">
        <v>217</v>
      </c>
      <c r="K47" t="s">
        <v>7</v>
      </c>
      <c r="M47" t="str">
        <f ca="1" xml:space="preserve"> "'" &amp; $A$47 &amp; "'!" &amp; ADDRESS(flowStartRow,$H$3) &amp; ":" &amp; ADDRESS(flowEndRow,$H$3)</f>
        <v>'AARnetCBR-CamDTN1_tcpmon_ts_11'!$C$13:$C$161</v>
      </c>
    </row>
    <row r="48" spans="1:24">
      <c r="A48" t="s">
        <v>218</v>
      </c>
      <c r="K48" t="s">
        <v>8</v>
      </c>
      <c r="M48" t="str">
        <f ca="1" xml:space="preserve"> "'" &amp; $A$47 &amp; "'!" &amp; ADDRESS(flowStartRow,$H$4) &amp; ":" &amp; ADDRESS(flowEndRow,$H$4)</f>
        <v>'AARnetCBR-CamDTN1_tcpmon_ts_11'!$D$13:$D$161</v>
      </c>
    </row>
    <row r="49" spans="1:13">
      <c r="A49" t="s">
        <v>219</v>
      </c>
    </row>
    <row r="50" spans="1:13">
      <c r="A50" t="s">
        <v>220</v>
      </c>
      <c r="J50" s="1" t="s">
        <v>9</v>
      </c>
      <c r="K50" s="1" t="s">
        <v>6</v>
      </c>
      <c r="M50" t="str">
        <f xml:space="preserve"> "'" &amp; $A$48 &amp; "'!$a" &amp; "$" &amp; flowStartRow &amp; ":$a" &amp; "$" &amp; flowEndRow</f>
        <v>'AARnetCBR-CamDTN1_tcpmon_ts_21'!$a$13:$a$161</v>
      </c>
    </row>
    <row r="51" spans="1:13">
      <c r="A51" t="s">
        <v>221</v>
      </c>
      <c r="K51" t="s">
        <v>7</v>
      </c>
      <c r="M51" t="str">
        <f ca="1" xml:space="preserve"> "'" &amp; $A$48 &amp; "'!" &amp; ADDRESS(flowStartRow,$H$3) &amp; ":" &amp; ADDRESS(flowEndRow,$H$3)</f>
        <v>'AARnetCBR-CamDTN1_tcpmon_ts_21'!$C$13:$C$161</v>
      </c>
    </row>
    <row r="52" spans="1:13">
      <c r="A52" t="s">
        <v>222</v>
      </c>
      <c r="K52" t="s">
        <v>8</v>
      </c>
      <c r="M52" t="str">
        <f ca="1" xml:space="preserve"> "'" &amp; $A$48 &amp; "'!" &amp; ADDRESS(flowStartRow,$H$4) &amp; ":" &amp; ADDRESS(flowEndRow,$H$4)</f>
        <v>'AARnetCBR-CamDTN1_tcpmon_ts_21'!$D$13:$D$161</v>
      </c>
    </row>
    <row r="53" spans="1:13">
      <c r="A53" t="s">
        <v>223</v>
      </c>
    </row>
    <row r="54" spans="1:13">
      <c r="A54" t="s">
        <v>224</v>
      </c>
    </row>
    <row r="55" spans="1:13">
      <c r="A55" t="s">
        <v>225</v>
      </c>
      <c r="J55" s="1" t="s">
        <v>10</v>
      </c>
    </row>
    <row r="56" spans="1:13">
      <c r="A56" t="s">
        <v>226</v>
      </c>
      <c r="K56" t="s">
        <v>7</v>
      </c>
      <c r="M56" t="str">
        <f ca="1" xml:space="preserve"> "'" &amp; $A$49 &amp; "'!" &amp; ADDRESS(flowStartRow,$H$3) &amp; ":" &amp; ADDRESS(flowEndRow,$H$3)</f>
        <v>'AARnetCBR-CamDTN1_tcpmon_ts_22'!$C$13:$C$161</v>
      </c>
    </row>
    <row r="57" spans="1:13">
      <c r="A57" t="s">
        <v>227</v>
      </c>
      <c r="K57" t="s">
        <v>8</v>
      </c>
      <c r="M57" t="str">
        <f ca="1" xml:space="preserve"> "'" &amp; $A$49 &amp; "'!" &amp; ADDRESS(flowStartRow,$H$4) &amp; ":" &amp; ADDRESS(flowEndRow,$H$4)</f>
        <v>'AARnetCBR-CamDTN1_tcpmon_ts_22'!$D$13:$D$161</v>
      </c>
    </row>
    <row r="58" spans="1:13">
      <c r="A58" t="s">
        <v>228</v>
      </c>
    </row>
    <row r="59" spans="1:13">
      <c r="A59" t="s">
        <v>229</v>
      </c>
    </row>
    <row r="60" spans="1:13">
      <c r="A60" t="s">
        <v>230</v>
      </c>
      <c r="J60" s="1" t="s">
        <v>11</v>
      </c>
      <c r="K60" s="1" t="s">
        <v>6</v>
      </c>
      <c r="M60" t="str">
        <f xml:space="preserve"> "'" &amp; $A$50 &amp; "'!$a" &amp; "$" &amp; flowStartRow &amp; ":$a" &amp; "$" &amp; flowEndRow</f>
        <v>'AARnetCBR-CamDTN1_tcpmon_ts_31'!$a$13:$a$161</v>
      </c>
    </row>
    <row r="61" spans="1:13">
      <c r="A61" t="s">
        <v>231</v>
      </c>
      <c r="K61" t="s">
        <v>7</v>
      </c>
      <c r="M61" t="str">
        <f ca="1" xml:space="preserve"> "'" &amp; $A$50 &amp; "'!" &amp; ADDRESS(flowStartRow,$H$3) &amp; ":" &amp; ADDRESS(flowEndRow,$H$3)</f>
        <v>'AARnetCBR-CamDTN1_tcpmon_ts_31'!$C$13:$C$161</v>
      </c>
    </row>
    <row r="62" spans="1:13">
      <c r="A62" t="s">
        <v>232</v>
      </c>
      <c r="K62" t="s">
        <v>8</v>
      </c>
      <c r="M62" t="str">
        <f ca="1" xml:space="preserve"> "'" &amp; $A$50 &amp; "'!" &amp; ADDRESS(flowStartRow,$H$4) &amp; ":" &amp; ADDRESS(flowEndRow,$H$4)</f>
        <v>'AARnetCBR-CamDTN1_tcpmon_ts_31'!$D$13:$D$161</v>
      </c>
    </row>
    <row r="63" spans="1:13">
      <c r="A63" t="s">
        <v>233</v>
      </c>
    </row>
    <row r="64" spans="1:13">
      <c r="A64" t="s">
        <v>234</v>
      </c>
    </row>
    <row r="65" spans="1:13">
      <c r="A65" t="s">
        <v>235</v>
      </c>
      <c r="J65" s="1" t="s">
        <v>12</v>
      </c>
    </row>
    <row r="66" spans="1:13">
      <c r="A66" t="s">
        <v>236</v>
      </c>
      <c r="K66" t="s">
        <v>7</v>
      </c>
      <c r="M66" t="str">
        <f ca="1" xml:space="preserve"> "'" &amp; $A$51 &amp; "'!" &amp; ADDRESS(flowStartRow,$H$3) &amp; ":" &amp; ADDRESS(flowEndRow,$H$3)</f>
        <v>'AARnetCBR-CamDTN1_tcpmon_ts_32'!$C$13:$C$161</v>
      </c>
    </row>
    <row r="67" spans="1:13">
      <c r="A67" t="s">
        <v>237</v>
      </c>
      <c r="K67" t="s">
        <v>8</v>
      </c>
      <c r="M67" t="str">
        <f ca="1" xml:space="preserve"> "'" &amp; $A$51 &amp; "'!" &amp; ADDRESS(flowStartRow,$H$4) &amp; ":" &amp; ADDRESS(flowEndRow,$H$4)</f>
        <v>'AARnetCBR-CamDTN1_tcpmon_ts_32'!$D$13:$D$161</v>
      </c>
    </row>
    <row r="68" spans="1:13">
      <c r="A68" t="s">
        <v>238</v>
      </c>
    </row>
    <row r="69" spans="1:13">
      <c r="A69" t="s">
        <v>239</v>
      </c>
    </row>
    <row r="70" spans="1:13">
      <c r="A70" t="s">
        <v>240</v>
      </c>
      <c r="J70" s="1" t="s">
        <v>13</v>
      </c>
    </row>
    <row r="71" spans="1:13">
      <c r="A71" t="s">
        <v>241</v>
      </c>
      <c r="K71" t="s">
        <v>7</v>
      </c>
      <c r="M71" t="str">
        <f ca="1" xml:space="preserve"> "'" &amp; $A$52 &amp; "'!" &amp; ADDRESS(flowStartRow,$H$3) &amp; ":" &amp; ADDRESS(flowEndRow,$H$3)</f>
        <v>'AARnetCBR-CamDTN1_tcpmon_ts_33'!$C$13:$C$161</v>
      </c>
    </row>
    <row r="72" spans="1:13">
      <c r="A72" t="s">
        <v>242</v>
      </c>
      <c r="K72" t="s">
        <v>8</v>
      </c>
      <c r="M72" t="str">
        <f ca="1" xml:space="preserve"> "'" &amp; $A$52 &amp; "'!" &amp; ADDRESS(flowStartRow,$H$4) &amp; ":" &amp; ADDRESS(flowEndRow,$H$4)</f>
        <v>'AARnetCBR-CamDTN1_tcpmon_ts_33'!$D$13:$D$161</v>
      </c>
    </row>
    <row r="73" spans="1:13">
      <c r="A73" t="s">
        <v>243</v>
      </c>
    </row>
    <row r="74" spans="1:13">
      <c r="A74" t="s">
        <v>244</v>
      </c>
    </row>
    <row r="75" spans="1:13">
      <c r="A75" t="s">
        <v>245</v>
      </c>
      <c r="J75" s="1" t="s">
        <v>14</v>
      </c>
      <c r="K75" s="1" t="s">
        <v>6</v>
      </c>
      <c r="M75" t="str">
        <f xml:space="preserve"> "'" &amp; $A$53 &amp; "'!$a" &amp; "$" &amp; flowStartRow &amp; ":$a" &amp; "$" &amp; flowEndRow</f>
        <v>'AARnetCBR-CamDTN1_tcpmon_ts_41'!$a$13:$a$161</v>
      </c>
    </row>
    <row r="76" spans="1:13">
      <c r="A76">
        <f t="shared" ref="A76" si="0">A41</f>
        <v>0</v>
      </c>
      <c r="K76" t="s">
        <v>7</v>
      </c>
      <c r="M76" t="str">
        <f ca="1" xml:space="preserve"> "'" &amp; $A$53 &amp; "'!" &amp; ADDRESS(flowStartRow,$H$3) &amp; ":" &amp; ADDRESS(flowEndRow,$H$3)</f>
        <v>'AARnetCBR-CamDTN1_tcpmon_ts_41'!$C$13:$C$161</v>
      </c>
    </row>
    <row r="77" spans="1:13">
      <c r="K77" t="s">
        <v>8</v>
      </c>
      <c r="M77" t="str">
        <f ca="1" xml:space="preserve"> "'" &amp; $A$53 &amp; "'!" &amp; ADDRESS(flowStartRow,$H$4) &amp; ":" &amp; ADDRESS(flowEndRow,$H$4)</f>
        <v>'AARnetCBR-CamDTN1_tcpmon_ts_41'!$D$13:$D$161</v>
      </c>
    </row>
    <row r="80" spans="1:13">
      <c r="J80" s="1" t="s">
        <v>15</v>
      </c>
    </row>
    <row r="81" spans="10:13">
      <c r="K81" t="s">
        <v>7</v>
      </c>
      <c r="M81" t="str">
        <f ca="1" xml:space="preserve"> "'" &amp; $A$54 &amp; "'!" &amp; ADDRESS(flowStartRow,$H$3) &amp; ":" &amp; ADDRESS(flowEndRow,$H$3)</f>
        <v>'AARnetCBR-CamDTN1_tcpmon_ts_42'!$C$13:$C$161</v>
      </c>
    </row>
    <row r="82" spans="10:13">
      <c r="K82" t="s">
        <v>8</v>
      </c>
      <c r="M82" t="str">
        <f ca="1" xml:space="preserve"> "'" &amp; $A$54 &amp; "'!" &amp; ADDRESS(flowStartRow,$H$4) &amp; ":" &amp; ADDRESS(flowEndRow,$H$4)</f>
        <v>'AARnetCBR-CamDTN1_tcpmon_ts_42'!$D$13:$D$161</v>
      </c>
    </row>
    <row r="85" spans="10:13">
      <c r="J85" s="1" t="s">
        <v>16</v>
      </c>
    </row>
    <row r="86" spans="10:13">
      <c r="K86" t="s">
        <v>7</v>
      </c>
      <c r="M86" t="str">
        <f ca="1" xml:space="preserve"> "'" &amp; $A$55 &amp; "'!" &amp; ADDRESS(flowStartRow,$H$3) &amp; ":" &amp; ADDRESS(flowEndRow,$H$3)</f>
        <v>'AARnetCBR-CamDTN1_tcpmon_ts_43'!$C$13:$C$161</v>
      </c>
    </row>
    <row r="87" spans="10:13">
      <c r="K87" t="s">
        <v>8</v>
      </c>
      <c r="M87" t="str">
        <f ca="1" xml:space="preserve"> "'" &amp; $A$55 &amp; "'!" &amp; ADDRESS(flowStartRow,$H$4) &amp; ":" &amp; ADDRESS(flowEndRow,$H$4)</f>
        <v>'AARnetCBR-CamDTN1_tcpmon_ts_43'!$D$13:$D$161</v>
      </c>
    </row>
    <row r="90" spans="10:13">
      <c r="J90" s="1" t="s">
        <v>17</v>
      </c>
    </row>
    <row r="91" spans="10:13">
      <c r="K91" t="s">
        <v>7</v>
      </c>
      <c r="M91" t="str">
        <f ca="1" xml:space="preserve"> "'" &amp; $A$56 &amp; "'!" &amp; ADDRESS(flowStartRow,$H$3) &amp; ":" &amp; ADDRESS(flowEndRow,$H$3)</f>
        <v>'AARnetCBR-CamDTN1_tcpmon_ts_44'!$C$13:$C$161</v>
      </c>
    </row>
    <row r="92" spans="10:13">
      <c r="K92" t="s">
        <v>8</v>
      </c>
      <c r="M92" t="str">
        <f ca="1" xml:space="preserve"> "'" &amp; $A$56 &amp; "'!" &amp; ADDRESS(flowStartRow,$H$4) &amp; ":" &amp; ADDRESS(flowEndRow,$H$4)</f>
        <v>'AARnetCBR-CamDTN1_tcpmon_ts_44'!$D$13:$D$161</v>
      </c>
    </row>
    <row r="94" spans="10:13">
      <c r="J94" s="1" t="s">
        <v>32</v>
      </c>
    </row>
    <row r="95" spans="10:13">
      <c r="K95" s="1" t="s">
        <v>6</v>
      </c>
      <c r="M95" t="str">
        <f xml:space="preserve"> "'" &amp; $A$57 &amp; "'!$a" &amp; "$" &amp; flowStartRow &amp; ":$a" &amp; "$" &amp; flowEndRow</f>
        <v>'AARnetCBR-CamDTN1_tcpmon_ts_51'!$a$13:$a$161</v>
      </c>
    </row>
    <row r="96" spans="10:13">
      <c r="K96" t="s">
        <v>7</v>
      </c>
      <c r="M96" t="str">
        <f ca="1" xml:space="preserve"> "'" &amp; $A$57 &amp; "'!" &amp; ADDRESS(flowStartRow,$H$3) &amp; ":" &amp; ADDRESS(flowEndRow,$H$3)</f>
        <v>'AARnetCBR-CamDTN1_tcpmon_ts_51'!$C$13:$C$161</v>
      </c>
    </row>
    <row r="97" spans="10:13">
      <c r="K97" t="s">
        <v>8</v>
      </c>
      <c r="M97" t="str">
        <f ca="1" xml:space="preserve"> "'" &amp; $A$57 &amp; "'!" &amp; ADDRESS(flowStartRow,$H$4) &amp; ":" &amp; ADDRESS(flowEndRow,$H$4)</f>
        <v>'AARnetCBR-CamDTN1_tcpmon_ts_51'!$D$13:$D$161</v>
      </c>
    </row>
    <row r="99" spans="10:13">
      <c r="J99" s="1" t="s">
        <v>33</v>
      </c>
    </row>
    <row r="100" spans="10:13">
      <c r="K100" t="s">
        <v>7</v>
      </c>
      <c r="M100" t="str">
        <f ca="1" xml:space="preserve"> "'" &amp; $A$58 &amp; "'!" &amp; ADDRESS(flowStartRow,$H$3) &amp; ":" &amp; ADDRESS(flowEndRow,$H$3)</f>
        <v>'AARnetCBR-CamDTN1_tcpmon_ts_52'!$C$13:$C$161</v>
      </c>
    </row>
    <row r="101" spans="10:13">
      <c r="K101" t="s">
        <v>8</v>
      </c>
      <c r="M101" t="str">
        <f ca="1" xml:space="preserve"> "'" &amp; $A$58 &amp; "'!" &amp; ADDRESS(flowStartRow,$H$4) &amp; ":" &amp; ADDRESS(flowEndRow,$H$4)</f>
        <v>'AARnetCBR-CamDTN1_tcpmon_ts_52'!$D$13:$D$161</v>
      </c>
    </row>
    <row r="104" spans="10:13">
      <c r="J104" s="1" t="s">
        <v>34</v>
      </c>
    </row>
    <row r="105" spans="10:13">
      <c r="K105" t="s">
        <v>7</v>
      </c>
      <c r="M105" t="str">
        <f ca="1" xml:space="preserve"> "'" &amp; $A$59 &amp; "'!" &amp; ADDRESS(flowStartRow,$H$3) &amp; ":" &amp; ADDRESS(flowEndRow,$H$3)</f>
        <v>'AARnetCBR-CamDTN1_tcpmon_ts_53'!$C$13:$C$161</v>
      </c>
    </row>
    <row r="106" spans="10:13">
      <c r="K106" t="s">
        <v>8</v>
      </c>
      <c r="M106" t="str">
        <f ca="1" xml:space="preserve"> "'" &amp; $A$59 &amp; "'!" &amp; ADDRESS(flowStartRow,$H$4) &amp; ":" &amp; ADDRESS(flowEndRow,$H$4)</f>
        <v>'AARnetCBR-CamDTN1_tcpmon_ts_53'!$D$13:$D$161</v>
      </c>
    </row>
    <row r="109" spans="10:13">
      <c r="J109" s="1" t="s">
        <v>35</v>
      </c>
    </row>
    <row r="110" spans="10:13">
      <c r="K110" t="s">
        <v>7</v>
      </c>
      <c r="M110" t="str">
        <f ca="1" xml:space="preserve"> "'" &amp; $A$60 &amp; "'!" &amp; ADDRESS(flowStartRow,$H$3) &amp; ":" &amp; ADDRESS(flowEndRow,$H$3)</f>
        <v>'AARnetCBR-CamDTN1_tcpmon_ts_54'!$C$13:$C$161</v>
      </c>
    </row>
    <row r="111" spans="10:13">
      <c r="K111" t="s">
        <v>8</v>
      </c>
      <c r="M111" t="str">
        <f ca="1" xml:space="preserve"> "'" &amp; $A$60 &amp; "'!" &amp; ADDRESS(flowStartRow,$H$4) &amp; ":" &amp; ADDRESS(flowEndRow,$H$4)</f>
        <v>'AARnetCBR-CamDTN1_tcpmon_ts_54'!$D$13:$D$161</v>
      </c>
    </row>
    <row r="114" spans="10:13">
      <c r="J114" s="1" t="s">
        <v>36</v>
      </c>
    </row>
    <row r="115" spans="10:13">
      <c r="K115" t="s">
        <v>7</v>
      </c>
      <c r="M115" t="str">
        <f ca="1" xml:space="preserve"> "'" &amp; $A$61 &amp; "'!" &amp; ADDRESS(flowStartRow,$H$3) &amp; ":" &amp; ADDRESS(flowEndRow,$H$3)</f>
        <v>'AARnetCBR-CamDTN1_tcpmon_ts_55'!$C$13:$C$161</v>
      </c>
    </row>
    <row r="116" spans="10:13">
      <c r="K116" t="s">
        <v>8</v>
      </c>
      <c r="M116" t="str">
        <f ca="1" xml:space="preserve"> "'" &amp; $A$61 &amp; "'!" &amp; ADDRESS(flowStartRow,$H$4) &amp; ":" &amp; ADDRESS(flowEndRow,$H$4)</f>
        <v>'AARnetCBR-CamDTN1_tcpmon_ts_55'!$D$13:$D$161</v>
      </c>
    </row>
    <row r="118" spans="10:13">
      <c r="J118" s="1" t="s">
        <v>40</v>
      </c>
    </row>
    <row r="119" spans="10:13">
      <c r="K119" s="1" t="s">
        <v>6</v>
      </c>
      <c r="M119" t="str">
        <f xml:space="preserve"> "'" &amp; $A$62 &amp; "'!$a" &amp; "$" &amp; flowStartRow &amp; ":$a" &amp; "$" &amp; flowEndRow</f>
        <v>'AARnetCBR-CamDTN1_tcpmon_ts_61'!$a$13:$a$161</v>
      </c>
    </row>
    <row r="120" spans="10:13">
      <c r="K120" t="s">
        <v>7</v>
      </c>
      <c r="M120" t="str">
        <f ca="1" xml:space="preserve"> "'" &amp; $A$62 &amp; "'!" &amp; ADDRESS(flowStartRow,$H$3) &amp; ":" &amp; ADDRESS(flowEndRow,$H$3)</f>
        <v>'AARnetCBR-CamDTN1_tcpmon_ts_61'!$C$13:$C$161</v>
      </c>
    </row>
    <row r="121" spans="10:13">
      <c r="K121" t="s">
        <v>8</v>
      </c>
      <c r="M121" t="str">
        <f ca="1" xml:space="preserve"> "'" &amp; $A$62 &amp; "'!" &amp; ADDRESS(flowStartRow,$H$4) &amp; ":" &amp; ADDRESS(flowEndRow,$H$4)</f>
        <v>'AARnetCBR-CamDTN1_tcpmon_ts_61'!$D$13:$D$161</v>
      </c>
    </row>
    <row r="123" spans="10:13">
      <c r="J123" s="1" t="s">
        <v>42</v>
      </c>
    </row>
    <row r="124" spans="10:13">
      <c r="K124" s="1"/>
    </row>
    <row r="125" spans="10:13">
      <c r="K125" t="s">
        <v>7</v>
      </c>
      <c r="M125" t="str">
        <f ca="1" xml:space="preserve"> "'" &amp; $A$63 &amp; "'!" &amp; ADDRESS(flowStartRow,$H$3) &amp; ":" &amp; ADDRESS(flowEndRow,$H$3)</f>
        <v>'AARnetCBR-CamDTN1_tcpmon_ts_62'!$C$13:$C$161</v>
      </c>
    </row>
    <row r="126" spans="10:13">
      <c r="K126" t="s">
        <v>8</v>
      </c>
      <c r="M126" t="str">
        <f ca="1" xml:space="preserve"> "'" &amp; $A$63 &amp; "'!" &amp; ADDRESS(flowStartRow,$H$4) &amp; ":" &amp; ADDRESS(flowEndRow,$H$4)</f>
        <v>'AARnetCBR-CamDTN1_tcpmon_ts_62'!$D$13:$D$161</v>
      </c>
    </row>
    <row r="128" spans="10:13">
      <c r="J128" s="1" t="s">
        <v>43</v>
      </c>
    </row>
    <row r="129" spans="10:13">
      <c r="K129" s="1"/>
    </row>
    <row r="130" spans="10:13">
      <c r="K130" t="s">
        <v>7</v>
      </c>
      <c r="M130" t="str">
        <f ca="1" xml:space="preserve"> "'" &amp; $A$64 &amp; "'!" &amp; ADDRESS(flowStartRow,$H$3) &amp; ":" &amp; ADDRESS(flowEndRow,$H$3)</f>
        <v>'AARnetCBR-CamDTN1_tcpmon_ts_63'!$C$13:$C$161</v>
      </c>
    </row>
    <row r="131" spans="10:13">
      <c r="K131" t="s">
        <v>8</v>
      </c>
      <c r="M131" t="str">
        <f ca="1" xml:space="preserve"> "'" &amp; $A$64 &amp; "'!" &amp; ADDRESS(flowStartRow,$H$4) &amp; ":" &amp; ADDRESS(flowEndRow,$H$4)</f>
        <v>'AARnetCBR-CamDTN1_tcpmon_ts_63'!$D$13:$D$161</v>
      </c>
    </row>
    <row r="133" spans="10:13">
      <c r="J133" s="1" t="s">
        <v>44</v>
      </c>
    </row>
    <row r="134" spans="10:13">
      <c r="K134" s="1"/>
    </row>
    <row r="135" spans="10:13">
      <c r="K135" t="s">
        <v>7</v>
      </c>
      <c r="M135" t="str">
        <f ca="1" xml:space="preserve"> "'" &amp; $A$65 &amp; "'!" &amp; ADDRESS(flowStartRow,$H$3) &amp; ":" &amp; ADDRESS(flowEndRow,$H$3)</f>
        <v>'AARnetCBR-CamDTN1_tcpmon_ts_64'!$C$13:$C$161</v>
      </c>
    </row>
    <row r="136" spans="10:13">
      <c r="K136" t="s">
        <v>8</v>
      </c>
      <c r="M136" t="str">
        <f ca="1" xml:space="preserve"> "'" &amp; $A$65 &amp; "'!" &amp; ADDRESS(flowStartRow,$H$4) &amp; ":" &amp; ADDRESS(flowEndRow,$H$4)</f>
        <v>'AARnetCBR-CamDTN1_tcpmon_ts_64'!$D$13:$D$161</v>
      </c>
    </row>
    <row r="138" spans="10:13">
      <c r="J138" s="1" t="s">
        <v>45</v>
      </c>
    </row>
    <row r="139" spans="10:13">
      <c r="K139" t="s">
        <v>7</v>
      </c>
      <c r="M139" t="str">
        <f ca="1" xml:space="preserve"> "'" &amp; $A$66 &amp; "'!" &amp; ADDRESS(flowStartRow,$H$3) &amp; ":" &amp; ADDRESS(flowEndRow,$H$3)</f>
        <v>'AARnetCBR-CamDTN1_tcpmon_ts_65'!$C$13:$C$161</v>
      </c>
    </row>
    <row r="140" spans="10:13">
      <c r="K140" t="s">
        <v>8</v>
      </c>
      <c r="M140" t="str">
        <f ca="1" xml:space="preserve"> "'" &amp; $A$66 &amp; "'!" &amp; ADDRESS(flowStartRow,$H$4) &amp; ":" &amp; ADDRESS(flowEndRow,$H$4)</f>
        <v>'AARnetCBR-CamDTN1_tcpmon_ts_65'!$D$13:$D$161</v>
      </c>
    </row>
    <row r="144" spans="10:13">
      <c r="J144" s="1" t="s">
        <v>46</v>
      </c>
      <c r="K144" s="1"/>
    </row>
    <row r="145" spans="11:13">
      <c r="K145" t="s">
        <v>7</v>
      </c>
      <c r="M145" t="str">
        <f ca="1" xml:space="preserve"> "'" &amp; $A$67 &amp; "'!" &amp; ADDRESS(flowStartRow,$H$3) &amp; ":" &amp; ADDRESS(flowEndRow,$H$3)</f>
        <v>'AARnetCBR-CamDTN1_tcpmon_ts_66'!$C$13:$C$161</v>
      </c>
    </row>
    <row r="146" spans="11:13">
      <c r="K146" t="s">
        <v>8</v>
      </c>
      <c r="M146" t="str">
        <f ca="1" xml:space="preserve"> "'" &amp; $A$67 &amp; "'!" &amp; ADDRESS(flowStartRow,$H$4) &amp; ":" &amp; ADDRESS(flowEndRow,$H$4)</f>
        <v>'AARnetCBR-CamDTN1_tcpmon_ts_66'!$D$13:$D$161</v>
      </c>
    </row>
  </sheetData>
  <phoneticPr fontId="1" type="noConversion"/>
  <pageMargins left="0.75" right="0.75" top="1" bottom="1" header="0.5" footer="0.5"/>
  <pageSetup paperSize="9" orientation="portrait" horizontalDpi="4294967293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_names">
                <anchor moveWithCells="1" sizeWithCells="1">
                  <from>
                    <xdr:col>0</xdr:col>
                    <xdr:colOff>158750</xdr:colOff>
                    <xdr:row>6</xdr:row>
                    <xdr:rowOff>120650</xdr:rowOff>
                  </from>
                  <to>
                    <xdr:col>2</xdr:col>
                    <xdr:colOff>590550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F4EE-A179-4682-86A5-5DF48DCFE88C}">
  <sheetPr codeName="Sheet2"/>
  <dimension ref="A1:AF600"/>
  <sheetViews>
    <sheetView topLeftCell="A143" workbookViewId="0">
      <selection activeCell="C162" sqref="C162"/>
    </sheetView>
  </sheetViews>
  <sheetFormatPr defaultRowHeight="12.5"/>
  <cols>
    <col min="8" max="8" width="11" customWidth="1"/>
    <col min="21" max="21" width="9.81640625" bestFit="1" customWidth="1"/>
    <col min="22" max="24" width="10.81640625" bestFit="1" customWidth="1"/>
    <col min="29" max="29" width="10.81640625" bestFit="1" customWidth="1"/>
    <col min="31" max="31" width="12.08984375" bestFit="1" customWidth="1"/>
  </cols>
  <sheetData>
    <row r="1" spans="1:32" ht="37.5">
      <c r="A1" s="3" t="s">
        <v>3</v>
      </c>
      <c r="B1" s="3"/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8</v>
      </c>
      <c r="K1" s="1" t="s">
        <v>4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8</v>
      </c>
      <c r="T1" s="1" t="s">
        <v>31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8</v>
      </c>
    </row>
    <row r="2" spans="1:32">
      <c r="A2" t="str">
        <f>'AARnetCBR-CamDTN1_tcpmon_ts_11'!A2</f>
        <v>Default affinity</v>
      </c>
      <c r="U2">
        <f>'AARnetCBR-CamDTN1_tcpmon_ts_11'!H614</f>
        <v>0</v>
      </c>
      <c r="V2">
        <f>'AARnetCBR-CamDTN1_tcpmon_ts_21'!H614+'AARnetCBR-CamDTN1_tcpmon_ts_22'!H614</f>
        <v>0</v>
      </c>
      <c r="W2">
        <f>'AARnetCBR-CamDTN1_tcpmon_ts_31'!H614+'AARnetCBR-CamDTN1_tcpmon_ts_32'!H614+'AARnetCBR-CamDTN1_tcpmon_ts_33'!H614</f>
        <v>0</v>
      </c>
      <c r="X2">
        <f>'AARnetCBR-CamDTN1_tcpmon_ts_41'!H614+'AARnetCBR-CamDTN1_tcpmon_ts_42'!H614+'AARnetCBR-CamDTN1_tcpmon_ts_43'!H614+'AARnetCBR-CamDTN1_tcpmon_ts_44'!H614</f>
        <v>0</v>
      </c>
      <c r="AF2" s="1"/>
    </row>
    <row r="3" spans="1:32">
      <c r="A3" t="str">
        <f>'AARnetCBR-CamDTN1_tcpmon_ts_11'!A3</f>
        <v xml:space="preserve"> Initialising real-time clock.</v>
      </c>
      <c r="L3" t="s">
        <v>47</v>
      </c>
    </row>
    <row r="4" spans="1:32">
      <c r="A4" t="str">
        <f>'AARnetCBR-CamDTN1_tcpmon_ts_11'!A4</f>
        <v>CPU speed = 3500.0537293 +- 0.0178253 MHz (3500.0122899 - 3500.0957971)</v>
      </c>
      <c r="B4">
        <f>flowStartRow</f>
        <v>13</v>
      </c>
      <c r="C4" cm="1">
        <f t="array" aca="1" ref="C4" ca="1">INDIRECT(ADDRESS($B4,Plots!$H$3,,,Plots!$A$47))</f>
        <v>0.01</v>
      </c>
      <c r="D4" cm="1">
        <f t="array" aca="1" ref="D4" ca="1">INDIRECT(ADDRESS($B4,Plots!$H$3,,,Plots!$A$48))+INDIRECT(ADDRESS($B4,Plots!$H$3,,,Plots!$A$49))</f>
        <v>0.2</v>
      </c>
      <c r="E4" cm="1">
        <f t="array" aca="1" ref="E4" ca="1">INDIRECT(ADDRESS($B4,Plots!$H$3,,,Plots!$A$50))+INDIRECT(ADDRESS($B4,Plots!$H$3,,,Plots!$A$51))+INDIRECT(ADDRESS($B4,Plots!$H$3,,,Plots!$A$52))</f>
        <v>0.23</v>
      </c>
      <c r="F4" cm="1">
        <f t="array" aca="1" ref="F4" ca="1">INDIRECT(ADDRESS($B4,Plots!$H$3,,,Plots!$A$53))+INDIRECT(ADDRESS($B4,Plots!$H$3,,,Plots!$A$54))+INDIRECT(ADDRESS($B4,Plots!$H$3,,,Plots!$A$55))+INDIRECT(ADDRESS($B4,Plots!$H$3,,,Plots!$A$56))</f>
        <v>0.19</v>
      </c>
      <c r="G4" cm="1">
        <f t="array" aca="1" ref="G4" ca="1">INDIRECT(ADDRESS($B4,Plots!$H$3,,,Plots!$A$57))+INDIRECT(ADDRESS($B4,Plots!$H$3,,,Plots!$A$58))+INDIRECT(ADDRESS($B4,Plots!$H$3,,,Plots!$A$59))+INDIRECT(ADDRESS($B4,Plots!$H$3,,,Plots!$A$60))+INDIRECT(ADDRESS($B4,Plots!$H$3,,,Plots!$A$61))</f>
        <v>0</v>
      </c>
      <c r="H4" cm="1">
        <f t="array" aca="1" ref="H4" ca="1">INDIRECT(ADDRESS($B4,Plots!$H$3,,,Plots!$A$62))+INDIRECT(ADDRESS($B4,Plots!$H$3,,,Plots!$A$63))+INDIRECT(ADDRESS($B4,Plots!$H$3,,,Plots!$A$64))+INDIRECT(ADDRESS($B4,Plots!$H$3,,,Plots!$A$65))+INDIRECT(ADDRESS($B4,Plots!$H$3,,,Plots!$A$66))+INDIRECT(ADDRESS($B4,Plots!$H$3,,,Plots!$A$67))</f>
        <v>0</v>
      </c>
      <c r="I4">
        <f>'AARnetCBR-CamDTN1_tcpmon_ts_81'!F4+'AARnetCBR-CamDTN1_tcpmon_ts_82'!F4+'AARnetCBR-CamDTN1_tcpmon_ts_83'!F4+'AARnetCBR-CamDTN1_tcpmon_ts_84'!F4+'AARnetCBR-CamDTN1_tcpmon_ts_85'!F4+'AARnetCBR-CamDTN1_tcpmon_ts_86'!F4+'AARnetCBR-CamDTN1_tcpmon_ts_87'!F4+'AARnetCBR-CamDTN1_tcpmon_ts_88'!F4</f>
        <v>0</v>
      </c>
      <c r="L4" cm="1">
        <f t="array" aca="1" ref="L4" ca="1">INDIRECT(ADDRESS($B4,Plots!$H$4,,,Plots!$A$47))</f>
        <v>0</v>
      </c>
      <c r="M4" cm="1">
        <f t="array" aca="1" ref="M4" ca="1">INDIRECT(ADDRESS($B4,Plots!$H$4,,,Plots!$A$48))+INDIRECT(ADDRESS($B4,Plots!$H$4,,,Plots!$A$49))</f>
        <v>0</v>
      </c>
      <c r="N4" cm="1">
        <f t="array" aca="1" ref="N4" ca="1">INDIRECT(ADDRESS($B4,Plots!$H$4,,,Plots!$A$50))+INDIRECT(ADDRESS($B4,Plots!$H$4,,,Plots!$A$51))+INDIRECT(ADDRESS($B4,Plots!$H$4,,,Plots!$A$52))</f>
        <v>0</v>
      </c>
      <c r="O4" cm="1">
        <f t="array" aca="1" ref="O4" ca="1">INDIRECT(ADDRESS($B4,Plots!$H$4,,,Plots!$A$53))+INDIRECT(ADDRESS($B4,Plots!$H$4,,,Plots!$A$54))+INDIRECT(ADDRESS($B4,Plots!$H$4,,,Plots!$A$55))+INDIRECT(ADDRESS($B4,Plots!$H$4,,,Plots!$A$56))</f>
        <v>0</v>
      </c>
      <c r="P4" cm="1">
        <f t="array" aca="1" ref="P4" ca="1">INDIRECT(ADDRESS($B4,Plots!$H$4,,,Plots!$A$57))+INDIRECT(ADDRESS($B4,Plots!$H$4,,,Plots!$A$58))+INDIRECT(ADDRESS($B4,Plots!$H$4,,,Plots!$A$59))+INDIRECT(ADDRESS($B4,Plots!$H$4,,,Plots!$A$60))+INDIRECT(ADDRESS($B4,Plots!$H$4,,,Plots!$A$61))</f>
        <v>0</v>
      </c>
      <c r="Q4" cm="1">
        <f t="array" aca="1" ref="Q4" ca="1">INDIRECT(ADDRESS($B4,Plots!$H$4,,,Plots!$A$62))+INDIRECT(ADDRESS($B4,Plots!$H$4,,,Plots!$A$63))+INDIRECT(ADDRESS($B4,Plots!$H$4,,,Plots!$A$64))+INDIRECT(ADDRESS($B4,Plots!$H$4,,,Plots!$A$65))+INDIRECT(ADDRESS($B4,Plots!$H$4,,,Plots!$A$66))+INDIRECT(ADDRESS($B4,Plots!$H$4,,,Plots!$A$67))</f>
        <v>0</v>
      </c>
      <c r="R4">
        <f>'AARnetCBR-CamDTN1_tcpmon_ts_81'!I4+'AARnetCBR-CamDTN1_tcpmon_ts_82'!I4+'AARnetCBR-CamDTN1_tcpmon_ts_83'!I4+'AARnetCBR-CamDTN1_tcpmon_ts_84'!I4+'AARnetCBR-CamDTN1_tcpmon_ts_85'!I4+'AARnetCBR-CamDTN1_tcpmon_ts_86'!I4+'AARnetCBR-CamDTN1_tcpmon_ts_87'!I4+'AARnetCBR-CamDTN1_tcpmon_ts_88'!I4</f>
        <v>0</v>
      </c>
    </row>
    <row r="5" spans="1:32">
      <c r="A5" t="str">
        <f>'AARnetCBR-CamDTN1_tcpmon_ts_11'!A5</f>
        <v>StopWatch_Stop calibrated</v>
      </c>
      <c r="B5">
        <f>B4+1</f>
        <v>14</v>
      </c>
      <c r="C5" cm="1">
        <f t="array" aca="1" ref="C5" ca="1">INDIRECT(ADDRESS($B5,Plots!$H$3,,,Plots!$A$47))</f>
        <v>0.02</v>
      </c>
      <c r="D5" cm="1">
        <f t="array" aca="1" ref="D5" ca="1">INDIRECT(ADDRESS($B5,Plots!$H$3,,,Plots!$A$48))+INDIRECT(ADDRESS($B5,Plots!$H$3,,,Plots!$A$49))</f>
        <v>1.37</v>
      </c>
      <c r="E5" cm="1">
        <f t="array" aca="1" ref="E5" ca="1">INDIRECT(ADDRESS($B5,Plots!$H$3,,,Plots!$A$50))+INDIRECT(ADDRESS($B5,Plots!$H$3,,,Plots!$A$51))+INDIRECT(ADDRESS($B5,Plots!$H$3,,,Plots!$A$52))</f>
        <v>1.2</v>
      </c>
      <c r="F5" cm="1">
        <f t="array" aca="1" ref="F5" ca="1">INDIRECT(ADDRESS($B5,Plots!$H$3,,,Plots!$A$53))+INDIRECT(ADDRESS($B5,Plots!$H$3,,,Plots!$A$54))+INDIRECT(ADDRESS($B5,Plots!$H$3,,,Plots!$A$55))+INDIRECT(ADDRESS($B5,Plots!$H$3,,,Plots!$A$56))</f>
        <v>1.6500000000000001</v>
      </c>
      <c r="G5" cm="1">
        <f t="array" aca="1" ref="G5" ca="1">INDIRECT(ADDRESS($B5,Plots!$H$3,,,Plots!$A$57))+INDIRECT(ADDRESS($B5,Plots!$H$3,,,Plots!$A$58))+INDIRECT(ADDRESS($B5,Plots!$H$3,,,Plots!$A$59))+INDIRECT(ADDRESS($B5,Plots!$H$3,,,Plots!$A$60))+INDIRECT(ADDRESS($B5,Plots!$H$3,,,Plots!$A$61))</f>
        <v>0</v>
      </c>
      <c r="H5" cm="1">
        <f t="array" aca="1" ref="H5" ca="1">INDIRECT(ADDRESS($B5,Plots!$H$3,,,Plots!$A$62))+INDIRECT(ADDRESS($B5,Plots!$H$3,,,Plots!$A$63))+INDIRECT(ADDRESS($B5,Plots!$H$3,,,Plots!$A$64))+INDIRECT(ADDRESS($B5,Plots!$H$3,,,Plots!$A$65))+INDIRECT(ADDRESS($B5,Plots!$H$3,,,Plots!$A$66))+INDIRECT(ADDRESS($B5,Plots!$H$3,,,Plots!$A$67))</f>
        <v>0</v>
      </c>
      <c r="L5" cm="1">
        <f t="array" aca="1" ref="L5" ca="1">INDIRECT(ADDRESS($B5,Plots!$H$4,,,Plots!$A$47))</f>
        <v>0</v>
      </c>
      <c r="M5" cm="1">
        <f t="array" aca="1" ref="M5" ca="1">INDIRECT(ADDRESS($B5,Plots!$H$4,,,Plots!$A$48))+INDIRECT(ADDRESS($B5,Plots!$H$4,,,Plots!$A$49))</f>
        <v>0</v>
      </c>
      <c r="N5" cm="1">
        <f t="array" aca="1" ref="N5" ca="1">INDIRECT(ADDRESS($B5,Plots!$H$4,,,Plots!$A$50))+INDIRECT(ADDRESS($B5,Plots!$H$4,,,Plots!$A$51))+INDIRECT(ADDRESS($B5,Plots!$H$4,,,Plots!$A$52))</f>
        <v>0</v>
      </c>
      <c r="O5" cm="1">
        <f t="array" aca="1" ref="O5" ca="1">INDIRECT(ADDRESS($B5,Plots!$H$4,,,Plots!$A$53))+INDIRECT(ADDRESS($B5,Plots!$H$4,,,Plots!$A$54))+INDIRECT(ADDRESS($B5,Plots!$H$4,,,Plots!$A$55))+INDIRECT(ADDRESS($B5,Plots!$H$4,,,Plots!$A$56))</f>
        <v>0</v>
      </c>
      <c r="P5" cm="1">
        <f t="array" aca="1" ref="P5" ca="1">INDIRECT(ADDRESS($B5,Plots!$H$4,,,Plots!$A$57))+INDIRECT(ADDRESS($B5,Plots!$H$4,,,Plots!$A$58))+INDIRECT(ADDRESS($B5,Plots!$H$4,,,Plots!$A$59))+INDIRECT(ADDRESS($B5,Plots!$H$4,,,Plots!$A$60))+INDIRECT(ADDRESS($B5,Plots!$H$4,,,Plots!$A$61))</f>
        <v>0</v>
      </c>
      <c r="Q5" cm="1">
        <f t="array" aca="1" ref="Q5" ca="1">INDIRECT(ADDRESS($B5,Plots!$H$4,,,Plots!$A$62))+INDIRECT(ADDRESS($B5,Plots!$H$4,,,Plots!$A$63))+INDIRECT(ADDRESS($B5,Plots!$H$4,,,Plots!$A$64))+INDIRECT(ADDRESS($B5,Plots!$H$4,,,Plots!$A$65))+INDIRECT(ADDRESS($B5,Plots!$H$4,,,Plots!$A$66))+INDIRECT(ADDRESS($B5,Plots!$H$4,,,Plots!$A$67))</f>
        <v>0</v>
      </c>
      <c r="R5">
        <f>'AARnetCBR-CamDTN1_tcpmon_ts_81'!I5+'AARnetCBR-CamDTN1_tcpmon_ts_82'!I5+'AARnetCBR-CamDTN1_tcpmon_ts_83'!I5+'AARnetCBR-CamDTN1_tcpmon_ts_84'!I5+'AARnetCBR-CamDTN1_tcpmon_ts_85'!I5+'AARnetCBR-CamDTN1_tcpmon_ts_86'!I5+'AARnetCBR-CamDTN1_tcpmon_ts_87'!I5+'AARnetCBR-CamDTN1_tcpmon_ts_88'!I5</f>
        <v>0</v>
      </c>
    </row>
    <row r="6" spans="1:32">
      <c r="A6" t="str">
        <f>'AARnetCBR-CamDTN1_tcpmon_ts_11'!A6</f>
        <v>clock ticks for 1 sec = 1000104 us</v>
      </c>
      <c r="B6">
        <f t="shared" ref="B6:B260" si="0">B5+1</f>
        <v>15</v>
      </c>
      <c r="C6" cm="1">
        <f t="array" aca="1" ref="C6" ca="1">INDIRECT(ADDRESS($B6,Plots!$H$3,,,Plots!$A$47))</f>
        <v>0.03</v>
      </c>
      <c r="D6" cm="1">
        <f t="array" aca="1" ref="D6" ca="1">INDIRECT(ADDRESS($B6,Plots!$H$3,,,Plots!$A$48))+INDIRECT(ADDRESS($B6,Plots!$H$3,,,Plots!$A$49))</f>
        <v>1.52</v>
      </c>
      <c r="E6" cm="1">
        <f t="array" aca="1" ref="E6" ca="1">INDIRECT(ADDRESS($B6,Plots!$H$3,,,Plots!$A$50))+INDIRECT(ADDRESS($B6,Plots!$H$3,,,Plots!$A$51))+INDIRECT(ADDRESS($B6,Plots!$H$3,,,Plots!$A$52))</f>
        <v>1.36</v>
      </c>
      <c r="F6" cm="1">
        <f t="array" aca="1" ref="F6" ca="1">INDIRECT(ADDRESS($B6,Plots!$H$3,,,Plots!$A$53))+INDIRECT(ADDRESS($B6,Plots!$H$3,,,Plots!$A$54))+INDIRECT(ADDRESS($B6,Plots!$H$3,,,Plots!$A$55))+INDIRECT(ADDRESS($B6,Plots!$H$3,,,Plots!$A$56))</f>
        <v>1.87</v>
      </c>
      <c r="G6" cm="1">
        <f t="array" aca="1" ref="G6" ca="1">INDIRECT(ADDRESS($B6,Plots!$H$3,,,Plots!$A$57))+INDIRECT(ADDRESS($B6,Plots!$H$3,,,Plots!$A$58))+INDIRECT(ADDRESS($B6,Plots!$H$3,,,Plots!$A$59))+INDIRECT(ADDRESS($B6,Plots!$H$3,,,Plots!$A$60))+INDIRECT(ADDRESS($B6,Plots!$H$3,,,Plots!$A$61))</f>
        <v>0</v>
      </c>
      <c r="H6" cm="1">
        <f t="array" aca="1" ref="H6" ca="1">INDIRECT(ADDRESS($B6,Plots!$H$3,,,Plots!$A$62))+INDIRECT(ADDRESS($B6,Plots!$H$3,,,Plots!$A$63))+INDIRECT(ADDRESS($B6,Plots!$H$3,,,Plots!$A$64))+INDIRECT(ADDRESS($B6,Plots!$H$3,,,Plots!$A$65))+INDIRECT(ADDRESS($B6,Plots!$H$3,,,Plots!$A$66))+INDIRECT(ADDRESS($B6,Plots!$H$3,,,Plots!$A$67))</f>
        <v>0</v>
      </c>
      <c r="L6" cm="1">
        <f t="array" aca="1" ref="L6" ca="1">INDIRECT(ADDRESS($B6,Plots!$H$4,,,Plots!$A$47))</f>
        <v>0</v>
      </c>
      <c r="M6" cm="1">
        <f t="array" aca="1" ref="M6" ca="1">INDIRECT(ADDRESS($B6,Plots!$H$4,,,Plots!$A$48))+INDIRECT(ADDRESS($B6,Plots!$H$4,,,Plots!$A$49))</f>
        <v>0</v>
      </c>
      <c r="N6" cm="1">
        <f t="array" aca="1" ref="N6" ca="1">INDIRECT(ADDRESS($B6,Plots!$H$4,,,Plots!$A$50))+INDIRECT(ADDRESS($B6,Plots!$H$4,,,Plots!$A$51))+INDIRECT(ADDRESS($B6,Plots!$H$4,,,Plots!$A$52))</f>
        <v>0</v>
      </c>
      <c r="O6" cm="1">
        <f t="array" aca="1" ref="O6" ca="1">INDIRECT(ADDRESS($B6,Plots!$H$4,,,Plots!$A$53))+INDIRECT(ADDRESS($B6,Plots!$H$4,,,Plots!$A$54))+INDIRECT(ADDRESS($B6,Plots!$H$4,,,Plots!$A$55))+INDIRECT(ADDRESS($B6,Plots!$H$4,,,Plots!$A$56))</f>
        <v>0</v>
      </c>
      <c r="P6" cm="1">
        <f t="array" aca="1" ref="P6" ca="1">INDIRECT(ADDRESS($B6,Plots!$H$4,,,Plots!$A$57))+INDIRECT(ADDRESS($B6,Plots!$H$4,,,Plots!$A$58))+INDIRECT(ADDRESS($B6,Plots!$H$4,,,Plots!$A$59))+INDIRECT(ADDRESS($B6,Plots!$H$4,,,Plots!$A$60))+INDIRECT(ADDRESS($B6,Plots!$H$4,,,Plots!$A$61))</f>
        <v>0</v>
      </c>
      <c r="Q6" cm="1">
        <f t="array" aca="1" ref="Q6" ca="1">INDIRECT(ADDRESS($B6,Plots!$H$4,,,Plots!$A$62))+INDIRECT(ADDRESS($B6,Plots!$H$4,,,Plots!$A$63))+INDIRECT(ADDRESS($B6,Plots!$H$4,,,Plots!$A$64))+INDIRECT(ADDRESS($B6,Plots!$H$4,,,Plots!$A$65))+INDIRECT(ADDRESS($B6,Plots!$H$4,,,Plots!$A$66))+INDIRECT(ADDRESS($B6,Plots!$H$4,,,Plots!$A$67))</f>
        <v>0</v>
      </c>
      <c r="R6">
        <f>'AARnetCBR-CamDTN1_tcpmon_ts_81'!I6+'AARnetCBR-CamDTN1_tcpmon_ts_82'!I6+'AARnetCBR-CamDTN1_tcpmon_ts_83'!I6+'AARnetCBR-CamDTN1_tcpmon_ts_84'!I6+'AARnetCBR-CamDTN1_tcpmon_ts_85'!I6+'AARnetCBR-CamDTN1_tcpmon_ts_86'!I6+'AARnetCBR-CamDTN1_tcpmon_ts_87'!I6+'AARnetCBR-CamDTN1_tcpmon_ts_88'!I6</f>
        <v>0</v>
      </c>
    </row>
    <row r="7" spans="1:32">
      <c r="A7" t="str">
        <f>'AARnetCBR-CamDTN1_tcpmon_ts_11'!A7</f>
        <v>Defaults</v>
      </c>
      <c r="B7">
        <f t="shared" si="0"/>
        <v>16</v>
      </c>
      <c r="C7" cm="1">
        <f t="array" aca="1" ref="C7" ca="1">INDIRECT(ADDRESS($B7,Plots!$H$3,,,Plots!$A$47))</f>
        <v>0.05</v>
      </c>
      <c r="D7" cm="1">
        <f t="array" aca="1" ref="D7" ca="1">INDIRECT(ADDRESS($B7,Plots!$H$3,,,Plots!$A$48))+INDIRECT(ADDRESS($B7,Plots!$H$3,,,Plots!$A$49))</f>
        <v>2.52</v>
      </c>
      <c r="E7" cm="1">
        <f t="array" aca="1" ref="E7" ca="1">INDIRECT(ADDRESS($B7,Plots!$H$3,,,Plots!$A$50))+INDIRECT(ADDRESS($B7,Plots!$H$3,,,Plots!$A$51))+INDIRECT(ADDRESS($B7,Plots!$H$3,,,Plots!$A$52))</f>
        <v>2.23</v>
      </c>
      <c r="F7" cm="1">
        <f t="array" aca="1" ref="F7" ca="1">INDIRECT(ADDRESS($B7,Plots!$H$3,,,Plots!$A$53))+INDIRECT(ADDRESS($B7,Plots!$H$3,,,Plots!$A$54))+INDIRECT(ADDRESS($B7,Plots!$H$3,,,Plots!$A$55))+INDIRECT(ADDRESS($B7,Plots!$H$3,,,Plots!$A$56))</f>
        <v>3.09</v>
      </c>
      <c r="G7" cm="1">
        <f t="array" aca="1" ref="G7" ca="1">INDIRECT(ADDRESS($B7,Plots!$H$3,,,Plots!$A$57))+INDIRECT(ADDRESS($B7,Plots!$H$3,,,Plots!$A$58))+INDIRECT(ADDRESS($B7,Plots!$H$3,,,Plots!$A$59))+INDIRECT(ADDRESS($B7,Plots!$H$3,,,Plots!$A$60))+INDIRECT(ADDRESS($B7,Plots!$H$3,,,Plots!$A$61))</f>
        <v>0</v>
      </c>
      <c r="H7" cm="1">
        <f t="array" aca="1" ref="H7" ca="1">INDIRECT(ADDRESS($B7,Plots!$H$3,,,Plots!$A$62))+INDIRECT(ADDRESS($B7,Plots!$H$3,,,Plots!$A$63))+INDIRECT(ADDRESS($B7,Plots!$H$3,,,Plots!$A$64))+INDIRECT(ADDRESS($B7,Plots!$H$3,,,Plots!$A$65))+INDIRECT(ADDRESS($B7,Plots!$H$3,,,Plots!$A$66))+INDIRECT(ADDRESS($B7,Plots!$H$3,,,Plots!$A$67))</f>
        <v>0</v>
      </c>
      <c r="L7" cm="1">
        <f t="array" aca="1" ref="L7" ca="1">INDIRECT(ADDRESS($B7,Plots!$H$4,,,Plots!$A$47))</f>
        <v>0</v>
      </c>
      <c r="M7" cm="1">
        <f t="array" aca="1" ref="M7" ca="1">INDIRECT(ADDRESS($B7,Plots!$H$4,,,Plots!$A$48))+INDIRECT(ADDRESS($B7,Plots!$H$4,,,Plots!$A$49))</f>
        <v>0</v>
      </c>
      <c r="N7" cm="1">
        <f t="array" aca="1" ref="N7" ca="1">INDIRECT(ADDRESS($B7,Plots!$H$4,,,Plots!$A$50))+INDIRECT(ADDRESS($B7,Plots!$H$4,,,Plots!$A$51))+INDIRECT(ADDRESS($B7,Plots!$H$4,,,Plots!$A$52))</f>
        <v>0</v>
      </c>
      <c r="O7" cm="1">
        <f t="array" aca="1" ref="O7" ca="1">INDIRECT(ADDRESS($B7,Plots!$H$4,,,Plots!$A$53))+INDIRECT(ADDRESS($B7,Plots!$H$4,,,Plots!$A$54))+INDIRECT(ADDRESS($B7,Plots!$H$4,,,Plots!$A$55))+INDIRECT(ADDRESS($B7,Plots!$H$4,,,Plots!$A$56))</f>
        <v>0</v>
      </c>
      <c r="P7" cm="1">
        <f t="array" aca="1" ref="P7" ca="1">INDIRECT(ADDRESS($B7,Plots!$H$4,,,Plots!$A$57))+INDIRECT(ADDRESS($B7,Plots!$H$4,,,Plots!$A$58))+INDIRECT(ADDRESS($B7,Plots!$H$4,,,Plots!$A$59))+INDIRECT(ADDRESS($B7,Plots!$H$4,,,Plots!$A$60))+INDIRECT(ADDRESS($B7,Plots!$H$4,,,Plots!$A$61))</f>
        <v>0</v>
      </c>
      <c r="Q7" cm="1">
        <f t="array" aca="1" ref="Q7" ca="1">INDIRECT(ADDRESS($B7,Plots!$H$4,,,Plots!$A$62))+INDIRECT(ADDRESS($B7,Plots!$H$4,,,Plots!$A$63))+INDIRECT(ADDRESS($B7,Plots!$H$4,,,Plots!$A$64))+INDIRECT(ADDRESS($B7,Plots!$H$4,,,Plots!$A$65))+INDIRECT(ADDRESS($B7,Plots!$H$4,,,Plots!$A$66))+INDIRECT(ADDRESS($B7,Plots!$H$4,,,Plots!$A$67))</f>
        <v>0</v>
      </c>
      <c r="R7">
        <f>'AARnetCBR-CamDTN1_tcpmon_ts_81'!I7+'AARnetCBR-CamDTN1_tcpmon_ts_82'!I7+'AARnetCBR-CamDTN1_tcpmon_ts_83'!I7+'AARnetCBR-CamDTN1_tcpmon_ts_84'!I7+'AARnetCBR-CamDTN1_tcpmon_ts_85'!I7+'AARnetCBR-CamDTN1_tcpmon_ts_86'!I7+'AARnetCBR-CamDTN1_tcpmon_ts_87'!I7+'AARnetCBR-CamDTN1_tcpmon_ts_88'!I7</f>
        <v>0</v>
      </c>
    </row>
    <row r="8" spans="1:32">
      <c r="A8" t="str">
        <f>'AARnetCBR-CamDTN1_tcpmon_ts_11'!A8</f>
        <v>Settings</v>
      </c>
      <c r="B8">
        <f t="shared" si="0"/>
        <v>17</v>
      </c>
      <c r="C8" cm="1">
        <f t="array" aca="1" ref="C8" ca="1">INDIRECT(ADDRESS($B8,Plots!$H$3,,,Plots!$A$47))</f>
        <v>0.08</v>
      </c>
      <c r="D8" cm="1">
        <f t="array" aca="1" ref="D8" ca="1">INDIRECT(ADDRESS($B8,Plots!$H$3,,,Plots!$A$48))+INDIRECT(ADDRESS($B8,Plots!$H$3,,,Plots!$A$49))</f>
        <v>3.72</v>
      </c>
      <c r="E8" cm="1">
        <f t="array" aca="1" ref="E8" ca="1">INDIRECT(ADDRESS($B8,Plots!$H$3,,,Plots!$A$50))+INDIRECT(ADDRESS($B8,Plots!$H$3,,,Plots!$A$51))+INDIRECT(ADDRESS($B8,Plots!$H$3,,,Plots!$A$52))</f>
        <v>3.3000000000000003</v>
      </c>
      <c r="F8" cm="1">
        <f t="array" aca="1" ref="F8" ca="1">INDIRECT(ADDRESS($B8,Plots!$H$3,,,Plots!$A$53))+INDIRECT(ADDRESS($B8,Plots!$H$3,,,Plots!$A$54))+INDIRECT(ADDRESS($B8,Plots!$H$3,,,Plots!$A$55))+INDIRECT(ADDRESS($B8,Plots!$H$3,,,Plots!$A$56))</f>
        <v>4.57</v>
      </c>
      <c r="G8" cm="1">
        <f t="array" aca="1" ref="G8" ca="1">INDIRECT(ADDRESS($B8,Plots!$H$3,,,Plots!$A$57))+INDIRECT(ADDRESS($B8,Plots!$H$3,,,Plots!$A$58))+INDIRECT(ADDRESS($B8,Plots!$H$3,,,Plots!$A$59))+INDIRECT(ADDRESS($B8,Plots!$H$3,,,Plots!$A$60))+INDIRECT(ADDRESS($B8,Plots!$H$3,,,Plots!$A$61))</f>
        <v>0</v>
      </c>
      <c r="H8" cm="1">
        <f t="array" aca="1" ref="H8" ca="1">INDIRECT(ADDRESS($B8,Plots!$H$3,,,Plots!$A$62))+INDIRECT(ADDRESS($B8,Plots!$H$3,,,Plots!$A$63))+INDIRECT(ADDRESS($B8,Plots!$H$3,,,Plots!$A$64))+INDIRECT(ADDRESS($B8,Plots!$H$3,,,Plots!$A$65))+INDIRECT(ADDRESS($B8,Plots!$H$3,,,Plots!$A$66))+INDIRECT(ADDRESS($B8,Plots!$H$3,,,Plots!$A$67))</f>
        <v>0</v>
      </c>
      <c r="L8" cm="1">
        <f t="array" aca="1" ref="L8" ca="1">INDIRECT(ADDRESS($B8,Plots!$H$4,,,Plots!$A$47))</f>
        <v>0</v>
      </c>
      <c r="M8" cm="1">
        <f t="array" aca="1" ref="M8" ca="1">INDIRECT(ADDRESS($B8,Plots!$H$4,,,Plots!$A$48))+INDIRECT(ADDRESS($B8,Plots!$H$4,,,Plots!$A$49))</f>
        <v>0</v>
      </c>
      <c r="N8" cm="1">
        <f t="array" aca="1" ref="N8" ca="1">INDIRECT(ADDRESS($B8,Plots!$H$4,,,Plots!$A$50))+INDIRECT(ADDRESS($B8,Plots!$H$4,,,Plots!$A$51))+INDIRECT(ADDRESS($B8,Plots!$H$4,,,Plots!$A$52))</f>
        <v>0</v>
      </c>
      <c r="O8" cm="1">
        <f t="array" aca="1" ref="O8" ca="1">INDIRECT(ADDRESS($B8,Plots!$H$4,,,Plots!$A$53))+INDIRECT(ADDRESS($B8,Plots!$H$4,,,Plots!$A$54))+INDIRECT(ADDRESS($B8,Plots!$H$4,,,Plots!$A$55))+INDIRECT(ADDRESS($B8,Plots!$H$4,,,Plots!$A$56))</f>
        <v>0</v>
      </c>
      <c r="P8" cm="1">
        <f t="array" aca="1" ref="P8" ca="1">INDIRECT(ADDRESS($B8,Plots!$H$4,,,Plots!$A$57))+INDIRECT(ADDRESS($B8,Plots!$H$4,,,Plots!$A$58))+INDIRECT(ADDRESS($B8,Plots!$H$4,,,Plots!$A$59))+INDIRECT(ADDRESS($B8,Plots!$H$4,,,Plots!$A$60))+INDIRECT(ADDRESS($B8,Plots!$H$4,,,Plots!$A$61))</f>
        <v>0</v>
      </c>
      <c r="Q8" cm="1">
        <f t="array" aca="1" ref="Q8" ca="1">INDIRECT(ADDRESS($B8,Plots!$H$4,,,Plots!$A$62))+INDIRECT(ADDRESS($B8,Plots!$H$4,,,Plots!$A$63))+INDIRECT(ADDRESS($B8,Plots!$H$4,,,Plots!$A$64))+INDIRECT(ADDRESS($B8,Plots!$H$4,,,Plots!$A$65))+INDIRECT(ADDRESS($B8,Plots!$H$4,,,Plots!$A$66))+INDIRECT(ADDRESS($B8,Plots!$H$4,,,Plots!$A$67))</f>
        <v>0</v>
      </c>
      <c r="R8">
        <f>'AARnetCBR-CamDTN1_tcpmon_ts_81'!I8+'AARnetCBR-CamDTN1_tcpmon_ts_82'!I8+'AARnetCBR-CamDTN1_tcpmon_ts_83'!I8+'AARnetCBR-CamDTN1_tcpmon_ts_84'!I8+'AARnetCBR-CamDTN1_tcpmon_ts_85'!I8+'AARnetCBR-CamDTN1_tcpmon_ts_86'!I8+'AARnetCBR-CamDTN1_tcpmon_ts_87'!I8+'AARnetCBR-CamDTN1_tcpmon_ts_88'!I8</f>
        <v>0</v>
      </c>
    </row>
    <row r="9" spans="1:32">
      <c r="A9" t="str">
        <f>'AARnetCBR-CamDTN1_tcpmon_ts_11'!A9</f>
        <v xml:space="preserve"> The destination IP name</v>
      </c>
      <c r="B9">
        <f t="shared" si="0"/>
        <v>18</v>
      </c>
      <c r="C9" cm="1">
        <f t="array" aca="1" ref="C9" ca="1">INDIRECT(ADDRESS($B9,Plots!$H$3,,,Plots!$A$47))</f>
        <v>0.15</v>
      </c>
      <c r="D9" cm="1">
        <f t="array" aca="1" ref="D9" ca="1">INDIRECT(ADDRESS($B9,Plots!$H$3,,,Plots!$A$48))+INDIRECT(ADDRESS($B9,Plots!$H$3,,,Plots!$A$49))</f>
        <v>5.6099999999999994</v>
      </c>
      <c r="E9" cm="1">
        <f t="array" aca="1" ref="E9" ca="1">INDIRECT(ADDRESS($B9,Plots!$H$3,,,Plots!$A$50))+INDIRECT(ADDRESS($B9,Plots!$H$3,,,Plots!$A$51))+INDIRECT(ADDRESS($B9,Plots!$H$3,,,Plots!$A$52))</f>
        <v>4.9700000000000006</v>
      </c>
      <c r="F9" cm="1">
        <f t="array" aca="1" ref="F9" ca="1">INDIRECT(ADDRESS($B9,Plots!$H$3,,,Plots!$A$53))+INDIRECT(ADDRESS($B9,Plots!$H$3,,,Plots!$A$54))+INDIRECT(ADDRESS($B9,Plots!$H$3,,,Plots!$A$55))+INDIRECT(ADDRESS($B9,Plots!$H$3,,,Plots!$A$56))</f>
        <v>6.9700000000000006</v>
      </c>
      <c r="G9" cm="1">
        <f t="array" aca="1" ref="G9" ca="1">INDIRECT(ADDRESS($B9,Plots!$H$3,,,Plots!$A$57))+INDIRECT(ADDRESS($B9,Plots!$H$3,,,Plots!$A$58))+INDIRECT(ADDRESS($B9,Plots!$H$3,,,Plots!$A$59))+INDIRECT(ADDRESS($B9,Plots!$H$3,,,Plots!$A$60))+INDIRECT(ADDRESS($B9,Plots!$H$3,,,Plots!$A$61))</f>
        <v>0</v>
      </c>
      <c r="H9" cm="1">
        <f t="array" aca="1" ref="H9" ca="1">INDIRECT(ADDRESS($B9,Plots!$H$3,,,Plots!$A$62))+INDIRECT(ADDRESS($B9,Plots!$H$3,,,Plots!$A$63))+INDIRECT(ADDRESS($B9,Plots!$H$3,,,Plots!$A$64))+INDIRECT(ADDRESS($B9,Plots!$H$3,,,Plots!$A$65))+INDIRECT(ADDRESS($B9,Plots!$H$3,,,Plots!$A$66))+INDIRECT(ADDRESS($B9,Plots!$H$3,,,Plots!$A$67))</f>
        <v>0</v>
      </c>
      <c r="I9">
        <f>'AARnetCBR-CamDTN1_tcpmon_ts_81'!F9+'AARnetCBR-CamDTN1_tcpmon_ts_82'!F9+'AARnetCBR-CamDTN1_tcpmon_ts_83'!F9+'AARnetCBR-CamDTN1_tcpmon_ts_84'!F9+'AARnetCBR-CamDTN1_tcpmon_ts_85'!F9+'AARnetCBR-CamDTN1_tcpmon_ts_86'!F9+'AARnetCBR-CamDTN1_tcpmon_ts_87'!F9+'AARnetCBR-CamDTN1_tcpmon_ts_88'!F9</f>
        <v>0</v>
      </c>
      <c r="L9" cm="1">
        <f t="array" aca="1" ref="L9" ca="1">INDIRECT(ADDRESS($B9,Plots!$H$4,,,Plots!$A$47))</f>
        <v>0</v>
      </c>
      <c r="M9" cm="1">
        <f t="array" aca="1" ref="M9" ca="1">INDIRECT(ADDRESS($B9,Plots!$H$4,,,Plots!$A$48))+INDIRECT(ADDRESS($B9,Plots!$H$4,,,Plots!$A$49))</f>
        <v>0</v>
      </c>
      <c r="N9" cm="1">
        <f t="array" aca="1" ref="N9" ca="1">INDIRECT(ADDRESS($B9,Plots!$H$4,,,Plots!$A$50))+INDIRECT(ADDRESS($B9,Plots!$H$4,,,Plots!$A$51))+INDIRECT(ADDRESS($B9,Plots!$H$4,,,Plots!$A$52))</f>
        <v>0</v>
      </c>
      <c r="O9" cm="1">
        <f t="array" aca="1" ref="O9" ca="1">INDIRECT(ADDRESS($B9,Plots!$H$4,,,Plots!$A$53))+INDIRECT(ADDRESS($B9,Plots!$H$4,,,Plots!$A$54))+INDIRECT(ADDRESS($B9,Plots!$H$4,,,Plots!$A$55))+INDIRECT(ADDRESS($B9,Plots!$H$4,,,Plots!$A$56))</f>
        <v>0</v>
      </c>
      <c r="P9" cm="1">
        <f t="array" aca="1" ref="P9" ca="1">INDIRECT(ADDRESS($B9,Plots!$H$4,,,Plots!$A$57))+INDIRECT(ADDRESS($B9,Plots!$H$4,,,Plots!$A$58))+INDIRECT(ADDRESS($B9,Plots!$H$4,,,Plots!$A$59))+INDIRECT(ADDRESS($B9,Plots!$H$4,,,Plots!$A$60))+INDIRECT(ADDRESS($B9,Plots!$H$4,,,Plots!$A$61))</f>
        <v>0</v>
      </c>
      <c r="Q9" cm="1">
        <f t="array" aca="1" ref="Q9" ca="1">INDIRECT(ADDRESS($B9,Plots!$H$4,,,Plots!$A$62))+INDIRECT(ADDRESS($B9,Plots!$H$4,,,Plots!$A$63))+INDIRECT(ADDRESS($B9,Plots!$H$4,,,Plots!$A$64))+INDIRECT(ADDRESS($B9,Plots!$H$4,,,Plots!$A$65))+INDIRECT(ADDRESS($B9,Plots!$H$4,,,Plots!$A$66))+INDIRECT(ADDRESS($B9,Plots!$H$4,,,Plots!$A$67))</f>
        <v>0</v>
      </c>
      <c r="R9">
        <f>'AARnetCBR-CamDTN1_tcpmon_ts_81'!I9+'AARnetCBR-CamDTN1_tcpmon_ts_82'!I9+'AARnetCBR-CamDTN1_tcpmon_ts_83'!I9+'AARnetCBR-CamDTN1_tcpmon_ts_84'!I9+'AARnetCBR-CamDTN1_tcpmon_ts_85'!I9+'AARnetCBR-CamDTN1_tcpmon_ts_86'!I9+'AARnetCBR-CamDTN1_tcpmon_ts_87'!I9+'AARnetCBR-CamDTN1_tcpmon_ts_88'!I9</f>
        <v>0</v>
      </c>
    </row>
    <row r="10" spans="1:32">
      <c r="A10" t="str">
        <f>'AARnetCBR-CamDTN1_tcpmon_ts_11'!A10</f>
        <v xml:space="preserve"> The destination TCP port is   5201 1451</v>
      </c>
      <c r="B10">
        <f t="shared" si="0"/>
        <v>19</v>
      </c>
      <c r="C10" cm="1">
        <f t="array" aca="1" ref="C10" ca="1">INDIRECT(ADDRESS($B10,Plots!$H$3,,,Plots!$A$47))</f>
        <v>0.24</v>
      </c>
      <c r="D10" cm="1">
        <f t="array" aca="1" ref="D10" ca="1">INDIRECT(ADDRESS($B10,Plots!$H$3,,,Plots!$A$48))+INDIRECT(ADDRESS($B10,Plots!$H$3,,,Plots!$A$49))</f>
        <v>8.34</v>
      </c>
      <c r="E10" cm="1">
        <f t="array" aca="1" ref="E10" ca="1">INDIRECT(ADDRESS($B10,Plots!$H$3,,,Plots!$A$50))+INDIRECT(ADDRESS($B10,Plots!$H$3,,,Plots!$A$51))+INDIRECT(ADDRESS($B10,Plots!$H$3,,,Plots!$A$52))</f>
        <v>7.37</v>
      </c>
      <c r="F10" cm="1">
        <f t="array" aca="1" ref="F10" ca="1">INDIRECT(ADDRESS($B10,Plots!$H$3,,,Plots!$A$53))+INDIRECT(ADDRESS($B10,Plots!$H$3,,,Plots!$A$54))+INDIRECT(ADDRESS($B10,Plots!$H$3,,,Plots!$A$55))+INDIRECT(ADDRESS($B10,Plots!$H$3,,,Plots!$A$56))</f>
        <v>9.7100000000000009</v>
      </c>
      <c r="G10" cm="1">
        <f t="array" aca="1" ref="G10" ca="1">INDIRECT(ADDRESS($B10,Plots!$H$3,,,Plots!$A$57))+INDIRECT(ADDRESS($B10,Plots!$H$3,,,Plots!$A$58))+INDIRECT(ADDRESS($B10,Plots!$H$3,,,Plots!$A$59))+INDIRECT(ADDRESS($B10,Plots!$H$3,,,Plots!$A$60))+INDIRECT(ADDRESS($B10,Plots!$H$3,,,Plots!$A$61))</f>
        <v>0</v>
      </c>
      <c r="H10" cm="1">
        <f t="array" aca="1" ref="H10" ca="1">INDIRECT(ADDRESS($B10,Plots!$H$3,,,Plots!$A$62))+INDIRECT(ADDRESS($B10,Plots!$H$3,,,Plots!$A$63))+INDIRECT(ADDRESS($B10,Plots!$H$3,,,Plots!$A$64))+INDIRECT(ADDRESS($B10,Plots!$H$3,,,Plots!$A$65))+INDIRECT(ADDRESS($B10,Plots!$H$3,,,Plots!$A$66))+INDIRECT(ADDRESS($B10,Plots!$H$3,,,Plots!$A$67))</f>
        <v>0</v>
      </c>
      <c r="I10">
        <f>'AARnetCBR-CamDTN1_tcpmon_ts_81'!F10+'AARnetCBR-CamDTN1_tcpmon_ts_82'!F10+'AARnetCBR-CamDTN1_tcpmon_ts_83'!F10+'AARnetCBR-CamDTN1_tcpmon_ts_84'!F10+'AARnetCBR-CamDTN1_tcpmon_ts_85'!F10+'AARnetCBR-CamDTN1_tcpmon_ts_86'!F10+'AARnetCBR-CamDTN1_tcpmon_ts_87'!F10+'AARnetCBR-CamDTN1_tcpmon_ts_88'!F10</f>
        <v>0</v>
      </c>
      <c r="L10" cm="1">
        <f t="array" aca="1" ref="L10" ca="1">INDIRECT(ADDRESS($B10,Plots!$H$4,,,Plots!$A$47))</f>
        <v>0</v>
      </c>
      <c r="M10" cm="1">
        <f t="array" aca="1" ref="M10" ca="1">INDIRECT(ADDRESS($B10,Plots!$H$4,,,Plots!$A$48))+INDIRECT(ADDRESS($B10,Plots!$H$4,,,Plots!$A$49))</f>
        <v>0</v>
      </c>
      <c r="N10" cm="1">
        <f t="array" aca="1" ref="N10" ca="1">INDIRECT(ADDRESS($B10,Plots!$H$4,,,Plots!$A$50))+INDIRECT(ADDRESS($B10,Plots!$H$4,,,Plots!$A$51))+INDIRECT(ADDRESS($B10,Plots!$H$4,,,Plots!$A$52))</f>
        <v>0</v>
      </c>
      <c r="O10" cm="1">
        <f t="array" aca="1" ref="O10" ca="1">INDIRECT(ADDRESS($B10,Plots!$H$4,,,Plots!$A$53))+INDIRECT(ADDRESS($B10,Plots!$H$4,,,Plots!$A$54))+INDIRECT(ADDRESS($B10,Plots!$H$4,,,Plots!$A$55))+INDIRECT(ADDRESS($B10,Plots!$H$4,,,Plots!$A$56))</f>
        <v>0</v>
      </c>
      <c r="P10" cm="1">
        <f t="array" aca="1" ref="P10" ca="1">INDIRECT(ADDRESS($B10,Plots!$H$4,,,Plots!$A$57))+INDIRECT(ADDRESS($B10,Plots!$H$4,,,Plots!$A$58))+INDIRECT(ADDRESS($B10,Plots!$H$4,,,Plots!$A$59))+INDIRECT(ADDRESS($B10,Plots!$H$4,,,Plots!$A$60))+INDIRECT(ADDRESS($B10,Plots!$H$4,,,Plots!$A$61))</f>
        <v>0</v>
      </c>
      <c r="Q10" cm="1">
        <f t="array" aca="1" ref="Q10" ca="1">INDIRECT(ADDRESS($B10,Plots!$H$4,,,Plots!$A$62))+INDIRECT(ADDRESS($B10,Plots!$H$4,,,Plots!$A$63))+INDIRECT(ADDRESS($B10,Plots!$H$4,,,Plots!$A$64))+INDIRECT(ADDRESS($B10,Plots!$H$4,,,Plots!$A$65))+INDIRECT(ADDRESS($B10,Plots!$H$4,,,Plots!$A$66))+INDIRECT(ADDRESS($B10,Plots!$H$4,,,Plots!$A$67))</f>
        <v>0</v>
      </c>
      <c r="R10">
        <f>'AARnetCBR-CamDTN1_tcpmon_ts_81'!I10+'AARnetCBR-CamDTN1_tcpmon_ts_82'!I10+'AARnetCBR-CamDTN1_tcpmon_ts_83'!I10+'AARnetCBR-CamDTN1_tcpmon_ts_84'!I10+'AARnetCBR-CamDTN1_tcpmon_ts_85'!I10+'AARnetCBR-CamDTN1_tcpmon_ts_86'!I10+'AARnetCBR-CamDTN1_tcpmon_ts_87'!I10+'AARnetCBR-CamDTN1_tcpmon_ts_88'!I10</f>
        <v>0</v>
      </c>
    </row>
    <row r="11" spans="1:32">
      <c r="A11" t="str">
        <f>'AARnetCBR-CamDTN1_tcpmon_ts_11'!A11</f>
        <v xml:space="preserve"> The TCP maximum segment size is   8948</v>
      </c>
      <c r="B11">
        <f t="shared" si="0"/>
        <v>20</v>
      </c>
      <c r="C11" cm="1">
        <f t="array" aca="1" ref="C11" ca="1">INDIRECT(ADDRESS($B11,Plots!$H$3,,,Plots!$A$47))</f>
        <v>0.37</v>
      </c>
      <c r="D11" cm="1">
        <f t="array" aca="1" ref="D11" ca="1">INDIRECT(ADDRESS($B11,Plots!$H$3,,,Plots!$A$48))+INDIRECT(ADDRESS($B11,Plots!$H$3,,,Plots!$A$49))</f>
        <v>11.09</v>
      </c>
      <c r="E11" cm="1">
        <f t="array" aca="1" ref="E11" ca="1">INDIRECT(ADDRESS($B11,Plots!$H$3,,,Plots!$A$50))+INDIRECT(ADDRESS($B11,Plots!$H$3,,,Plots!$A$51))+INDIRECT(ADDRESS($B11,Plots!$H$3,,,Plots!$A$52))</f>
        <v>10.129999999999999</v>
      </c>
      <c r="F11" cm="1">
        <f t="array" aca="1" ref="F11" ca="1">INDIRECT(ADDRESS($B11,Plots!$H$3,,,Plots!$A$53))+INDIRECT(ADDRESS($B11,Plots!$H$3,,,Plots!$A$54))+INDIRECT(ADDRESS($B11,Plots!$H$3,,,Plots!$A$55))+INDIRECT(ADDRESS($B11,Plots!$H$3,,,Plots!$A$56))</f>
        <v>13.67</v>
      </c>
      <c r="G11" cm="1">
        <f t="array" aca="1" ref="G11" ca="1">INDIRECT(ADDRESS($B11,Plots!$H$3,,,Plots!$A$57))+INDIRECT(ADDRESS($B11,Plots!$H$3,,,Plots!$A$58))+INDIRECT(ADDRESS($B11,Plots!$H$3,,,Plots!$A$59))+INDIRECT(ADDRESS($B11,Plots!$H$3,,,Plots!$A$60))+INDIRECT(ADDRESS($B11,Plots!$H$3,,,Plots!$A$61))</f>
        <v>0</v>
      </c>
      <c r="H11" cm="1">
        <f t="array" aca="1" ref="H11" ca="1">INDIRECT(ADDRESS($B11,Plots!$H$3,,,Plots!$A$62))+INDIRECT(ADDRESS($B11,Plots!$H$3,,,Plots!$A$63))+INDIRECT(ADDRESS($B11,Plots!$H$3,,,Plots!$A$64))+INDIRECT(ADDRESS($B11,Plots!$H$3,,,Plots!$A$65))+INDIRECT(ADDRESS($B11,Plots!$H$3,,,Plots!$A$66))+INDIRECT(ADDRESS($B11,Plots!$H$3,,,Plots!$A$67))</f>
        <v>0</v>
      </c>
      <c r="I11">
        <f>'AARnetCBR-CamDTN1_tcpmon_ts_81'!F11+'AARnetCBR-CamDTN1_tcpmon_ts_82'!F11+'AARnetCBR-CamDTN1_tcpmon_ts_83'!F11+'AARnetCBR-CamDTN1_tcpmon_ts_84'!F11+'AARnetCBR-CamDTN1_tcpmon_ts_85'!F11+'AARnetCBR-CamDTN1_tcpmon_ts_86'!F11+'AARnetCBR-CamDTN1_tcpmon_ts_87'!F11+'AARnetCBR-CamDTN1_tcpmon_ts_88'!F11</f>
        <v>0</v>
      </c>
      <c r="L11" cm="1">
        <f t="array" aca="1" ref="L11" ca="1">INDIRECT(ADDRESS($B11,Plots!$H$4,,,Plots!$A$47))</f>
        <v>0</v>
      </c>
      <c r="M11" cm="1">
        <f t="array" aca="1" ref="M11" ca="1">INDIRECT(ADDRESS($B11,Plots!$H$4,,,Plots!$A$48))+INDIRECT(ADDRESS($B11,Plots!$H$4,,,Plots!$A$49))</f>
        <v>0</v>
      </c>
      <c r="N11" cm="1">
        <f t="array" aca="1" ref="N11" ca="1">INDIRECT(ADDRESS($B11,Plots!$H$4,,,Plots!$A$50))+INDIRECT(ADDRESS($B11,Plots!$H$4,,,Plots!$A$51))+INDIRECT(ADDRESS($B11,Plots!$H$4,,,Plots!$A$52))</f>
        <v>0</v>
      </c>
      <c r="O11" cm="1">
        <f t="array" aca="1" ref="O11" ca="1">INDIRECT(ADDRESS($B11,Plots!$H$4,,,Plots!$A$53))+INDIRECT(ADDRESS($B11,Plots!$H$4,,,Plots!$A$54))+INDIRECT(ADDRESS($B11,Plots!$H$4,,,Plots!$A$55))+INDIRECT(ADDRESS($B11,Plots!$H$4,,,Plots!$A$56))</f>
        <v>0</v>
      </c>
      <c r="P11" cm="1">
        <f t="array" aca="1" ref="P11" ca="1">INDIRECT(ADDRESS($B11,Plots!$H$4,,,Plots!$A$57))+INDIRECT(ADDRESS($B11,Plots!$H$4,,,Plots!$A$58))+INDIRECT(ADDRESS($B11,Plots!$H$4,,,Plots!$A$59))+INDIRECT(ADDRESS($B11,Plots!$H$4,,,Plots!$A$60))+INDIRECT(ADDRESS($B11,Plots!$H$4,,,Plots!$A$61))</f>
        <v>0</v>
      </c>
      <c r="Q11" cm="1">
        <f t="array" aca="1" ref="Q11" ca="1">INDIRECT(ADDRESS($B11,Plots!$H$4,,,Plots!$A$62))+INDIRECT(ADDRESS($B11,Plots!$H$4,,,Plots!$A$63))+INDIRECT(ADDRESS($B11,Plots!$H$4,,,Plots!$A$64))+INDIRECT(ADDRESS($B11,Plots!$H$4,,,Plots!$A$65))+INDIRECT(ADDRESS($B11,Plots!$H$4,,,Plots!$A$66))+INDIRECT(ADDRESS($B11,Plots!$H$4,,,Plots!$A$67))</f>
        <v>0</v>
      </c>
      <c r="R11">
        <f>'AARnetCBR-CamDTN1_tcpmon_ts_81'!I11+'AARnetCBR-CamDTN1_tcpmon_ts_82'!I11+'AARnetCBR-CamDTN1_tcpmon_ts_83'!I11+'AARnetCBR-CamDTN1_tcpmon_ts_84'!I11+'AARnetCBR-CamDTN1_tcpmon_ts_85'!I11+'AARnetCBR-CamDTN1_tcpmon_ts_86'!I11+'AARnetCBR-CamDTN1_tcpmon_ts_87'!I11+'AARnetCBR-CamDTN1_tcpmon_ts_88'!I11</f>
        <v>0</v>
      </c>
    </row>
    <row r="12" spans="1:32">
      <c r="A12" t="str">
        <f>'AARnetCBR-CamDTN1_tcpmon_ts_11'!A12</f>
        <v>Time</v>
      </c>
      <c r="B12">
        <f t="shared" si="0"/>
        <v>21</v>
      </c>
      <c r="C12" cm="1">
        <f t="array" aca="1" ref="C12" ca="1">INDIRECT(ADDRESS($B12,Plots!$H$3,,,Plots!$A$47))</f>
        <v>0.55000000000000004</v>
      </c>
      <c r="D12" cm="1">
        <f t="array" aca="1" ref="D12" ca="1">INDIRECT(ADDRESS($B12,Plots!$H$3,,,Plots!$A$48))+INDIRECT(ADDRESS($B12,Plots!$H$3,,,Plots!$A$49))</f>
        <v>17.21</v>
      </c>
      <c r="E12" cm="1">
        <f t="array" aca="1" ref="E12" ca="1">INDIRECT(ADDRESS($B12,Plots!$H$3,,,Plots!$A$50))+INDIRECT(ADDRESS($B12,Plots!$H$3,,,Plots!$A$51))+INDIRECT(ADDRESS($B12,Plots!$H$3,,,Plots!$A$52))</f>
        <v>15.05</v>
      </c>
      <c r="F12" cm="1">
        <f t="array" aca="1" ref="F12" ca="1">INDIRECT(ADDRESS($B12,Plots!$H$3,,,Plots!$A$53))+INDIRECT(ADDRESS($B12,Plots!$H$3,,,Plots!$A$54))+INDIRECT(ADDRESS($B12,Plots!$H$3,,,Plots!$A$55))+INDIRECT(ADDRESS($B12,Plots!$H$3,,,Plots!$A$56))</f>
        <v>20.830000000000002</v>
      </c>
      <c r="G12" cm="1">
        <f t="array" aca="1" ref="G12" ca="1">INDIRECT(ADDRESS($B12,Plots!$H$3,,,Plots!$A$57))+INDIRECT(ADDRESS($B12,Plots!$H$3,,,Plots!$A$58))+INDIRECT(ADDRESS($B12,Plots!$H$3,,,Plots!$A$59))+INDIRECT(ADDRESS($B12,Plots!$H$3,,,Plots!$A$60))+INDIRECT(ADDRESS($B12,Plots!$H$3,,,Plots!$A$61))</f>
        <v>0</v>
      </c>
      <c r="H12" cm="1">
        <f t="array" aca="1" ref="H12" ca="1">INDIRECT(ADDRESS($B12,Plots!$H$3,,,Plots!$A$62))+INDIRECT(ADDRESS($B12,Plots!$H$3,,,Plots!$A$63))+INDIRECT(ADDRESS($B12,Plots!$H$3,,,Plots!$A$64))+INDIRECT(ADDRESS($B12,Plots!$H$3,,,Plots!$A$65))+INDIRECT(ADDRESS($B12,Plots!$H$3,,,Plots!$A$66))+INDIRECT(ADDRESS($B12,Plots!$H$3,,,Plots!$A$67))</f>
        <v>0</v>
      </c>
      <c r="I12">
        <f>'AARnetCBR-CamDTN1_tcpmon_ts_81'!F12+'AARnetCBR-CamDTN1_tcpmon_ts_82'!F12+'AARnetCBR-CamDTN1_tcpmon_ts_83'!F12+'AARnetCBR-CamDTN1_tcpmon_ts_84'!F12+'AARnetCBR-CamDTN1_tcpmon_ts_85'!F12+'AARnetCBR-CamDTN1_tcpmon_ts_86'!F12+'AARnetCBR-CamDTN1_tcpmon_ts_87'!F12+'AARnetCBR-CamDTN1_tcpmon_ts_88'!F12</f>
        <v>0</v>
      </c>
      <c r="L12" cm="1">
        <f t="array" aca="1" ref="L12" ca="1">INDIRECT(ADDRESS($B12,Plots!$H$4,,,Plots!$A$47))</f>
        <v>0</v>
      </c>
      <c r="M12" cm="1">
        <f t="array" aca="1" ref="M12" ca="1">INDIRECT(ADDRESS($B12,Plots!$H$4,,,Plots!$A$48))+INDIRECT(ADDRESS($B12,Plots!$H$4,,,Plots!$A$49))</f>
        <v>0</v>
      </c>
      <c r="N12" cm="1">
        <f t="array" aca="1" ref="N12" ca="1">INDIRECT(ADDRESS($B12,Plots!$H$4,,,Plots!$A$50))+INDIRECT(ADDRESS($B12,Plots!$H$4,,,Plots!$A$51))+INDIRECT(ADDRESS($B12,Plots!$H$4,,,Plots!$A$52))</f>
        <v>0</v>
      </c>
      <c r="O12" cm="1">
        <f t="array" aca="1" ref="O12" ca="1">INDIRECT(ADDRESS($B12,Plots!$H$4,,,Plots!$A$53))+INDIRECT(ADDRESS($B12,Plots!$H$4,,,Plots!$A$54))+INDIRECT(ADDRESS($B12,Plots!$H$4,,,Plots!$A$55))+INDIRECT(ADDRESS($B12,Plots!$H$4,,,Plots!$A$56))</f>
        <v>0</v>
      </c>
      <c r="P12" cm="1">
        <f t="array" aca="1" ref="P12" ca="1">INDIRECT(ADDRESS($B12,Plots!$H$4,,,Plots!$A$57))+INDIRECT(ADDRESS($B12,Plots!$H$4,,,Plots!$A$58))+INDIRECT(ADDRESS($B12,Plots!$H$4,,,Plots!$A$59))+INDIRECT(ADDRESS($B12,Plots!$H$4,,,Plots!$A$60))+INDIRECT(ADDRESS($B12,Plots!$H$4,,,Plots!$A$61))</f>
        <v>0</v>
      </c>
      <c r="Q12" cm="1">
        <f t="array" aca="1" ref="Q12" ca="1">INDIRECT(ADDRESS($B12,Plots!$H$4,,,Plots!$A$62))+INDIRECT(ADDRESS($B12,Plots!$H$4,,,Plots!$A$63))+INDIRECT(ADDRESS($B12,Plots!$H$4,,,Plots!$A$64))+INDIRECT(ADDRESS($B12,Plots!$H$4,,,Plots!$A$65))+INDIRECT(ADDRESS($B12,Plots!$H$4,,,Plots!$A$66))+INDIRECT(ADDRESS($B12,Plots!$H$4,,,Plots!$A$67))</f>
        <v>0</v>
      </c>
      <c r="R12">
        <f>'AARnetCBR-CamDTN1_tcpmon_ts_81'!I12+'AARnetCBR-CamDTN1_tcpmon_ts_82'!I12+'AARnetCBR-CamDTN1_tcpmon_ts_83'!I12+'AARnetCBR-CamDTN1_tcpmon_ts_84'!I12+'AARnetCBR-CamDTN1_tcpmon_ts_85'!I12+'AARnetCBR-CamDTN1_tcpmon_ts_86'!I12+'AARnetCBR-CamDTN1_tcpmon_ts_87'!I12+'AARnetCBR-CamDTN1_tcpmon_ts_88'!I12</f>
        <v>0</v>
      </c>
    </row>
    <row r="13" spans="1:32">
      <c r="A13">
        <f>'AARnetCBR-CamDTN1_tcpmon_ts_11'!A13</f>
        <v>2</v>
      </c>
      <c r="B13">
        <f>flowStartRow</f>
        <v>13</v>
      </c>
      <c r="C13" cm="1">
        <f t="array" aca="1" ref="C13" ca="1">INDIRECT(ADDRESS($B13,Plots!$H$3,,,Plots!$A$47))</f>
        <v>0.01</v>
      </c>
      <c r="D13" cm="1">
        <f t="array" aca="1" ref="D13" ca="1">INDIRECT(ADDRESS($B13,Plots!$H$3,,,Plots!$A$48))+INDIRECT(ADDRESS($B13,Plots!$H$3,,,Plots!$A$49))</f>
        <v>0.2</v>
      </c>
      <c r="E13" cm="1">
        <f t="array" aca="1" ref="E13" ca="1">INDIRECT(ADDRESS($B13,Plots!$H$3,,,Plots!$A$50))+INDIRECT(ADDRESS($B13,Plots!$H$3,,,Plots!$A$51))+INDIRECT(ADDRESS($B13,Plots!$H$3,,,Plots!$A$52))</f>
        <v>0.23</v>
      </c>
      <c r="F13" cm="1">
        <f t="array" aca="1" ref="F13" ca="1">INDIRECT(ADDRESS($B13,Plots!$H$3,,,Plots!$A$53))+INDIRECT(ADDRESS($B13,Plots!$H$3,,,Plots!$A$54))+INDIRECT(ADDRESS($B13,Plots!$H$3,,,Plots!$A$55))+INDIRECT(ADDRESS($B13,Plots!$H$3,,,Plots!$A$56))</f>
        <v>0.19</v>
      </c>
      <c r="G13" cm="1">
        <f t="array" aca="1" ref="G13" ca="1">INDIRECT(ADDRESS($B13,Plots!$H$3,,,Plots!$A$57))+INDIRECT(ADDRESS($B13,Plots!$H$3,,,Plots!$A$58))+INDIRECT(ADDRESS($B13,Plots!$H$3,,,Plots!$A$59))+INDIRECT(ADDRESS($B13,Plots!$H$3,,,Plots!$A$60))+INDIRECT(ADDRESS($B13,Plots!$H$3,,,Plots!$A$61))</f>
        <v>0</v>
      </c>
      <c r="H13" cm="1">
        <f t="array" aca="1" ref="H13" ca="1">INDIRECT(ADDRESS($B13,Plots!$H$3,,,Plots!$A$62))+INDIRECT(ADDRESS($B13,Plots!$H$3,,,Plots!$A$63))+INDIRECT(ADDRESS($B13,Plots!$H$3,,,Plots!$A$64))+INDIRECT(ADDRESS($B13,Plots!$H$3,,,Plots!$A$65))+INDIRECT(ADDRESS($B13,Plots!$H$3,,,Plots!$A$66))+INDIRECT(ADDRESS($B13,Plots!$H$3,,,Plots!$A$67))</f>
        <v>0</v>
      </c>
      <c r="I13">
        <f>'AARnetCBR-CamDTN1_tcpmon_ts_81'!F13+'AARnetCBR-CamDTN1_tcpmon_ts_82'!F13+'AARnetCBR-CamDTN1_tcpmon_ts_83'!F13+'AARnetCBR-CamDTN1_tcpmon_ts_84'!F13+'AARnetCBR-CamDTN1_tcpmon_ts_85'!F13+'AARnetCBR-CamDTN1_tcpmon_ts_86'!F13+'AARnetCBR-CamDTN1_tcpmon_ts_87'!F13+'AARnetCBR-CamDTN1_tcpmon_ts_88'!F13</f>
        <v>0</v>
      </c>
      <c r="L13" cm="1">
        <f t="array" aca="1" ref="L13" ca="1">INDIRECT(ADDRESS($B13,Plots!$H$4,,,Plots!$A$47))</f>
        <v>0</v>
      </c>
      <c r="M13" cm="1">
        <f t="array" aca="1" ref="M13" ca="1">INDIRECT(ADDRESS($B13,Plots!$H$4,,,Plots!$A$48))+INDIRECT(ADDRESS($B13,Plots!$H$4,,,Plots!$A$49))</f>
        <v>0</v>
      </c>
      <c r="N13" cm="1">
        <f t="array" aca="1" ref="N13" ca="1">INDIRECT(ADDRESS($B13,Plots!$H$4,,,Plots!$A$50))+INDIRECT(ADDRESS($B13,Plots!$H$4,,,Plots!$A$51))+INDIRECT(ADDRESS($B13,Plots!$H$4,,,Plots!$A$52))</f>
        <v>0</v>
      </c>
      <c r="O13" cm="1">
        <f t="array" aca="1" ref="O13" ca="1">INDIRECT(ADDRESS($B13,Plots!$H$4,,,Plots!$A$53))+INDIRECT(ADDRESS($B13,Plots!$H$4,,,Plots!$A$54))+INDIRECT(ADDRESS($B13,Plots!$H$4,,,Plots!$A$55))+INDIRECT(ADDRESS($B13,Plots!$H$4,,,Plots!$A$56))</f>
        <v>0</v>
      </c>
      <c r="P13" cm="1">
        <f t="array" aca="1" ref="P13" ca="1">INDIRECT(ADDRESS($B13,Plots!$H$4,,,Plots!$A$57))+INDIRECT(ADDRESS($B13,Plots!$H$4,,,Plots!$A$58))+INDIRECT(ADDRESS($B13,Plots!$H$4,,,Plots!$A$59))+INDIRECT(ADDRESS($B13,Plots!$H$4,,,Plots!$A$60))+INDIRECT(ADDRESS($B13,Plots!$H$4,,,Plots!$A$61))</f>
        <v>0</v>
      </c>
      <c r="Q13" cm="1">
        <f t="array" aca="1" ref="Q13" ca="1">INDIRECT(ADDRESS($B13,Plots!$H$4,,,Plots!$A$62))+INDIRECT(ADDRESS($B13,Plots!$H$4,,,Plots!$A$63))+INDIRECT(ADDRESS($B13,Plots!$H$4,,,Plots!$A$64))+INDIRECT(ADDRESS($B13,Plots!$H$4,,,Plots!$A$65))+INDIRECT(ADDRESS($B13,Plots!$H$4,,,Plots!$A$66))+INDIRECT(ADDRESS($B13,Plots!$H$4,,,Plots!$A$67))</f>
        <v>0</v>
      </c>
      <c r="R13">
        <f>'AARnetCBR-CamDTN1_tcpmon_ts_81'!I13+'AARnetCBR-CamDTN1_tcpmon_ts_82'!I13+'AARnetCBR-CamDTN1_tcpmon_ts_83'!I13+'AARnetCBR-CamDTN1_tcpmon_ts_84'!I13+'AARnetCBR-CamDTN1_tcpmon_ts_85'!I13+'AARnetCBR-CamDTN1_tcpmon_ts_86'!I13+'AARnetCBR-CamDTN1_tcpmon_ts_87'!I13+'AARnetCBR-CamDTN1_tcpmon_ts_88'!I13</f>
        <v>0</v>
      </c>
    </row>
    <row r="14" spans="1:32">
      <c r="A14">
        <f>'AARnetCBR-CamDTN1_tcpmon_ts_11'!A14</f>
        <v>4</v>
      </c>
      <c r="B14">
        <f t="shared" si="0"/>
        <v>14</v>
      </c>
      <c r="C14" cm="1">
        <f t="array" aca="1" ref="C14" ca="1">INDIRECT(ADDRESS($B14,Plots!$H$3,,,Plots!$A$47))</f>
        <v>0.02</v>
      </c>
      <c r="D14" cm="1">
        <f t="array" aca="1" ref="D14" ca="1">INDIRECT(ADDRESS($B14,Plots!$H$3,,,Plots!$A$48))+INDIRECT(ADDRESS($B14,Plots!$H$3,,,Plots!$A$49))</f>
        <v>1.37</v>
      </c>
      <c r="E14" cm="1">
        <f t="array" aca="1" ref="E14" ca="1">INDIRECT(ADDRESS($B14,Plots!$H$3,,,Plots!$A$50))+INDIRECT(ADDRESS($B14,Plots!$H$3,,,Plots!$A$51))+INDIRECT(ADDRESS($B14,Plots!$H$3,,,Plots!$A$52))</f>
        <v>1.2</v>
      </c>
      <c r="F14" cm="1">
        <f t="array" aca="1" ref="F14" ca="1">INDIRECT(ADDRESS($B14,Plots!$H$3,,,Plots!$A$53))+INDIRECT(ADDRESS($B14,Plots!$H$3,,,Plots!$A$54))+INDIRECT(ADDRESS($B14,Plots!$H$3,,,Plots!$A$55))+INDIRECT(ADDRESS($B14,Plots!$H$3,,,Plots!$A$56))</f>
        <v>1.6500000000000001</v>
      </c>
      <c r="G14" cm="1">
        <f t="array" aca="1" ref="G14" ca="1">INDIRECT(ADDRESS($B14,Plots!$H$3,,,Plots!$A$57))+INDIRECT(ADDRESS($B14,Plots!$H$3,,,Plots!$A$58))+INDIRECT(ADDRESS($B14,Plots!$H$3,,,Plots!$A$59))+INDIRECT(ADDRESS($B14,Plots!$H$3,,,Plots!$A$60))+INDIRECT(ADDRESS($B14,Plots!$H$3,,,Plots!$A$61))</f>
        <v>0</v>
      </c>
      <c r="H14" cm="1">
        <f t="array" aca="1" ref="H14" ca="1">INDIRECT(ADDRESS($B14,Plots!$H$3,,,Plots!$A$62))+INDIRECT(ADDRESS($B14,Plots!$H$3,,,Plots!$A$63))+INDIRECT(ADDRESS($B14,Plots!$H$3,,,Plots!$A$64))+INDIRECT(ADDRESS($B14,Plots!$H$3,,,Plots!$A$65))+INDIRECT(ADDRESS($B14,Plots!$H$3,,,Plots!$A$66))+INDIRECT(ADDRESS($B14,Plots!$H$3,,,Plots!$A$67))</f>
        <v>0</v>
      </c>
      <c r="I14">
        <f>'AARnetCBR-CamDTN1_tcpmon_ts_81'!F14+'AARnetCBR-CamDTN1_tcpmon_ts_82'!F14+'AARnetCBR-CamDTN1_tcpmon_ts_83'!F14+'AARnetCBR-CamDTN1_tcpmon_ts_84'!F14+'AARnetCBR-CamDTN1_tcpmon_ts_85'!F14+'AARnetCBR-CamDTN1_tcpmon_ts_86'!F14+'AARnetCBR-CamDTN1_tcpmon_ts_87'!F14+'AARnetCBR-CamDTN1_tcpmon_ts_88'!F14</f>
        <v>0</v>
      </c>
      <c r="L14" cm="1">
        <f t="array" aca="1" ref="L14" ca="1">INDIRECT(ADDRESS($B14,Plots!$H$4,,,Plots!$A$47))</f>
        <v>0</v>
      </c>
      <c r="M14" cm="1">
        <f t="array" aca="1" ref="M14" ca="1">INDIRECT(ADDRESS($B14,Plots!$H$4,,,Plots!$A$48))+INDIRECT(ADDRESS($B14,Plots!$H$4,,,Plots!$A$49))</f>
        <v>0</v>
      </c>
      <c r="N14" cm="1">
        <f t="array" aca="1" ref="N14" ca="1">INDIRECT(ADDRESS($B14,Plots!$H$4,,,Plots!$A$50))+INDIRECT(ADDRESS($B14,Plots!$H$4,,,Plots!$A$51))+INDIRECT(ADDRESS($B14,Plots!$H$4,,,Plots!$A$52))</f>
        <v>0</v>
      </c>
      <c r="O14" cm="1">
        <f t="array" aca="1" ref="O14" ca="1">INDIRECT(ADDRESS($B14,Plots!$H$4,,,Plots!$A$53))+INDIRECT(ADDRESS($B14,Plots!$H$4,,,Plots!$A$54))+INDIRECT(ADDRESS($B14,Plots!$H$4,,,Plots!$A$55))+INDIRECT(ADDRESS($B14,Plots!$H$4,,,Plots!$A$56))</f>
        <v>0</v>
      </c>
      <c r="P14" cm="1">
        <f t="array" aca="1" ref="P14" ca="1">INDIRECT(ADDRESS($B14,Plots!$H$4,,,Plots!$A$57))+INDIRECT(ADDRESS($B14,Plots!$H$4,,,Plots!$A$58))+INDIRECT(ADDRESS($B14,Plots!$H$4,,,Plots!$A$59))+INDIRECT(ADDRESS($B14,Plots!$H$4,,,Plots!$A$60))+INDIRECT(ADDRESS($B14,Plots!$H$4,,,Plots!$A$61))</f>
        <v>0</v>
      </c>
      <c r="Q14" cm="1">
        <f t="array" aca="1" ref="Q14" ca="1">INDIRECT(ADDRESS($B14,Plots!$H$4,,,Plots!$A$62))+INDIRECT(ADDRESS($B14,Plots!$H$4,,,Plots!$A$63))+INDIRECT(ADDRESS($B14,Plots!$H$4,,,Plots!$A$64))+INDIRECT(ADDRESS($B14,Plots!$H$4,,,Plots!$A$65))+INDIRECT(ADDRESS($B14,Plots!$H$4,,,Plots!$A$66))+INDIRECT(ADDRESS($B14,Plots!$H$4,,,Plots!$A$67))</f>
        <v>0</v>
      </c>
      <c r="R14">
        <f>'AARnetCBR-CamDTN1_tcpmon_ts_81'!I14+'AARnetCBR-CamDTN1_tcpmon_ts_82'!I14+'AARnetCBR-CamDTN1_tcpmon_ts_83'!I14+'AARnetCBR-CamDTN1_tcpmon_ts_84'!I14+'AARnetCBR-CamDTN1_tcpmon_ts_85'!I14+'AARnetCBR-CamDTN1_tcpmon_ts_86'!I14+'AARnetCBR-CamDTN1_tcpmon_ts_87'!I14+'AARnetCBR-CamDTN1_tcpmon_ts_88'!I14</f>
        <v>0</v>
      </c>
    </row>
    <row r="15" spans="1:32">
      <c r="A15">
        <f>'AARnetCBR-CamDTN1_tcpmon_ts_11'!A15</f>
        <v>6</v>
      </c>
      <c r="B15">
        <f t="shared" si="0"/>
        <v>15</v>
      </c>
      <c r="C15" cm="1">
        <f t="array" aca="1" ref="C15" ca="1">INDIRECT(ADDRESS($B15,Plots!$H$3,,,Plots!$A$47))</f>
        <v>0.03</v>
      </c>
      <c r="D15" cm="1">
        <f t="array" aca="1" ref="D15" ca="1">INDIRECT(ADDRESS($B15,Plots!$H$3,,,Plots!$A$48))+INDIRECT(ADDRESS($B15,Plots!$H$3,,,Plots!$A$49))</f>
        <v>1.52</v>
      </c>
      <c r="E15" cm="1">
        <f t="array" aca="1" ref="E15" ca="1">INDIRECT(ADDRESS($B15,Plots!$H$3,,,Plots!$A$50))+INDIRECT(ADDRESS($B15,Plots!$H$3,,,Plots!$A$51))+INDIRECT(ADDRESS($B15,Plots!$H$3,,,Plots!$A$52))</f>
        <v>1.36</v>
      </c>
      <c r="F15" cm="1">
        <f t="array" aca="1" ref="F15" ca="1">INDIRECT(ADDRESS($B15,Plots!$H$3,,,Plots!$A$53))+INDIRECT(ADDRESS($B15,Plots!$H$3,,,Plots!$A$54))+INDIRECT(ADDRESS($B15,Plots!$H$3,,,Plots!$A$55))+INDIRECT(ADDRESS($B15,Plots!$H$3,,,Plots!$A$56))</f>
        <v>1.87</v>
      </c>
      <c r="G15" cm="1">
        <f t="array" aca="1" ref="G15" ca="1">INDIRECT(ADDRESS($B15,Plots!$H$3,,,Plots!$A$57))+INDIRECT(ADDRESS($B15,Plots!$H$3,,,Plots!$A$58))+INDIRECT(ADDRESS($B15,Plots!$H$3,,,Plots!$A$59))+INDIRECT(ADDRESS($B15,Plots!$H$3,,,Plots!$A$60))+INDIRECT(ADDRESS($B15,Plots!$H$3,,,Plots!$A$61))</f>
        <v>0</v>
      </c>
      <c r="H15" cm="1">
        <f t="array" aca="1" ref="H15" ca="1">INDIRECT(ADDRESS($B15,Plots!$H$3,,,Plots!$A$62))+INDIRECT(ADDRESS($B15,Plots!$H$3,,,Plots!$A$63))+INDIRECT(ADDRESS($B15,Plots!$H$3,,,Plots!$A$64))+INDIRECT(ADDRESS($B15,Plots!$H$3,,,Plots!$A$65))+INDIRECT(ADDRESS($B15,Plots!$H$3,,,Plots!$A$66))+INDIRECT(ADDRESS($B15,Plots!$H$3,,,Plots!$A$67))</f>
        <v>0</v>
      </c>
      <c r="I15">
        <f>'AARnetCBR-CamDTN1_tcpmon_ts_81'!F15+'AARnetCBR-CamDTN1_tcpmon_ts_82'!F15+'AARnetCBR-CamDTN1_tcpmon_ts_83'!F15+'AARnetCBR-CamDTN1_tcpmon_ts_84'!F15+'AARnetCBR-CamDTN1_tcpmon_ts_85'!F15+'AARnetCBR-CamDTN1_tcpmon_ts_86'!F15+'AARnetCBR-CamDTN1_tcpmon_ts_87'!F15+'AARnetCBR-CamDTN1_tcpmon_ts_88'!F15</f>
        <v>0</v>
      </c>
      <c r="L15" cm="1">
        <f t="array" aca="1" ref="L15" ca="1">INDIRECT(ADDRESS($B15,Plots!$H$4,,,Plots!$A$47))</f>
        <v>0</v>
      </c>
      <c r="M15" cm="1">
        <f t="array" aca="1" ref="M15" ca="1">INDIRECT(ADDRESS($B15,Plots!$H$4,,,Plots!$A$48))+INDIRECT(ADDRESS($B15,Plots!$H$4,,,Plots!$A$49))</f>
        <v>0</v>
      </c>
      <c r="N15" cm="1">
        <f t="array" aca="1" ref="N15" ca="1">INDIRECT(ADDRESS($B15,Plots!$H$4,,,Plots!$A$50))+INDIRECT(ADDRESS($B15,Plots!$H$4,,,Plots!$A$51))+INDIRECT(ADDRESS($B15,Plots!$H$4,,,Plots!$A$52))</f>
        <v>0</v>
      </c>
      <c r="O15" cm="1">
        <f t="array" aca="1" ref="O15" ca="1">INDIRECT(ADDRESS($B15,Plots!$H$4,,,Plots!$A$53))+INDIRECT(ADDRESS($B15,Plots!$H$4,,,Plots!$A$54))+INDIRECT(ADDRESS($B15,Plots!$H$4,,,Plots!$A$55))+INDIRECT(ADDRESS($B15,Plots!$H$4,,,Plots!$A$56))</f>
        <v>0</v>
      </c>
      <c r="P15" cm="1">
        <f t="array" aca="1" ref="P15" ca="1">INDIRECT(ADDRESS($B15,Plots!$H$4,,,Plots!$A$57))+INDIRECT(ADDRESS($B15,Plots!$H$4,,,Plots!$A$58))+INDIRECT(ADDRESS($B15,Plots!$H$4,,,Plots!$A$59))+INDIRECT(ADDRESS($B15,Plots!$H$4,,,Plots!$A$60))+INDIRECT(ADDRESS($B15,Plots!$H$4,,,Plots!$A$61))</f>
        <v>0</v>
      </c>
      <c r="Q15" cm="1">
        <f t="array" aca="1" ref="Q15" ca="1">INDIRECT(ADDRESS($B15,Plots!$H$4,,,Plots!$A$62))+INDIRECT(ADDRESS($B15,Plots!$H$4,,,Plots!$A$63))+INDIRECT(ADDRESS($B15,Plots!$H$4,,,Plots!$A$64))+INDIRECT(ADDRESS($B15,Plots!$H$4,,,Plots!$A$65))+INDIRECT(ADDRESS($B15,Plots!$H$4,,,Plots!$A$66))+INDIRECT(ADDRESS($B15,Plots!$H$4,,,Plots!$A$67))</f>
        <v>0</v>
      </c>
      <c r="R15">
        <f>'AARnetCBR-CamDTN1_tcpmon_ts_81'!I15+'AARnetCBR-CamDTN1_tcpmon_ts_82'!I15+'AARnetCBR-CamDTN1_tcpmon_ts_83'!I15+'AARnetCBR-CamDTN1_tcpmon_ts_84'!I15+'AARnetCBR-CamDTN1_tcpmon_ts_85'!I15+'AARnetCBR-CamDTN1_tcpmon_ts_86'!I15+'AARnetCBR-CamDTN1_tcpmon_ts_87'!I15+'AARnetCBR-CamDTN1_tcpmon_ts_88'!I15</f>
        <v>0</v>
      </c>
    </row>
    <row r="16" spans="1:32">
      <c r="A16">
        <f>'AARnetCBR-CamDTN1_tcpmon_ts_11'!A16</f>
        <v>8</v>
      </c>
      <c r="B16">
        <f t="shared" si="0"/>
        <v>16</v>
      </c>
      <c r="C16" cm="1">
        <f t="array" aca="1" ref="C16" ca="1">INDIRECT(ADDRESS($B16,Plots!$H$3,,,Plots!$A$47))</f>
        <v>0.05</v>
      </c>
      <c r="D16" cm="1">
        <f t="array" aca="1" ref="D16" ca="1">INDIRECT(ADDRESS($B16,Plots!$H$3,,,Plots!$A$48))+INDIRECT(ADDRESS($B16,Plots!$H$3,,,Plots!$A$49))</f>
        <v>2.52</v>
      </c>
      <c r="E16" cm="1">
        <f t="array" aca="1" ref="E16" ca="1">INDIRECT(ADDRESS($B16,Plots!$H$3,,,Plots!$A$50))+INDIRECT(ADDRESS($B16,Plots!$H$3,,,Plots!$A$51))+INDIRECT(ADDRESS($B16,Plots!$H$3,,,Plots!$A$52))</f>
        <v>2.23</v>
      </c>
      <c r="F16" cm="1">
        <f t="array" aca="1" ref="F16" ca="1">INDIRECT(ADDRESS($B16,Plots!$H$3,,,Plots!$A$53))+INDIRECT(ADDRESS($B16,Plots!$H$3,,,Plots!$A$54))+INDIRECT(ADDRESS($B16,Plots!$H$3,,,Plots!$A$55))+INDIRECT(ADDRESS($B16,Plots!$H$3,,,Plots!$A$56))</f>
        <v>3.09</v>
      </c>
      <c r="G16" cm="1">
        <f t="array" aca="1" ref="G16" ca="1">INDIRECT(ADDRESS($B16,Plots!$H$3,,,Plots!$A$57))+INDIRECT(ADDRESS($B16,Plots!$H$3,,,Plots!$A$58))+INDIRECT(ADDRESS($B16,Plots!$H$3,,,Plots!$A$59))+INDIRECT(ADDRESS($B16,Plots!$H$3,,,Plots!$A$60))+INDIRECT(ADDRESS($B16,Plots!$H$3,,,Plots!$A$61))</f>
        <v>0</v>
      </c>
      <c r="H16" cm="1">
        <f t="array" aca="1" ref="H16" ca="1">INDIRECT(ADDRESS($B16,Plots!$H$3,,,Plots!$A$62))+INDIRECT(ADDRESS($B16,Plots!$H$3,,,Plots!$A$63))+INDIRECT(ADDRESS($B16,Plots!$H$3,,,Plots!$A$64))+INDIRECT(ADDRESS($B16,Plots!$H$3,,,Plots!$A$65))+INDIRECT(ADDRESS($B16,Plots!$H$3,,,Plots!$A$66))+INDIRECT(ADDRESS($B16,Plots!$H$3,,,Plots!$A$67))</f>
        <v>0</v>
      </c>
      <c r="I16">
        <f>'AARnetCBR-CamDTN1_tcpmon_ts_81'!F16+'AARnetCBR-CamDTN1_tcpmon_ts_82'!F16+'AARnetCBR-CamDTN1_tcpmon_ts_83'!F16+'AARnetCBR-CamDTN1_tcpmon_ts_84'!F16+'AARnetCBR-CamDTN1_tcpmon_ts_85'!F16+'AARnetCBR-CamDTN1_tcpmon_ts_86'!F16+'AARnetCBR-CamDTN1_tcpmon_ts_87'!F16+'AARnetCBR-CamDTN1_tcpmon_ts_88'!F16</f>
        <v>0</v>
      </c>
      <c r="L16" cm="1">
        <f t="array" aca="1" ref="L16" ca="1">INDIRECT(ADDRESS($B16,Plots!$H$4,,,Plots!$A$47))</f>
        <v>0</v>
      </c>
      <c r="M16" cm="1">
        <f t="array" aca="1" ref="M16" ca="1">INDIRECT(ADDRESS($B16,Plots!$H$4,,,Plots!$A$48))+INDIRECT(ADDRESS($B16,Plots!$H$4,,,Plots!$A$49))</f>
        <v>0</v>
      </c>
      <c r="N16" cm="1">
        <f t="array" aca="1" ref="N16" ca="1">INDIRECT(ADDRESS($B16,Plots!$H$4,,,Plots!$A$50))+INDIRECT(ADDRESS($B16,Plots!$H$4,,,Plots!$A$51))+INDIRECT(ADDRESS($B16,Plots!$H$4,,,Plots!$A$52))</f>
        <v>0</v>
      </c>
      <c r="O16" cm="1">
        <f t="array" aca="1" ref="O16" ca="1">INDIRECT(ADDRESS($B16,Plots!$H$4,,,Plots!$A$53))+INDIRECT(ADDRESS($B16,Plots!$H$4,,,Plots!$A$54))+INDIRECT(ADDRESS($B16,Plots!$H$4,,,Plots!$A$55))+INDIRECT(ADDRESS($B16,Plots!$H$4,,,Plots!$A$56))</f>
        <v>0</v>
      </c>
      <c r="P16" cm="1">
        <f t="array" aca="1" ref="P16" ca="1">INDIRECT(ADDRESS($B16,Plots!$H$4,,,Plots!$A$57))+INDIRECT(ADDRESS($B16,Plots!$H$4,,,Plots!$A$58))+INDIRECT(ADDRESS($B16,Plots!$H$4,,,Plots!$A$59))+INDIRECT(ADDRESS($B16,Plots!$H$4,,,Plots!$A$60))+INDIRECT(ADDRESS($B16,Plots!$H$4,,,Plots!$A$61))</f>
        <v>0</v>
      </c>
      <c r="Q16" cm="1">
        <f t="array" aca="1" ref="Q16" ca="1">INDIRECT(ADDRESS($B16,Plots!$H$4,,,Plots!$A$62))+INDIRECT(ADDRESS($B16,Plots!$H$4,,,Plots!$A$63))+INDIRECT(ADDRESS($B16,Plots!$H$4,,,Plots!$A$64))+INDIRECT(ADDRESS($B16,Plots!$H$4,,,Plots!$A$65))+INDIRECT(ADDRESS($B16,Plots!$H$4,,,Plots!$A$66))+INDIRECT(ADDRESS($B16,Plots!$H$4,,,Plots!$A$67))</f>
        <v>0</v>
      </c>
      <c r="R16">
        <f>'AARnetCBR-CamDTN1_tcpmon_ts_81'!I16+'AARnetCBR-CamDTN1_tcpmon_ts_82'!I16+'AARnetCBR-CamDTN1_tcpmon_ts_83'!I16+'AARnetCBR-CamDTN1_tcpmon_ts_84'!I16+'AARnetCBR-CamDTN1_tcpmon_ts_85'!I16+'AARnetCBR-CamDTN1_tcpmon_ts_86'!I16+'AARnetCBR-CamDTN1_tcpmon_ts_87'!I16+'AARnetCBR-CamDTN1_tcpmon_ts_88'!I16</f>
        <v>0</v>
      </c>
    </row>
    <row r="17" spans="1:18">
      <c r="A17">
        <f>'AARnetCBR-CamDTN1_tcpmon_ts_11'!A17</f>
        <v>10</v>
      </c>
      <c r="B17">
        <f t="shared" si="0"/>
        <v>17</v>
      </c>
      <c r="C17" cm="1">
        <f t="array" aca="1" ref="C17" ca="1">INDIRECT(ADDRESS($B17,Plots!$H$3,,,Plots!$A$47))</f>
        <v>0.08</v>
      </c>
      <c r="D17" cm="1">
        <f t="array" aca="1" ref="D17" ca="1">INDIRECT(ADDRESS($B17,Plots!$H$3,,,Plots!$A$48))+INDIRECT(ADDRESS($B17,Plots!$H$3,,,Plots!$A$49))</f>
        <v>3.72</v>
      </c>
      <c r="E17" cm="1">
        <f t="array" aca="1" ref="E17" ca="1">INDIRECT(ADDRESS($B17,Plots!$H$3,,,Plots!$A$50))+INDIRECT(ADDRESS($B17,Plots!$H$3,,,Plots!$A$51))+INDIRECT(ADDRESS($B17,Plots!$H$3,,,Plots!$A$52))</f>
        <v>3.3000000000000003</v>
      </c>
      <c r="F17" cm="1">
        <f t="array" aca="1" ref="F17" ca="1">INDIRECT(ADDRESS($B17,Plots!$H$3,,,Plots!$A$53))+INDIRECT(ADDRESS($B17,Plots!$H$3,,,Plots!$A$54))+INDIRECT(ADDRESS($B17,Plots!$H$3,,,Plots!$A$55))+INDIRECT(ADDRESS($B17,Plots!$H$3,,,Plots!$A$56))</f>
        <v>4.57</v>
      </c>
      <c r="G17" cm="1">
        <f t="array" aca="1" ref="G17" ca="1">INDIRECT(ADDRESS($B17,Plots!$H$3,,,Plots!$A$57))+INDIRECT(ADDRESS($B17,Plots!$H$3,,,Plots!$A$58))+INDIRECT(ADDRESS($B17,Plots!$H$3,,,Plots!$A$59))+INDIRECT(ADDRESS($B17,Plots!$H$3,,,Plots!$A$60))+INDIRECT(ADDRESS($B17,Plots!$H$3,,,Plots!$A$61))</f>
        <v>0</v>
      </c>
      <c r="H17" cm="1">
        <f t="array" aca="1" ref="H17" ca="1">INDIRECT(ADDRESS($B17,Plots!$H$3,,,Plots!$A$62))+INDIRECT(ADDRESS($B17,Plots!$H$3,,,Plots!$A$63))+INDIRECT(ADDRESS($B17,Plots!$H$3,,,Plots!$A$64))+INDIRECT(ADDRESS($B17,Plots!$H$3,,,Plots!$A$65))+INDIRECT(ADDRESS($B17,Plots!$H$3,,,Plots!$A$66))+INDIRECT(ADDRESS($B17,Plots!$H$3,,,Plots!$A$67))</f>
        <v>0</v>
      </c>
      <c r="I17">
        <f>'AARnetCBR-CamDTN1_tcpmon_ts_81'!F17+'AARnetCBR-CamDTN1_tcpmon_ts_82'!F17+'AARnetCBR-CamDTN1_tcpmon_ts_83'!F17+'AARnetCBR-CamDTN1_tcpmon_ts_84'!F17+'AARnetCBR-CamDTN1_tcpmon_ts_85'!F17+'AARnetCBR-CamDTN1_tcpmon_ts_86'!F17+'AARnetCBR-CamDTN1_tcpmon_ts_87'!F17+'AARnetCBR-CamDTN1_tcpmon_ts_88'!F17</f>
        <v>0</v>
      </c>
      <c r="L17" cm="1">
        <f t="array" aca="1" ref="L17" ca="1">INDIRECT(ADDRESS($B17,Plots!$H$4,,,Plots!$A$47))</f>
        <v>0</v>
      </c>
      <c r="M17" cm="1">
        <f t="array" aca="1" ref="M17" ca="1">INDIRECT(ADDRESS($B17,Plots!$H$4,,,Plots!$A$48))+INDIRECT(ADDRESS($B17,Plots!$H$4,,,Plots!$A$49))</f>
        <v>0</v>
      </c>
      <c r="N17" cm="1">
        <f t="array" aca="1" ref="N17" ca="1">INDIRECT(ADDRESS($B17,Plots!$H$4,,,Plots!$A$50))+INDIRECT(ADDRESS($B17,Plots!$H$4,,,Plots!$A$51))+INDIRECT(ADDRESS($B17,Plots!$H$4,,,Plots!$A$52))</f>
        <v>0</v>
      </c>
      <c r="O17" cm="1">
        <f t="array" aca="1" ref="O17" ca="1">INDIRECT(ADDRESS($B17,Plots!$H$4,,,Plots!$A$53))+INDIRECT(ADDRESS($B17,Plots!$H$4,,,Plots!$A$54))+INDIRECT(ADDRESS($B17,Plots!$H$4,,,Plots!$A$55))+INDIRECT(ADDRESS($B17,Plots!$H$4,,,Plots!$A$56))</f>
        <v>0</v>
      </c>
      <c r="P17" cm="1">
        <f t="array" aca="1" ref="P17" ca="1">INDIRECT(ADDRESS($B17,Plots!$H$4,,,Plots!$A$57))+INDIRECT(ADDRESS($B17,Plots!$H$4,,,Plots!$A$58))+INDIRECT(ADDRESS($B17,Plots!$H$4,,,Plots!$A$59))+INDIRECT(ADDRESS($B17,Plots!$H$4,,,Plots!$A$60))+INDIRECT(ADDRESS($B17,Plots!$H$4,,,Plots!$A$61))</f>
        <v>0</v>
      </c>
      <c r="Q17" cm="1">
        <f t="array" aca="1" ref="Q17" ca="1">INDIRECT(ADDRESS($B17,Plots!$H$4,,,Plots!$A$62))+INDIRECT(ADDRESS($B17,Plots!$H$4,,,Plots!$A$63))+INDIRECT(ADDRESS($B17,Plots!$H$4,,,Plots!$A$64))+INDIRECT(ADDRESS($B17,Plots!$H$4,,,Plots!$A$65))+INDIRECT(ADDRESS($B17,Plots!$H$4,,,Plots!$A$66))+INDIRECT(ADDRESS($B17,Plots!$H$4,,,Plots!$A$67))</f>
        <v>0</v>
      </c>
      <c r="R17">
        <f>'AARnetCBR-CamDTN1_tcpmon_ts_81'!I17+'AARnetCBR-CamDTN1_tcpmon_ts_82'!I17+'AARnetCBR-CamDTN1_tcpmon_ts_83'!I17+'AARnetCBR-CamDTN1_tcpmon_ts_84'!I17+'AARnetCBR-CamDTN1_tcpmon_ts_85'!I17+'AARnetCBR-CamDTN1_tcpmon_ts_86'!I17+'AARnetCBR-CamDTN1_tcpmon_ts_87'!I17+'AARnetCBR-CamDTN1_tcpmon_ts_88'!I17</f>
        <v>0</v>
      </c>
    </row>
    <row r="18" spans="1:18">
      <c r="A18">
        <f>'AARnetCBR-CamDTN1_tcpmon_ts_11'!A18</f>
        <v>12</v>
      </c>
      <c r="B18">
        <f t="shared" si="0"/>
        <v>18</v>
      </c>
      <c r="C18" cm="1">
        <f t="array" aca="1" ref="C18" ca="1">INDIRECT(ADDRESS($B18,Plots!$H$3,,,Plots!$A$47))</f>
        <v>0.15</v>
      </c>
      <c r="D18" cm="1">
        <f t="array" aca="1" ref="D18" ca="1">INDIRECT(ADDRESS($B18,Plots!$H$3,,,Plots!$A$48))+INDIRECT(ADDRESS($B18,Plots!$H$3,,,Plots!$A$49))</f>
        <v>5.6099999999999994</v>
      </c>
      <c r="E18" cm="1">
        <f t="array" aca="1" ref="E18" ca="1">INDIRECT(ADDRESS($B18,Plots!$H$3,,,Plots!$A$50))+INDIRECT(ADDRESS($B18,Plots!$H$3,,,Plots!$A$51))+INDIRECT(ADDRESS($B18,Plots!$H$3,,,Plots!$A$52))</f>
        <v>4.9700000000000006</v>
      </c>
      <c r="F18" cm="1">
        <f t="array" aca="1" ref="F18" ca="1">INDIRECT(ADDRESS($B18,Plots!$H$3,,,Plots!$A$53))+INDIRECT(ADDRESS($B18,Plots!$H$3,,,Plots!$A$54))+INDIRECT(ADDRESS($B18,Plots!$H$3,,,Plots!$A$55))+INDIRECT(ADDRESS($B18,Plots!$H$3,,,Plots!$A$56))</f>
        <v>6.9700000000000006</v>
      </c>
      <c r="G18" cm="1">
        <f t="array" aca="1" ref="G18" ca="1">INDIRECT(ADDRESS($B18,Plots!$H$3,,,Plots!$A$57))+INDIRECT(ADDRESS($B18,Plots!$H$3,,,Plots!$A$58))+INDIRECT(ADDRESS($B18,Plots!$H$3,,,Plots!$A$59))+INDIRECT(ADDRESS($B18,Plots!$H$3,,,Plots!$A$60))+INDIRECT(ADDRESS($B18,Plots!$H$3,,,Plots!$A$61))</f>
        <v>0</v>
      </c>
      <c r="H18" cm="1">
        <f t="array" aca="1" ref="H18" ca="1">INDIRECT(ADDRESS($B18,Plots!$H$3,,,Plots!$A$62))+INDIRECT(ADDRESS($B18,Plots!$H$3,,,Plots!$A$63))+INDIRECT(ADDRESS($B18,Plots!$H$3,,,Plots!$A$64))+INDIRECT(ADDRESS($B18,Plots!$H$3,,,Plots!$A$65))+INDIRECT(ADDRESS($B18,Plots!$H$3,,,Plots!$A$66))+INDIRECT(ADDRESS($B18,Plots!$H$3,,,Plots!$A$67))</f>
        <v>0</v>
      </c>
      <c r="I18">
        <f>'AARnetCBR-CamDTN1_tcpmon_ts_81'!F18+'AARnetCBR-CamDTN1_tcpmon_ts_82'!F18+'AARnetCBR-CamDTN1_tcpmon_ts_83'!F18+'AARnetCBR-CamDTN1_tcpmon_ts_84'!F18+'AARnetCBR-CamDTN1_tcpmon_ts_85'!F18+'AARnetCBR-CamDTN1_tcpmon_ts_86'!F18+'AARnetCBR-CamDTN1_tcpmon_ts_87'!F18+'AARnetCBR-CamDTN1_tcpmon_ts_88'!F18</f>
        <v>0</v>
      </c>
      <c r="L18" cm="1">
        <f t="array" aca="1" ref="L18" ca="1">INDIRECT(ADDRESS($B18,Plots!$H$4,,,Plots!$A$47))</f>
        <v>0</v>
      </c>
      <c r="M18" cm="1">
        <f t="array" aca="1" ref="M18" ca="1">INDIRECT(ADDRESS($B18,Plots!$H$4,,,Plots!$A$48))+INDIRECT(ADDRESS($B18,Plots!$H$4,,,Plots!$A$49))</f>
        <v>0</v>
      </c>
      <c r="N18" cm="1">
        <f t="array" aca="1" ref="N18" ca="1">INDIRECT(ADDRESS($B18,Plots!$H$4,,,Plots!$A$50))+INDIRECT(ADDRESS($B18,Plots!$H$4,,,Plots!$A$51))+INDIRECT(ADDRESS($B18,Plots!$H$4,,,Plots!$A$52))</f>
        <v>0</v>
      </c>
      <c r="O18" cm="1">
        <f t="array" aca="1" ref="O18" ca="1">INDIRECT(ADDRESS($B18,Plots!$H$4,,,Plots!$A$53))+INDIRECT(ADDRESS($B18,Plots!$H$4,,,Plots!$A$54))+INDIRECT(ADDRESS($B18,Plots!$H$4,,,Plots!$A$55))+INDIRECT(ADDRESS($B18,Plots!$H$4,,,Plots!$A$56))</f>
        <v>0</v>
      </c>
      <c r="P18" cm="1">
        <f t="array" aca="1" ref="P18" ca="1">INDIRECT(ADDRESS($B18,Plots!$H$4,,,Plots!$A$57))+INDIRECT(ADDRESS($B18,Plots!$H$4,,,Plots!$A$58))+INDIRECT(ADDRESS($B18,Plots!$H$4,,,Plots!$A$59))+INDIRECT(ADDRESS($B18,Plots!$H$4,,,Plots!$A$60))+INDIRECT(ADDRESS($B18,Plots!$H$4,,,Plots!$A$61))</f>
        <v>0</v>
      </c>
      <c r="Q18" cm="1">
        <f t="array" aca="1" ref="Q18" ca="1">INDIRECT(ADDRESS($B18,Plots!$H$4,,,Plots!$A$62))+INDIRECT(ADDRESS($B18,Plots!$H$4,,,Plots!$A$63))+INDIRECT(ADDRESS($B18,Plots!$H$4,,,Plots!$A$64))+INDIRECT(ADDRESS($B18,Plots!$H$4,,,Plots!$A$65))+INDIRECT(ADDRESS($B18,Plots!$H$4,,,Plots!$A$66))+INDIRECT(ADDRESS($B18,Plots!$H$4,,,Plots!$A$67))</f>
        <v>0</v>
      </c>
      <c r="R18">
        <f>'AARnetCBR-CamDTN1_tcpmon_ts_81'!I18+'AARnetCBR-CamDTN1_tcpmon_ts_82'!I18+'AARnetCBR-CamDTN1_tcpmon_ts_83'!I18+'AARnetCBR-CamDTN1_tcpmon_ts_84'!I18+'AARnetCBR-CamDTN1_tcpmon_ts_85'!I18+'AARnetCBR-CamDTN1_tcpmon_ts_86'!I18+'AARnetCBR-CamDTN1_tcpmon_ts_87'!I18+'AARnetCBR-CamDTN1_tcpmon_ts_88'!I18</f>
        <v>0</v>
      </c>
    </row>
    <row r="19" spans="1:18">
      <c r="A19">
        <f>'AARnetCBR-CamDTN1_tcpmon_ts_11'!A19</f>
        <v>14</v>
      </c>
      <c r="B19">
        <f t="shared" si="0"/>
        <v>19</v>
      </c>
      <c r="C19" cm="1">
        <f t="array" aca="1" ref="C19" ca="1">INDIRECT(ADDRESS($B19,Plots!$H$3,,,Plots!$A$47))</f>
        <v>0.24</v>
      </c>
      <c r="D19" cm="1">
        <f t="array" aca="1" ref="D19" ca="1">INDIRECT(ADDRESS($B19,Plots!$H$3,,,Plots!$A$48))+INDIRECT(ADDRESS($B19,Plots!$H$3,,,Plots!$A$49))</f>
        <v>8.34</v>
      </c>
      <c r="E19" cm="1">
        <f t="array" aca="1" ref="E19" ca="1">INDIRECT(ADDRESS($B19,Plots!$H$3,,,Plots!$A$50))+INDIRECT(ADDRESS($B19,Plots!$H$3,,,Plots!$A$51))+INDIRECT(ADDRESS($B19,Plots!$H$3,,,Plots!$A$52))</f>
        <v>7.37</v>
      </c>
      <c r="F19" cm="1">
        <f t="array" aca="1" ref="F19" ca="1">INDIRECT(ADDRESS($B19,Plots!$H$3,,,Plots!$A$53))+INDIRECT(ADDRESS($B19,Plots!$H$3,,,Plots!$A$54))+INDIRECT(ADDRESS($B19,Plots!$H$3,,,Plots!$A$55))+INDIRECT(ADDRESS($B19,Plots!$H$3,,,Plots!$A$56))</f>
        <v>9.7100000000000009</v>
      </c>
      <c r="G19" cm="1">
        <f t="array" aca="1" ref="G19" ca="1">INDIRECT(ADDRESS($B19,Plots!$H$3,,,Plots!$A$57))+INDIRECT(ADDRESS($B19,Plots!$H$3,,,Plots!$A$58))+INDIRECT(ADDRESS($B19,Plots!$H$3,,,Plots!$A$59))+INDIRECT(ADDRESS($B19,Plots!$H$3,,,Plots!$A$60))+INDIRECT(ADDRESS($B19,Plots!$H$3,,,Plots!$A$61))</f>
        <v>0</v>
      </c>
      <c r="H19" cm="1">
        <f t="array" aca="1" ref="H19" ca="1">INDIRECT(ADDRESS($B19,Plots!$H$3,,,Plots!$A$62))+INDIRECT(ADDRESS($B19,Plots!$H$3,,,Plots!$A$63))+INDIRECT(ADDRESS($B19,Plots!$H$3,,,Plots!$A$64))+INDIRECT(ADDRESS($B19,Plots!$H$3,,,Plots!$A$65))+INDIRECT(ADDRESS($B19,Plots!$H$3,,,Plots!$A$66))+INDIRECT(ADDRESS($B19,Plots!$H$3,,,Plots!$A$67))</f>
        <v>0</v>
      </c>
      <c r="I19">
        <f>'AARnetCBR-CamDTN1_tcpmon_ts_81'!F19+'AARnetCBR-CamDTN1_tcpmon_ts_82'!F19+'AARnetCBR-CamDTN1_tcpmon_ts_83'!F19+'AARnetCBR-CamDTN1_tcpmon_ts_84'!F19+'AARnetCBR-CamDTN1_tcpmon_ts_85'!F19+'AARnetCBR-CamDTN1_tcpmon_ts_86'!F19+'AARnetCBR-CamDTN1_tcpmon_ts_87'!F19+'AARnetCBR-CamDTN1_tcpmon_ts_88'!F19</f>
        <v>0</v>
      </c>
      <c r="L19" cm="1">
        <f t="array" aca="1" ref="L19" ca="1">INDIRECT(ADDRESS($B19,Plots!$H$4,,,Plots!$A$47))</f>
        <v>0</v>
      </c>
      <c r="M19" cm="1">
        <f t="array" aca="1" ref="M19" ca="1">INDIRECT(ADDRESS($B19,Plots!$H$4,,,Plots!$A$48))+INDIRECT(ADDRESS($B19,Plots!$H$4,,,Plots!$A$49))</f>
        <v>0</v>
      </c>
      <c r="N19" cm="1">
        <f t="array" aca="1" ref="N19" ca="1">INDIRECT(ADDRESS($B19,Plots!$H$4,,,Plots!$A$50))+INDIRECT(ADDRESS($B19,Plots!$H$4,,,Plots!$A$51))+INDIRECT(ADDRESS($B19,Plots!$H$4,,,Plots!$A$52))</f>
        <v>0</v>
      </c>
      <c r="O19" cm="1">
        <f t="array" aca="1" ref="O19" ca="1">INDIRECT(ADDRESS($B19,Plots!$H$4,,,Plots!$A$53))+INDIRECT(ADDRESS($B19,Plots!$H$4,,,Plots!$A$54))+INDIRECT(ADDRESS($B19,Plots!$H$4,,,Plots!$A$55))+INDIRECT(ADDRESS($B19,Plots!$H$4,,,Plots!$A$56))</f>
        <v>0</v>
      </c>
      <c r="P19" cm="1">
        <f t="array" aca="1" ref="P19" ca="1">INDIRECT(ADDRESS($B19,Plots!$H$4,,,Plots!$A$57))+INDIRECT(ADDRESS($B19,Plots!$H$4,,,Plots!$A$58))+INDIRECT(ADDRESS($B19,Plots!$H$4,,,Plots!$A$59))+INDIRECT(ADDRESS($B19,Plots!$H$4,,,Plots!$A$60))+INDIRECT(ADDRESS($B19,Plots!$H$4,,,Plots!$A$61))</f>
        <v>0</v>
      </c>
      <c r="Q19" cm="1">
        <f t="array" aca="1" ref="Q19" ca="1">INDIRECT(ADDRESS($B19,Plots!$H$4,,,Plots!$A$62))+INDIRECT(ADDRESS($B19,Plots!$H$4,,,Plots!$A$63))+INDIRECT(ADDRESS($B19,Plots!$H$4,,,Plots!$A$64))+INDIRECT(ADDRESS($B19,Plots!$H$4,,,Plots!$A$65))+INDIRECT(ADDRESS($B19,Plots!$H$4,,,Plots!$A$66))+INDIRECT(ADDRESS($B19,Plots!$H$4,,,Plots!$A$67))</f>
        <v>0</v>
      </c>
      <c r="R19">
        <f>'AARnetCBR-CamDTN1_tcpmon_ts_81'!I19+'AARnetCBR-CamDTN1_tcpmon_ts_82'!I19+'AARnetCBR-CamDTN1_tcpmon_ts_83'!I19+'AARnetCBR-CamDTN1_tcpmon_ts_84'!I19+'AARnetCBR-CamDTN1_tcpmon_ts_85'!I19+'AARnetCBR-CamDTN1_tcpmon_ts_86'!I19+'AARnetCBR-CamDTN1_tcpmon_ts_87'!I19+'AARnetCBR-CamDTN1_tcpmon_ts_88'!I19</f>
        <v>0</v>
      </c>
    </row>
    <row r="20" spans="1:18">
      <c r="A20">
        <f>'AARnetCBR-CamDTN1_tcpmon_ts_11'!A20</f>
        <v>16</v>
      </c>
      <c r="B20">
        <f t="shared" si="0"/>
        <v>20</v>
      </c>
      <c r="C20" cm="1">
        <f t="array" aca="1" ref="C20" ca="1">INDIRECT(ADDRESS($B20,Plots!$H$3,,,Plots!$A$47))</f>
        <v>0.37</v>
      </c>
      <c r="D20" cm="1">
        <f t="array" aca="1" ref="D20" ca="1">INDIRECT(ADDRESS($B20,Plots!$H$3,,,Plots!$A$48))+INDIRECT(ADDRESS($B20,Plots!$H$3,,,Plots!$A$49))</f>
        <v>11.09</v>
      </c>
      <c r="E20" cm="1">
        <f t="array" aca="1" ref="E20" ca="1">INDIRECT(ADDRESS($B20,Plots!$H$3,,,Plots!$A$50))+INDIRECT(ADDRESS($B20,Plots!$H$3,,,Plots!$A$51))+INDIRECT(ADDRESS($B20,Plots!$H$3,,,Plots!$A$52))</f>
        <v>10.129999999999999</v>
      </c>
      <c r="F20" cm="1">
        <f t="array" aca="1" ref="F20" ca="1">INDIRECT(ADDRESS($B20,Plots!$H$3,,,Plots!$A$53))+INDIRECT(ADDRESS($B20,Plots!$H$3,,,Plots!$A$54))+INDIRECT(ADDRESS($B20,Plots!$H$3,,,Plots!$A$55))+INDIRECT(ADDRESS($B20,Plots!$H$3,,,Plots!$A$56))</f>
        <v>13.67</v>
      </c>
      <c r="G20" cm="1">
        <f t="array" aca="1" ref="G20" ca="1">INDIRECT(ADDRESS($B20,Plots!$H$3,,,Plots!$A$57))+INDIRECT(ADDRESS($B20,Plots!$H$3,,,Plots!$A$58))+INDIRECT(ADDRESS($B20,Plots!$H$3,,,Plots!$A$59))+INDIRECT(ADDRESS($B20,Plots!$H$3,,,Plots!$A$60))+INDIRECT(ADDRESS($B20,Plots!$H$3,,,Plots!$A$61))</f>
        <v>0</v>
      </c>
      <c r="H20" cm="1">
        <f t="array" aca="1" ref="H20" ca="1">INDIRECT(ADDRESS($B20,Plots!$H$3,,,Plots!$A$62))+INDIRECT(ADDRESS($B20,Plots!$H$3,,,Plots!$A$63))+INDIRECT(ADDRESS($B20,Plots!$H$3,,,Plots!$A$64))+INDIRECT(ADDRESS($B20,Plots!$H$3,,,Plots!$A$65))+INDIRECT(ADDRESS($B20,Plots!$H$3,,,Plots!$A$66))+INDIRECT(ADDRESS($B20,Plots!$H$3,,,Plots!$A$67))</f>
        <v>0</v>
      </c>
      <c r="I20">
        <f>'AARnetCBR-CamDTN1_tcpmon_ts_81'!F20+'AARnetCBR-CamDTN1_tcpmon_ts_82'!F20+'AARnetCBR-CamDTN1_tcpmon_ts_83'!F20+'AARnetCBR-CamDTN1_tcpmon_ts_84'!F20+'AARnetCBR-CamDTN1_tcpmon_ts_85'!F20+'AARnetCBR-CamDTN1_tcpmon_ts_86'!F20+'AARnetCBR-CamDTN1_tcpmon_ts_87'!F20+'AARnetCBR-CamDTN1_tcpmon_ts_88'!F20</f>
        <v>0</v>
      </c>
      <c r="L20" cm="1">
        <f t="array" aca="1" ref="L20" ca="1">INDIRECT(ADDRESS($B20,Plots!$H$4,,,Plots!$A$47))</f>
        <v>0</v>
      </c>
      <c r="M20" cm="1">
        <f t="array" aca="1" ref="M20" ca="1">INDIRECT(ADDRESS($B20,Plots!$H$4,,,Plots!$A$48))+INDIRECT(ADDRESS($B20,Plots!$H$4,,,Plots!$A$49))</f>
        <v>0</v>
      </c>
      <c r="N20" cm="1">
        <f t="array" aca="1" ref="N20" ca="1">INDIRECT(ADDRESS($B20,Plots!$H$4,,,Plots!$A$50))+INDIRECT(ADDRESS($B20,Plots!$H$4,,,Plots!$A$51))+INDIRECT(ADDRESS($B20,Plots!$H$4,,,Plots!$A$52))</f>
        <v>0</v>
      </c>
      <c r="O20" cm="1">
        <f t="array" aca="1" ref="O20" ca="1">INDIRECT(ADDRESS($B20,Plots!$H$4,,,Plots!$A$53))+INDIRECT(ADDRESS($B20,Plots!$H$4,,,Plots!$A$54))+INDIRECT(ADDRESS($B20,Plots!$H$4,,,Plots!$A$55))+INDIRECT(ADDRESS($B20,Plots!$H$4,,,Plots!$A$56))</f>
        <v>0</v>
      </c>
      <c r="P20" cm="1">
        <f t="array" aca="1" ref="P20" ca="1">INDIRECT(ADDRESS($B20,Plots!$H$4,,,Plots!$A$57))+INDIRECT(ADDRESS($B20,Plots!$H$4,,,Plots!$A$58))+INDIRECT(ADDRESS($B20,Plots!$H$4,,,Plots!$A$59))+INDIRECT(ADDRESS($B20,Plots!$H$4,,,Plots!$A$60))+INDIRECT(ADDRESS($B20,Plots!$H$4,,,Plots!$A$61))</f>
        <v>0</v>
      </c>
      <c r="Q20" cm="1">
        <f t="array" aca="1" ref="Q20" ca="1">INDIRECT(ADDRESS($B20,Plots!$H$4,,,Plots!$A$62))+INDIRECT(ADDRESS($B20,Plots!$H$4,,,Plots!$A$63))+INDIRECT(ADDRESS($B20,Plots!$H$4,,,Plots!$A$64))+INDIRECT(ADDRESS($B20,Plots!$H$4,,,Plots!$A$65))+INDIRECT(ADDRESS($B20,Plots!$H$4,,,Plots!$A$66))+INDIRECT(ADDRESS($B20,Plots!$H$4,,,Plots!$A$67))</f>
        <v>0</v>
      </c>
      <c r="R20">
        <f>'AARnetCBR-CamDTN1_tcpmon_ts_81'!I20+'AARnetCBR-CamDTN1_tcpmon_ts_82'!I20+'AARnetCBR-CamDTN1_tcpmon_ts_83'!I20+'AARnetCBR-CamDTN1_tcpmon_ts_84'!I20+'AARnetCBR-CamDTN1_tcpmon_ts_85'!I20+'AARnetCBR-CamDTN1_tcpmon_ts_86'!I20+'AARnetCBR-CamDTN1_tcpmon_ts_87'!I20+'AARnetCBR-CamDTN1_tcpmon_ts_88'!I20</f>
        <v>0</v>
      </c>
    </row>
    <row r="21" spans="1:18">
      <c r="A21">
        <f>'AARnetCBR-CamDTN1_tcpmon_ts_11'!A21</f>
        <v>18</v>
      </c>
      <c r="B21">
        <f t="shared" si="0"/>
        <v>21</v>
      </c>
      <c r="C21" cm="1">
        <f t="array" aca="1" ref="C21" ca="1">INDIRECT(ADDRESS($B21,Plots!$H$3,,,Plots!$A$47))</f>
        <v>0.55000000000000004</v>
      </c>
      <c r="D21" cm="1">
        <f t="array" aca="1" ref="D21" ca="1">INDIRECT(ADDRESS($B21,Plots!$H$3,,,Plots!$A$48))+INDIRECT(ADDRESS($B21,Plots!$H$3,,,Plots!$A$49))</f>
        <v>17.21</v>
      </c>
      <c r="E21" cm="1">
        <f t="array" aca="1" ref="E21" ca="1">INDIRECT(ADDRESS($B21,Plots!$H$3,,,Plots!$A$50))+INDIRECT(ADDRESS($B21,Plots!$H$3,,,Plots!$A$51))+INDIRECT(ADDRESS($B21,Plots!$H$3,,,Plots!$A$52))</f>
        <v>15.05</v>
      </c>
      <c r="F21" cm="1">
        <f t="array" aca="1" ref="F21" ca="1">INDIRECT(ADDRESS($B21,Plots!$H$3,,,Plots!$A$53))+INDIRECT(ADDRESS($B21,Plots!$H$3,,,Plots!$A$54))+INDIRECT(ADDRESS($B21,Plots!$H$3,,,Plots!$A$55))+INDIRECT(ADDRESS($B21,Plots!$H$3,,,Plots!$A$56))</f>
        <v>20.830000000000002</v>
      </c>
      <c r="G21" cm="1">
        <f t="array" aca="1" ref="G21" ca="1">INDIRECT(ADDRESS($B21,Plots!$H$3,,,Plots!$A$57))+INDIRECT(ADDRESS($B21,Plots!$H$3,,,Plots!$A$58))+INDIRECT(ADDRESS($B21,Plots!$H$3,,,Plots!$A$59))+INDIRECT(ADDRESS($B21,Plots!$H$3,,,Plots!$A$60))+INDIRECT(ADDRESS($B21,Plots!$H$3,,,Plots!$A$61))</f>
        <v>0</v>
      </c>
      <c r="H21" cm="1">
        <f t="array" aca="1" ref="H21" ca="1">INDIRECT(ADDRESS($B21,Plots!$H$3,,,Plots!$A$62))+INDIRECT(ADDRESS($B21,Plots!$H$3,,,Plots!$A$63))+INDIRECT(ADDRESS($B21,Plots!$H$3,,,Plots!$A$64))+INDIRECT(ADDRESS($B21,Plots!$H$3,,,Plots!$A$65))+INDIRECT(ADDRESS($B21,Plots!$H$3,,,Plots!$A$66))+INDIRECT(ADDRESS($B21,Plots!$H$3,,,Plots!$A$67))</f>
        <v>0</v>
      </c>
      <c r="I21">
        <f>'AARnetCBR-CamDTN1_tcpmon_ts_81'!F21+'AARnetCBR-CamDTN1_tcpmon_ts_82'!F21+'AARnetCBR-CamDTN1_tcpmon_ts_83'!F21+'AARnetCBR-CamDTN1_tcpmon_ts_84'!F21+'AARnetCBR-CamDTN1_tcpmon_ts_85'!F21+'AARnetCBR-CamDTN1_tcpmon_ts_86'!F21+'AARnetCBR-CamDTN1_tcpmon_ts_87'!F21+'AARnetCBR-CamDTN1_tcpmon_ts_88'!F21</f>
        <v>0</v>
      </c>
      <c r="L21" cm="1">
        <f t="array" aca="1" ref="L21" ca="1">INDIRECT(ADDRESS($B21,Plots!$H$4,,,Plots!$A$47))</f>
        <v>0</v>
      </c>
      <c r="M21" cm="1">
        <f t="array" aca="1" ref="M21" ca="1">INDIRECT(ADDRESS($B21,Plots!$H$4,,,Plots!$A$48))+INDIRECT(ADDRESS($B21,Plots!$H$4,,,Plots!$A$49))</f>
        <v>0</v>
      </c>
      <c r="N21" cm="1">
        <f t="array" aca="1" ref="N21" ca="1">INDIRECT(ADDRESS($B21,Plots!$H$4,,,Plots!$A$50))+INDIRECT(ADDRESS($B21,Plots!$H$4,,,Plots!$A$51))+INDIRECT(ADDRESS($B21,Plots!$H$4,,,Plots!$A$52))</f>
        <v>0</v>
      </c>
      <c r="O21" cm="1">
        <f t="array" aca="1" ref="O21" ca="1">INDIRECT(ADDRESS($B21,Plots!$H$4,,,Plots!$A$53))+INDIRECT(ADDRESS($B21,Plots!$H$4,,,Plots!$A$54))+INDIRECT(ADDRESS($B21,Plots!$H$4,,,Plots!$A$55))+INDIRECT(ADDRESS($B21,Plots!$H$4,,,Plots!$A$56))</f>
        <v>0</v>
      </c>
      <c r="P21" cm="1">
        <f t="array" aca="1" ref="P21" ca="1">INDIRECT(ADDRESS($B21,Plots!$H$4,,,Plots!$A$57))+INDIRECT(ADDRESS($B21,Plots!$H$4,,,Plots!$A$58))+INDIRECT(ADDRESS($B21,Plots!$H$4,,,Plots!$A$59))+INDIRECT(ADDRESS($B21,Plots!$H$4,,,Plots!$A$60))+INDIRECT(ADDRESS($B21,Plots!$H$4,,,Plots!$A$61))</f>
        <v>0</v>
      </c>
      <c r="Q21" cm="1">
        <f t="array" aca="1" ref="Q21" ca="1">INDIRECT(ADDRESS($B21,Plots!$H$4,,,Plots!$A$62))+INDIRECT(ADDRESS($B21,Plots!$H$4,,,Plots!$A$63))+INDIRECT(ADDRESS($B21,Plots!$H$4,,,Plots!$A$64))+INDIRECT(ADDRESS($B21,Plots!$H$4,,,Plots!$A$65))+INDIRECT(ADDRESS($B21,Plots!$H$4,,,Plots!$A$66))+INDIRECT(ADDRESS($B21,Plots!$H$4,,,Plots!$A$67))</f>
        <v>0</v>
      </c>
      <c r="R21">
        <f>'AARnetCBR-CamDTN1_tcpmon_ts_81'!I21+'AARnetCBR-CamDTN1_tcpmon_ts_82'!I21+'AARnetCBR-CamDTN1_tcpmon_ts_83'!I21+'AARnetCBR-CamDTN1_tcpmon_ts_84'!I21+'AARnetCBR-CamDTN1_tcpmon_ts_85'!I21+'AARnetCBR-CamDTN1_tcpmon_ts_86'!I21+'AARnetCBR-CamDTN1_tcpmon_ts_87'!I21+'AARnetCBR-CamDTN1_tcpmon_ts_88'!I21</f>
        <v>0</v>
      </c>
    </row>
    <row r="22" spans="1:18">
      <c r="A22">
        <f>'AARnetCBR-CamDTN1_tcpmon_ts_11'!A22</f>
        <v>20</v>
      </c>
      <c r="B22">
        <f t="shared" si="0"/>
        <v>22</v>
      </c>
      <c r="C22" cm="1">
        <f t="array" aca="1" ref="C22" ca="1">INDIRECT(ADDRESS($B22,Plots!$H$3,,,Plots!$A$47))</f>
        <v>0.75</v>
      </c>
      <c r="D22" cm="1">
        <f t="array" aca="1" ref="D22" ca="1">INDIRECT(ADDRESS($B22,Plots!$H$3,,,Plots!$A$48))+INDIRECT(ADDRESS($B22,Plots!$H$3,,,Plots!$A$49))</f>
        <v>23.009999999999998</v>
      </c>
      <c r="E22" cm="1">
        <f t="array" aca="1" ref="E22" ca="1">INDIRECT(ADDRESS($B22,Plots!$H$3,,,Plots!$A$50))+INDIRECT(ADDRESS($B22,Plots!$H$3,,,Plots!$A$51))+INDIRECT(ADDRESS($B22,Plots!$H$3,,,Plots!$A$52))</f>
        <v>23.919999999999998</v>
      </c>
      <c r="F22" cm="1">
        <f t="array" aca="1" ref="F22" ca="1">INDIRECT(ADDRESS($B22,Plots!$H$3,,,Plots!$A$53))+INDIRECT(ADDRESS($B22,Plots!$H$3,,,Plots!$A$54))+INDIRECT(ADDRESS($B22,Plots!$H$3,,,Plots!$A$55))+INDIRECT(ADDRESS($B22,Plots!$H$3,,,Plots!$A$56))</f>
        <v>31.73</v>
      </c>
      <c r="G22" cm="1">
        <f t="array" aca="1" ref="G22" ca="1">INDIRECT(ADDRESS($B22,Plots!$H$3,,,Plots!$A$57))+INDIRECT(ADDRESS($B22,Plots!$H$3,,,Plots!$A$58))+INDIRECT(ADDRESS($B22,Plots!$H$3,,,Plots!$A$59))+INDIRECT(ADDRESS($B22,Plots!$H$3,,,Plots!$A$60))+INDIRECT(ADDRESS($B22,Plots!$H$3,,,Plots!$A$61))</f>
        <v>0</v>
      </c>
      <c r="H22" cm="1">
        <f t="array" aca="1" ref="H22" ca="1">INDIRECT(ADDRESS($B22,Plots!$H$3,,,Plots!$A$62))+INDIRECT(ADDRESS($B22,Plots!$H$3,,,Plots!$A$63))+INDIRECT(ADDRESS($B22,Plots!$H$3,,,Plots!$A$64))+INDIRECT(ADDRESS($B22,Plots!$H$3,,,Plots!$A$65))+INDIRECT(ADDRESS($B22,Plots!$H$3,,,Plots!$A$66))+INDIRECT(ADDRESS($B22,Plots!$H$3,,,Plots!$A$67))</f>
        <v>0</v>
      </c>
      <c r="I22">
        <f>'AARnetCBR-CamDTN1_tcpmon_ts_81'!F22+'AARnetCBR-CamDTN1_tcpmon_ts_82'!F22+'AARnetCBR-CamDTN1_tcpmon_ts_83'!F22+'AARnetCBR-CamDTN1_tcpmon_ts_84'!F22+'AARnetCBR-CamDTN1_tcpmon_ts_85'!F22+'AARnetCBR-CamDTN1_tcpmon_ts_86'!F22+'AARnetCBR-CamDTN1_tcpmon_ts_87'!F22+'AARnetCBR-CamDTN1_tcpmon_ts_88'!F22</f>
        <v>0</v>
      </c>
      <c r="L22" cm="1">
        <f t="array" aca="1" ref="L22" ca="1">INDIRECT(ADDRESS($B22,Plots!$H$4,,,Plots!$A$47))</f>
        <v>0</v>
      </c>
      <c r="M22" cm="1">
        <f t="array" aca="1" ref="M22" ca="1">INDIRECT(ADDRESS($B22,Plots!$H$4,,,Plots!$A$48))+INDIRECT(ADDRESS($B22,Plots!$H$4,,,Plots!$A$49))</f>
        <v>0</v>
      </c>
      <c r="N22" cm="1">
        <f t="array" aca="1" ref="N22" ca="1">INDIRECT(ADDRESS($B22,Plots!$H$4,,,Plots!$A$50))+INDIRECT(ADDRESS($B22,Plots!$H$4,,,Plots!$A$51))+INDIRECT(ADDRESS($B22,Plots!$H$4,,,Plots!$A$52))</f>
        <v>0</v>
      </c>
      <c r="O22" cm="1">
        <f t="array" aca="1" ref="O22" ca="1">INDIRECT(ADDRESS($B22,Plots!$H$4,,,Plots!$A$53))+INDIRECT(ADDRESS($B22,Plots!$H$4,,,Plots!$A$54))+INDIRECT(ADDRESS($B22,Plots!$H$4,,,Plots!$A$55))+INDIRECT(ADDRESS($B22,Plots!$H$4,,,Plots!$A$56))</f>
        <v>0</v>
      </c>
      <c r="P22" cm="1">
        <f t="array" aca="1" ref="P22" ca="1">INDIRECT(ADDRESS($B22,Plots!$H$4,,,Plots!$A$57))+INDIRECT(ADDRESS($B22,Plots!$H$4,,,Plots!$A$58))+INDIRECT(ADDRESS($B22,Plots!$H$4,,,Plots!$A$59))+INDIRECT(ADDRESS($B22,Plots!$H$4,,,Plots!$A$60))+INDIRECT(ADDRESS($B22,Plots!$H$4,,,Plots!$A$61))</f>
        <v>0</v>
      </c>
      <c r="Q22" cm="1">
        <f t="array" aca="1" ref="Q22" ca="1">INDIRECT(ADDRESS($B22,Plots!$H$4,,,Plots!$A$62))+INDIRECT(ADDRESS($B22,Plots!$H$4,,,Plots!$A$63))+INDIRECT(ADDRESS($B22,Plots!$H$4,,,Plots!$A$64))+INDIRECT(ADDRESS($B22,Plots!$H$4,,,Plots!$A$65))+INDIRECT(ADDRESS($B22,Plots!$H$4,,,Plots!$A$66))+INDIRECT(ADDRESS($B22,Plots!$H$4,,,Plots!$A$67))</f>
        <v>0</v>
      </c>
      <c r="R22">
        <f>'AARnetCBR-CamDTN1_tcpmon_ts_81'!I22+'AARnetCBR-CamDTN1_tcpmon_ts_82'!I22+'AARnetCBR-CamDTN1_tcpmon_ts_83'!I22+'AARnetCBR-CamDTN1_tcpmon_ts_84'!I22+'AARnetCBR-CamDTN1_tcpmon_ts_85'!I22+'AARnetCBR-CamDTN1_tcpmon_ts_86'!I22+'AARnetCBR-CamDTN1_tcpmon_ts_87'!I22+'AARnetCBR-CamDTN1_tcpmon_ts_88'!I22</f>
        <v>0</v>
      </c>
    </row>
    <row r="23" spans="1:18">
      <c r="A23">
        <f>'AARnetCBR-CamDTN1_tcpmon_ts_11'!A23</f>
        <v>22</v>
      </c>
      <c r="B23">
        <f t="shared" si="0"/>
        <v>23</v>
      </c>
      <c r="C23" cm="1">
        <f t="array" aca="1" ref="C23" ca="1">INDIRECT(ADDRESS($B23,Plots!$H$3,,,Plots!$A$47))</f>
        <v>1.01</v>
      </c>
      <c r="D23" cm="1">
        <f t="array" aca="1" ref="D23" ca="1">INDIRECT(ADDRESS($B23,Plots!$H$3,,,Plots!$A$48))+INDIRECT(ADDRESS($B23,Plots!$H$3,,,Plots!$A$49))</f>
        <v>31.17</v>
      </c>
      <c r="E23" cm="1">
        <f t="array" aca="1" ref="E23" ca="1">INDIRECT(ADDRESS($B23,Plots!$H$3,,,Plots!$A$50))+INDIRECT(ADDRESS($B23,Plots!$H$3,,,Plots!$A$51))+INDIRECT(ADDRESS($B23,Plots!$H$3,,,Plots!$A$52))</f>
        <v>30.94</v>
      </c>
      <c r="F23" cm="1">
        <f t="array" aca="1" ref="F23" ca="1">INDIRECT(ADDRESS($B23,Plots!$H$3,,,Plots!$A$53))+INDIRECT(ADDRESS($B23,Plots!$H$3,,,Plots!$A$54))+INDIRECT(ADDRESS($B23,Plots!$H$3,,,Plots!$A$55))+INDIRECT(ADDRESS($B23,Plots!$H$3,,,Plots!$A$56))</f>
        <v>36.660000000000004</v>
      </c>
      <c r="G23" cm="1">
        <f t="array" aca="1" ref="G23" ca="1">INDIRECT(ADDRESS($B23,Plots!$H$3,,,Plots!$A$57))+INDIRECT(ADDRESS($B23,Plots!$H$3,,,Plots!$A$58))+INDIRECT(ADDRESS($B23,Plots!$H$3,,,Plots!$A$59))+INDIRECT(ADDRESS($B23,Plots!$H$3,,,Plots!$A$60))+INDIRECT(ADDRESS($B23,Plots!$H$3,,,Plots!$A$61))</f>
        <v>0</v>
      </c>
      <c r="H23" cm="1">
        <f t="array" aca="1" ref="H23" ca="1">INDIRECT(ADDRESS($B23,Plots!$H$3,,,Plots!$A$62))+INDIRECT(ADDRESS($B23,Plots!$H$3,,,Plots!$A$63))+INDIRECT(ADDRESS($B23,Plots!$H$3,,,Plots!$A$64))+INDIRECT(ADDRESS($B23,Plots!$H$3,,,Plots!$A$65))+INDIRECT(ADDRESS($B23,Plots!$H$3,,,Plots!$A$66))+INDIRECT(ADDRESS($B23,Plots!$H$3,,,Plots!$A$67))</f>
        <v>0</v>
      </c>
      <c r="I23">
        <f>'AARnetCBR-CamDTN1_tcpmon_ts_81'!F23+'AARnetCBR-CamDTN1_tcpmon_ts_82'!F23+'AARnetCBR-CamDTN1_tcpmon_ts_83'!F23+'AARnetCBR-CamDTN1_tcpmon_ts_84'!F23+'AARnetCBR-CamDTN1_tcpmon_ts_85'!F23+'AARnetCBR-CamDTN1_tcpmon_ts_86'!F23+'AARnetCBR-CamDTN1_tcpmon_ts_87'!F23+'AARnetCBR-CamDTN1_tcpmon_ts_88'!F23</f>
        <v>0</v>
      </c>
      <c r="L23" cm="1">
        <f t="array" aca="1" ref="L23" ca="1">INDIRECT(ADDRESS($B23,Plots!$H$4,,,Plots!$A$47))</f>
        <v>0</v>
      </c>
      <c r="M23" cm="1">
        <f t="array" aca="1" ref="M23" ca="1">INDIRECT(ADDRESS($B23,Plots!$H$4,,,Plots!$A$48))+INDIRECT(ADDRESS($B23,Plots!$H$4,,,Plots!$A$49))</f>
        <v>0</v>
      </c>
      <c r="N23" cm="1">
        <f t="array" aca="1" ref="N23" ca="1">INDIRECT(ADDRESS($B23,Plots!$H$4,,,Plots!$A$50))+INDIRECT(ADDRESS($B23,Plots!$H$4,,,Plots!$A$51))+INDIRECT(ADDRESS($B23,Plots!$H$4,,,Plots!$A$52))</f>
        <v>0</v>
      </c>
      <c r="O23" cm="1">
        <f t="array" aca="1" ref="O23" ca="1">INDIRECT(ADDRESS($B23,Plots!$H$4,,,Plots!$A$53))+INDIRECT(ADDRESS($B23,Plots!$H$4,,,Plots!$A$54))+INDIRECT(ADDRESS($B23,Plots!$H$4,,,Plots!$A$55))+INDIRECT(ADDRESS($B23,Plots!$H$4,,,Plots!$A$56))</f>
        <v>0</v>
      </c>
      <c r="P23" cm="1">
        <f t="array" aca="1" ref="P23" ca="1">INDIRECT(ADDRESS($B23,Plots!$H$4,,,Plots!$A$57))+INDIRECT(ADDRESS($B23,Plots!$H$4,,,Plots!$A$58))+INDIRECT(ADDRESS($B23,Plots!$H$4,,,Plots!$A$59))+INDIRECT(ADDRESS($B23,Plots!$H$4,,,Plots!$A$60))+INDIRECT(ADDRESS($B23,Plots!$H$4,,,Plots!$A$61))</f>
        <v>0</v>
      </c>
      <c r="Q23" cm="1">
        <f t="array" aca="1" ref="Q23" ca="1">INDIRECT(ADDRESS($B23,Plots!$H$4,,,Plots!$A$62))+INDIRECT(ADDRESS($B23,Plots!$H$4,,,Plots!$A$63))+INDIRECT(ADDRESS($B23,Plots!$H$4,,,Plots!$A$64))+INDIRECT(ADDRESS($B23,Plots!$H$4,,,Plots!$A$65))+INDIRECT(ADDRESS($B23,Plots!$H$4,,,Plots!$A$66))+INDIRECT(ADDRESS($B23,Plots!$H$4,,,Plots!$A$67))</f>
        <v>0</v>
      </c>
      <c r="R23">
        <f>'AARnetCBR-CamDTN1_tcpmon_ts_81'!I23+'AARnetCBR-CamDTN1_tcpmon_ts_82'!I23+'AARnetCBR-CamDTN1_tcpmon_ts_83'!I23+'AARnetCBR-CamDTN1_tcpmon_ts_84'!I23+'AARnetCBR-CamDTN1_tcpmon_ts_85'!I23+'AARnetCBR-CamDTN1_tcpmon_ts_86'!I23+'AARnetCBR-CamDTN1_tcpmon_ts_87'!I23+'AARnetCBR-CamDTN1_tcpmon_ts_88'!I23</f>
        <v>0</v>
      </c>
    </row>
    <row r="24" spans="1:18">
      <c r="A24">
        <f>'AARnetCBR-CamDTN1_tcpmon_ts_11'!A24</f>
        <v>24</v>
      </c>
      <c r="B24">
        <f t="shared" si="0"/>
        <v>24</v>
      </c>
      <c r="C24" cm="1">
        <f t="array" aca="1" ref="C24" ca="1">INDIRECT(ADDRESS($B24,Plots!$H$3,,,Plots!$A$47))</f>
        <v>1.64</v>
      </c>
      <c r="D24" cm="1">
        <f t="array" aca="1" ref="D24" ca="1">INDIRECT(ADDRESS($B24,Plots!$H$3,,,Plots!$A$48))+INDIRECT(ADDRESS($B24,Plots!$H$3,,,Plots!$A$49))</f>
        <v>44.14</v>
      </c>
      <c r="E24" cm="1">
        <f t="array" aca="1" ref="E24" ca="1">INDIRECT(ADDRESS($B24,Plots!$H$3,,,Plots!$A$50))+INDIRECT(ADDRESS($B24,Plots!$H$3,,,Plots!$A$51))+INDIRECT(ADDRESS($B24,Plots!$H$3,,,Plots!$A$52))</f>
        <v>37.25</v>
      </c>
      <c r="F24" cm="1">
        <f t="array" aca="1" ref="F24" ca="1">INDIRECT(ADDRESS($B24,Plots!$H$3,,,Plots!$A$53))+INDIRECT(ADDRESS($B24,Plots!$H$3,,,Plots!$A$54))+INDIRECT(ADDRESS($B24,Plots!$H$3,,,Plots!$A$55))+INDIRECT(ADDRESS($B24,Plots!$H$3,,,Plots!$A$56))</f>
        <v>51.21</v>
      </c>
      <c r="G24" cm="1">
        <f t="array" aca="1" ref="G24" ca="1">INDIRECT(ADDRESS($B24,Plots!$H$3,,,Plots!$A$57))+INDIRECT(ADDRESS($B24,Plots!$H$3,,,Plots!$A$58))+INDIRECT(ADDRESS($B24,Plots!$H$3,,,Plots!$A$59))+INDIRECT(ADDRESS($B24,Plots!$H$3,,,Plots!$A$60))+INDIRECT(ADDRESS($B24,Plots!$H$3,,,Plots!$A$61))</f>
        <v>0</v>
      </c>
      <c r="H24" cm="1">
        <f t="array" aca="1" ref="H24" ca="1">INDIRECT(ADDRESS($B24,Plots!$H$3,,,Plots!$A$62))+INDIRECT(ADDRESS($B24,Plots!$H$3,,,Plots!$A$63))+INDIRECT(ADDRESS($B24,Plots!$H$3,,,Plots!$A$64))+INDIRECT(ADDRESS($B24,Plots!$H$3,,,Plots!$A$65))+INDIRECT(ADDRESS($B24,Plots!$H$3,,,Plots!$A$66))+INDIRECT(ADDRESS($B24,Plots!$H$3,,,Plots!$A$67))</f>
        <v>0</v>
      </c>
      <c r="I24">
        <f>'AARnetCBR-CamDTN1_tcpmon_ts_81'!F24+'AARnetCBR-CamDTN1_tcpmon_ts_82'!F24+'AARnetCBR-CamDTN1_tcpmon_ts_83'!F24+'AARnetCBR-CamDTN1_tcpmon_ts_84'!F24+'AARnetCBR-CamDTN1_tcpmon_ts_85'!F24+'AARnetCBR-CamDTN1_tcpmon_ts_86'!F24+'AARnetCBR-CamDTN1_tcpmon_ts_87'!F24+'AARnetCBR-CamDTN1_tcpmon_ts_88'!F24</f>
        <v>0</v>
      </c>
      <c r="L24" cm="1">
        <f t="array" aca="1" ref="L24" ca="1">INDIRECT(ADDRESS($B24,Plots!$H$4,,,Plots!$A$47))</f>
        <v>0</v>
      </c>
      <c r="M24" cm="1">
        <f t="array" aca="1" ref="M24" ca="1">INDIRECT(ADDRESS($B24,Plots!$H$4,,,Plots!$A$48))+INDIRECT(ADDRESS($B24,Plots!$H$4,,,Plots!$A$49))</f>
        <v>0</v>
      </c>
      <c r="N24" cm="1">
        <f t="array" aca="1" ref="N24" ca="1">INDIRECT(ADDRESS($B24,Plots!$H$4,,,Plots!$A$50))+INDIRECT(ADDRESS($B24,Plots!$H$4,,,Plots!$A$51))+INDIRECT(ADDRESS($B24,Plots!$H$4,,,Plots!$A$52))</f>
        <v>0</v>
      </c>
      <c r="O24" cm="1">
        <f t="array" aca="1" ref="O24" ca="1">INDIRECT(ADDRESS($B24,Plots!$H$4,,,Plots!$A$53))+INDIRECT(ADDRESS($B24,Plots!$H$4,,,Plots!$A$54))+INDIRECT(ADDRESS($B24,Plots!$H$4,,,Plots!$A$55))+INDIRECT(ADDRESS($B24,Plots!$H$4,,,Plots!$A$56))</f>
        <v>0</v>
      </c>
      <c r="P24" cm="1">
        <f t="array" aca="1" ref="P24" ca="1">INDIRECT(ADDRESS($B24,Plots!$H$4,,,Plots!$A$57))+INDIRECT(ADDRESS($B24,Plots!$H$4,,,Plots!$A$58))+INDIRECT(ADDRESS($B24,Plots!$H$4,,,Plots!$A$59))+INDIRECT(ADDRESS($B24,Plots!$H$4,,,Plots!$A$60))+INDIRECT(ADDRESS($B24,Plots!$H$4,,,Plots!$A$61))</f>
        <v>0</v>
      </c>
      <c r="Q24" cm="1">
        <f t="array" aca="1" ref="Q24" ca="1">INDIRECT(ADDRESS($B24,Plots!$H$4,,,Plots!$A$62))+INDIRECT(ADDRESS($B24,Plots!$H$4,,,Plots!$A$63))+INDIRECT(ADDRESS($B24,Plots!$H$4,,,Plots!$A$64))+INDIRECT(ADDRESS($B24,Plots!$H$4,,,Plots!$A$65))+INDIRECT(ADDRESS($B24,Plots!$H$4,,,Plots!$A$66))+INDIRECT(ADDRESS($B24,Plots!$H$4,,,Plots!$A$67))</f>
        <v>0</v>
      </c>
      <c r="R24">
        <f>'AARnetCBR-CamDTN1_tcpmon_ts_81'!I24+'AARnetCBR-CamDTN1_tcpmon_ts_82'!I24+'AARnetCBR-CamDTN1_tcpmon_ts_83'!I24+'AARnetCBR-CamDTN1_tcpmon_ts_84'!I24+'AARnetCBR-CamDTN1_tcpmon_ts_85'!I24+'AARnetCBR-CamDTN1_tcpmon_ts_86'!I24+'AARnetCBR-CamDTN1_tcpmon_ts_87'!I24+'AARnetCBR-CamDTN1_tcpmon_ts_88'!I24</f>
        <v>0</v>
      </c>
    </row>
    <row r="25" spans="1:18">
      <c r="A25">
        <f>'AARnetCBR-CamDTN1_tcpmon_ts_11'!A25</f>
        <v>26</v>
      </c>
      <c r="B25">
        <f t="shared" si="0"/>
        <v>25</v>
      </c>
      <c r="C25" cm="1">
        <f t="array" aca="1" ref="C25" ca="1">INDIRECT(ADDRESS($B25,Plots!$H$3,,,Plots!$A$47))</f>
        <v>2.39</v>
      </c>
      <c r="D25" cm="1">
        <f t="array" aca="1" ref="D25" ca="1">INDIRECT(ADDRESS($B25,Plots!$H$3,,,Plots!$A$48))+INDIRECT(ADDRESS($B25,Plots!$H$3,,,Plots!$A$49))</f>
        <v>49.5</v>
      </c>
      <c r="E25" cm="1">
        <f t="array" aca="1" ref="E25" ca="1">INDIRECT(ADDRESS($B25,Plots!$H$3,,,Plots!$A$50))+INDIRECT(ADDRESS($B25,Plots!$H$3,,,Plots!$A$51))+INDIRECT(ADDRESS($B25,Plots!$H$3,,,Plots!$A$52))</f>
        <v>52.83</v>
      </c>
      <c r="F25" cm="1">
        <f t="array" aca="1" ref="F25" ca="1">INDIRECT(ADDRESS($B25,Plots!$H$3,,,Plots!$A$53))+INDIRECT(ADDRESS($B25,Plots!$H$3,,,Plots!$A$54))+INDIRECT(ADDRESS($B25,Plots!$H$3,,,Plots!$A$55))+INDIRECT(ADDRESS($B25,Plots!$H$3,,,Plots!$A$56))</f>
        <v>54.519999999999996</v>
      </c>
      <c r="G25" cm="1">
        <f t="array" aca="1" ref="G25" ca="1">INDIRECT(ADDRESS($B25,Plots!$H$3,,,Plots!$A$57))+INDIRECT(ADDRESS($B25,Plots!$H$3,,,Plots!$A$58))+INDIRECT(ADDRESS($B25,Plots!$H$3,,,Plots!$A$59))+INDIRECT(ADDRESS($B25,Plots!$H$3,,,Plots!$A$60))+INDIRECT(ADDRESS($B25,Plots!$H$3,,,Plots!$A$61))</f>
        <v>0</v>
      </c>
      <c r="H25" cm="1">
        <f t="array" aca="1" ref="H25" ca="1">INDIRECT(ADDRESS($B25,Plots!$H$3,,,Plots!$A$62))+INDIRECT(ADDRESS($B25,Plots!$H$3,,,Plots!$A$63))+INDIRECT(ADDRESS($B25,Plots!$H$3,,,Plots!$A$64))+INDIRECT(ADDRESS($B25,Plots!$H$3,,,Plots!$A$65))+INDIRECT(ADDRESS($B25,Plots!$H$3,,,Plots!$A$66))+INDIRECT(ADDRESS($B25,Plots!$H$3,,,Plots!$A$67))</f>
        <v>0</v>
      </c>
      <c r="I25">
        <f>'AARnetCBR-CamDTN1_tcpmon_ts_81'!F25+'AARnetCBR-CamDTN1_tcpmon_ts_82'!F25+'AARnetCBR-CamDTN1_tcpmon_ts_83'!F25+'AARnetCBR-CamDTN1_tcpmon_ts_84'!F25+'AARnetCBR-CamDTN1_tcpmon_ts_85'!F25+'AARnetCBR-CamDTN1_tcpmon_ts_86'!F25+'AARnetCBR-CamDTN1_tcpmon_ts_87'!F25+'AARnetCBR-CamDTN1_tcpmon_ts_88'!F25</f>
        <v>0</v>
      </c>
      <c r="L25" cm="1">
        <f t="array" aca="1" ref="L25" ca="1">INDIRECT(ADDRESS($B25,Plots!$H$4,,,Plots!$A$47))</f>
        <v>0</v>
      </c>
      <c r="M25" cm="1">
        <f t="array" aca="1" ref="M25" ca="1">INDIRECT(ADDRESS($B25,Plots!$H$4,,,Plots!$A$48))+INDIRECT(ADDRESS($B25,Plots!$H$4,,,Plots!$A$49))</f>
        <v>0</v>
      </c>
      <c r="N25" cm="1">
        <f t="array" aca="1" ref="N25" ca="1">INDIRECT(ADDRESS($B25,Plots!$H$4,,,Plots!$A$50))+INDIRECT(ADDRESS($B25,Plots!$H$4,,,Plots!$A$51))+INDIRECT(ADDRESS($B25,Plots!$H$4,,,Plots!$A$52))</f>
        <v>0</v>
      </c>
      <c r="O25" cm="1">
        <f t="array" aca="1" ref="O25" ca="1">INDIRECT(ADDRESS($B25,Plots!$H$4,,,Plots!$A$53))+INDIRECT(ADDRESS($B25,Plots!$H$4,,,Plots!$A$54))+INDIRECT(ADDRESS($B25,Plots!$H$4,,,Plots!$A$55))+INDIRECT(ADDRESS($B25,Plots!$H$4,,,Plots!$A$56))</f>
        <v>0</v>
      </c>
      <c r="P25" cm="1">
        <f t="array" aca="1" ref="P25" ca="1">INDIRECT(ADDRESS($B25,Plots!$H$4,,,Plots!$A$57))+INDIRECT(ADDRESS($B25,Plots!$H$4,,,Plots!$A$58))+INDIRECT(ADDRESS($B25,Plots!$H$4,,,Plots!$A$59))+INDIRECT(ADDRESS($B25,Plots!$H$4,,,Plots!$A$60))+INDIRECT(ADDRESS($B25,Plots!$H$4,,,Plots!$A$61))</f>
        <v>0</v>
      </c>
      <c r="Q25" cm="1">
        <f t="array" aca="1" ref="Q25" ca="1">INDIRECT(ADDRESS($B25,Plots!$H$4,,,Plots!$A$62))+INDIRECT(ADDRESS($B25,Plots!$H$4,,,Plots!$A$63))+INDIRECT(ADDRESS($B25,Plots!$H$4,,,Plots!$A$64))+INDIRECT(ADDRESS($B25,Plots!$H$4,,,Plots!$A$65))+INDIRECT(ADDRESS($B25,Plots!$H$4,,,Plots!$A$66))+INDIRECT(ADDRESS($B25,Plots!$H$4,,,Plots!$A$67))</f>
        <v>0</v>
      </c>
      <c r="R25">
        <f>'AARnetCBR-CamDTN1_tcpmon_ts_81'!I25+'AARnetCBR-CamDTN1_tcpmon_ts_82'!I25+'AARnetCBR-CamDTN1_tcpmon_ts_83'!I25+'AARnetCBR-CamDTN1_tcpmon_ts_84'!I25+'AARnetCBR-CamDTN1_tcpmon_ts_85'!I25+'AARnetCBR-CamDTN1_tcpmon_ts_86'!I25+'AARnetCBR-CamDTN1_tcpmon_ts_87'!I25+'AARnetCBR-CamDTN1_tcpmon_ts_88'!I25</f>
        <v>0</v>
      </c>
    </row>
    <row r="26" spans="1:18">
      <c r="A26">
        <f>'AARnetCBR-CamDTN1_tcpmon_ts_11'!A26</f>
        <v>28</v>
      </c>
      <c r="B26">
        <f t="shared" si="0"/>
        <v>26</v>
      </c>
      <c r="C26" cm="1">
        <f t="array" aca="1" ref="C26" ca="1">INDIRECT(ADDRESS($B26,Plots!$H$3,,,Plots!$A$47))</f>
        <v>3.53</v>
      </c>
      <c r="D26" cm="1">
        <f t="array" aca="1" ref="D26" ca="1">INDIRECT(ADDRESS($B26,Plots!$H$3,,,Plots!$A$48))+INDIRECT(ADDRESS($B26,Plots!$H$3,,,Plots!$A$49))</f>
        <v>53.53</v>
      </c>
      <c r="E26" cm="1">
        <f t="array" aca="1" ref="E26" ca="1">INDIRECT(ADDRESS($B26,Plots!$H$3,,,Plots!$A$50))+INDIRECT(ADDRESS($B26,Plots!$H$3,,,Plots!$A$51))+INDIRECT(ADDRESS($B26,Plots!$H$3,,,Plots!$A$52))</f>
        <v>53.13</v>
      </c>
      <c r="F26" cm="1">
        <f t="array" aca="1" ref="F26" ca="1">INDIRECT(ADDRESS($B26,Plots!$H$3,,,Plots!$A$53))+INDIRECT(ADDRESS($B26,Plots!$H$3,,,Plots!$A$54))+INDIRECT(ADDRESS($B26,Plots!$H$3,,,Plots!$A$55))+INDIRECT(ADDRESS($B26,Plots!$H$3,,,Plots!$A$56))</f>
        <v>59.109999999999992</v>
      </c>
      <c r="G26" cm="1">
        <f t="array" aca="1" ref="G26" ca="1">INDIRECT(ADDRESS($B26,Plots!$H$3,,,Plots!$A$57))+INDIRECT(ADDRESS($B26,Plots!$H$3,,,Plots!$A$58))+INDIRECT(ADDRESS($B26,Plots!$H$3,,,Plots!$A$59))+INDIRECT(ADDRESS($B26,Plots!$H$3,,,Plots!$A$60))+INDIRECT(ADDRESS($B26,Plots!$H$3,,,Plots!$A$61))</f>
        <v>0</v>
      </c>
      <c r="H26" cm="1">
        <f t="array" aca="1" ref="H26" ca="1">INDIRECT(ADDRESS($B26,Plots!$H$3,,,Plots!$A$62))+INDIRECT(ADDRESS($B26,Plots!$H$3,,,Plots!$A$63))+INDIRECT(ADDRESS($B26,Plots!$H$3,,,Plots!$A$64))+INDIRECT(ADDRESS($B26,Plots!$H$3,,,Plots!$A$65))+INDIRECT(ADDRESS($B26,Plots!$H$3,,,Plots!$A$66))+INDIRECT(ADDRESS($B26,Plots!$H$3,,,Plots!$A$67))</f>
        <v>0</v>
      </c>
      <c r="I26">
        <f>'AARnetCBR-CamDTN1_tcpmon_ts_81'!F26+'AARnetCBR-CamDTN1_tcpmon_ts_82'!F26+'AARnetCBR-CamDTN1_tcpmon_ts_83'!F26+'AARnetCBR-CamDTN1_tcpmon_ts_84'!F26+'AARnetCBR-CamDTN1_tcpmon_ts_85'!F26+'AARnetCBR-CamDTN1_tcpmon_ts_86'!F26+'AARnetCBR-CamDTN1_tcpmon_ts_87'!F26+'AARnetCBR-CamDTN1_tcpmon_ts_88'!F26</f>
        <v>0</v>
      </c>
      <c r="L26" cm="1">
        <f t="array" aca="1" ref="L26" ca="1">INDIRECT(ADDRESS($B26,Plots!$H$4,,,Plots!$A$47))</f>
        <v>0</v>
      </c>
      <c r="M26" cm="1">
        <f t="array" aca="1" ref="M26" ca="1">INDIRECT(ADDRESS($B26,Plots!$H$4,,,Plots!$A$48))+INDIRECT(ADDRESS($B26,Plots!$H$4,,,Plots!$A$49))</f>
        <v>0</v>
      </c>
      <c r="N26" cm="1">
        <f t="array" aca="1" ref="N26" ca="1">INDIRECT(ADDRESS($B26,Plots!$H$4,,,Plots!$A$50))+INDIRECT(ADDRESS($B26,Plots!$H$4,,,Plots!$A$51))+INDIRECT(ADDRESS($B26,Plots!$H$4,,,Plots!$A$52))</f>
        <v>0</v>
      </c>
      <c r="O26" cm="1">
        <f t="array" aca="1" ref="O26" ca="1">INDIRECT(ADDRESS($B26,Plots!$H$4,,,Plots!$A$53))+INDIRECT(ADDRESS($B26,Plots!$H$4,,,Plots!$A$54))+INDIRECT(ADDRESS($B26,Plots!$H$4,,,Plots!$A$55))+INDIRECT(ADDRESS($B26,Plots!$H$4,,,Plots!$A$56))</f>
        <v>0</v>
      </c>
      <c r="P26" cm="1">
        <f t="array" aca="1" ref="P26" ca="1">INDIRECT(ADDRESS($B26,Plots!$H$4,,,Plots!$A$57))+INDIRECT(ADDRESS($B26,Plots!$H$4,,,Plots!$A$58))+INDIRECT(ADDRESS($B26,Plots!$H$4,,,Plots!$A$59))+INDIRECT(ADDRESS($B26,Plots!$H$4,,,Plots!$A$60))+INDIRECT(ADDRESS($B26,Plots!$H$4,,,Plots!$A$61))</f>
        <v>0</v>
      </c>
      <c r="Q26" cm="1">
        <f t="array" aca="1" ref="Q26" ca="1">INDIRECT(ADDRESS($B26,Plots!$H$4,,,Plots!$A$62))+INDIRECT(ADDRESS($B26,Plots!$H$4,,,Plots!$A$63))+INDIRECT(ADDRESS($B26,Plots!$H$4,,,Plots!$A$64))+INDIRECT(ADDRESS($B26,Plots!$H$4,,,Plots!$A$65))+INDIRECT(ADDRESS($B26,Plots!$H$4,,,Plots!$A$66))+INDIRECT(ADDRESS($B26,Plots!$H$4,,,Plots!$A$67))</f>
        <v>0</v>
      </c>
      <c r="R26">
        <f>'AARnetCBR-CamDTN1_tcpmon_ts_81'!I26+'AARnetCBR-CamDTN1_tcpmon_ts_82'!I26+'AARnetCBR-CamDTN1_tcpmon_ts_83'!I26+'AARnetCBR-CamDTN1_tcpmon_ts_84'!I26+'AARnetCBR-CamDTN1_tcpmon_ts_85'!I26+'AARnetCBR-CamDTN1_tcpmon_ts_86'!I26+'AARnetCBR-CamDTN1_tcpmon_ts_87'!I26+'AARnetCBR-CamDTN1_tcpmon_ts_88'!I26</f>
        <v>0</v>
      </c>
    </row>
    <row r="27" spans="1:18">
      <c r="A27">
        <f>'AARnetCBR-CamDTN1_tcpmon_ts_11'!A27</f>
        <v>30</v>
      </c>
      <c r="B27">
        <f t="shared" si="0"/>
        <v>27</v>
      </c>
      <c r="C27" cm="1">
        <f t="array" aca="1" ref="C27" ca="1">INDIRECT(ADDRESS($B27,Plots!$H$3,,,Plots!$A$47))</f>
        <v>5.57</v>
      </c>
      <c r="D27" cm="1">
        <f t="array" aca="1" ref="D27" ca="1">INDIRECT(ADDRESS($B27,Plots!$H$3,,,Plots!$A$48))+INDIRECT(ADDRESS($B27,Plots!$H$3,,,Plots!$A$49))</f>
        <v>57.94</v>
      </c>
      <c r="E27" cm="1">
        <f t="array" aca="1" ref="E27" ca="1">INDIRECT(ADDRESS($B27,Plots!$H$3,,,Plots!$A$50))+INDIRECT(ADDRESS($B27,Plots!$H$3,,,Plots!$A$51))+INDIRECT(ADDRESS($B27,Plots!$H$3,,,Plots!$A$52))</f>
        <v>56.46</v>
      </c>
      <c r="F27" cm="1">
        <f t="array" aca="1" ref="F27" ca="1">INDIRECT(ADDRESS($B27,Plots!$H$3,,,Plots!$A$53))+INDIRECT(ADDRESS($B27,Plots!$H$3,,,Plots!$A$54))+INDIRECT(ADDRESS($B27,Plots!$H$3,,,Plots!$A$55))+INDIRECT(ADDRESS($B27,Plots!$H$3,,,Plots!$A$56))</f>
        <v>57.58</v>
      </c>
      <c r="G27" cm="1">
        <f t="array" aca="1" ref="G27" ca="1">INDIRECT(ADDRESS($B27,Plots!$H$3,,,Plots!$A$57))+INDIRECT(ADDRESS($B27,Plots!$H$3,,,Plots!$A$58))+INDIRECT(ADDRESS($B27,Plots!$H$3,,,Plots!$A$59))+INDIRECT(ADDRESS($B27,Plots!$H$3,,,Plots!$A$60))+INDIRECT(ADDRESS($B27,Plots!$H$3,,,Plots!$A$61))</f>
        <v>0</v>
      </c>
      <c r="H27" cm="1">
        <f t="array" aca="1" ref="H27" ca="1">INDIRECT(ADDRESS($B27,Plots!$H$3,,,Plots!$A$62))+INDIRECT(ADDRESS($B27,Plots!$H$3,,,Plots!$A$63))+INDIRECT(ADDRESS($B27,Plots!$H$3,,,Plots!$A$64))+INDIRECT(ADDRESS($B27,Plots!$H$3,,,Plots!$A$65))+INDIRECT(ADDRESS($B27,Plots!$H$3,,,Plots!$A$66))+INDIRECT(ADDRESS($B27,Plots!$H$3,,,Plots!$A$67))</f>
        <v>0</v>
      </c>
      <c r="I27">
        <f>'AARnetCBR-CamDTN1_tcpmon_ts_81'!F27+'AARnetCBR-CamDTN1_tcpmon_ts_82'!F27+'AARnetCBR-CamDTN1_tcpmon_ts_83'!F27+'AARnetCBR-CamDTN1_tcpmon_ts_84'!F27+'AARnetCBR-CamDTN1_tcpmon_ts_85'!F27+'AARnetCBR-CamDTN1_tcpmon_ts_86'!F27+'AARnetCBR-CamDTN1_tcpmon_ts_87'!F27+'AARnetCBR-CamDTN1_tcpmon_ts_88'!F27</f>
        <v>0</v>
      </c>
      <c r="L27" cm="1">
        <f t="array" aca="1" ref="L27" ca="1">INDIRECT(ADDRESS($B27,Plots!$H$4,,,Plots!$A$47))</f>
        <v>0</v>
      </c>
      <c r="M27" cm="1">
        <f t="array" aca="1" ref="M27" ca="1">INDIRECT(ADDRESS($B27,Plots!$H$4,,,Plots!$A$48))+INDIRECT(ADDRESS($B27,Plots!$H$4,,,Plots!$A$49))</f>
        <v>0</v>
      </c>
      <c r="N27" cm="1">
        <f t="array" aca="1" ref="N27" ca="1">INDIRECT(ADDRESS($B27,Plots!$H$4,,,Plots!$A$50))+INDIRECT(ADDRESS($B27,Plots!$H$4,,,Plots!$A$51))+INDIRECT(ADDRESS($B27,Plots!$H$4,,,Plots!$A$52))</f>
        <v>0</v>
      </c>
      <c r="O27" cm="1">
        <f t="array" aca="1" ref="O27" ca="1">INDIRECT(ADDRESS($B27,Plots!$H$4,,,Plots!$A$53))+INDIRECT(ADDRESS($B27,Plots!$H$4,,,Plots!$A$54))+INDIRECT(ADDRESS($B27,Plots!$H$4,,,Plots!$A$55))+INDIRECT(ADDRESS($B27,Plots!$H$4,,,Plots!$A$56))</f>
        <v>0</v>
      </c>
      <c r="P27" cm="1">
        <f t="array" aca="1" ref="P27" ca="1">INDIRECT(ADDRESS($B27,Plots!$H$4,,,Plots!$A$57))+INDIRECT(ADDRESS($B27,Plots!$H$4,,,Plots!$A$58))+INDIRECT(ADDRESS($B27,Plots!$H$4,,,Plots!$A$59))+INDIRECT(ADDRESS($B27,Plots!$H$4,,,Plots!$A$60))+INDIRECT(ADDRESS($B27,Plots!$H$4,,,Plots!$A$61))</f>
        <v>0</v>
      </c>
      <c r="Q27" cm="1">
        <f t="array" aca="1" ref="Q27" ca="1">INDIRECT(ADDRESS($B27,Plots!$H$4,,,Plots!$A$62))+INDIRECT(ADDRESS($B27,Plots!$H$4,,,Plots!$A$63))+INDIRECT(ADDRESS($B27,Plots!$H$4,,,Plots!$A$64))+INDIRECT(ADDRESS($B27,Plots!$H$4,,,Plots!$A$65))+INDIRECT(ADDRESS($B27,Plots!$H$4,,,Plots!$A$66))+INDIRECT(ADDRESS($B27,Plots!$H$4,,,Plots!$A$67))</f>
        <v>0</v>
      </c>
      <c r="R27">
        <f>'AARnetCBR-CamDTN1_tcpmon_ts_81'!I27+'AARnetCBR-CamDTN1_tcpmon_ts_82'!I27+'AARnetCBR-CamDTN1_tcpmon_ts_83'!I27+'AARnetCBR-CamDTN1_tcpmon_ts_84'!I27+'AARnetCBR-CamDTN1_tcpmon_ts_85'!I27+'AARnetCBR-CamDTN1_tcpmon_ts_86'!I27+'AARnetCBR-CamDTN1_tcpmon_ts_87'!I27+'AARnetCBR-CamDTN1_tcpmon_ts_88'!I27</f>
        <v>0</v>
      </c>
    </row>
    <row r="28" spans="1:18">
      <c r="A28">
        <f>'AARnetCBR-CamDTN1_tcpmon_ts_11'!A28</f>
        <v>32</v>
      </c>
      <c r="B28">
        <f t="shared" si="0"/>
        <v>28</v>
      </c>
      <c r="C28" cm="1">
        <f t="array" aca="1" ref="C28" ca="1">INDIRECT(ADDRESS($B28,Plots!$H$3,,,Plots!$A$47))</f>
        <v>6.6</v>
      </c>
      <c r="D28" cm="1">
        <f t="array" aca="1" ref="D28" ca="1">INDIRECT(ADDRESS($B28,Plots!$H$3,,,Plots!$A$48))+INDIRECT(ADDRESS($B28,Plots!$H$3,,,Plots!$A$49))</f>
        <v>54.42</v>
      </c>
      <c r="E28" cm="1">
        <f t="array" aca="1" ref="E28" ca="1">INDIRECT(ADDRESS($B28,Plots!$H$3,,,Plots!$A$50))+INDIRECT(ADDRESS($B28,Plots!$H$3,,,Plots!$A$51))+INDIRECT(ADDRESS($B28,Plots!$H$3,,,Plots!$A$52))</f>
        <v>54.010000000000005</v>
      </c>
      <c r="F28" cm="1">
        <f t="array" aca="1" ref="F28" ca="1">INDIRECT(ADDRESS($B28,Plots!$H$3,,,Plots!$A$53))+INDIRECT(ADDRESS($B28,Plots!$H$3,,,Plots!$A$54))+INDIRECT(ADDRESS($B28,Plots!$H$3,,,Plots!$A$55))+INDIRECT(ADDRESS($B28,Plots!$H$3,,,Plots!$A$56))</f>
        <v>62.489999999999995</v>
      </c>
      <c r="G28" cm="1">
        <f t="array" aca="1" ref="G28" ca="1">INDIRECT(ADDRESS($B28,Plots!$H$3,,,Plots!$A$57))+INDIRECT(ADDRESS($B28,Plots!$H$3,,,Plots!$A$58))+INDIRECT(ADDRESS($B28,Plots!$H$3,,,Plots!$A$59))+INDIRECT(ADDRESS($B28,Plots!$H$3,,,Plots!$A$60))+INDIRECT(ADDRESS($B28,Plots!$H$3,,,Plots!$A$61))</f>
        <v>0</v>
      </c>
      <c r="H28" cm="1">
        <f t="array" aca="1" ref="H28" ca="1">INDIRECT(ADDRESS($B28,Plots!$H$3,,,Plots!$A$62))+INDIRECT(ADDRESS($B28,Plots!$H$3,,,Plots!$A$63))+INDIRECT(ADDRESS($B28,Plots!$H$3,,,Plots!$A$64))+INDIRECT(ADDRESS($B28,Plots!$H$3,,,Plots!$A$65))+INDIRECT(ADDRESS($B28,Plots!$H$3,,,Plots!$A$66))+INDIRECT(ADDRESS($B28,Plots!$H$3,,,Plots!$A$67))</f>
        <v>0</v>
      </c>
      <c r="I28">
        <f>'AARnetCBR-CamDTN1_tcpmon_ts_81'!F28+'AARnetCBR-CamDTN1_tcpmon_ts_82'!F28+'AARnetCBR-CamDTN1_tcpmon_ts_83'!F28+'AARnetCBR-CamDTN1_tcpmon_ts_84'!F28+'AARnetCBR-CamDTN1_tcpmon_ts_85'!F28+'AARnetCBR-CamDTN1_tcpmon_ts_86'!F28+'AARnetCBR-CamDTN1_tcpmon_ts_87'!F28+'AARnetCBR-CamDTN1_tcpmon_ts_88'!F28</f>
        <v>0</v>
      </c>
      <c r="L28" cm="1">
        <f t="array" aca="1" ref="L28" ca="1">INDIRECT(ADDRESS($B28,Plots!$H$4,,,Plots!$A$47))</f>
        <v>0</v>
      </c>
      <c r="M28" cm="1">
        <f t="array" aca="1" ref="M28" ca="1">INDIRECT(ADDRESS($B28,Plots!$H$4,,,Plots!$A$48))+INDIRECT(ADDRESS($B28,Plots!$H$4,,,Plots!$A$49))</f>
        <v>0</v>
      </c>
      <c r="N28" cm="1">
        <f t="array" aca="1" ref="N28" ca="1">INDIRECT(ADDRESS($B28,Plots!$H$4,,,Plots!$A$50))+INDIRECT(ADDRESS($B28,Plots!$H$4,,,Plots!$A$51))+INDIRECT(ADDRESS($B28,Plots!$H$4,,,Plots!$A$52))</f>
        <v>0</v>
      </c>
      <c r="O28" cm="1">
        <f t="array" aca="1" ref="O28" ca="1">INDIRECT(ADDRESS($B28,Plots!$H$4,,,Plots!$A$53))+INDIRECT(ADDRESS($B28,Plots!$H$4,,,Plots!$A$54))+INDIRECT(ADDRESS($B28,Plots!$H$4,,,Plots!$A$55))+INDIRECT(ADDRESS($B28,Plots!$H$4,,,Plots!$A$56))</f>
        <v>0</v>
      </c>
      <c r="P28" cm="1">
        <f t="array" aca="1" ref="P28" ca="1">INDIRECT(ADDRESS($B28,Plots!$H$4,,,Plots!$A$57))+INDIRECT(ADDRESS($B28,Plots!$H$4,,,Plots!$A$58))+INDIRECT(ADDRESS($B28,Plots!$H$4,,,Plots!$A$59))+INDIRECT(ADDRESS($B28,Plots!$H$4,,,Plots!$A$60))+INDIRECT(ADDRESS($B28,Plots!$H$4,,,Plots!$A$61))</f>
        <v>0</v>
      </c>
      <c r="Q28" cm="1">
        <f t="array" aca="1" ref="Q28" ca="1">INDIRECT(ADDRESS($B28,Plots!$H$4,,,Plots!$A$62))+INDIRECT(ADDRESS($B28,Plots!$H$4,,,Plots!$A$63))+INDIRECT(ADDRESS($B28,Plots!$H$4,,,Plots!$A$64))+INDIRECT(ADDRESS($B28,Plots!$H$4,,,Plots!$A$65))+INDIRECT(ADDRESS($B28,Plots!$H$4,,,Plots!$A$66))+INDIRECT(ADDRESS($B28,Plots!$H$4,,,Plots!$A$67))</f>
        <v>0</v>
      </c>
      <c r="R28">
        <f>'AARnetCBR-CamDTN1_tcpmon_ts_81'!I28+'AARnetCBR-CamDTN1_tcpmon_ts_82'!I28+'AARnetCBR-CamDTN1_tcpmon_ts_83'!I28+'AARnetCBR-CamDTN1_tcpmon_ts_84'!I28+'AARnetCBR-CamDTN1_tcpmon_ts_85'!I28+'AARnetCBR-CamDTN1_tcpmon_ts_86'!I28+'AARnetCBR-CamDTN1_tcpmon_ts_87'!I28+'AARnetCBR-CamDTN1_tcpmon_ts_88'!I28</f>
        <v>0</v>
      </c>
    </row>
    <row r="29" spans="1:18">
      <c r="A29">
        <f>'AARnetCBR-CamDTN1_tcpmon_ts_11'!A29</f>
        <v>34</v>
      </c>
      <c r="B29">
        <f t="shared" si="0"/>
        <v>29</v>
      </c>
      <c r="C29" cm="1">
        <f t="array" aca="1" ref="C29" ca="1">INDIRECT(ADDRESS($B29,Plots!$H$3,,,Plots!$A$47))</f>
        <v>11.02</v>
      </c>
      <c r="D29" cm="1">
        <f t="array" aca="1" ref="D29" ca="1">INDIRECT(ADDRESS($B29,Plots!$H$3,,,Plots!$A$48))+INDIRECT(ADDRESS($B29,Plots!$H$3,,,Plots!$A$49))</f>
        <v>56.09</v>
      </c>
      <c r="E29" cm="1">
        <f t="array" aca="1" ref="E29" ca="1">INDIRECT(ADDRESS($B29,Plots!$H$3,,,Plots!$A$50))+INDIRECT(ADDRESS($B29,Plots!$H$3,,,Plots!$A$51))+INDIRECT(ADDRESS($B29,Plots!$H$3,,,Plots!$A$52))</f>
        <v>59.059999999999995</v>
      </c>
      <c r="F29" cm="1">
        <f t="array" aca="1" ref="F29" ca="1">INDIRECT(ADDRESS($B29,Plots!$H$3,,,Plots!$A$53))+INDIRECT(ADDRESS($B29,Plots!$H$3,,,Plots!$A$54))+INDIRECT(ADDRESS($B29,Plots!$H$3,,,Plots!$A$55))+INDIRECT(ADDRESS($B29,Plots!$H$3,,,Plots!$A$56))</f>
        <v>70.849999999999994</v>
      </c>
      <c r="G29" cm="1">
        <f t="array" aca="1" ref="G29" ca="1">INDIRECT(ADDRESS($B29,Plots!$H$3,,,Plots!$A$57))+INDIRECT(ADDRESS($B29,Plots!$H$3,,,Plots!$A$58))+INDIRECT(ADDRESS($B29,Plots!$H$3,,,Plots!$A$59))+INDIRECT(ADDRESS($B29,Plots!$H$3,,,Plots!$A$60))+INDIRECT(ADDRESS($B29,Plots!$H$3,,,Plots!$A$61))</f>
        <v>0</v>
      </c>
      <c r="H29" cm="1">
        <f t="array" aca="1" ref="H29" ca="1">INDIRECT(ADDRESS($B29,Plots!$H$3,,,Plots!$A$62))+INDIRECT(ADDRESS($B29,Plots!$H$3,,,Plots!$A$63))+INDIRECT(ADDRESS($B29,Plots!$H$3,,,Plots!$A$64))+INDIRECT(ADDRESS($B29,Plots!$H$3,,,Plots!$A$65))+INDIRECT(ADDRESS($B29,Plots!$H$3,,,Plots!$A$66))+INDIRECT(ADDRESS($B29,Plots!$H$3,,,Plots!$A$67))</f>
        <v>0</v>
      </c>
      <c r="I29">
        <f>'AARnetCBR-CamDTN1_tcpmon_ts_81'!F29+'AARnetCBR-CamDTN1_tcpmon_ts_82'!F29+'AARnetCBR-CamDTN1_tcpmon_ts_83'!F29+'AARnetCBR-CamDTN1_tcpmon_ts_84'!F29+'AARnetCBR-CamDTN1_tcpmon_ts_85'!F29+'AARnetCBR-CamDTN1_tcpmon_ts_86'!F29+'AARnetCBR-CamDTN1_tcpmon_ts_87'!F29+'AARnetCBR-CamDTN1_tcpmon_ts_88'!F29</f>
        <v>0</v>
      </c>
      <c r="L29" cm="1">
        <f t="array" aca="1" ref="L29" ca="1">INDIRECT(ADDRESS($B29,Plots!$H$4,,,Plots!$A$47))</f>
        <v>0</v>
      </c>
      <c r="M29" cm="1">
        <f t="array" aca="1" ref="M29" ca="1">INDIRECT(ADDRESS($B29,Plots!$H$4,,,Plots!$A$48))+INDIRECT(ADDRESS($B29,Plots!$H$4,,,Plots!$A$49))</f>
        <v>0</v>
      </c>
      <c r="N29" cm="1">
        <f t="array" aca="1" ref="N29" ca="1">INDIRECT(ADDRESS($B29,Plots!$H$4,,,Plots!$A$50))+INDIRECT(ADDRESS($B29,Plots!$H$4,,,Plots!$A$51))+INDIRECT(ADDRESS($B29,Plots!$H$4,,,Plots!$A$52))</f>
        <v>0</v>
      </c>
      <c r="O29" cm="1">
        <f t="array" aca="1" ref="O29" ca="1">INDIRECT(ADDRESS($B29,Plots!$H$4,,,Plots!$A$53))+INDIRECT(ADDRESS($B29,Plots!$H$4,,,Plots!$A$54))+INDIRECT(ADDRESS($B29,Plots!$H$4,,,Plots!$A$55))+INDIRECT(ADDRESS($B29,Plots!$H$4,,,Plots!$A$56))</f>
        <v>0</v>
      </c>
      <c r="P29" cm="1">
        <f t="array" aca="1" ref="P29" ca="1">INDIRECT(ADDRESS($B29,Plots!$H$4,,,Plots!$A$57))+INDIRECT(ADDRESS($B29,Plots!$H$4,,,Plots!$A$58))+INDIRECT(ADDRESS($B29,Plots!$H$4,,,Plots!$A$59))+INDIRECT(ADDRESS($B29,Plots!$H$4,,,Plots!$A$60))+INDIRECT(ADDRESS($B29,Plots!$H$4,,,Plots!$A$61))</f>
        <v>0</v>
      </c>
      <c r="Q29" cm="1">
        <f t="array" aca="1" ref="Q29" ca="1">INDIRECT(ADDRESS($B29,Plots!$H$4,,,Plots!$A$62))+INDIRECT(ADDRESS($B29,Plots!$H$4,,,Plots!$A$63))+INDIRECT(ADDRESS($B29,Plots!$H$4,,,Plots!$A$64))+INDIRECT(ADDRESS($B29,Plots!$H$4,,,Plots!$A$65))+INDIRECT(ADDRESS($B29,Plots!$H$4,,,Plots!$A$66))+INDIRECT(ADDRESS($B29,Plots!$H$4,,,Plots!$A$67))</f>
        <v>0</v>
      </c>
      <c r="R29">
        <f>'AARnetCBR-CamDTN1_tcpmon_ts_81'!I29+'AARnetCBR-CamDTN1_tcpmon_ts_82'!I29+'AARnetCBR-CamDTN1_tcpmon_ts_83'!I29+'AARnetCBR-CamDTN1_tcpmon_ts_84'!I29+'AARnetCBR-CamDTN1_tcpmon_ts_85'!I29+'AARnetCBR-CamDTN1_tcpmon_ts_86'!I29+'AARnetCBR-CamDTN1_tcpmon_ts_87'!I29+'AARnetCBR-CamDTN1_tcpmon_ts_88'!I29</f>
        <v>0</v>
      </c>
    </row>
    <row r="30" spans="1:18">
      <c r="A30">
        <f>'AARnetCBR-CamDTN1_tcpmon_ts_11'!A30</f>
        <v>36</v>
      </c>
      <c r="B30">
        <f t="shared" si="0"/>
        <v>30</v>
      </c>
      <c r="C30" cm="1">
        <f t="array" aca="1" ref="C30" ca="1">INDIRECT(ADDRESS($B30,Plots!$H$3,,,Plots!$A$47))</f>
        <v>16.899999999999999</v>
      </c>
      <c r="D30" cm="1">
        <f t="array" aca="1" ref="D30" ca="1">INDIRECT(ADDRESS($B30,Plots!$H$3,,,Plots!$A$48))+INDIRECT(ADDRESS($B30,Plots!$H$3,,,Plots!$A$49))</f>
        <v>60.120000000000005</v>
      </c>
      <c r="E30" cm="1">
        <f t="array" aca="1" ref="E30" ca="1">INDIRECT(ADDRESS($B30,Plots!$H$3,,,Plots!$A$50))+INDIRECT(ADDRESS($B30,Plots!$H$3,,,Plots!$A$51))+INDIRECT(ADDRESS($B30,Plots!$H$3,,,Plots!$A$52))</f>
        <v>62.379999999999995</v>
      </c>
      <c r="F30" cm="1">
        <f t="array" aca="1" ref="F30" ca="1">INDIRECT(ADDRESS($B30,Plots!$H$3,,,Plots!$A$53))+INDIRECT(ADDRESS($B30,Plots!$H$3,,,Plots!$A$54))+INDIRECT(ADDRESS($B30,Plots!$H$3,,,Plots!$A$55))+INDIRECT(ADDRESS($B30,Plots!$H$3,,,Plots!$A$56))</f>
        <v>73.87</v>
      </c>
      <c r="G30" cm="1">
        <f t="array" aca="1" ref="G30" ca="1">INDIRECT(ADDRESS($B30,Plots!$H$3,,,Plots!$A$57))+INDIRECT(ADDRESS($B30,Plots!$H$3,,,Plots!$A$58))+INDIRECT(ADDRESS($B30,Plots!$H$3,,,Plots!$A$59))+INDIRECT(ADDRESS($B30,Plots!$H$3,,,Plots!$A$60))+INDIRECT(ADDRESS($B30,Plots!$H$3,,,Plots!$A$61))</f>
        <v>0</v>
      </c>
      <c r="H30" cm="1">
        <f t="array" aca="1" ref="H30" ca="1">INDIRECT(ADDRESS($B30,Plots!$H$3,,,Plots!$A$62))+INDIRECT(ADDRESS($B30,Plots!$H$3,,,Plots!$A$63))+INDIRECT(ADDRESS($B30,Plots!$H$3,,,Plots!$A$64))+INDIRECT(ADDRESS($B30,Plots!$H$3,,,Plots!$A$65))+INDIRECT(ADDRESS($B30,Plots!$H$3,,,Plots!$A$66))+INDIRECT(ADDRESS($B30,Plots!$H$3,,,Plots!$A$67))</f>
        <v>0</v>
      </c>
      <c r="I30">
        <f>'AARnetCBR-CamDTN1_tcpmon_ts_81'!H34+'AARnetCBR-CamDTN1_tcpmon_ts_82'!H34+'AARnetCBR-CamDTN1_tcpmon_ts_83'!H34+'AARnetCBR-CamDTN1_tcpmon_ts_84'!H34+'AARnetCBR-CamDTN1_tcpmon_ts_85'!H34+'AARnetCBR-CamDTN1_tcpmon_ts_86'!H34+'AARnetCBR-CamDTN1_tcpmon_ts_87'!H34+'AARnetCBR-CamDTN1_tcpmon_ts_88'!H34</f>
        <v>0</v>
      </c>
      <c r="L30" cm="1">
        <f t="array" aca="1" ref="L30" ca="1">INDIRECT(ADDRESS($B30,Plots!$H$4,,,Plots!$A$47))</f>
        <v>0</v>
      </c>
      <c r="M30" cm="1">
        <f t="array" aca="1" ref="M30" ca="1">INDIRECT(ADDRESS($B30,Plots!$H$4,,,Plots!$A$48))+INDIRECT(ADDRESS($B30,Plots!$H$4,,,Plots!$A$49))</f>
        <v>0</v>
      </c>
      <c r="N30" cm="1">
        <f t="array" aca="1" ref="N30" ca="1">INDIRECT(ADDRESS($B30,Plots!$H$4,,,Plots!$A$50))+INDIRECT(ADDRESS($B30,Plots!$H$4,,,Plots!$A$51))+INDIRECT(ADDRESS($B30,Plots!$H$4,,,Plots!$A$52))</f>
        <v>0</v>
      </c>
      <c r="O30" cm="1">
        <f t="array" aca="1" ref="O30" ca="1">INDIRECT(ADDRESS($B30,Plots!$H$4,,,Plots!$A$53))+INDIRECT(ADDRESS($B30,Plots!$H$4,,,Plots!$A$54))+INDIRECT(ADDRESS($B30,Plots!$H$4,,,Plots!$A$55))+INDIRECT(ADDRESS($B30,Plots!$H$4,,,Plots!$A$56))</f>
        <v>0</v>
      </c>
      <c r="P30" cm="1">
        <f t="array" aca="1" ref="P30" ca="1">INDIRECT(ADDRESS($B30,Plots!$H$4,,,Plots!$A$57))+INDIRECT(ADDRESS($B30,Plots!$H$4,,,Plots!$A$58))+INDIRECT(ADDRESS($B30,Plots!$H$4,,,Plots!$A$59))+INDIRECT(ADDRESS($B30,Plots!$H$4,,,Plots!$A$60))+INDIRECT(ADDRESS($B30,Plots!$H$4,,,Plots!$A$61))</f>
        <v>0</v>
      </c>
      <c r="Q30" cm="1">
        <f t="array" aca="1" ref="Q30" ca="1">INDIRECT(ADDRESS($B30,Plots!$H$4,,,Plots!$A$62))+INDIRECT(ADDRESS($B30,Plots!$H$4,,,Plots!$A$63))+INDIRECT(ADDRESS($B30,Plots!$H$4,,,Plots!$A$64))+INDIRECT(ADDRESS($B30,Plots!$H$4,,,Plots!$A$65))+INDIRECT(ADDRESS($B30,Plots!$H$4,,,Plots!$A$66))+INDIRECT(ADDRESS($B30,Plots!$H$4,,,Plots!$A$67))</f>
        <v>0</v>
      </c>
      <c r="R30">
        <f>'AARnetCBR-CamDTN1_tcpmon_ts_81'!I30+'AARnetCBR-CamDTN1_tcpmon_ts_82'!I30+'AARnetCBR-CamDTN1_tcpmon_ts_83'!I30+'AARnetCBR-CamDTN1_tcpmon_ts_84'!I30+'AARnetCBR-CamDTN1_tcpmon_ts_85'!I30+'AARnetCBR-CamDTN1_tcpmon_ts_86'!I30+'AARnetCBR-CamDTN1_tcpmon_ts_87'!I30+'AARnetCBR-CamDTN1_tcpmon_ts_88'!I30</f>
        <v>0</v>
      </c>
    </row>
    <row r="31" spans="1:18">
      <c r="A31">
        <f>'AARnetCBR-CamDTN1_tcpmon_ts_11'!A31</f>
        <v>38</v>
      </c>
      <c r="B31">
        <f t="shared" si="0"/>
        <v>31</v>
      </c>
      <c r="C31" cm="1">
        <f t="array" aca="1" ref="C31" ca="1">INDIRECT(ADDRESS($B31,Plots!$H$3,,,Plots!$A$47))</f>
        <v>20.03</v>
      </c>
      <c r="D31" cm="1">
        <f t="array" aca="1" ref="D31" ca="1">INDIRECT(ADDRESS($B31,Plots!$H$3,,,Plots!$A$48))+INDIRECT(ADDRESS($B31,Plots!$H$3,,,Plots!$A$49))</f>
        <v>57.55</v>
      </c>
      <c r="E31" cm="1">
        <f t="array" aca="1" ref="E31" ca="1">INDIRECT(ADDRESS($B31,Plots!$H$3,,,Plots!$A$50))+INDIRECT(ADDRESS($B31,Plots!$H$3,,,Plots!$A$51))+INDIRECT(ADDRESS($B31,Plots!$H$3,,,Plots!$A$52))</f>
        <v>71.78</v>
      </c>
      <c r="F31" cm="1">
        <f t="array" aca="1" ref="F31" ca="1">INDIRECT(ADDRESS($B31,Plots!$H$3,,,Plots!$A$53))+INDIRECT(ADDRESS($B31,Plots!$H$3,,,Plots!$A$54))+INDIRECT(ADDRESS($B31,Plots!$H$3,,,Plots!$A$55))+INDIRECT(ADDRESS($B31,Plots!$H$3,,,Plots!$A$56))</f>
        <v>87.72</v>
      </c>
      <c r="G31" cm="1">
        <f t="array" aca="1" ref="G31" ca="1">INDIRECT(ADDRESS($B31,Plots!$H$3,,,Plots!$A$57))+INDIRECT(ADDRESS($B31,Plots!$H$3,,,Plots!$A$58))+INDIRECT(ADDRESS($B31,Plots!$H$3,,,Plots!$A$59))+INDIRECT(ADDRESS($B31,Plots!$H$3,,,Plots!$A$60))+INDIRECT(ADDRESS($B31,Plots!$H$3,,,Plots!$A$61))</f>
        <v>0</v>
      </c>
      <c r="H31" cm="1">
        <f t="array" aca="1" ref="H31" ca="1">INDIRECT(ADDRESS($B31,Plots!$H$3,,,Plots!$A$62))+INDIRECT(ADDRESS($B31,Plots!$H$3,,,Plots!$A$63))+INDIRECT(ADDRESS($B31,Plots!$H$3,,,Plots!$A$64))+INDIRECT(ADDRESS($B31,Plots!$H$3,,,Plots!$A$65))+INDIRECT(ADDRESS($B31,Plots!$H$3,,,Plots!$A$66))+INDIRECT(ADDRESS($B31,Plots!$H$3,,,Plots!$A$67))</f>
        <v>0</v>
      </c>
      <c r="I31">
        <f>'AARnetCBR-CamDTN1_tcpmon_ts_81'!H35+'AARnetCBR-CamDTN1_tcpmon_ts_82'!H35+'AARnetCBR-CamDTN1_tcpmon_ts_83'!H35+'AARnetCBR-CamDTN1_tcpmon_ts_84'!H35+'AARnetCBR-CamDTN1_tcpmon_ts_85'!H35+'AARnetCBR-CamDTN1_tcpmon_ts_86'!H35+'AARnetCBR-CamDTN1_tcpmon_ts_87'!H35+'AARnetCBR-CamDTN1_tcpmon_ts_88'!H35</f>
        <v>0</v>
      </c>
      <c r="L31" cm="1">
        <f t="array" aca="1" ref="L31" ca="1">INDIRECT(ADDRESS($B31,Plots!$H$4,,,Plots!$A$47))</f>
        <v>0</v>
      </c>
      <c r="M31" cm="1">
        <f t="array" aca="1" ref="M31" ca="1">INDIRECT(ADDRESS($B31,Plots!$H$4,,,Plots!$A$48))+INDIRECT(ADDRESS($B31,Plots!$H$4,,,Plots!$A$49))</f>
        <v>0</v>
      </c>
      <c r="N31" cm="1">
        <f t="array" aca="1" ref="N31" ca="1">INDIRECT(ADDRESS($B31,Plots!$H$4,,,Plots!$A$50))+INDIRECT(ADDRESS($B31,Plots!$H$4,,,Plots!$A$51))+INDIRECT(ADDRESS($B31,Plots!$H$4,,,Plots!$A$52))</f>
        <v>0</v>
      </c>
      <c r="O31" cm="1">
        <f t="array" aca="1" ref="O31" ca="1">INDIRECT(ADDRESS($B31,Plots!$H$4,,,Plots!$A$53))+INDIRECT(ADDRESS($B31,Plots!$H$4,,,Plots!$A$54))+INDIRECT(ADDRESS($B31,Plots!$H$4,,,Plots!$A$55))+INDIRECT(ADDRESS($B31,Plots!$H$4,,,Plots!$A$56))</f>
        <v>0</v>
      </c>
      <c r="P31" cm="1">
        <f t="array" aca="1" ref="P31" ca="1">INDIRECT(ADDRESS($B31,Plots!$H$4,,,Plots!$A$57))+INDIRECT(ADDRESS($B31,Plots!$H$4,,,Plots!$A$58))+INDIRECT(ADDRESS($B31,Plots!$H$4,,,Plots!$A$59))+INDIRECT(ADDRESS($B31,Plots!$H$4,,,Plots!$A$60))+INDIRECT(ADDRESS($B31,Plots!$H$4,,,Plots!$A$61))</f>
        <v>0</v>
      </c>
      <c r="Q31" cm="1">
        <f t="array" aca="1" ref="Q31" ca="1">INDIRECT(ADDRESS($B31,Plots!$H$4,,,Plots!$A$62))+INDIRECT(ADDRESS($B31,Plots!$H$4,,,Plots!$A$63))+INDIRECT(ADDRESS($B31,Plots!$H$4,,,Plots!$A$64))+INDIRECT(ADDRESS($B31,Plots!$H$4,,,Plots!$A$65))+INDIRECT(ADDRESS($B31,Plots!$H$4,,,Plots!$A$66))+INDIRECT(ADDRESS($B31,Plots!$H$4,,,Plots!$A$67))</f>
        <v>0</v>
      </c>
      <c r="R31">
        <f>'AARnetCBR-CamDTN1_tcpmon_ts_81'!I31+'AARnetCBR-CamDTN1_tcpmon_ts_82'!I31+'AARnetCBR-CamDTN1_tcpmon_ts_83'!I31+'AARnetCBR-CamDTN1_tcpmon_ts_84'!I31+'AARnetCBR-CamDTN1_tcpmon_ts_85'!I31+'AARnetCBR-CamDTN1_tcpmon_ts_86'!I31+'AARnetCBR-CamDTN1_tcpmon_ts_87'!I31+'AARnetCBR-CamDTN1_tcpmon_ts_88'!I31</f>
        <v>0</v>
      </c>
    </row>
    <row r="32" spans="1:18">
      <c r="A32">
        <f>'AARnetCBR-CamDTN1_tcpmon_ts_11'!A32</f>
        <v>40</v>
      </c>
      <c r="B32">
        <f t="shared" si="0"/>
        <v>32</v>
      </c>
      <c r="C32" cm="1">
        <f t="array" aca="1" ref="C32" ca="1">INDIRECT(ADDRESS($B32,Plots!$H$3,,,Plots!$A$47))</f>
        <v>24.32</v>
      </c>
      <c r="D32" cm="1">
        <f t="array" aca="1" ref="D32" ca="1">INDIRECT(ADDRESS($B32,Plots!$H$3,,,Plots!$A$48))+INDIRECT(ADDRESS($B32,Plots!$H$3,,,Plots!$A$49))</f>
        <v>53.96</v>
      </c>
      <c r="E32" cm="1">
        <f t="array" aca="1" ref="E32" ca="1">INDIRECT(ADDRESS($B32,Plots!$H$3,,,Plots!$A$50))+INDIRECT(ADDRESS($B32,Plots!$H$3,,,Plots!$A$51))+INDIRECT(ADDRESS($B32,Plots!$H$3,,,Plots!$A$52))</f>
        <v>63.730000000000004</v>
      </c>
      <c r="F32" cm="1">
        <f t="array" aca="1" ref="F32" ca="1">INDIRECT(ADDRESS($B32,Plots!$H$3,,,Plots!$A$53))+INDIRECT(ADDRESS($B32,Plots!$H$3,,,Plots!$A$54))+INDIRECT(ADDRESS($B32,Plots!$H$3,,,Plots!$A$55))+INDIRECT(ADDRESS($B32,Plots!$H$3,,,Plots!$A$56))</f>
        <v>89.88</v>
      </c>
      <c r="G32" cm="1">
        <f t="array" aca="1" ref="G32" ca="1">INDIRECT(ADDRESS($B32,Plots!$H$3,,,Plots!$A$57))+INDIRECT(ADDRESS($B32,Plots!$H$3,,,Plots!$A$58))+INDIRECT(ADDRESS($B32,Plots!$H$3,,,Plots!$A$59))+INDIRECT(ADDRESS($B32,Plots!$H$3,,,Plots!$A$60))+INDIRECT(ADDRESS($B32,Plots!$H$3,,,Plots!$A$61))</f>
        <v>0</v>
      </c>
      <c r="H32" cm="1">
        <f t="array" aca="1" ref="H32" ca="1">INDIRECT(ADDRESS($B32,Plots!$H$3,,,Plots!$A$62))+INDIRECT(ADDRESS($B32,Plots!$H$3,,,Plots!$A$63))+INDIRECT(ADDRESS($B32,Plots!$H$3,,,Plots!$A$64))+INDIRECT(ADDRESS($B32,Plots!$H$3,,,Plots!$A$65))+INDIRECT(ADDRESS($B32,Plots!$H$3,,,Plots!$A$66))+INDIRECT(ADDRESS($B32,Plots!$H$3,,,Plots!$A$67))</f>
        <v>0</v>
      </c>
      <c r="I32">
        <f>'AARnetCBR-CamDTN1_tcpmon_ts_81'!H36+'AARnetCBR-CamDTN1_tcpmon_ts_82'!H36+'AARnetCBR-CamDTN1_tcpmon_ts_83'!H36+'AARnetCBR-CamDTN1_tcpmon_ts_84'!H36+'AARnetCBR-CamDTN1_tcpmon_ts_85'!H36+'AARnetCBR-CamDTN1_tcpmon_ts_86'!H36+'AARnetCBR-CamDTN1_tcpmon_ts_87'!H36+'AARnetCBR-CamDTN1_tcpmon_ts_88'!H36</f>
        <v>0</v>
      </c>
      <c r="L32" cm="1">
        <f t="array" aca="1" ref="L32" ca="1">INDIRECT(ADDRESS($B32,Plots!$H$4,,,Plots!$A$47))</f>
        <v>0</v>
      </c>
      <c r="M32" cm="1">
        <f t="array" aca="1" ref="M32" ca="1">INDIRECT(ADDRESS($B32,Plots!$H$4,,,Plots!$A$48))+INDIRECT(ADDRESS($B32,Plots!$H$4,,,Plots!$A$49))</f>
        <v>0</v>
      </c>
      <c r="N32" cm="1">
        <f t="array" aca="1" ref="N32" ca="1">INDIRECT(ADDRESS($B32,Plots!$H$4,,,Plots!$A$50))+INDIRECT(ADDRESS($B32,Plots!$H$4,,,Plots!$A$51))+INDIRECT(ADDRESS($B32,Plots!$H$4,,,Plots!$A$52))</f>
        <v>0</v>
      </c>
      <c r="O32" cm="1">
        <f t="array" aca="1" ref="O32" ca="1">INDIRECT(ADDRESS($B32,Plots!$H$4,,,Plots!$A$53))+INDIRECT(ADDRESS($B32,Plots!$H$4,,,Plots!$A$54))+INDIRECT(ADDRESS($B32,Plots!$H$4,,,Plots!$A$55))+INDIRECT(ADDRESS($B32,Plots!$H$4,,,Plots!$A$56))</f>
        <v>0</v>
      </c>
      <c r="P32" cm="1">
        <f t="array" aca="1" ref="P32" ca="1">INDIRECT(ADDRESS($B32,Plots!$H$4,,,Plots!$A$57))+INDIRECT(ADDRESS($B32,Plots!$H$4,,,Plots!$A$58))+INDIRECT(ADDRESS($B32,Plots!$H$4,,,Plots!$A$59))+INDIRECT(ADDRESS($B32,Plots!$H$4,,,Plots!$A$60))+INDIRECT(ADDRESS($B32,Plots!$H$4,,,Plots!$A$61))</f>
        <v>0</v>
      </c>
      <c r="Q32" cm="1">
        <f t="array" aca="1" ref="Q32" ca="1">INDIRECT(ADDRESS($B32,Plots!$H$4,,,Plots!$A$62))+INDIRECT(ADDRESS($B32,Plots!$H$4,,,Plots!$A$63))+INDIRECT(ADDRESS($B32,Plots!$H$4,,,Plots!$A$64))+INDIRECT(ADDRESS($B32,Plots!$H$4,,,Plots!$A$65))+INDIRECT(ADDRESS($B32,Plots!$H$4,,,Plots!$A$66))+INDIRECT(ADDRESS($B32,Plots!$H$4,,,Plots!$A$67))</f>
        <v>0</v>
      </c>
      <c r="R32">
        <f>'AARnetCBR-CamDTN1_tcpmon_ts_81'!I32+'AARnetCBR-CamDTN1_tcpmon_ts_82'!I32+'AARnetCBR-CamDTN1_tcpmon_ts_83'!I32+'AARnetCBR-CamDTN1_tcpmon_ts_84'!I32+'AARnetCBR-CamDTN1_tcpmon_ts_85'!I32+'AARnetCBR-CamDTN1_tcpmon_ts_86'!I32+'AARnetCBR-CamDTN1_tcpmon_ts_87'!I32+'AARnetCBR-CamDTN1_tcpmon_ts_88'!I32</f>
        <v>0</v>
      </c>
    </row>
    <row r="33" spans="1:18">
      <c r="A33">
        <f>'AARnetCBR-CamDTN1_tcpmon_ts_11'!A33</f>
        <v>42</v>
      </c>
      <c r="B33">
        <f t="shared" si="0"/>
        <v>33</v>
      </c>
      <c r="C33" cm="1">
        <f t="array" aca="1" ref="C33" ca="1">INDIRECT(ADDRESS($B33,Plots!$H$3,,,Plots!$A$47))</f>
        <v>31.68</v>
      </c>
      <c r="D33" cm="1">
        <f t="array" aca="1" ref="D33" ca="1">INDIRECT(ADDRESS($B33,Plots!$H$3,,,Plots!$A$48))+INDIRECT(ADDRESS($B33,Plots!$H$3,,,Plots!$A$49))</f>
        <v>57.53</v>
      </c>
      <c r="E33" cm="1">
        <f t="array" aca="1" ref="E33" ca="1">INDIRECT(ADDRESS($B33,Plots!$H$3,,,Plots!$A$50))+INDIRECT(ADDRESS($B33,Plots!$H$3,,,Plots!$A$51))+INDIRECT(ADDRESS($B33,Plots!$H$3,,,Plots!$A$52))</f>
        <v>74.55</v>
      </c>
      <c r="F33" cm="1">
        <f t="array" aca="1" ref="F33" ca="1">INDIRECT(ADDRESS($B33,Plots!$H$3,,,Plots!$A$53))+INDIRECT(ADDRESS($B33,Plots!$H$3,,,Plots!$A$54))+INDIRECT(ADDRESS($B33,Plots!$H$3,,,Plots!$A$55))+INDIRECT(ADDRESS($B33,Plots!$H$3,,,Plots!$A$56))</f>
        <v>93.19</v>
      </c>
      <c r="G33" cm="1">
        <f t="array" aca="1" ref="G33" ca="1">INDIRECT(ADDRESS($B33,Plots!$H$3,,,Plots!$A$57))+INDIRECT(ADDRESS($B33,Plots!$H$3,,,Plots!$A$58))+INDIRECT(ADDRESS($B33,Plots!$H$3,,,Plots!$A$59))+INDIRECT(ADDRESS($B33,Plots!$H$3,,,Plots!$A$60))+INDIRECT(ADDRESS($B33,Plots!$H$3,,,Plots!$A$61))</f>
        <v>0</v>
      </c>
      <c r="H33" cm="1">
        <f t="array" aca="1" ref="H33" ca="1">INDIRECT(ADDRESS($B33,Plots!$H$3,,,Plots!$A$62))+INDIRECT(ADDRESS($B33,Plots!$H$3,,,Plots!$A$63))+INDIRECT(ADDRESS($B33,Plots!$H$3,,,Plots!$A$64))+INDIRECT(ADDRESS($B33,Plots!$H$3,,,Plots!$A$65))+INDIRECT(ADDRESS($B33,Plots!$H$3,,,Plots!$A$66))+INDIRECT(ADDRESS($B33,Plots!$H$3,,,Plots!$A$67))</f>
        <v>0</v>
      </c>
      <c r="I33">
        <f>'AARnetCBR-CamDTN1_tcpmon_ts_81'!H37+'AARnetCBR-CamDTN1_tcpmon_ts_82'!H37+'AARnetCBR-CamDTN1_tcpmon_ts_83'!H37+'AARnetCBR-CamDTN1_tcpmon_ts_84'!H37+'AARnetCBR-CamDTN1_tcpmon_ts_85'!H37+'AARnetCBR-CamDTN1_tcpmon_ts_86'!H37+'AARnetCBR-CamDTN1_tcpmon_ts_87'!H37+'AARnetCBR-CamDTN1_tcpmon_ts_88'!H37</f>
        <v>0</v>
      </c>
      <c r="L33" cm="1">
        <f t="array" aca="1" ref="L33" ca="1">INDIRECT(ADDRESS($B33,Plots!$H$4,,,Plots!$A$47))</f>
        <v>0</v>
      </c>
      <c r="M33" cm="1">
        <f t="array" aca="1" ref="M33" ca="1">INDIRECT(ADDRESS($B33,Plots!$H$4,,,Plots!$A$48))+INDIRECT(ADDRESS($B33,Plots!$H$4,,,Plots!$A$49))</f>
        <v>0</v>
      </c>
      <c r="N33" cm="1">
        <f t="array" aca="1" ref="N33" ca="1">INDIRECT(ADDRESS($B33,Plots!$H$4,,,Plots!$A$50))+INDIRECT(ADDRESS($B33,Plots!$H$4,,,Plots!$A$51))+INDIRECT(ADDRESS($B33,Plots!$H$4,,,Plots!$A$52))</f>
        <v>0</v>
      </c>
      <c r="O33" cm="1">
        <f t="array" aca="1" ref="O33" ca="1">INDIRECT(ADDRESS($B33,Plots!$H$4,,,Plots!$A$53))+INDIRECT(ADDRESS($B33,Plots!$H$4,,,Plots!$A$54))+INDIRECT(ADDRESS($B33,Plots!$H$4,,,Plots!$A$55))+INDIRECT(ADDRESS($B33,Plots!$H$4,,,Plots!$A$56))</f>
        <v>0</v>
      </c>
      <c r="P33" cm="1">
        <f t="array" aca="1" ref="P33" ca="1">INDIRECT(ADDRESS($B33,Plots!$H$4,,,Plots!$A$57))+INDIRECT(ADDRESS($B33,Plots!$H$4,,,Plots!$A$58))+INDIRECT(ADDRESS($B33,Plots!$H$4,,,Plots!$A$59))+INDIRECT(ADDRESS($B33,Plots!$H$4,,,Plots!$A$60))+INDIRECT(ADDRESS($B33,Plots!$H$4,,,Plots!$A$61))</f>
        <v>0</v>
      </c>
      <c r="Q33" cm="1">
        <f t="array" aca="1" ref="Q33" ca="1">INDIRECT(ADDRESS($B33,Plots!$H$4,,,Plots!$A$62))+INDIRECT(ADDRESS($B33,Plots!$H$4,,,Plots!$A$63))+INDIRECT(ADDRESS($B33,Plots!$H$4,,,Plots!$A$64))+INDIRECT(ADDRESS($B33,Plots!$H$4,,,Plots!$A$65))+INDIRECT(ADDRESS($B33,Plots!$H$4,,,Plots!$A$66))+INDIRECT(ADDRESS($B33,Plots!$H$4,,,Plots!$A$67))</f>
        <v>0</v>
      </c>
      <c r="R33">
        <f>'AARnetCBR-CamDTN1_tcpmon_ts_81'!I33+'AARnetCBR-CamDTN1_tcpmon_ts_82'!I33+'AARnetCBR-CamDTN1_tcpmon_ts_83'!I33+'AARnetCBR-CamDTN1_tcpmon_ts_84'!I33+'AARnetCBR-CamDTN1_tcpmon_ts_85'!I33+'AARnetCBR-CamDTN1_tcpmon_ts_86'!I33+'AARnetCBR-CamDTN1_tcpmon_ts_87'!I33+'AARnetCBR-CamDTN1_tcpmon_ts_88'!I33</f>
        <v>0</v>
      </c>
    </row>
    <row r="34" spans="1:18">
      <c r="A34">
        <f>'AARnetCBR-CamDTN1_tcpmon_ts_11'!A34</f>
        <v>44</v>
      </c>
      <c r="B34">
        <f t="shared" si="0"/>
        <v>34</v>
      </c>
      <c r="C34" cm="1">
        <f t="array" aca="1" ref="C34" ca="1">INDIRECT(ADDRESS($B34,Plots!$H$3,,,Plots!$A$47))</f>
        <v>28.09</v>
      </c>
      <c r="D34" cm="1">
        <f t="array" aca="1" ref="D34" ca="1">INDIRECT(ADDRESS($B34,Plots!$H$3,,,Plots!$A$48))+INDIRECT(ADDRESS($B34,Plots!$H$3,,,Plots!$A$49))</f>
        <v>62.17</v>
      </c>
      <c r="E34" cm="1">
        <f t="array" aca="1" ref="E34" ca="1">INDIRECT(ADDRESS($B34,Plots!$H$3,,,Plots!$A$50))+INDIRECT(ADDRESS($B34,Plots!$H$3,,,Plots!$A$51))+INDIRECT(ADDRESS($B34,Plots!$H$3,,,Plots!$A$52))</f>
        <v>63.79</v>
      </c>
      <c r="F34" cm="1">
        <f t="array" aca="1" ref="F34" ca="1">INDIRECT(ADDRESS($B34,Plots!$H$3,,,Plots!$A$53))+INDIRECT(ADDRESS($B34,Plots!$H$3,,,Plots!$A$54))+INDIRECT(ADDRESS($B34,Plots!$H$3,,,Plots!$A$55))+INDIRECT(ADDRESS($B34,Plots!$H$3,,,Plots!$A$56))</f>
        <v>73.48</v>
      </c>
      <c r="G34" cm="1">
        <f t="array" aca="1" ref="G34" ca="1">INDIRECT(ADDRESS($B34,Plots!$H$3,,,Plots!$A$57))+INDIRECT(ADDRESS($B34,Plots!$H$3,,,Plots!$A$58))+INDIRECT(ADDRESS($B34,Plots!$H$3,,,Plots!$A$59))+INDIRECT(ADDRESS($B34,Plots!$H$3,,,Plots!$A$60))+INDIRECT(ADDRESS($B34,Plots!$H$3,,,Plots!$A$61))</f>
        <v>0</v>
      </c>
      <c r="H34" cm="1">
        <f t="array" aca="1" ref="H34" ca="1">INDIRECT(ADDRESS($B34,Plots!$H$3,,,Plots!$A$62))+INDIRECT(ADDRESS($B34,Plots!$H$3,,,Plots!$A$63))+INDIRECT(ADDRESS($B34,Plots!$H$3,,,Plots!$A$64))+INDIRECT(ADDRESS($B34,Plots!$H$3,,,Plots!$A$65))+INDIRECT(ADDRESS($B34,Plots!$H$3,,,Plots!$A$66))+INDIRECT(ADDRESS($B34,Plots!$H$3,,,Plots!$A$67))</f>
        <v>0</v>
      </c>
      <c r="I34">
        <f>'AARnetCBR-CamDTN1_tcpmon_ts_81'!H38+'AARnetCBR-CamDTN1_tcpmon_ts_82'!H38+'AARnetCBR-CamDTN1_tcpmon_ts_83'!H38+'AARnetCBR-CamDTN1_tcpmon_ts_84'!H38+'AARnetCBR-CamDTN1_tcpmon_ts_85'!H38+'AARnetCBR-CamDTN1_tcpmon_ts_86'!H38+'AARnetCBR-CamDTN1_tcpmon_ts_87'!H38+'AARnetCBR-CamDTN1_tcpmon_ts_88'!H38</f>
        <v>0</v>
      </c>
      <c r="L34" cm="1">
        <f t="array" aca="1" ref="L34" ca="1">INDIRECT(ADDRESS($B34,Plots!$H$4,,,Plots!$A$47))</f>
        <v>0</v>
      </c>
      <c r="M34" cm="1">
        <f t="array" aca="1" ref="M34" ca="1">INDIRECT(ADDRESS($B34,Plots!$H$4,,,Plots!$A$48))+INDIRECT(ADDRESS($B34,Plots!$H$4,,,Plots!$A$49))</f>
        <v>0</v>
      </c>
      <c r="N34" cm="1">
        <f t="array" aca="1" ref="N34" ca="1">INDIRECT(ADDRESS($B34,Plots!$H$4,,,Plots!$A$50))+INDIRECT(ADDRESS($B34,Plots!$H$4,,,Plots!$A$51))+INDIRECT(ADDRESS($B34,Plots!$H$4,,,Plots!$A$52))</f>
        <v>0</v>
      </c>
      <c r="O34" cm="1">
        <f t="array" aca="1" ref="O34" ca="1">INDIRECT(ADDRESS($B34,Plots!$H$4,,,Plots!$A$53))+INDIRECT(ADDRESS($B34,Plots!$H$4,,,Plots!$A$54))+INDIRECT(ADDRESS($B34,Plots!$H$4,,,Plots!$A$55))+INDIRECT(ADDRESS($B34,Plots!$H$4,,,Plots!$A$56))</f>
        <v>118</v>
      </c>
      <c r="P34" cm="1">
        <f t="array" aca="1" ref="P34" ca="1">INDIRECT(ADDRESS($B34,Plots!$H$4,,,Plots!$A$57))+INDIRECT(ADDRESS($B34,Plots!$H$4,,,Plots!$A$58))+INDIRECT(ADDRESS($B34,Plots!$H$4,,,Plots!$A$59))+INDIRECT(ADDRESS($B34,Plots!$H$4,,,Plots!$A$60))+INDIRECT(ADDRESS($B34,Plots!$H$4,,,Plots!$A$61))</f>
        <v>0</v>
      </c>
      <c r="Q34" cm="1">
        <f t="array" aca="1" ref="Q34" ca="1">INDIRECT(ADDRESS($B34,Plots!$H$4,,,Plots!$A$62))+INDIRECT(ADDRESS($B34,Plots!$H$4,,,Plots!$A$63))+INDIRECT(ADDRESS($B34,Plots!$H$4,,,Plots!$A$64))+INDIRECT(ADDRESS($B34,Plots!$H$4,,,Plots!$A$65))+INDIRECT(ADDRESS($B34,Plots!$H$4,,,Plots!$A$66))+INDIRECT(ADDRESS($B34,Plots!$H$4,,,Plots!$A$67))</f>
        <v>0</v>
      </c>
      <c r="R34">
        <f>'AARnetCBR-CamDTN1_tcpmon_ts_81'!I34+'AARnetCBR-CamDTN1_tcpmon_ts_82'!I34+'AARnetCBR-CamDTN1_tcpmon_ts_83'!I34+'AARnetCBR-CamDTN1_tcpmon_ts_84'!I34+'AARnetCBR-CamDTN1_tcpmon_ts_85'!I34+'AARnetCBR-CamDTN1_tcpmon_ts_86'!I34+'AARnetCBR-CamDTN1_tcpmon_ts_87'!I34+'AARnetCBR-CamDTN1_tcpmon_ts_88'!I34</f>
        <v>0</v>
      </c>
    </row>
    <row r="35" spans="1:18">
      <c r="A35">
        <f>'AARnetCBR-CamDTN1_tcpmon_ts_11'!A35</f>
        <v>46</v>
      </c>
      <c r="B35">
        <f t="shared" si="0"/>
        <v>35</v>
      </c>
      <c r="C35" cm="1">
        <f t="array" aca="1" ref="C35" ca="1">INDIRECT(ADDRESS($B35,Plots!$H$3,,,Plots!$A$47))</f>
        <v>29.16</v>
      </c>
      <c r="D35" cm="1">
        <f t="array" aca="1" ref="D35" ca="1">INDIRECT(ADDRESS($B35,Plots!$H$3,,,Plots!$A$48))+INDIRECT(ADDRESS($B35,Plots!$H$3,,,Plots!$A$49))</f>
        <v>54.44</v>
      </c>
      <c r="E35" cm="1">
        <f t="array" aca="1" ref="E35" ca="1">INDIRECT(ADDRESS($B35,Plots!$H$3,,,Plots!$A$50))+INDIRECT(ADDRESS($B35,Plots!$H$3,,,Plots!$A$51))+INDIRECT(ADDRESS($B35,Plots!$H$3,,,Plots!$A$52))</f>
        <v>73.77</v>
      </c>
      <c r="F35" cm="1">
        <f t="array" aca="1" ref="F35" ca="1">INDIRECT(ADDRESS($B35,Plots!$H$3,,,Plots!$A$53))+INDIRECT(ADDRESS($B35,Plots!$H$3,,,Plots!$A$54))+INDIRECT(ADDRESS($B35,Plots!$H$3,,,Plots!$A$55))+INDIRECT(ADDRESS($B35,Plots!$H$3,,,Plots!$A$56))</f>
        <v>83.77000000000001</v>
      </c>
      <c r="G35" cm="1">
        <f t="array" aca="1" ref="G35" ca="1">INDIRECT(ADDRESS($B35,Plots!$H$3,,,Plots!$A$57))+INDIRECT(ADDRESS($B35,Plots!$H$3,,,Plots!$A$58))+INDIRECT(ADDRESS($B35,Plots!$H$3,,,Plots!$A$59))+INDIRECT(ADDRESS($B35,Plots!$H$3,,,Plots!$A$60))+INDIRECT(ADDRESS($B35,Plots!$H$3,,,Plots!$A$61))</f>
        <v>0</v>
      </c>
      <c r="H35" cm="1">
        <f t="array" aca="1" ref="H35" ca="1">INDIRECT(ADDRESS($B35,Plots!$H$3,,,Plots!$A$62))+INDIRECT(ADDRESS($B35,Plots!$H$3,,,Plots!$A$63))+INDIRECT(ADDRESS($B35,Plots!$H$3,,,Plots!$A$64))+INDIRECT(ADDRESS($B35,Plots!$H$3,,,Plots!$A$65))+INDIRECT(ADDRESS($B35,Plots!$H$3,,,Plots!$A$66))+INDIRECT(ADDRESS($B35,Plots!$H$3,,,Plots!$A$67))</f>
        <v>0</v>
      </c>
      <c r="I35">
        <f>'AARnetCBR-CamDTN1_tcpmon_ts_81'!H39+'AARnetCBR-CamDTN1_tcpmon_ts_82'!H39+'AARnetCBR-CamDTN1_tcpmon_ts_83'!H39+'AARnetCBR-CamDTN1_tcpmon_ts_84'!H39+'AARnetCBR-CamDTN1_tcpmon_ts_85'!H39+'AARnetCBR-CamDTN1_tcpmon_ts_86'!H39+'AARnetCBR-CamDTN1_tcpmon_ts_87'!H39+'AARnetCBR-CamDTN1_tcpmon_ts_88'!H39</f>
        <v>0</v>
      </c>
      <c r="L35" cm="1">
        <f t="array" aca="1" ref="L35" ca="1">INDIRECT(ADDRESS($B35,Plots!$H$4,,,Plots!$A$47))</f>
        <v>0</v>
      </c>
      <c r="M35" cm="1">
        <f t="array" aca="1" ref="M35" ca="1">INDIRECT(ADDRESS($B35,Plots!$H$4,,,Plots!$A$48))+INDIRECT(ADDRESS($B35,Plots!$H$4,,,Plots!$A$49))</f>
        <v>0</v>
      </c>
      <c r="N35" cm="1">
        <f t="array" aca="1" ref="N35" ca="1">INDIRECT(ADDRESS($B35,Plots!$H$4,,,Plots!$A$50))+INDIRECT(ADDRESS($B35,Plots!$H$4,,,Plots!$A$51))+INDIRECT(ADDRESS($B35,Plots!$H$4,,,Plots!$A$52))</f>
        <v>0</v>
      </c>
      <c r="O35" cm="1">
        <f t="array" aca="1" ref="O35" ca="1">INDIRECT(ADDRESS($B35,Plots!$H$4,,,Plots!$A$53))+INDIRECT(ADDRESS($B35,Plots!$H$4,,,Plots!$A$54))+INDIRECT(ADDRESS($B35,Plots!$H$4,,,Plots!$A$55))+INDIRECT(ADDRESS($B35,Plots!$H$4,,,Plots!$A$56))</f>
        <v>0</v>
      </c>
      <c r="P35" cm="1">
        <f t="array" aca="1" ref="P35" ca="1">INDIRECT(ADDRESS($B35,Plots!$H$4,,,Plots!$A$57))+INDIRECT(ADDRESS($B35,Plots!$H$4,,,Plots!$A$58))+INDIRECT(ADDRESS($B35,Plots!$H$4,,,Plots!$A$59))+INDIRECT(ADDRESS($B35,Plots!$H$4,,,Plots!$A$60))+INDIRECT(ADDRESS($B35,Plots!$H$4,,,Plots!$A$61))</f>
        <v>0</v>
      </c>
      <c r="Q35" cm="1">
        <f t="array" aca="1" ref="Q35" ca="1">INDIRECT(ADDRESS($B35,Plots!$H$4,,,Plots!$A$62))+INDIRECT(ADDRESS($B35,Plots!$H$4,,,Plots!$A$63))+INDIRECT(ADDRESS($B35,Plots!$H$4,,,Plots!$A$64))+INDIRECT(ADDRESS($B35,Plots!$H$4,,,Plots!$A$65))+INDIRECT(ADDRESS($B35,Plots!$H$4,,,Plots!$A$66))+INDIRECT(ADDRESS($B35,Plots!$H$4,,,Plots!$A$67))</f>
        <v>0</v>
      </c>
      <c r="R35">
        <f>'AARnetCBR-CamDTN1_tcpmon_ts_81'!I35+'AARnetCBR-CamDTN1_tcpmon_ts_82'!I35+'AARnetCBR-CamDTN1_tcpmon_ts_83'!I35+'AARnetCBR-CamDTN1_tcpmon_ts_84'!I35+'AARnetCBR-CamDTN1_tcpmon_ts_85'!I35+'AARnetCBR-CamDTN1_tcpmon_ts_86'!I35+'AARnetCBR-CamDTN1_tcpmon_ts_87'!I35+'AARnetCBR-CamDTN1_tcpmon_ts_88'!I35</f>
        <v>0</v>
      </c>
    </row>
    <row r="36" spans="1:18">
      <c r="A36">
        <f>'AARnetCBR-CamDTN1_tcpmon_ts_11'!A36</f>
        <v>48</v>
      </c>
      <c r="B36">
        <f t="shared" si="0"/>
        <v>36</v>
      </c>
      <c r="C36" cm="1">
        <f t="array" aca="1" ref="C36" ca="1">INDIRECT(ADDRESS($B36,Plots!$H$3,,,Plots!$A$47))</f>
        <v>30.98</v>
      </c>
      <c r="D36" cm="1">
        <f t="array" aca="1" ref="D36" ca="1">INDIRECT(ADDRESS($B36,Plots!$H$3,,,Plots!$A$48))+INDIRECT(ADDRESS($B36,Plots!$H$3,,,Plots!$A$49))</f>
        <v>57.3</v>
      </c>
      <c r="E36" cm="1">
        <f t="array" aca="1" ref="E36" ca="1">INDIRECT(ADDRESS($B36,Plots!$H$3,,,Plots!$A$50))+INDIRECT(ADDRESS($B36,Plots!$H$3,,,Plots!$A$51))+INDIRECT(ADDRESS($B36,Plots!$H$3,,,Plots!$A$52))</f>
        <v>60.870000000000005</v>
      </c>
      <c r="F36" cm="1">
        <f t="array" aca="1" ref="F36" ca="1">INDIRECT(ADDRESS($B36,Plots!$H$3,,,Plots!$A$53))+INDIRECT(ADDRESS($B36,Plots!$H$3,,,Plots!$A$54))+INDIRECT(ADDRESS($B36,Plots!$H$3,,,Plots!$A$55))+INDIRECT(ADDRESS($B36,Plots!$H$3,,,Plots!$A$56))</f>
        <v>88.62</v>
      </c>
      <c r="G36" cm="1">
        <f t="array" aca="1" ref="G36" ca="1">INDIRECT(ADDRESS($B36,Plots!$H$3,,,Plots!$A$57))+INDIRECT(ADDRESS($B36,Plots!$H$3,,,Plots!$A$58))+INDIRECT(ADDRESS($B36,Plots!$H$3,,,Plots!$A$59))+INDIRECT(ADDRESS($B36,Plots!$H$3,,,Plots!$A$60))+INDIRECT(ADDRESS($B36,Plots!$H$3,,,Plots!$A$61))</f>
        <v>0</v>
      </c>
      <c r="H36" cm="1">
        <f t="array" aca="1" ref="H36" ca="1">INDIRECT(ADDRESS($B36,Plots!$H$3,,,Plots!$A$62))+INDIRECT(ADDRESS($B36,Plots!$H$3,,,Plots!$A$63))+INDIRECT(ADDRESS($B36,Plots!$H$3,,,Plots!$A$64))+INDIRECT(ADDRESS($B36,Plots!$H$3,,,Plots!$A$65))+INDIRECT(ADDRESS($B36,Plots!$H$3,,,Plots!$A$66))+INDIRECT(ADDRESS($B36,Plots!$H$3,,,Plots!$A$67))</f>
        <v>0</v>
      </c>
      <c r="I36">
        <f>'AARnetCBR-CamDTN1_tcpmon_ts_81'!H40+'AARnetCBR-CamDTN1_tcpmon_ts_82'!H40+'AARnetCBR-CamDTN1_tcpmon_ts_83'!H40+'AARnetCBR-CamDTN1_tcpmon_ts_84'!H40+'AARnetCBR-CamDTN1_tcpmon_ts_85'!H40+'AARnetCBR-CamDTN1_tcpmon_ts_86'!H40+'AARnetCBR-CamDTN1_tcpmon_ts_87'!H40+'AARnetCBR-CamDTN1_tcpmon_ts_88'!H40</f>
        <v>0</v>
      </c>
      <c r="L36" cm="1">
        <f t="array" aca="1" ref="L36" ca="1">INDIRECT(ADDRESS($B36,Plots!$H$4,,,Plots!$A$47))</f>
        <v>0</v>
      </c>
      <c r="M36" cm="1">
        <f t="array" aca="1" ref="M36" ca="1">INDIRECT(ADDRESS($B36,Plots!$H$4,,,Plots!$A$48))+INDIRECT(ADDRESS($B36,Plots!$H$4,,,Plots!$A$49))</f>
        <v>0</v>
      </c>
      <c r="N36" cm="1">
        <f t="array" aca="1" ref="N36" ca="1">INDIRECT(ADDRESS($B36,Plots!$H$4,,,Plots!$A$50))+INDIRECT(ADDRESS($B36,Plots!$H$4,,,Plots!$A$51))+INDIRECT(ADDRESS($B36,Plots!$H$4,,,Plots!$A$52))</f>
        <v>0</v>
      </c>
      <c r="O36" cm="1">
        <f t="array" aca="1" ref="O36" ca="1">INDIRECT(ADDRESS($B36,Plots!$H$4,,,Plots!$A$53))+INDIRECT(ADDRESS($B36,Plots!$H$4,,,Plots!$A$54))+INDIRECT(ADDRESS($B36,Plots!$H$4,,,Plots!$A$55))+INDIRECT(ADDRESS($B36,Plots!$H$4,,,Plots!$A$56))</f>
        <v>0</v>
      </c>
      <c r="P36" cm="1">
        <f t="array" aca="1" ref="P36" ca="1">INDIRECT(ADDRESS($B36,Plots!$H$4,,,Plots!$A$57))+INDIRECT(ADDRESS($B36,Plots!$H$4,,,Plots!$A$58))+INDIRECT(ADDRESS($B36,Plots!$H$4,,,Plots!$A$59))+INDIRECT(ADDRESS($B36,Plots!$H$4,,,Plots!$A$60))+INDIRECT(ADDRESS($B36,Plots!$H$4,,,Plots!$A$61))</f>
        <v>0</v>
      </c>
      <c r="Q36" cm="1">
        <f t="array" aca="1" ref="Q36" ca="1">INDIRECT(ADDRESS($B36,Plots!$H$4,,,Plots!$A$62))+INDIRECT(ADDRESS($B36,Plots!$H$4,,,Plots!$A$63))+INDIRECT(ADDRESS($B36,Plots!$H$4,,,Plots!$A$64))+INDIRECT(ADDRESS($B36,Plots!$H$4,,,Plots!$A$65))+INDIRECT(ADDRESS($B36,Plots!$H$4,,,Plots!$A$66))+INDIRECT(ADDRESS($B36,Plots!$H$4,,,Plots!$A$67))</f>
        <v>0</v>
      </c>
      <c r="R36">
        <f>'AARnetCBR-CamDTN1_tcpmon_ts_81'!J41+'AARnetCBR-CamDTN1_tcpmon_ts_82'!J41+'AARnetCBR-CamDTN1_tcpmon_ts_83'!J41+'AARnetCBR-CamDTN1_tcpmon_ts_84'!J41+'AARnetCBR-CamDTN1_tcpmon_ts_85'!J41+'AARnetCBR-CamDTN1_tcpmon_ts_86'!J41+'AARnetCBR-CamDTN1_tcpmon_ts_87'!J41+'AARnetCBR-CamDTN1_tcpmon_ts_88'!J41</f>
        <v>0</v>
      </c>
    </row>
    <row r="37" spans="1:18">
      <c r="A37">
        <f>'AARnetCBR-CamDTN1_tcpmon_ts_11'!A37</f>
        <v>50</v>
      </c>
      <c r="B37">
        <f t="shared" si="0"/>
        <v>37</v>
      </c>
      <c r="C37" cm="1">
        <f t="array" aca="1" ref="C37" ca="1">INDIRECT(ADDRESS($B37,Plots!$H$3,,,Plots!$A$47))</f>
        <v>29.87</v>
      </c>
      <c r="D37" cm="1">
        <f t="array" aca="1" ref="D37" ca="1">INDIRECT(ADDRESS($B37,Plots!$H$3,,,Plots!$A$48))+INDIRECT(ADDRESS($B37,Plots!$H$3,,,Plots!$A$49))</f>
        <v>56.9</v>
      </c>
      <c r="E37" cm="1">
        <f t="array" aca="1" ref="E37" ca="1">INDIRECT(ADDRESS($B37,Plots!$H$3,,,Plots!$A$50))+INDIRECT(ADDRESS($B37,Plots!$H$3,,,Plots!$A$51))+INDIRECT(ADDRESS($B37,Plots!$H$3,,,Plots!$A$52))</f>
        <v>73.63</v>
      </c>
      <c r="F37" cm="1">
        <f t="array" aca="1" ref="F37" ca="1">INDIRECT(ADDRESS($B37,Plots!$H$3,,,Plots!$A$53))+INDIRECT(ADDRESS($B37,Plots!$H$3,,,Plots!$A$54))+INDIRECT(ADDRESS($B37,Plots!$H$3,,,Plots!$A$55))+INDIRECT(ADDRESS($B37,Plots!$H$3,,,Plots!$A$56))</f>
        <v>90.11</v>
      </c>
      <c r="G37" cm="1">
        <f t="array" aca="1" ref="G37" ca="1">INDIRECT(ADDRESS($B37,Plots!$H$3,,,Plots!$A$57))+INDIRECT(ADDRESS($B37,Plots!$H$3,,,Plots!$A$58))+INDIRECT(ADDRESS($B37,Plots!$H$3,,,Plots!$A$59))+INDIRECT(ADDRESS($B37,Plots!$H$3,,,Plots!$A$60))+INDIRECT(ADDRESS($B37,Plots!$H$3,,,Plots!$A$61))</f>
        <v>0</v>
      </c>
      <c r="H37" cm="1">
        <f t="array" aca="1" ref="H37" ca="1">INDIRECT(ADDRESS($B37,Plots!$H$3,,,Plots!$A$62))+INDIRECT(ADDRESS($B37,Plots!$H$3,,,Plots!$A$63))+INDIRECT(ADDRESS($B37,Plots!$H$3,,,Plots!$A$64))+INDIRECT(ADDRESS($B37,Plots!$H$3,,,Plots!$A$65))+INDIRECT(ADDRESS($B37,Plots!$H$3,,,Plots!$A$66))+INDIRECT(ADDRESS($B37,Plots!$H$3,,,Plots!$A$67))</f>
        <v>0</v>
      </c>
      <c r="I37">
        <f>'AARnetCBR-CamDTN1_tcpmon_ts_81'!H41+'AARnetCBR-CamDTN1_tcpmon_ts_82'!H41+'AARnetCBR-CamDTN1_tcpmon_ts_83'!H41+'AARnetCBR-CamDTN1_tcpmon_ts_84'!H41+'AARnetCBR-CamDTN1_tcpmon_ts_85'!H41+'AARnetCBR-CamDTN1_tcpmon_ts_86'!H41+'AARnetCBR-CamDTN1_tcpmon_ts_87'!H41+'AARnetCBR-CamDTN1_tcpmon_ts_88'!H41</f>
        <v>0</v>
      </c>
      <c r="L37" cm="1">
        <f t="array" aca="1" ref="L37" ca="1">INDIRECT(ADDRESS($B37,Plots!$H$4,,,Plots!$A$47))</f>
        <v>0</v>
      </c>
      <c r="M37" cm="1">
        <f t="array" aca="1" ref="M37" ca="1">INDIRECT(ADDRESS($B37,Plots!$H$4,,,Plots!$A$48))+INDIRECT(ADDRESS($B37,Plots!$H$4,,,Plots!$A$49))</f>
        <v>0</v>
      </c>
      <c r="N37" cm="1">
        <f t="array" aca="1" ref="N37" ca="1">INDIRECT(ADDRESS($B37,Plots!$H$4,,,Plots!$A$50))+INDIRECT(ADDRESS($B37,Plots!$H$4,,,Plots!$A$51))+INDIRECT(ADDRESS($B37,Plots!$H$4,,,Plots!$A$52))</f>
        <v>0</v>
      </c>
      <c r="O37" cm="1">
        <f t="array" aca="1" ref="O37" ca="1">INDIRECT(ADDRESS($B37,Plots!$H$4,,,Plots!$A$53))+INDIRECT(ADDRESS($B37,Plots!$H$4,,,Plots!$A$54))+INDIRECT(ADDRESS($B37,Plots!$H$4,,,Plots!$A$55))+INDIRECT(ADDRESS($B37,Plots!$H$4,,,Plots!$A$56))</f>
        <v>0</v>
      </c>
      <c r="P37" cm="1">
        <f t="array" aca="1" ref="P37" ca="1">INDIRECT(ADDRESS($B37,Plots!$H$4,,,Plots!$A$57))+INDIRECT(ADDRESS($B37,Plots!$H$4,,,Plots!$A$58))+INDIRECT(ADDRESS($B37,Plots!$H$4,,,Plots!$A$59))+INDIRECT(ADDRESS($B37,Plots!$H$4,,,Plots!$A$60))+INDIRECT(ADDRESS($B37,Plots!$H$4,,,Plots!$A$61))</f>
        <v>0</v>
      </c>
      <c r="Q37" cm="1">
        <f t="array" aca="1" ref="Q37" ca="1">INDIRECT(ADDRESS($B37,Plots!$H$4,,,Plots!$A$62))+INDIRECT(ADDRESS($B37,Plots!$H$4,,,Plots!$A$63))+INDIRECT(ADDRESS($B37,Plots!$H$4,,,Plots!$A$64))+INDIRECT(ADDRESS($B37,Plots!$H$4,,,Plots!$A$65))+INDIRECT(ADDRESS($B37,Plots!$H$4,,,Plots!$A$66))+INDIRECT(ADDRESS($B37,Plots!$H$4,,,Plots!$A$67))</f>
        <v>0</v>
      </c>
      <c r="R37">
        <f>'AARnetCBR-CamDTN1_tcpmon_ts_81'!J42+'AARnetCBR-CamDTN1_tcpmon_ts_82'!J42+'AARnetCBR-CamDTN1_tcpmon_ts_83'!J42+'AARnetCBR-CamDTN1_tcpmon_ts_84'!J42+'AARnetCBR-CamDTN1_tcpmon_ts_85'!J42+'AARnetCBR-CamDTN1_tcpmon_ts_86'!J42+'AARnetCBR-CamDTN1_tcpmon_ts_87'!J42+'AARnetCBR-CamDTN1_tcpmon_ts_88'!J42</f>
        <v>0</v>
      </c>
    </row>
    <row r="38" spans="1:18">
      <c r="A38">
        <f>'AARnetCBR-CamDTN1_tcpmon_ts_11'!A38</f>
        <v>52</v>
      </c>
      <c r="B38">
        <f t="shared" si="0"/>
        <v>38</v>
      </c>
      <c r="C38" cm="1">
        <f t="array" aca="1" ref="C38" ca="1">INDIRECT(ADDRESS($B38,Plots!$H$3,,,Plots!$A$47))</f>
        <v>27.24</v>
      </c>
      <c r="D38" cm="1">
        <f t="array" aca="1" ref="D38" ca="1">INDIRECT(ADDRESS($B38,Plots!$H$3,,,Plots!$A$48))+INDIRECT(ADDRESS($B38,Plots!$H$3,,,Plots!$A$49))</f>
        <v>56.83</v>
      </c>
      <c r="E38" cm="1">
        <f t="array" aca="1" ref="E38" ca="1">INDIRECT(ADDRESS($B38,Plots!$H$3,,,Plots!$A$50))+INDIRECT(ADDRESS($B38,Plots!$H$3,,,Plots!$A$51))+INDIRECT(ADDRESS($B38,Plots!$H$3,,,Plots!$A$52))</f>
        <v>67.31</v>
      </c>
      <c r="F38" cm="1">
        <f t="array" aca="1" ref="F38" ca="1">INDIRECT(ADDRESS($B38,Plots!$H$3,,,Plots!$A$53))+INDIRECT(ADDRESS($B38,Plots!$H$3,,,Plots!$A$54))+INDIRECT(ADDRESS($B38,Plots!$H$3,,,Plots!$A$55))+INDIRECT(ADDRESS($B38,Plots!$H$3,,,Plots!$A$56))</f>
        <v>93.03</v>
      </c>
      <c r="G38" cm="1">
        <f t="array" aca="1" ref="G38" ca="1">INDIRECT(ADDRESS($B38,Plots!$H$3,,,Plots!$A$57))+INDIRECT(ADDRESS($B38,Plots!$H$3,,,Plots!$A$58))+INDIRECT(ADDRESS($B38,Plots!$H$3,,,Plots!$A$59))+INDIRECT(ADDRESS($B38,Plots!$H$3,,,Plots!$A$60))+INDIRECT(ADDRESS($B38,Plots!$H$3,,,Plots!$A$61))</f>
        <v>0</v>
      </c>
      <c r="H38" cm="1">
        <f t="array" aca="1" ref="H38" ca="1">INDIRECT(ADDRESS($B38,Plots!$H$3,,,Plots!$A$62))+INDIRECT(ADDRESS($B38,Plots!$H$3,,,Plots!$A$63))+INDIRECT(ADDRESS($B38,Plots!$H$3,,,Plots!$A$64))+INDIRECT(ADDRESS($B38,Plots!$H$3,,,Plots!$A$65))+INDIRECT(ADDRESS($B38,Plots!$H$3,,,Plots!$A$66))+INDIRECT(ADDRESS($B38,Plots!$H$3,,,Plots!$A$67))</f>
        <v>0</v>
      </c>
      <c r="I38">
        <f>'AARnetCBR-CamDTN1_tcpmon_ts_81'!H42+'AARnetCBR-CamDTN1_tcpmon_ts_82'!H42+'AARnetCBR-CamDTN1_tcpmon_ts_83'!H42+'AARnetCBR-CamDTN1_tcpmon_ts_84'!H42+'AARnetCBR-CamDTN1_tcpmon_ts_85'!H42+'AARnetCBR-CamDTN1_tcpmon_ts_86'!H42+'AARnetCBR-CamDTN1_tcpmon_ts_87'!H42+'AARnetCBR-CamDTN1_tcpmon_ts_88'!H42</f>
        <v>0</v>
      </c>
      <c r="L38" cm="1">
        <f t="array" aca="1" ref="L38" ca="1">INDIRECT(ADDRESS($B38,Plots!$H$4,,,Plots!$A$47))</f>
        <v>0</v>
      </c>
      <c r="M38" cm="1">
        <f t="array" aca="1" ref="M38" ca="1">INDIRECT(ADDRESS($B38,Plots!$H$4,,,Plots!$A$48))+INDIRECT(ADDRESS($B38,Plots!$H$4,,,Plots!$A$49))</f>
        <v>0</v>
      </c>
      <c r="N38" cm="1">
        <f t="array" aca="1" ref="N38" ca="1">INDIRECT(ADDRESS($B38,Plots!$H$4,,,Plots!$A$50))+INDIRECT(ADDRESS($B38,Plots!$H$4,,,Plots!$A$51))+INDIRECT(ADDRESS($B38,Plots!$H$4,,,Plots!$A$52))</f>
        <v>0</v>
      </c>
      <c r="O38" cm="1">
        <f t="array" aca="1" ref="O38" ca="1">INDIRECT(ADDRESS($B38,Plots!$H$4,,,Plots!$A$53))+INDIRECT(ADDRESS($B38,Plots!$H$4,,,Plots!$A$54))+INDIRECT(ADDRESS($B38,Plots!$H$4,,,Plots!$A$55))+INDIRECT(ADDRESS($B38,Plots!$H$4,,,Plots!$A$56))</f>
        <v>0</v>
      </c>
      <c r="P38" cm="1">
        <f t="array" aca="1" ref="P38" ca="1">INDIRECT(ADDRESS($B38,Plots!$H$4,,,Plots!$A$57))+INDIRECT(ADDRESS($B38,Plots!$H$4,,,Plots!$A$58))+INDIRECT(ADDRESS($B38,Plots!$H$4,,,Plots!$A$59))+INDIRECT(ADDRESS($B38,Plots!$H$4,,,Plots!$A$60))+INDIRECT(ADDRESS($B38,Plots!$H$4,,,Plots!$A$61))</f>
        <v>0</v>
      </c>
      <c r="Q38" cm="1">
        <f t="array" aca="1" ref="Q38" ca="1">INDIRECT(ADDRESS($B38,Plots!$H$4,,,Plots!$A$62))+INDIRECT(ADDRESS($B38,Plots!$H$4,,,Plots!$A$63))+INDIRECT(ADDRESS($B38,Plots!$H$4,,,Plots!$A$64))+INDIRECT(ADDRESS($B38,Plots!$H$4,,,Plots!$A$65))+INDIRECT(ADDRESS($B38,Plots!$H$4,,,Plots!$A$66))+INDIRECT(ADDRESS($B38,Plots!$H$4,,,Plots!$A$67))</f>
        <v>0</v>
      </c>
      <c r="R38">
        <f>'AARnetCBR-CamDTN1_tcpmon_ts_81'!J43+'AARnetCBR-CamDTN1_tcpmon_ts_82'!J43+'AARnetCBR-CamDTN1_tcpmon_ts_83'!J43+'AARnetCBR-CamDTN1_tcpmon_ts_84'!J43+'AARnetCBR-CamDTN1_tcpmon_ts_85'!J43+'AARnetCBR-CamDTN1_tcpmon_ts_86'!J43+'AARnetCBR-CamDTN1_tcpmon_ts_87'!J43+'AARnetCBR-CamDTN1_tcpmon_ts_88'!J43</f>
        <v>0</v>
      </c>
    </row>
    <row r="39" spans="1:18">
      <c r="A39">
        <f>'AARnetCBR-CamDTN1_tcpmon_ts_11'!A39</f>
        <v>54</v>
      </c>
      <c r="B39">
        <f t="shared" si="0"/>
        <v>39</v>
      </c>
      <c r="C39" cm="1">
        <f t="array" aca="1" ref="C39" ca="1">INDIRECT(ADDRESS($B39,Plots!$H$3,,,Plots!$A$47))</f>
        <v>30.4</v>
      </c>
      <c r="D39" cm="1">
        <f t="array" aca="1" ref="D39" ca="1">INDIRECT(ADDRESS($B39,Plots!$H$3,,,Plots!$A$48))+INDIRECT(ADDRESS($B39,Plots!$H$3,,,Plots!$A$49))</f>
        <v>58.5</v>
      </c>
      <c r="E39" cm="1">
        <f t="array" aca="1" ref="E39" ca="1">INDIRECT(ADDRESS($B39,Plots!$H$3,,,Plots!$A$50))+INDIRECT(ADDRESS($B39,Plots!$H$3,,,Plots!$A$51))+INDIRECT(ADDRESS($B39,Plots!$H$3,,,Plots!$A$52))</f>
        <v>62.519999999999996</v>
      </c>
      <c r="F39" cm="1">
        <f t="array" aca="1" ref="F39" ca="1">INDIRECT(ADDRESS($B39,Plots!$H$3,,,Plots!$A$53))+INDIRECT(ADDRESS($B39,Plots!$H$3,,,Plots!$A$54))+INDIRECT(ADDRESS($B39,Plots!$H$3,,,Plots!$A$55))+INDIRECT(ADDRESS($B39,Plots!$H$3,,,Plots!$A$56))</f>
        <v>92.13</v>
      </c>
      <c r="G39" cm="1">
        <f t="array" aca="1" ref="G39" ca="1">INDIRECT(ADDRESS($B39,Plots!$H$3,,,Plots!$A$57))+INDIRECT(ADDRESS($B39,Plots!$H$3,,,Plots!$A$58))+INDIRECT(ADDRESS($B39,Plots!$H$3,,,Plots!$A$59))+INDIRECT(ADDRESS($B39,Plots!$H$3,,,Plots!$A$60))+INDIRECT(ADDRESS($B39,Plots!$H$3,,,Plots!$A$61))</f>
        <v>0</v>
      </c>
      <c r="H39" cm="1">
        <f t="array" aca="1" ref="H39" ca="1">INDIRECT(ADDRESS($B39,Plots!$H$3,,,Plots!$A$62))+INDIRECT(ADDRESS($B39,Plots!$H$3,,,Plots!$A$63))+INDIRECT(ADDRESS($B39,Plots!$H$3,,,Plots!$A$64))+INDIRECT(ADDRESS($B39,Plots!$H$3,,,Plots!$A$65))+INDIRECT(ADDRESS($B39,Plots!$H$3,,,Plots!$A$66))+INDIRECT(ADDRESS($B39,Plots!$H$3,,,Plots!$A$67))</f>
        <v>0</v>
      </c>
      <c r="I39">
        <f>'AARnetCBR-CamDTN1_tcpmon_ts_81'!H43+'AARnetCBR-CamDTN1_tcpmon_ts_82'!H43+'AARnetCBR-CamDTN1_tcpmon_ts_83'!H43+'AARnetCBR-CamDTN1_tcpmon_ts_84'!H43+'AARnetCBR-CamDTN1_tcpmon_ts_85'!H43+'AARnetCBR-CamDTN1_tcpmon_ts_86'!H43+'AARnetCBR-CamDTN1_tcpmon_ts_87'!H43+'AARnetCBR-CamDTN1_tcpmon_ts_88'!H43</f>
        <v>0</v>
      </c>
      <c r="L39" cm="1">
        <f t="array" aca="1" ref="L39" ca="1">INDIRECT(ADDRESS($B39,Plots!$H$4,,,Plots!$A$47))</f>
        <v>0</v>
      </c>
      <c r="M39" cm="1">
        <f t="array" aca="1" ref="M39" ca="1">INDIRECT(ADDRESS($B39,Plots!$H$4,,,Plots!$A$48))+INDIRECT(ADDRESS($B39,Plots!$H$4,,,Plots!$A$49))</f>
        <v>0</v>
      </c>
      <c r="N39" cm="1">
        <f t="array" aca="1" ref="N39" ca="1">INDIRECT(ADDRESS($B39,Plots!$H$4,,,Plots!$A$50))+INDIRECT(ADDRESS($B39,Plots!$H$4,,,Plots!$A$51))+INDIRECT(ADDRESS($B39,Plots!$H$4,,,Plots!$A$52))</f>
        <v>0</v>
      </c>
      <c r="O39" cm="1">
        <f t="array" aca="1" ref="O39" ca="1">INDIRECT(ADDRESS($B39,Plots!$H$4,,,Plots!$A$53))+INDIRECT(ADDRESS($B39,Plots!$H$4,,,Plots!$A$54))+INDIRECT(ADDRESS($B39,Plots!$H$4,,,Plots!$A$55))+INDIRECT(ADDRESS($B39,Plots!$H$4,,,Plots!$A$56))</f>
        <v>0</v>
      </c>
      <c r="P39" cm="1">
        <f t="array" aca="1" ref="P39" ca="1">INDIRECT(ADDRESS($B39,Plots!$H$4,,,Plots!$A$57))+INDIRECT(ADDRESS($B39,Plots!$H$4,,,Plots!$A$58))+INDIRECT(ADDRESS($B39,Plots!$H$4,,,Plots!$A$59))+INDIRECT(ADDRESS($B39,Plots!$H$4,,,Plots!$A$60))+INDIRECT(ADDRESS($B39,Plots!$H$4,,,Plots!$A$61))</f>
        <v>0</v>
      </c>
      <c r="Q39" cm="1">
        <f t="array" aca="1" ref="Q39" ca="1">INDIRECT(ADDRESS($B39,Plots!$H$4,,,Plots!$A$62))+INDIRECT(ADDRESS($B39,Plots!$H$4,,,Plots!$A$63))+INDIRECT(ADDRESS($B39,Plots!$H$4,,,Plots!$A$64))+INDIRECT(ADDRESS($B39,Plots!$H$4,,,Plots!$A$65))+INDIRECT(ADDRESS($B39,Plots!$H$4,,,Plots!$A$66))+INDIRECT(ADDRESS($B39,Plots!$H$4,,,Plots!$A$67))</f>
        <v>0</v>
      </c>
      <c r="R39">
        <f>'AARnetCBR-CamDTN1_tcpmon_ts_81'!J44+'AARnetCBR-CamDTN1_tcpmon_ts_82'!J44+'AARnetCBR-CamDTN1_tcpmon_ts_83'!J44+'AARnetCBR-CamDTN1_tcpmon_ts_84'!J44+'AARnetCBR-CamDTN1_tcpmon_ts_85'!J44+'AARnetCBR-CamDTN1_tcpmon_ts_86'!J44+'AARnetCBR-CamDTN1_tcpmon_ts_87'!J44+'AARnetCBR-CamDTN1_tcpmon_ts_88'!J44</f>
        <v>0</v>
      </c>
    </row>
    <row r="40" spans="1:18">
      <c r="A40">
        <f>'AARnetCBR-CamDTN1_tcpmon_ts_11'!A40</f>
        <v>56</v>
      </c>
      <c r="B40">
        <f t="shared" si="0"/>
        <v>40</v>
      </c>
      <c r="C40" cm="1">
        <f t="array" aca="1" ref="C40" ca="1">INDIRECT(ADDRESS($B40,Plots!$H$3,,,Plots!$A$47))</f>
        <v>29.3</v>
      </c>
      <c r="D40" cm="1">
        <f t="array" aca="1" ref="D40" ca="1">INDIRECT(ADDRESS($B40,Plots!$H$3,,,Plots!$A$48))+INDIRECT(ADDRESS($B40,Plots!$H$3,,,Plots!$A$49))</f>
        <v>57.32</v>
      </c>
      <c r="E40" cm="1">
        <f t="array" aca="1" ref="E40" ca="1">INDIRECT(ADDRESS($B40,Plots!$H$3,,,Plots!$A$50))+INDIRECT(ADDRESS($B40,Plots!$H$3,,,Plots!$A$51))+INDIRECT(ADDRESS($B40,Plots!$H$3,,,Plots!$A$52))</f>
        <v>70.86</v>
      </c>
      <c r="F40" cm="1">
        <f t="array" aca="1" ref="F40" ca="1">INDIRECT(ADDRESS($B40,Plots!$H$3,,,Plots!$A$53))+INDIRECT(ADDRESS($B40,Plots!$H$3,,,Plots!$A$54))+INDIRECT(ADDRESS($B40,Plots!$H$3,,,Plots!$A$55))+INDIRECT(ADDRESS($B40,Plots!$H$3,,,Plots!$A$56))</f>
        <v>91.85</v>
      </c>
      <c r="G40" cm="1">
        <f t="array" aca="1" ref="G40" ca="1">INDIRECT(ADDRESS($B40,Plots!$H$3,,,Plots!$A$57))+INDIRECT(ADDRESS($B40,Plots!$H$3,,,Plots!$A$58))+INDIRECT(ADDRESS($B40,Plots!$H$3,,,Plots!$A$59))+INDIRECT(ADDRESS($B40,Plots!$H$3,,,Plots!$A$60))+INDIRECT(ADDRESS($B40,Plots!$H$3,,,Plots!$A$61))</f>
        <v>0</v>
      </c>
      <c r="H40" cm="1">
        <f t="array" aca="1" ref="H40" ca="1">INDIRECT(ADDRESS($B40,Plots!$H$3,,,Plots!$A$62))+INDIRECT(ADDRESS($B40,Plots!$H$3,,,Plots!$A$63))+INDIRECT(ADDRESS($B40,Plots!$H$3,,,Plots!$A$64))+INDIRECT(ADDRESS($B40,Plots!$H$3,,,Plots!$A$65))+INDIRECT(ADDRESS($B40,Plots!$H$3,,,Plots!$A$66))+INDIRECT(ADDRESS($B40,Plots!$H$3,,,Plots!$A$67))</f>
        <v>0</v>
      </c>
      <c r="I40">
        <f>'AARnetCBR-CamDTN1_tcpmon_ts_81'!H44+'AARnetCBR-CamDTN1_tcpmon_ts_82'!H44+'AARnetCBR-CamDTN1_tcpmon_ts_83'!H44+'AARnetCBR-CamDTN1_tcpmon_ts_84'!H44+'AARnetCBR-CamDTN1_tcpmon_ts_85'!H44+'AARnetCBR-CamDTN1_tcpmon_ts_86'!H44+'AARnetCBR-CamDTN1_tcpmon_ts_87'!H44+'AARnetCBR-CamDTN1_tcpmon_ts_88'!H44</f>
        <v>0</v>
      </c>
      <c r="L40" cm="1">
        <f t="array" aca="1" ref="L40" ca="1">INDIRECT(ADDRESS($B40,Plots!$H$4,,,Plots!$A$47))</f>
        <v>0</v>
      </c>
      <c r="M40" cm="1">
        <f t="array" aca="1" ref="M40" ca="1">INDIRECT(ADDRESS($B40,Plots!$H$4,,,Plots!$A$48))+INDIRECT(ADDRESS($B40,Plots!$H$4,,,Plots!$A$49))</f>
        <v>0</v>
      </c>
      <c r="N40" cm="1">
        <f t="array" aca="1" ref="N40" ca="1">INDIRECT(ADDRESS($B40,Plots!$H$4,,,Plots!$A$50))+INDIRECT(ADDRESS($B40,Plots!$H$4,,,Plots!$A$51))+INDIRECT(ADDRESS($B40,Plots!$H$4,,,Plots!$A$52))</f>
        <v>0</v>
      </c>
      <c r="O40" cm="1">
        <f t="array" aca="1" ref="O40" ca="1">INDIRECT(ADDRESS($B40,Plots!$H$4,,,Plots!$A$53))+INDIRECT(ADDRESS($B40,Plots!$H$4,,,Plots!$A$54))+INDIRECT(ADDRESS($B40,Plots!$H$4,,,Plots!$A$55))+INDIRECT(ADDRESS($B40,Plots!$H$4,,,Plots!$A$56))</f>
        <v>0</v>
      </c>
      <c r="P40" cm="1">
        <f t="array" aca="1" ref="P40" ca="1">INDIRECT(ADDRESS($B40,Plots!$H$4,,,Plots!$A$57))+INDIRECT(ADDRESS($B40,Plots!$H$4,,,Plots!$A$58))+INDIRECT(ADDRESS($B40,Plots!$H$4,,,Plots!$A$59))+INDIRECT(ADDRESS($B40,Plots!$H$4,,,Plots!$A$60))+INDIRECT(ADDRESS($B40,Plots!$H$4,,,Plots!$A$61))</f>
        <v>0</v>
      </c>
      <c r="Q40" cm="1">
        <f t="array" aca="1" ref="Q40" ca="1">INDIRECT(ADDRESS($B40,Plots!$H$4,,,Plots!$A$62))+INDIRECT(ADDRESS($B40,Plots!$H$4,,,Plots!$A$63))+INDIRECT(ADDRESS($B40,Plots!$H$4,,,Plots!$A$64))+INDIRECT(ADDRESS($B40,Plots!$H$4,,,Plots!$A$65))+INDIRECT(ADDRESS($B40,Plots!$H$4,,,Plots!$A$66))+INDIRECT(ADDRESS($B40,Plots!$H$4,,,Plots!$A$67))</f>
        <v>0</v>
      </c>
      <c r="R40">
        <f>'AARnetCBR-CamDTN1_tcpmon_ts_81'!J45+'AARnetCBR-CamDTN1_tcpmon_ts_82'!J45+'AARnetCBR-CamDTN1_tcpmon_ts_83'!J45+'AARnetCBR-CamDTN1_tcpmon_ts_84'!J45+'AARnetCBR-CamDTN1_tcpmon_ts_85'!J45+'AARnetCBR-CamDTN1_tcpmon_ts_86'!J45+'AARnetCBR-CamDTN1_tcpmon_ts_87'!J45+'AARnetCBR-CamDTN1_tcpmon_ts_88'!J45</f>
        <v>0</v>
      </c>
    </row>
    <row r="41" spans="1:18">
      <c r="A41">
        <f>'AARnetCBR-CamDTN1_tcpmon_ts_11'!A41</f>
        <v>58</v>
      </c>
      <c r="B41">
        <f t="shared" si="0"/>
        <v>41</v>
      </c>
      <c r="C41" cm="1">
        <f t="array" aca="1" ref="C41" ca="1">INDIRECT(ADDRESS($B41,Plots!$H$3,,,Plots!$A$47))</f>
        <v>31.91</v>
      </c>
      <c r="D41" cm="1">
        <f t="array" aca="1" ref="D41" ca="1">INDIRECT(ADDRESS($B41,Plots!$H$3,,,Plots!$A$48))+INDIRECT(ADDRESS($B41,Plots!$H$3,,,Plots!$A$49))</f>
        <v>56.6</v>
      </c>
      <c r="E41" cm="1">
        <f t="array" aca="1" ref="E41" ca="1">INDIRECT(ADDRESS($B41,Plots!$H$3,,,Plots!$A$50))+INDIRECT(ADDRESS($B41,Plots!$H$3,,,Plots!$A$51))+INDIRECT(ADDRESS($B41,Plots!$H$3,,,Plots!$A$52))</f>
        <v>65.61</v>
      </c>
      <c r="F41" cm="1">
        <f t="array" aca="1" ref="F41" ca="1">INDIRECT(ADDRESS($B41,Plots!$H$3,,,Plots!$A$53))+INDIRECT(ADDRESS($B41,Plots!$H$3,,,Plots!$A$54))+INDIRECT(ADDRESS($B41,Plots!$H$3,,,Plots!$A$55))+INDIRECT(ADDRESS($B41,Plots!$H$3,,,Plots!$A$56))</f>
        <v>93.68</v>
      </c>
      <c r="G41" cm="1">
        <f t="array" aca="1" ref="G41" ca="1">INDIRECT(ADDRESS($B41,Plots!$H$3,,,Plots!$A$57))+INDIRECT(ADDRESS($B41,Plots!$H$3,,,Plots!$A$58))+INDIRECT(ADDRESS($B41,Plots!$H$3,,,Plots!$A$59))+INDIRECT(ADDRESS($B41,Plots!$H$3,,,Plots!$A$60))+INDIRECT(ADDRESS($B41,Plots!$H$3,,,Plots!$A$61))</f>
        <v>0</v>
      </c>
      <c r="H41" cm="1">
        <f t="array" aca="1" ref="H41" ca="1">INDIRECT(ADDRESS($B41,Plots!$H$3,,,Plots!$A$62))+INDIRECT(ADDRESS($B41,Plots!$H$3,,,Plots!$A$63))+INDIRECT(ADDRESS($B41,Plots!$H$3,,,Plots!$A$64))+INDIRECT(ADDRESS($B41,Plots!$H$3,,,Plots!$A$65))+INDIRECT(ADDRESS($B41,Plots!$H$3,,,Plots!$A$66))+INDIRECT(ADDRESS($B41,Plots!$H$3,,,Plots!$A$67))</f>
        <v>0</v>
      </c>
      <c r="I41">
        <f>'AARnetCBR-CamDTN1_tcpmon_ts_81'!H45+'AARnetCBR-CamDTN1_tcpmon_ts_82'!H45+'AARnetCBR-CamDTN1_tcpmon_ts_83'!H45+'AARnetCBR-CamDTN1_tcpmon_ts_84'!H45+'AARnetCBR-CamDTN1_tcpmon_ts_85'!H45+'AARnetCBR-CamDTN1_tcpmon_ts_86'!H45+'AARnetCBR-CamDTN1_tcpmon_ts_87'!H45+'AARnetCBR-CamDTN1_tcpmon_ts_88'!H45</f>
        <v>0</v>
      </c>
      <c r="L41" cm="1">
        <f t="array" aca="1" ref="L41" ca="1">INDIRECT(ADDRESS($B41,Plots!$H$4,,,Plots!$A$47))</f>
        <v>0</v>
      </c>
      <c r="M41" cm="1">
        <f t="array" aca="1" ref="M41" ca="1">INDIRECT(ADDRESS($B41,Plots!$H$4,,,Plots!$A$48))+INDIRECT(ADDRESS($B41,Plots!$H$4,,,Plots!$A$49))</f>
        <v>0</v>
      </c>
      <c r="N41" cm="1">
        <f t="array" aca="1" ref="N41" ca="1">INDIRECT(ADDRESS($B41,Plots!$H$4,,,Plots!$A$50))+INDIRECT(ADDRESS($B41,Plots!$H$4,,,Plots!$A$51))+INDIRECT(ADDRESS($B41,Plots!$H$4,,,Plots!$A$52))</f>
        <v>0</v>
      </c>
      <c r="O41" cm="1">
        <f t="array" aca="1" ref="O41" ca="1">INDIRECT(ADDRESS($B41,Plots!$H$4,,,Plots!$A$53))+INDIRECT(ADDRESS($B41,Plots!$H$4,,,Plots!$A$54))+INDIRECT(ADDRESS($B41,Plots!$H$4,,,Plots!$A$55))+INDIRECT(ADDRESS($B41,Plots!$H$4,,,Plots!$A$56))</f>
        <v>0</v>
      </c>
      <c r="P41" cm="1">
        <f t="array" aca="1" ref="P41" ca="1">INDIRECT(ADDRESS($B41,Plots!$H$4,,,Plots!$A$57))+INDIRECT(ADDRESS($B41,Plots!$H$4,,,Plots!$A$58))+INDIRECT(ADDRESS($B41,Plots!$H$4,,,Plots!$A$59))+INDIRECT(ADDRESS($B41,Plots!$H$4,,,Plots!$A$60))+INDIRECT(ADDRESS($B41,Plots!$H$4,,,Plots!$A$61))</f>
        <v>0</v>
      </c>
      <c r="Q41" cm="1">
        <f t="array" aca="1" ref="Q41" ca="1">INDIRECT(ADDRESS($B41,Plots!$H$4,,,Plots!$A$62))+INDIRECT(ADDRESS($B41,Plots!$H$4,,,Plots!$A$63))+INDIRECT(ADDRESS($B41,Plots!$H$4,,,Plots!$A$64))+INDIRECT(ADDRESS($B41,Plots!$H$4,,,Plots!$A$65))+INDIRECT(ADDRESS($B41,Plots!$H$4,,,Plots!$A$66))+INDIRECT(ADDRESS($B41,Plots!$H$4,,,Plots!$A$67))</f>
        <v>0</v>
      </c>
      <c r="R41">
        <f>'AARnetCBR-CamDTN1_tcpmon_ts_81'!J46+'AARnetCBR-CamDTN1_tcpmon_ts_82'!J46+'AARnetCBR-CamDTN1_tcpmon_ts_83'!J46+'AARnetCBR-CamDTN1_tcpmon_ts_84'!J46+'AARnetCBR-CamDTN1_tcpmon_ts_85'!J46+'AARnetCBR-CamDTN1_tcpmon_ts_86'!J46+'AARnetCBR-CamDTN1_tcpmon_ts_87'!J46+'AARnetCBR-CamDTN1_tcpmon_ts_88'!J46</f>
        <v>0</v>
      </c>
    </row>
    <row r="42" spans="1:18">
      <c r="A42">
        <f>'AARnetCBR-CamDTN1_tcpmon_ts_11'!A42</f>
        <v>60</v>
      </c>
      <c r="B42">
        <f t="shared" si="0"/>
        <v>42</v>
      </c>
      <c r="C42" cm="1">
        <f t="array" aca="1" ref="C42" ca="1">INDIRECT(ADDRESS($B42,Plots!$H$3,,,Plots!$A$47))</f>
        <v>27.36</v>
      </c>
      <c r="D42" cm="1">
        <f t="array" aca="1" ref="D42" ca="1">INDIRECT(ADDRESS($B42,Plots!$H$3,,,Plots!$A$48))+INDIRECT(ADDRESS($B42,Plots!$H$3,,,Plots!$A$49))</f>
        <v>54.68</v>
      </c>
      <c r="E42" cm="1">
        <f t="array" aca="1" ref="E42" ca="1">INDIRECT(ADDRESS($B42,Plots!$H$3,,,Plots!$A$50))+INDIRECT(ADDRESS($B42,Plots!$H$3,,,Plots!$A$51))+INDIRECT(ADDRESS($B42,Plots!$H$3,,,Plots!$A$52))</f>
        <v>71.94</v>
      </c>
      <c r="F42" cm="1">
        <f t="array" aca="1" ref="F42" ca="1">INDIRECT(ADDRESS($B42,Plots!$H$3,,,Plots!$A$53))+INDIRECT(ADDRESS($B42,Plots!$H$3,,,Plots!$A$54))+INDIRECT(ADDRESS($B42,Plots!$H$3,,,Plots!$A$55))+INDIRECT(ADDRESS($B42,Plots!$H$3,,,Plots!$A$56))</f>
        <v>90.24</v>
      </c>
      <c r="G42" cm="1">
        <f t="array" aca="1" ref="G42" ca="1">INDIRECT(ADDRESS($B42,Plots!$H$3,,,Plots!$A$57))+INDIRECT(ADDRESS($B42,Plots!$H$3,,,Plots!$A$58))+INDIRECT(ADDRESS($B42,Plots!$H$3,,,Plots!$A$59))+INDIRECT(ADDRESS($B42,Plots!$H$3,,,Plots!$A$60))+INDIRECT(ADDRESS($B42,Plots!$H$3,,,Plots!$A$61))</f>
        <v>0</v>
      </c>
      <c r="H42" cm="1">
        <f t="array" aca="1" ref="H42" ca="1">INDIRECT(ADDRESS($B42,Plots!$H$3,,,Plots!$A$62))+INDIRECT(ADDRESS($B42,Plots!$H$3,,,Plots!$A$63))+INDIRECT(ADDRESS($B42,Plots!$H$3,,,Plots!$A$64))+INDIRECT(ADDRESS($B42,Plots!$H$3,,,Plots!$A$65))+INDIRECT(ADDRESS($B42,Plots!$H$3,,,Plots!$A$66))+INDIRECT(ADDRESS($B42,Plots!$H$3,,,Plots!$A$67))</f>
        <v>0</v>
      </c>
      <c r="I42">
        <f>'AARnetCBR-CamDTN1_tcpmon_ts_81'!H46+'AARnetCBR-CamDTN1_tcpmon_ts_82'!H46+'AARnetCBR-CamDTN1_tcpmon_ts_83'!H46+'AARnetCBR-CamDTN1_tcpmon_ts_84'!H46+'AARnetCBR-CamDTN1_tcpmon_ts_85'!H46+'AARnetCBR-CamDTN1_tcpmon_ts_86'!H46+'AARnetCBR-CamDTN1_tcpmon_ts_87'!H46+'AARnetCBR-CamDTN1_tcpmon_ts_88'!H46</f>
        <v>0</v>
      </c>
      <c r="L42" cm="1">
        <f t="array" aca="1" ref="L42" ca="1">INDIRECT(ADDRESS($B42,Plots!$H$4,,,Plots!$A$47))</f>
        <v>0</v>
      </c>
      <c r="M42" cm="1">
        <f t="array" aca="1" ref="M42" ca="1">INDIRECT(ADDRESS($B42,Plots!$H$4,,,Plots!$A$48))+INDIRECT(ADDRESS($B42,Plots!$H$4,,,Plots!$A$49))</f>
        <v>0</v>
      </c>
      <c r="N42" cm="1">
        <f t="array" aca="1" ref="N42" ca="1">INDIRECT(ADDRESS($B42,Plots!$H$4,,,Plots!$A$50))+INDIRECT(ADDRESS($B42,Plots!$H$4,,,Plots!$A$51))+INDIRECT(ADDRESS($B42,Plots!$H$4,,,Plots!$A$52))</f>
        <v>0</v>
      </c>
      <c r="O42" cm="1">
        <f t="array" aca="1" ref="O42" ca="1">INDIRECT(ADDRESS($B42,Plots!$H$4,,,Plots!$A$53))+INDIRECT(ADDRESS($B42,Plots!$H$4,,,Plots!$A$54))+INDIRECT(ADDRESS($B42,Plots!$H$4,,,Plots!$A$55))+INDIRECT(ADDRESS($B42,Plots!$H$4,,,Plots!$A$56))</f>
        <v>0</v>
      </c>
      <c r="P42" cm="1">
        <f t="array" aca="1" ref="P42" ca="1">INDIRECT(ADDRESS($B42,Plots!$H$4,,,Plots!$A$57))+INDIRECT(ADDRESS($B42,Plots!$H$4,,,Plots!$A$58))+INDIRECT(ADDRESS($B42,Plots!$H$4,,,Plots!$A$59))+INDIRECT(ADDRESS($B42,Plots!$H$4,,,Plots!$A$60))+INDIRECT(ADDRESS($B42,Plots!$H$4,,,Plots!$A$61))</f>
        <v>0</v>
      </c>
      <c r="Q42" cm="1">
        <f t="array" aca="1" ref="Q42" ca="1">INDIRECT(ADDRESS($B42,Plots!$H$4,,,Plots!$A$62))+INDIRECT(ADDRESS($B42,Plots!$H$4,,,Plots!$A$63))+INDIRECT(ADDRESS($B42,Plots!$H$4,,,Plots!$A$64))+INDIRECT(ADDRESS($B42,Plots!$H$4,,,Plots!$A$65))+INDIRECT(ADDRESS($B42,Plots!$H$4,,,Plots!$A$66))+INDIRECT(ADDRESS($B42,Plots!$H$4,,,Plots!$A$67))</f>
        <v>0</v>
      </c>
      <c r="R42">
        <f>'AARnetCBR-CamDTN1_tcpmon_ts_81'!J47+'AARnetCBR-CamDTN1_tcpmon_ts_82'!J47+'AARnetCBR-CamDTN1_tcpmon_ts_83'!J47+'AARnetCBR-CamDTN1_tcpmon_ts_84'!J47+'AARnetCBR-CamDTN1_tcpmon_ts_85'!J47+'AARnetCBR-CamDTN1_tcpmon_ts_86'!J47+'AARnetCBR-CamDTN1_tcpmon_ts_87'!J47+'AARnetCBR-CamDTN1_tcpmon_ts_88'!J47</f>
        <v>0</v>
      </c>
    </row>
    <row r="43" spans="1:18">
      <c r="A43">
        <f>'AARnetCBR-CamDTN1_tcpmon_ts_11'!A43</f>
        <v>62</v>
      </c>
      <c r="B43">
        <f t="shared" si="0"/>
        <v>43</v>
      </c>
      <c r="C43" cm="1">
        <f t="array" aca="1" ref="C43" ca="1">INDIRECT(ADDRESS($B43,Plots!$H$3,,,Plots!$A$47))</f>
        <v>29.61</v>
      </c>
      <c r="D43" cm="1">
        <f t="array" aca="1" ref="D43" ca="1">INDIRECT(ADDRESS($B43,Plots!$H$3,,,Plots!$A$48))+INDIRECT(ADDRESS($B43,Plots!$H$3,,,Plots!$A$49))</f>
        <v>59.28</v>
      </c>
      <c r="E43" cm="1">
        <f t="array" aca="1" ref="E43" ca="1">INDIRECT(ADDRESS($B43,Plots!$H$3,,,Plots!$A$50))+INDIRECT(ADDRESS($B43,Plots!$H$3,,,Plots!$A$51))+INDIRECT(ADDRESS($B43,Plots!$H$3,,,Plots!$A$52))</f>
        <v>60.89</v>
      </c>
      <c r="F43" cm="1">
        <f t="array" aca="1" ref="F43" ca="1">INDIRECT(ADDRESS($B43,Plots!$H$3,,,Plots!$A$53))+INDIRECT(ADDRESS($B43,Plots!$H$3,,,Plots!$A$54))+INDIRECT(ADDRESS($B43,Plots!$H$3,,,Plots!$A$55))+INDIRECT(ADDRESS($B43,Plots!$H$3,,,Plots!$A$56))</f>
        <v>94.58</v>
      </c>
      <c r="G43" cm="1">
        <f t="array" aca="1" ref="G43" ca="1">INDIRECT(ADDRESS($B43,Plots!$H$3,,,Plots!$A$57))+INDIRECT(ADDRESS($B43,Plots!$H$3,,,Plots!$A$58))+INDIRECT(ADDRESS($B43,Plots!$H$3,,,Plots!$A$59))+INDIRECT(ADDRESS($B43,Plots!$H$3,,,Plots!$A$60))+INDIRECT(ADDRESS($B43,Plots!$H$3,,,Plots!$A$61))</f>
        <v>0</v>
      </c>
      <c r="H43" cm="1">
        <f t="array" aca="1" ref="H43" ca="1">INDIRECT(ADDRESS($B43,Plots!$H$3,,,Plots!$A$62))+INDIRECT(ADDRESS($B43,Plots!$H$3,,,Plots!$A$63))+INDIRECT(ADDRESS($B43,Plots!$H$3,,,Plots!$A$64))+INDIRECT(ADDRESS($B43,Plots!$H$3,,,Plots!$A$65))+INDIRECT(ADDRESS($B43,Plots!$H$3,,,Plots!$A$66))+INDIRECT(ADDRESS($B43,Plots!$H$3,,,Plots!$A$67))</f>
        <v>0</v>
      </c>
      <c r="I43">
        <f>'AARnetCBR-CamDTN1_tcpmon_ts_81'!H47+'AARnetCBR-CamDTN1_tcpmon_ts_82'!H47+'AARnetCBR-CamDTN1_tcpmon_ts_83'!H47+'AARnetCBR-CamDTN1_tcpmon_ts_84'!H47+'AARnetCBR-CamDTN1_tcpmon_ts_85'!H47+'AARnetCBR-CamDTN1_tcpmon_ts_86'!H47+'AARnetCBR-CamDTN1_tcpmon_ts_87'!H47+'AARnetCBR-CamDTN1_tcpmon_ts_88'!H47</f>
        <v>0</v>
      </c>
      <c r="L43" cm="1">
        <f t="array" aca="1" ref="L43" ca="1">INDIRECT(ADDRESS($B43,Plots!$H$4,,,Plots!$A$47))</f>
        <v>0</v>
      </c>
      <c r="M43" cm="1">
        <f t="array" aca="1" ref="M43" ca="1">INDIRECT(ADDRESS($B43,Plots!$H$4,,,Plots!$A$48))+INDIRECT(ADDRESS($B43,Plots!$H$4,,,Plots!$A$49))</f>
        <v>0</v>
      </c>
      <c r="N43" cm="1">
        <f t="array" aca="1" ref="N43" ca="1">INDIRECT(ADDRESS($B43,Plots!$H$4,,,Plots!$A$50))+INDIRECT(ADDRESS($B43,Plots!$H$4,,,Plots!$A$51))+INDIRECT(ADDRESS($B43,Plots!$H$4,,,Plots!$A$52))</f>
        <v>0</v>
      </c>
      <c r="O43" cm="1">
        <f t="array" aca="1" ref="O43" ca="1">INDIRECT(ADDRESS($B43,Plots!$H$4,,,Plots!$A$53))+INDIRECT(ADDRESS($B43,Plots!$H$4,,,Plots!$A$54))+INDIRECT(ADDRESS($B43,Plots!$H$4,,,Plots!$A$55))+INDIRECT(ADDRESS($B43,Plots!$H$4,,,Plots!$A$56))</f>
        <v>0</v>
      </c>
      <c r="P43" cm="1">
        <f t="array" aca="1" ref="P43" ca="1">INDIRECT(ADDRESS($B43,Plots!$H$4,,,Plots!$A$57))+INDIRECT(ADDRESS($B43,Plots!$H$4,,,Plots!$A$58))+INDIRECT(ADDRESS($B43,Plots!$H$4,,,Plots!$A$59))+INDIRECT(ADDRESS($B43,Plots!$H$4,,,Plots!$A$60))+INDIRECT(ADDRESS($B43,Plots!$H$4,,,Plots!$A$61))</f>
        <v>0</v>
      </c>
      <c r="Q43" cm="1">
        <f t="array" aca="1" ref="Q43" ca="1">INDIRECT(ADDRESS($B43,Plots!$H$4,,,Plots!$A$62))+INDIRECT(ADDRESS($B43,Plots!$H$4,,,Plots!$A$63))+INDIRECT(ADDRESS($B43,Plots!$H$4,,,Plots!$A$64))+INDIRECT(ADDRESS($B43,Plots!$H$4,,,Plots!$A$65))+INDIRECT(ADDRESS($B43,Plots!$H$4,,,Plots!$A$66))+INDIRECT(ADDRESS($B43,Plots!$H$4,,,Plots!$A$67))</f>
        <v>0</v>
      </c>
      <c r="R43">
        <f>'AARnetCBR-CamDTN1_tcpmon_ts_81'!J48+'AARnetCBR-CamDTN1_tcpmon_ts_82'!J48+'AARnetCBR-CamDTN1_tcpmon_ts_83'!J48+'AARnetCBR-CamDTN1_tcpmon_ts_84'!J48+'AARnetCBR-CamDTN1_tcpmon_ts_85'!J48+'AARnetCBR-CamDTN1_tcpmon_ts_86'!J48+'AARnetCBR-CamDTN1_tcpmon_ts_87'!J48+'AARnetCBR-CamDTN1_tcpmon_ts_88'!J48</f>
        <v>0</v>
      </c>
    </row>
    <row r="44" spans="1:18">
      <c r="A44">
        <f>'AARnetCBR-CamDTN1_tcpmon_ts_11'!A44</f>
        <v>64</v>
      </c>
      <c r="B44">
        <f t="shared" si="0"/>
        <v>44</v>
      </c>
      <c r="C44" cm="1">
        <f t="array" aca="1" ref="C44" ca="1">INDIRECT(ADDRESS($B44,Plots!$H$3,,,Plots!$A$47))</f>
        <v>31.48</v>
      </c>
      <c r="D44" cm="1">
        <f t="array" aca="1" ref="D44" ca="1">INDIRECT(ADDRESS($B44,Plots!$H$3,,,Plots!$A$48))+INDIRECT(ADDRESS($B44,Plots!$H$3,,,Plots!$A$49))</f>
        <v>54.13</v>
      </c>
      <c r="E44" cm="1">
        <f t="array" aca="1" ref="E44" ca="1">INDIRECT(ADDRESS($B44,Plots!$H$3,,,Plots!$A$50))+INDIRECT(ADDRESS($B44,Plots!$H$3,,,Plots!$A$51))+INDIRECT(ADDRESS($B44,Plots!$H$3,,,Plots!$A$52))</f>
        <v>74.13</v>
      </c>
      <c r="F44" cm="1">
        <f t="array" aca="1" ref="F44" ca="1">INDIRECT(ADDRESS($B44,Plots!$H$3,,,Plots!$A$53))+INDIRECT(ADDRESS($B44,Plots!$H$3,,,Plots!$A$54))+INDIRECT(ADDRESS($B44,Plots!$H$3,,,Plots!$A$55))+INDIRECT(ADDRESS($B44,Plots!$H$3,,,Plots!$A$56))</f>
        <v>80.2</v>
      </c>
      <c r="G44" cm="1">
        <f t="array" aca="1" ref="G44" ca="1">INDIRECT(ADDRESS($B44,Plots!$H$3,,,Plots!$A$57))+INDIRECT(ADDRESS($B44,Plots!$H$3,,,Plots!$A$58))+INDIRECT(ADDRESS($B44,Plots!$H$3,,,Plots!$A$59))+INDIRECT(ADDRESS($B44,Plots!$H$3,,,Plots!$A$60))+INDIRECT(ADDRESS($B44,Plots!$H$3,,,Plots!$A$61))</f>
        <v>0</v>
      </c>
      <c r="H44" cm="1">
        <f t="array" aca="1" ref="H44" ca="1">INDIRECT(ADDRESS($B44,Plots!$H$3,,,Plots!$A$62))+INDIRECT(ADDRESS($B44,Plots!$H$3,,,Plots!$A$63))+INDIRECT(ADDRESS($B44,Plots!$H$3,,,Plots!$A$64))+INDIRECT(ADDRESS($B44,Plots!$H$3,,,Plots!$A$65))+INDIRECT(ADDRESS($B44,Plots!$H$3,,,Plots!$A$66))+INDIRECT(ADDRESS($B44,Plots!$H$3,,,Plots!$A$67))</f>
        <v>0</v>
      </c>
      <c r="I44">
        <f>'AARnetCBR-CamDTN1_tcpmon_ts_81'!H48+'AARnetCBR-CamDTN1_tcpmon_ts_82'!H48+'AARnetCBR-CamDTN1_tcpmon_ts_83'!H48+'AARnetCBR-CamDTN1_tcpmon_ts_84'!H48+'AARnetCBR-CamDTN1_tcpmon_ts_85'!H48+'AARnetCBR-CamDTN1_tcpmon_ts_86'!H48+'AARnetCBR-CamDTN1_tcpmon_ts_87'!H48+'AARnetCBR-CamDTN1_tcpmon_ts_88'!H48</f>
        <v>0</v>
      </c>
      <c r="L44" cm="1">
        <f t="array" aca="1" ref="L44" ca="1">INDIRECT(ADDRESS($B44,Plots!$H$4,,,Plots!$A$47))</f>
        <v>0</v>
      </c>
      <c r="M44" cm="1">
        <f t="array" aca="1" ref="M44" ca="1">INDIRECT(ADDRESS($B44,Plots!$H$4,,,Plots!$A$48))+INDIRECT(ADDRESS($B44,Plots!$H$4,,,Plots!$A$49))</f>
        <v>0</v>
      </c>
      <c r="N44" cm="1">
        <f t="array" aca="1" ref="N44" ca="1">INDIRECT(ADDRESS($B44,Plots!$H$4,,,Plots!$A$50))+INDIRECT(ADDRESS($B44,Plots!$H$4,,,Plots!$A$51))+INDIRECT(ADDRESS($B44,Plots!$H$4,,,Plots!$A$52))</f>
        <v>0</v>
      </c>
      <c r="O44" cm="1">
        <f t="array" aca="1" ref="O44" ca="1">INDIRECT(ADDRESS($B44,Plots!$H$4,,,Plots!$A$53))+INDIRECT(ADDRESS($B44,Plots!$H$4,,,Plots!$A$54))+INDIRECT(ADDRESS($B44,Plots!$H$4,,,Plots!$A$55))+INDIRECT(ADDRESS($B44,Plots!$H$4,,,Plots!$A$56))</f>
        <v>862</v>
      </c>
      <c r="P44" cm="1">
        <f t="array" aca="1" ref="P44" ca="1">INDIRECT(ADDRESS($B44,Plots!$H$4,,,Plots!$A$57))+INDIRECT(ADDRESS($B44,Plots!$H$4,,,Plots!$A$58))+INDIRECT(ADDRESS($B44,Plots!$H$4,,,Plots!$A$59))+INDIRECT(ADDRESS($B44,Plots!$H$4,,,Plots!$A$60))+INDIRECT(ADDRESS($B44,Plots!$H$4,,,Plots!$A$61))</f>
        <v>0</v>
      </c>
      <c r="Q44" cm="1">
        <f t="array" aca="1" ref="Q44" ca="1">INDIRECT(ADDRESS($B44,Plots!$H$4,,,Plots!$A$62))+INDIRECT(ADDRESS($B44,Plots!$H$4,,,Plots!$A$63))+INDIRECT(ADDRESS($B44,Plots!$H$4,,,Plots!$A$64))+INDIRECT(ADDRESS($B44,Plots!$H$4,,,Plots!$A$65))+INDIRECT(ADDRESS($B44,Plots!$H$4,,,Plots!$A$66))+INDIRECT(ADDRESS($B44,Plots!$H$4,,,Plots!$A$67))</f>
        <v>0</v>
      </c>
      <c r="R44">
        <f>'AARnetCBR-CamDTN1_tcpmon_ts_81'!J49+'AARnetCBR-CamDTN1_tcpmon_ts_82'!J49+'AARnetCBR-CamDTN1_tcpmon_ts_83'!J49+'AARnetCBR-CamDTN1_tcpmon_ts_84'!J49+'AARnetCBR-CamDTN1_tcpmon_ts_85'!J49+'AARnetCBR-CamDTN1_tcpmon_ts_86'!J49+'AARnetCBR-CamDTN1_tcpmon_ts_87'!J49+'AARnetCBR-CamDTN1_tcpmon_ts_88'!J49</f>
        <v>0</v>
      </c>
    </row>
    <row r="45" spans="1:18">
      <c r="A45">
        <f>'AARnetCBR-CamDTN1_tcpmon_ts_11'!A45</f>
        <v>66</v>
      </c>
      <c r="B45">
        <f t="shared" si="0"/>
        <v>45</v>
      </c>
      <c r="C45" cm="1">
        <f t="array" aca="1" ref="C45" ca="1">INDIRECT(ADDRESS($B45,Plots!$H$3,,,Plots!$A$47))</f>
        <v>26.99</v>
      </c>
      <c r="D45" cm="1">
        <f t="array" aca="1" ref="D45" ca="1">INDIRECT(ADDRESS($B45,Plots!$H$3,,,Plots!$A$48))+INDIRECT(ADDRESS($B45,Plots!$H$3,,,Plots!$A$49))</f>
        <v>56.53</v>
      </c>
      <c r="E45" cm="1">
        <f t="array" aca="1" ref="E45" ca="1">INDIRECT(ADDRESS($B45,Plots!$H$3,,,Plots!$A$50))+INDIRECT(ADDRESS($B45,Plots!$H$3,,,Plots!$A$51))+INDIRECT(ADDRESS($B45,Plots!$H$3,,,Plots!$A$52))</f>
        <v>60.75</v>
      </c>
      <c r="F45" cm="1">
        <f t="array" aca="1" ref="F45" ca="1">INDIRECT(ADDRESS($B45,Plots!$H$3,,,Plots!$A$53))+INDIRECT(ADDRESS($B45,Plots!$H$3,,,Plots!$A$54))+INDIRECT(ADDRESS($B45,Plots!$H$3,,,Plots!$A$55))+INDIRECT(ADDRESS($B45,Plots!$H$3,,,Plots!$A$56))</f>
        <v>77.56</v>
      </c>
      <c r="G45" cm="1">
        <f t="array" aca="1" ref="G45" ca="1">INDIRECT(ADDRESS($B45,Plots!$H$3,,,Plots!$A$57))+INDIRECT(ADDRESS($B45,Plots!$H$3,,,Plots!$A$58))+INDIRECT(ADDRESS($B45,Plots!$H$3,,,Plots!$A$59))+INDIRECT(ADDRESS($B45,Plots!$H$3,,,Plots!$A$60))+INDIRECT(ADDRESS($B45,Plots!$H$3,,,Plots!$A$61))</f>
        <v>0</v>
      </c>
      <c r="H45" cm="1">
        <f t="array" aca="1" ref="H45" ca="1">INDIRECT(ADDRESS($B45,Plots!$H$3,,,Plots!$A$62))+INDIRECT(ADDRESS($B45,Plots!$H$3,,,Plots!$A$63))+INDIRECT(ADDRESS($B45,Plots!$H$3,,,Plots!$A$64))+INDIRECT(ADDRESS($B45,Plots!$H$3,,,Plots!$A$65))+INDIRECT(ADDRESS($B45,Plots!$H$3,,,Plots!$A$66))+INDIRECT(ADDRESS($B45,Plots!$H$3,,,Plots!$A$67))</f>
        <v>0</v>
      </c>
      <c r="I45">
        <f>'AARnetCBR-CamDTN1_tcpmon_ts_81'!H49+'AARnetCBR-CamDTN1_tcpmon_ts_82'!H49+'AARnetCBR-CamDTN1_tcpmon_ts_83'!H49+'AARnetCBR-CamDTN1_tcpmon_ts_84'!H49+'AARnetCBR-CamDTN1_tcpmon_ts_85'!H49+'AARnetCBR-CamDTN1_tcpmon_ts_86'!H49+'AARnetCBR-CamDTN1_tcpmon_ts_87'!H49+'AARnetCBR-CamDTN1_tcpmon_ts_88'!H49</f>
        <v>0</v>
      </c>
      <c r="L45" cm="1">
        <f t="array" aca="1" ref="L45" ca="1">INDIRECT(ADDRESS($B45,Plots!$H$4,,,Plots!$A$47))</f>
        <v>0</v>
      </c>
      <c r="M45" cm="1">
        <f t="array" aca="1" ref="M45" ca="1">INDIRECT(ADDRESS($B45,Plots!$H$4,,,Plots!$A$48))+INDIRECT(ADDRESS($B45,Plots!$H$4,,,Plots!$A$49))</f>
        <v>0</v>
      </c>
      <c r="N45" cm="1">
        <f t="array" aca="1" ref="N45" ca="1">INDIRECT(ADDRESS($B45,Plots!$H$4,,,Plots!$A$50))+INDIRECT(ADDRESS($B45,Plots!$H$4,,,Plots!$A$51))+INDIRECT(ADDRESS($B45,Plots!$H$4,,,Plots!$A$52))</f>
        <v>0</v>
      </c>
      <c r="O45" cm="1">
        <f t="array" aca="1" ref="O45" ca="1">INDIRECT(ADDRESS($B45,Plots!$H$4,,,Plots!$A$53))+INDIRECT(ADDRESS($B45,Plots!$H$4,,,Plots!$A$54))+INDIRECT(ADDRESS($B45,Plots!$H$4,,,Plots!$A$55))+INDIRECT(ADDRESS($B45,Plots!$H$4,,,Plots!$A$56))</f>
        <v>0</v>
      </c>
      <c r="P45" cm="1">
        <f t="array" aca="1" ref="P45" ca="1">INDIRECT(ADDRESS($B45,Plots!$H$4,,,Plots!$A$57))+INDIRECT(ADDRESS($B45,Plots!$H$4,,,Plots!$A$58))+INDIRECT(ADDRESS($B45,Plots!$H$4,,,Plots!$A$59))+INDIRECT(ADDRESS($B45,Plots!$H$4,,,Plots!$A$60))+INDIRECT(ADDRESS($B45,Plots!$H$4,,,Plots!$A$61))</f>
        <v>0</v>
      </c>
      <c r="Q45" cm="1">
        <f t="array" aca="1" ref="Q45" ca="1">INDIRECT(ADDRESS($B45,Plots!$H$4,,,Plots!$A$62))+INDIRECT(ADDRESS($B45,Plots!$H$4,,,Plots!$A$63))+INDIRECT(ADDRESS($B45,Plots!$H$4,,,Plots!$A$64))+INDIRECT(ADDRESS($B45,Plots!$H$4,,,Plots!$A$65))+INDIRECT(ADDRESS($B45,Plots!$H$4,,,Plots!$A$66))+INDIRECT(ADDRESS($B45,Plots!$H$4,,,Plots!$A$67))</f>
        <v>0</v>
      </c>
      <c r="R45">
        <f>'AARnetCBR-CamDTN1_tcpmon_ts_81'!J50+'AARnetCBR-CamDTN1_tcpmon_ts_82'!J50+'AARnetCBR-CamDTN1_tcpmon_ts_83'!J50+'AARnetCBR-CamDTN1_tcpmon_ts_84'!J50+'AARnetCBR-CamDTN1_tcpmon_ts_85'!J50+'AARnetCBR-CamDTN1_tcpmon_ts_86'!J50+'AARnetCBR-CamDTN1_tcpmon_ts_87'!J50+'AARnetCBR-CamDTN1_tcpmon_ts_88'!J50</f>
        <v>0</v>
      </c>
    </row>
    <row r="46" spans="1:18">
      <c r="A46">
        <f>'AARnetCBR-CamDTN1_tcpmon_ts_11'!A46</f>
        <v>68</v>
      </c>
      <c r="B46">
        <f t="shared" si="0"/>
        <v>46</v>
      </c>
      <c r="C46" cm="1">
        <f t="array" aca="1" ref="C46" ca="1">INDIRECT(ADDRESS($B46,Plots!$H$3,,,Plots!$A$47))</f>
        <v>29.42</v>
      </c>
      <c r="D46" cm="1">
        <f t="array" aca="1" ref="D46" ca="1">INDIRECT(ADDRESS($B46,Plots!$H$3,,,Plots!$A$48))+INDIRECT(ADDRESS($B46,Plots!$H$3,,,Plots!$A$49))</f>
        <v>59.730000000000004</v>
      </c>
      <c r="E46" cm="1">
        <f t="array" aca="1" ref="E46" ca="1">INDIRECT(ADDRESS($B46,Plots!$H$3,,,Plots!$A$50))+INDIRECT(ADDRESS($B46,Plots!$H$3,,,Plots!$A$51))+INDIRECT(ADDRESS($B46,Plots!$H$3,,,Plots!$A$52))</f>
        <v>74.72999999999999</v>
      </c>
      <c r="F46" cm="1">
        <f t="array" aca="1" ref="F46" ca="1">INDIRECT(ADDRESS($B46,Plots!$H$3,,,Plots!$A$53))+INDIRECT(ADDRESS($B46,Plots!$H$3,,,Plots!$A$54))+INDIRECT(ADDRESS($B46,Plots!$H$3,,,Plots!$A$55))+INDIRECT(ADDRESS($B46,Plots!$H$3,,,Plots!$A$56))</f>
        <v>77.179999999999993</v>
      </c>
      <c r="G46" cm="1">
        <f t="array" aca="1" ref="G46" ca="1">INDIRECT(ADDRESS($B46,Plots!$H$3,,,Plots!$A$57))+INDIRECT(ADDRESS($B46,Plots!$H$3,,,Plots!$A$58))+INDIRECT(ADDRESS($B46,Plots!$H$3,,,Plots!$A$59))+INDIRECT(ADDRESS($B46,Plots!$H$3,,,Plots!$A$60))+INDIRECT(ADDRESS($B46,Plots!$H$3,,,Plots!$A$61))</f>
        <v>0</v>
      </c>
      <c r="H46" cm="1">
        <f t="array" aca="1" ref="H46" ca="1">INDIRECT(ADDRESS($B46,Plots!$H$3,,,Plots!$A$62))+INDIRECT(ADDRESS($B46,Plots!$H$3,,,Plots!$A$63))+INDIRECT(ADDRESS($B46,Plots!$H$3,,,Plots!$A$64))+INDIRECT(ADDRESS($B46,Plots!$H$3,,,Plots!$A$65))+INDIRECT(ADDRESS($B46,Plots!$H$3,,,Plots!$A$66))+INDIRECT(ADDRESS($B46,Plots!$H$3,,,Plots!$A$67))</f>
        <v>0</v>
      </c>
      <c r="I46">
        <f>'AARnetCBR-CamDTN1_tcpmon_ts_81'!H50+'AARnetCBR-CamDTN1_tcpmon_ts_82'!H50+'AARnetCBR-CamDTN1_tcpmon_ts_83'!H50+'AARnetCBR-CamDTN1_tcpmon_ts_84'!H50+'AARnetCBR-CamDTN1_tcpmon_ts_85'!H50+'AARnetCBR-CamDTN1_tcpmon_ts_86'!H50+'AARnetCBR-CamDTN1_tcpmon_ts_87'!H50+'AARnetCBR-CamDTN1_tcpmon_ts_88'!H50</f>
        <v>0</v>
      </c>
      <c r="L46" cm="1">
        <f t="array" aca="1" ref="L46" ca="1">INDIRECT(ADDRESS($B46,Plots!$H$4,,,Plots!$A$47))</f>
        <v>0</v>
      </c>
      <c r="M46" cm="1">
        <f t="array" aca="1" ref="M46" ca="1">INDIRECT(ADDRESS($B46,Plots!$H$4,,,Plots!$A$48))+INDIRECT(ADDRESS($B46,Plots!$H$4,,,Plots!$A$49))</f>
        <v>0</v>
      </c>
      <c r="N46" cm="1">
        <f t="array" aca="1" ref="N46" ca="1">INDIRECT(ADDRESS($B46,Plots!$H$4,,,Plots!$A$50))+INDIRECT(ADDRESS($B46,Plots!$H$4,,,Plots!$A$51))+INDIRECT(ADDRESS($B46,Plots!$H$4,,,Plots!$A$52))</f>
        <v>0</v>
      </c>
      <c r="O46" cm="1">
        <f t="array" aca="1" ref="O46" ca="1">INDIRECT(ADDRESS($B46,Plots!$H$4,,,Plots!$A$53))+INDIRECT(ADDRESS($B46,Plots!$H$4,,,Plots!$A$54))+INDIRECT(ADDRESS($B46,Plots!$H$4,,,Plots!$A$55))+INDIRECT(ADDRESS($B46,Plots!$H$4,,,Plots!$A$56))</f>
        <v>0</v>
      </c>
      <c r="P46" cm="1">
        <f t="array" aca="1" ref="P46" ca="1">INDIRECT(ADDRESS($B46,Plots!$H$4,,,Plots!$A$57))+INDIRECT(ADDRESS($B46,Plots!$H$4,,,Plots!$A$58))+INDIRECT(ADDRESS($B46,Plots!$H$4,,,Plots!$A$59))+INDIRECT(ADDRESS($B46,Plots!$H$4,,,Plots!$A$60))+INDIRECT(ADDRESS($B46,Plots!$H$4,,,Plots!$A$61))</f>
        <v>0</v>
      </c>
      <c r="Q46" cm="1">
        <f t="array" aca="1" ref="Q46" ca="1">INDIRECT(ADDRESS($B46,Plots!$H$4,,,Plots!$A$62))+INDIRECT(ADDRESS($B46,Plots!$H$4,,,Plots!$A$63))+INDIRECT(ADDRESS($B46,Plots!$H$4,,,Plots!$A$64))+INDIRECT(ADDRESS($B46,Plots!$H$4,,,Plots!$A$65))+INDIRECT(ADDRESS($B46,Plots!$H$4,,,Plots!$A$66))+INDIRECT(ADDRESS($B46,Plots!$H$4,,,Plots!$A$67))</f>
        <v>0</v>
      </c>
      <c r="R46">
        <f>'AARnetCBR-CamDTN1_tcpmon_ts_81'!J51+'AARnetCBR-CamDTN1_tcpmon_ts_82'!J51+'AARnetCBR-CamDTN1_tcpmon_ts_83'!J51+'AARnetCBR-CamDTN1_tcpmon_ts_84'!J51+'AARnetCBR-CamDTN1_tcpmon_ts_85'!J51+'AARnetCBR-CamDTN1_tcpmon_ts_86'!J51+'AARnetCBR-CamDTN1_tcpmon_ts_87'!J51+'AARnetCBR-CamDTN1_tcpmon_ts_88'!J51</f>
        <v>0</v>
      </c>
    </row>
    <row r="47" spans="1:18">
      <c r="A47">
        <f>'AARnetCBR-CamDTN1_tcpmon_ts_11'!A47</f>
        <v>70</v>
      </c>
      <c r="B47">
        <f t="shared" si="0"/>
        <v>47</v>
      </c>
      <c r="C47" cm="1">
        <f t="array" aca="1" ref="C47" ca="1">INDIRECT(ADDRESS($B47,Plots!$H$3,,,Plots!$A$47))</f>
        <v>26.23</v>
      </c>
      <c r="D47" cm="1">
        <f t="array" aca="1" ref="D47" ca="1">INDIRECT(ADDRESS($B47,Plots!$H$3,,,Plots!$A$48))+INDIRECT(ADDRESS($B47,Plots!$H$3,,,Plots!$A$49))</f>
        <v>59.91</v>
      </c>
      <c r="E47" cm="1">
        <f t="array" aca="1" ref="E47" ca="1">INDIRECT(ADDRESS($B47,Plots!$H$3,,,Plots!$A$50))+INDIRECT(ADDRESS($B47,Plots!$H$3,,,Plots!$A$51))+INDIRECT(ADDRESS($B47,Plots!$H$3,,,Plots!$A$52))</f>
        <v>60.53</v>
      </c>
      <c r="F47" cm="1">
        <f t="array" aca="1" ref="F47" ca="1">INDIRECT(ADDRESS($B47,Plots!$H$3,,,Plots!$A$53))+INDIRECT(ADDRESS($B47,Plots!$H$3,,,Plots!$A$54))+INDIRECT(ADDRESS($B47,Plots!$H$3,,,Plots!$A$55))+INDIRECT(ADDRESS($B47,Plots!$H$3,,,Plots!$A$56))</f>
        <v>79.160000000000011</v>
      </c>
      <c r="G47" cm="1">
        <f t="array" aca="1" ref="G47" ca="1">INDIRECT(ADDRESS($B47,Plots!$H$3,,,Plots!$A$57))+INDIRECT(ADDRESS($B47,Plots!$H$3,,,Plots!$A$58))+INDIRECT(ADDRESS($B47,Plots!$H$3,,,Plots!$A$59))+INDIRECT(ADDRESS($B47,Plots!$H$3,,,Plots!$A$60))+INDIRECT(ADDRESS($B47,Plots!$H$3,,,Plots!$A$61))</f>
        <v>0</v>
      </c>
      <c r="H47" cm="1">
        <f t="array" aca="1" ref="H47" ca="1">INDIRECT(ADDRESS($B47,Plots!$H$3,,,Plots!$A$62))+INDIRECT(ADDRESS($B47,Plots!$H$3,,,Plots!$A$63))+INDIRECT(ADDRESS($B47,Plots!$H$3,,,Plots!$A$64))+INDIRECT(ADDRESS($B47,Plots!$H$3,,,Plots!$A$65))+INDIRECT(ADDRESS($B47,Plots!$H$3,,,Plots!$A$66))+INDIRECT(ADDRESS($B47,Plots!$H$3,,,Plots!$A$67))</f>
        <v>0</v>
      </c>
      <c r="I47">
        <f>'AARnetCBR-CamDTN1_tcpmon_ts_81'!H51+'AARnetCBR-CamDTN1_tcpmon_ts_82'!H51+'AARnetCBR-CamDTN1_tcpmon_ts_83'!H51+'AARnetCBR-CamDTN1_tcpmon_ts_84'!H51+'AARnetCBR-CamDTN1_tcpmon_ts_85'!H51+'AARnetCBR-CamDTN1_tcpmon_ts_86'!H51+'AARnetCBR-CamDTN1_tcpmon_ts_87'!H51+'AARnetCBR-CamDTN1_tcpmon_ts_88'!H51</f>
        <v>0</v>
      </c>
      <c r="L47" cm="1">
        <f t="array" aca="1" ref="L47" ca="1">INDIRECT(ADDRESS($B47,Plots!$H$4,,,Plots!$A$47))</f>
        <v>0</v>
      </c>
      <c r="M47" cm="1">
        <f t="array" aca="1" ref="M47" ca="1">INDIRECT(ADDRESS($B47,Plots!$H$4,,,Plots!$A$48))+INDIRECT(ADDRESS($B47,Plots!$H$4,,,Plots!$A$49))</f>
        <v>0</v>
      </c>
      <c r="N47" cm="1">
        <f t="array" aca="1" ref="N47" ca="1">INDIRECT(ADDRESS($B47,Plots!$H$4,,,Plots!$A$50))+INDIRECT(ADDRESS($B47,Plots!$H$4,,,Plots!$A$51))+INDIRECT(ADDRESS($B47,Plots!$H$4,,,Plots!$A$52))</f>
        <v>0</v>
      </c>
      <c r="O47" cm="1">
        <f t="array" aca="1" ref="O47" ca="1">INDIRECT(ADDRESS($B47,Plots!$H$4,,,Plots!$A$53))+INDIRECT(ADDRESS($B47,Plots!$H$4,,,Plots!$A$54))+INDIRECT(ADDRESS($B47,Plots!$H$4,,,Plots!$A$55))+INDIRECT(ADDRESS($B47,Plots!$H$4,,,Plots!$A$56))</f>
        <v>0</v>
      </c>
      <c r="P47" cm="1">
        <f t="array" aca="1" ref="P47" ca="1">INDIRECT(ADDRESS($B47,Plots!$H$4,,,Plots!$A$57))+INDIRECT(ADDRESS($B47,Plots!$H$4,,,Plots!$A$58))+INDIRECT(ADDRESS($B47,Plots!$H$4,,,Plots!$A$59))+INDIRECT(ADDRESS($B47,Plots!$H$4,,,Plots!$A$60))+INDIRECT(ADDRESS($B47,Plots!$H$4,,,Plots!$A$61))</f>
        <v>0</v>
      </c>
      <c r="Q47" cm="1">
        <f t="array" aca="1" ref="Q47" ca="1">INDIRECT(ADDRESS($B47,Plots!$H$4,,,Plots!$A$62))+INDIRECT(ADDRESS($B47,Plots!$H$4,,,Plots!$A$63))+INDIRECT(ADDRESS($B47,Plots!$H$4,,,Plots!$A$64))+INDIRECT(ADDRESS($B47,Plots!$H$4,,,Plots!$A$65))+INDIRECT(ADDRESS($B47,Plots!$H$4,,,Plots!$A$66))+INDIRECT(ADDRESS($B47,Plots!$H$4,,,Plots!$A$67))</f>
        <v>0</v>
      </c>
      <c r="R47">
        <f>'AARnetCBR-CamDTN1_tcpmon_ts_81'!J52+'AARnetCBR-CamDTN1_tcpmon_ts_82'!J52+'AARnetCBR-CamDTN1_tcpmon_ts_83'!J52+'AARnetCBR-CamDTN1_tcpmon_ts_84'!J52+'AARnetCBR-CamDTN1_tcpmon_ts_85'!J52+'AARnetCBR-CamDTN1_tcpmon_ts_86'!J52+'AARnetCBR-CamDTN1_tcpmon_ts_87'!J52+'AARnetCBR-CamDTN1_tcpmon_ts_88'!J52</f>
        <v>0</v>
      </c>
    </row>
    <row r="48" spans="1:18">
      <c r="A48">
        <f>'AARnetCBR-CamDTN1_tcpmon_ts_11'!A48</f>
        <v>72</v>
      </c>
      <c r="B48">
        <f t="shared" si="0"/>
        <v>48</v>
      </c>
      <c r="C48" cm="1">
        <f t="array" aca="1" ref="C48" ca="1">INDIRECT(ADDRESS($B48,Plots!$H$3,,,Plots!$A$47))</f>
        <v>26.09</v>
      </c>
      <c r="D48" cm="1">
        <f t="array" aca="1" ref="D48" ca="1">INDIRECT(ADDRESS($B48,Plots!$H$3,,,Plots!$A$48))+INDIRECT(ADDRESS($B48,Plots!$H$3,,,Plots!$A$49))</f>
        <v>54</v>
      </c>
      <c r="E48" cm="1">
        <f t="array" aca="1" ref="E48" ca="1">INDIRECT(ADDRESS($B48,Plots!$H$3,,,Plots!$A$50))+INDIRECT(ADDRESS($B48,Plots!$H$3,,,Plots!$A$51))+INDIRECT(ADDRESS($B48,Plots!$H$3,,,Plots!$A$52))</f>
        <v>72.330000000000013</v>
      </c>
      <c r="F48" cm="1">
        <f t="array" aca="1" ref="F48" ca="1">INDIRECT(ADDRESS($B48,Plots!$H$3,,,Plots!$A$53))+INDIRECT(ADDRESS($B48,Plots!$H$3,,,Plots!$A$54))+INDIRECT(ADDRESS($B48,Plots!$H$3,,,Plots!$A$55))+INDIRECT(ADDRESS($B48,Plots!$H$3,,,Plots!$A$56))</f>
        <v>76.27000000000001</v>
      </c>
      <c r="G48" cm="1">
        <f t="array" aca="1" ref="G48" ca="1">INDIRECT(ADDRESS($B48,Plots!$H$3,,,Plots!$A$57))+INDIRECT(ADDRESS($B48,Plots!$H$3,,,Plots!$A$58))+INDIRECT(ADDRESS($B48,Plots!$H$3,,,Plots!$A$59))+INDIRECT(ADDRESS($B48,Plots!$H$3,,,Plots!$A$60))+INDIRECT(ADDRESS($B48,Plots!$H$3,,,Plots!$A$61))</f>
        <v>0</v>
      </c>
      <c r="H48" cm="1">
        <f t="array" aca="1" ref="H48" ca="1">INDIRECT(ADDRESS($B48,Plots!$H$3,,,Plots!$A$62))+INDIRECT(ADDRESS($B48,Plots!$H$3,,,Plots!$A$63))+INDIRECT(ADDRESS($B48,Plots!$H$3,,,Plots!$A$64))+INDIRECT(ADDRESS($B48,Plots!$H$3,,,Plots!$A$65))+INDIRECT(ADDRESS($B48,Plots!$H$3,,,Plots!$A$66))+INDIRECT(ADDRESS($B48,Plots!$H$3,,,Plots!$A$67))</f>
        <v>0</v>
      </c>
      <c r="I48">
        <f>'AARnetCBR-CamDTN1_tcpmon_ts_81'!H52+'AARnetCBR-CamDTN1_tcpmon_ts_82'!H52+'AARnetCBR-CamDTN1_tcpmon_ts_83'!H52+'AARnetCBR-CamDTN1_tcpmon_ts_84'!H52+'AARnetCBR-CamDTN1_tcpmon_ts_85'!H52+'AARnetCBR-CamDTN1_tcpmon_ts_86'!H52+'AARnetCBR-CamDTN1_tcpmon_ts_87'!H52+'AARnetCBR-CamDTN1_tcpmon_ts_88'!H52</f>
        <v>0</v>
      </c>
      <c r="L48" cm="1">
        <f t="array" aca="1" ref="L48" ca="1">INDIRECT(ADDRESS($B48,Plots!$H$4,,,Plots!$A$47))</f>
        <v>0</v>
      </c>
      <c r="M48" cm="1">
        <f t="array" aca="1" ref="M48" ca="1">INDIRECT(ADDRESS($B48,Plots!$H$4,,,Plots!$A$48))+INDIRECT(ADDRESS($B48,Plots!$H$4,,,Plots!$A$49))</f>
        <v>0</v>
      </c>
      <c r="N48" cm="1">
        <f t="array" aca="1" ref="N48" ca="1">INDIRECT(ADDRESS($B48,Plots!$H$4,,,Plots!$A$50))+INDIRECT(ADDRESS($B48,Plots!$H$4,,,Plots!$A$51))+INDIRECT(ADDRESS($B48,Plots!$H$4,,,Plots!$A$52))</f>
        <v>0</v>
      </c>
      <c r="O48" cm="1">
        <f t="array" aca="1" ref="O48" ca="1">INDIRECT(ADDRESS($B48,Plots!$H$4,,,Plots!$A$53))+INDIRECT(ADDRESS($B48,Plots!$H$4,,,Plots!$A$54))+INDIRECT(ADDRESS($B48,Plots!$H$4,,,Plots!$A$55))+INDIRECT(ADDRESS($B48,Plots!$H$4,,,Plots!$A$56))</f>
        <v>0</v>
      </c>
      <c r="P48" cm="1">
        <f t="array" aca="1" ref="P48" ca="1">INDIRECT(ADDRESS($B48,Plots!$H$4,,,Plots!$A$57))+INDIRECT(ADDRESS($B48,Plots!$H$4,,,Plots!$A$58))+INDIRECT(ADDRESS($B48,Plots!$H$4,,,Plots!$A$59))+INDIRECT(ADDRESS($B48,Plots!$H$4,,,Plots!$A$60))+INDIRECT(ADDRESS($B48,Plots!$H$4,,,Plots!$A$61))</f>
        <v>0</v>
      </c>
      <c r="Q48" cm="1">
        <f t="array" aca="1" ref="Q48" ca="1">INDIRECT(ADDRESS($B48,Plots!$H$4,,,Plots!$A$62))+INDIRECT(ADDRESS($B48,Plots!$H$4,,,Plots!$A$63))+INDIRECT(ADDRESS($B48,Plots!$H$4,,,Plots!$A$64))+INDIRECT(ADDRESS($B48,Plots!$H$4,,,Plots!$A$65))+INDIRECT(ADDRESS($B48,Plots!$H$4,,,Plots!$A$66))+INDIRECT(ADDRESS($B48,Plots!$H$4,,,Plots!$A$67))</f>
        <v>0</v>
      </c>
      <c r="R48">
        <f>'AARnetCBR-CamDTN1_tcpmon_ts_81'!J53+'AARnetCBR-CamDTN1_tcpmon_ts_82'!J53+'AARnetCBR-CamDTN1_tcpmon_ts_83'!J53+'AARnetCBR-CamDTN1_tcpmon_ts_84'!J53+'AARnetCBR-CamDTN1_tcpmon_ts_85'!J53+'AARnetCBR-CamDTN1_tcpmon_ts_86'!J53+'AARnetCBR-CamDTN1_tcpmon_ts_87'!J53+'AARnetCBR-CamDTN1_tcpmon_ts_88'!J53</f>
        <v>0</v>
      </c>
    </row>
    <row r="49" spans="1:18">
      <c r="A49">
        <f>'AARnetCBR-CamDTN1_tcpmon_ts_11'!A49</f>
        <v>74</v>
      </c>
      <c r="B49">
        <f t="shared" si="0"/>
        <v>49</v>
      </c>
      <c r="C49" cm="1">
        <f t="array" aca="1" ref="C49" ca="1">INDIRECT(ADDRESS($B49,Plots!$H$3,,,Plots!$A$47))</f>
        <v>27.86</v>
      </c>
      <c r="D49" cm="1">
        <f t="array" aca="1" ref="D49" ca="1">INDIRECT(ADDRESS($B49,Plots!$H$3,,,Plots!$A$48))+INDIRECT(ADDRESS($B49,Plots!$H$3,,,Plots!$A$49))</f>
        <v>58.31</v>
      </c>
      <c r="E49" cm="1">
        <f t="array" aca="1" ref="E49" ca="1">INDIRECT(ADDRESS($B49,Plots!$H$3,,,Plots!$A$50))+INDIRECT(ADDRESS($B49,Plots!$H$3,,,Plots!$A$51))+INDIRECT(ADDRESS($B49,Plots!$H$3,,,Plots!$A$52))</f>
        <v>62.2</v>
      </c>
      <c r="F49" cm="1">
        <f t="array" aca="1" ref="F49" ca="1">INDIRECT(ADDRESS($B49,Plots!$H$3,,,Plots!$A$53))+INDIRECT(ADDRESS($B49,Plots!$H$3,,,Plots!$A$54))+INDIRECT(ADDRESS($B49,Plots!$H$3,,,Plots!$A$55))+INDIRECT(ADDRESS($B49,Plots!$H$3,,,Plots!$A$56))</f>
        <v>86.44</v>
      </c>
      <c r="G49" cm="1">
        <f t="array" aca="1" ref="G49" ca="1">INDIRECT(ADDRESS($B49,Plots!$H$3,,,Plots!$A$57))+INDIRECT(ADDRESS($B49,Plots!$H$3,,,Plots!$A$58))+INDIRECT(ADDRESS($B49,Plots!$H$3,,,Plots!$A$59))+INDIRECT(ADDRESS($B49,Plots!$H$3,,,Plots!$A$60))+INDIRECT(ADDRESS($B49,Plots!$H$3,,,Plots!$A$61))</f>
        <v>0</v>
      </c>
      <c r="H49" cm="1">
        <f t="array" aca="1" ref="H49" ca="1">INDIRECT(ADDRESS($B49,Plots!$H$3,,,Plots!$A$62))+INDIRECT(ADDRESS($B49,Plots!$H$3,,,Plots!$A$63))+INDIRECT(ADDRESS($B49,Plots!$H$3,,,Plots!$A$64))+INDIRECT(ADDRESS($B49,Plots!$H$3,,,Plots!$A$65))+INDIRECT(ADDRESS($B49,Plots!$H$3,,,Plots!$A$66))+INDIRECT(ADDRESS($B49,Plots!$H$3,,,Plots!$A$67))</f>
        <v>0</v>
      </c>
      <c r="I49">
        <f>'AARnetCBR-CamDTN1_tcpmon_ts_81'!H53+'AARnetCBR-CamDTN1_tcpmon_ts_82'!H53+'AARnetCBR-CamDTN1_tcpmon_ts_83'!H53+'AARnetCBR-CamDTN1_tcpmon_ts_84'!H53+'AARnetCBR-CamDTN1_tcpmon_ts_85'!H53+'AARnetCBR-CamDTN1_tcpmon_ts_86'!H53+'AARnetCBR-CamDTN1_tcpmon_ts_87'!H53+'AARnetCBR-CamDTN1_tcpmon_ts_88'!H53</f>
        <v>0</v>
      </c>
      <c r="L49" cm="1">
        <f t="array" aca="1" ref="L49" ca="1">INDIRECT(ADDRESS($B49,Plots!$H$4,,,Plots!$A$47))</f>
        <v>0</v>
      </c>
      <c r="M49" cm="1">
        <f t="array" aca="1" ref="M49" ca="1">INDIRECT(ADDRESS($B49,Plots!$H$4,,,Plots!$A$48))+INDIRECT(ADDRESS($B49,Plots!$H$4,,,Plots!$A$49))</f>
        <v>0</v>
      </c>
      <c r="N49" cm="1">
        <f t="array" aca="1" ref="N49" ca="1">INDIRECT(ADDRESS($B49,Plots!$H$4,,,Plots!$A$50))+INDIRECT(ADDRESS($B49,Plots!$H$4,,,Plots!$A$51))+INDIRECT(ADDRESS($B49,Plots!$H$4,,,Plots!$A$52))</f>
        <v>0</v>
      </c>
      <c r="O49" cm="1">
        <f t="array" aca="1" ref="O49" ca="1">INDIRECT(ADDRESS($B49,Plots!$H$4,,,Plots!$A$53))+INDIRECT(ADDRESS($B49,Plots!$H$4,,,Plots!$A$54))+INDIRECT(ADDRESS($B49,Plots!$H$4,,,Plots!$A$55))+INDIRECT(ADDRESS($B49,Plots!$H$4,,,Plots!$A$56))</f>
        <v>0</v>
      </c>
      <c r="P49" cm="1">
        <f t="array" aca="1" ref="P49" ca="1">INDIRECT(ADDRESS($B49,Plots!$H$4,,,Plots!$A$57))+INDIRECT(ADDRESS($B49,Plots!$H$4,,,Plots!$A$58))+INDIRECT(ADDRESS($B49,Plots!$H$4,,,Plots!$A$59))+INDIRECT(ADDRESS($B49,Plots!$H$4,,,Plots!$A$60))+INDIRECT(ADDRESS($B49,Plots!$H$4,,,Plots!$A$61))</f>
        <v>0</v>
      </c>
      <c r="Q49" cm="1">
        <f t="array" aca="1" ref="Q49" ca="1">INDIRECT(ADDRESS($B49,Plots!$H$4,,,Plots!$A$62))+INDIRECT(ADDRESS($B49,Plots!$H$4,,,Plots!$A$63))+INDIRECT(ADDRESS($B49,Plots!$H$4,,,Plots!$A$64))+INDIRECT(ADDRESS($B49,Plots!$H$4,,,Plots!$A$65))+INDIRECT(ADDRESS($B49,Plots!$H$4,,,Plots!$A$66))+INDIRECT(ADDRESS($B49,Plots!$H$4,,,Plots!$A$67))</f>
        <v>0</v>
      </c>
      <c r="R49">
        <f>'AARnetCBR-CamDTN1_tcpmon_ts_81'!J54+'AARnetCBR-CamDTN1_tcpmon_ts_82'!J54+'AARnetCBR-CamDTN1_tcpmon_ts_83'!J54+'AARnetCBR-CamDTN1_tcpmon_ts_84'!J54+'AARnetCBR-CamDTN1_tcpmon_ts_85'!J54+'AARnetCBR-CamDTN1_tcpmon_ts_86'!J54+'AARnetCBR-CamDTN1_tcpmon_ts_87'!J54+'AARnetCBR-CamDTN1_tcpmon_ts_88'!J54</f>
        <v>0</v>
      </c>
    </row>
    <row r="50" spans="1:18">
      <c r="A50">
        <f>'AARnetCBR-CamDTN1_tcpmon_ts_11'!A50</f>
        <v>76</v>
      </c>
      <c r="B50">
        <f t="shared" si="0"/>
        <v>50</v>
      </c>
      <c r="C50" cm="1">
        <f t="array" aca="1" ref="C50" ca="1">INDIRECT(ADDRESS($B50,Plots!$H$3,,,Plots!$A$47))</f>
        <v>26.1</v>
      </c>
      <c r="D50" cm="1">
        <f t="array" aca="1" ref="D50" ca="1">INDIRECT(ADDRESS($B50,Plots!$H$3,,,Plots!$A$48))+INDIRECT(ADDRESS($B50,Plots!$H$3,,,Plots!$A$49))</f>
        <v>54.2</v>
      </c>
      <c r="E50" cm="1">
        <f t="array" aca="1" ref="E50" ca="1">INDIRECT(ADDRESS($B50,Plots!$H$3,,,Plots!$A$50))+INDIRECT(ADDRESS($B50,Plots!$H$3,,,Plots!$A$51))+INDIRECT(ADDRESS($B50,Plots!$H$3,,,Plots!$A$52))</f>
        <v>74.55</v>
      </c>
      <c r="F50" cm="1">
        <f t="array" aca="1" ref="F50" ca="1">INDIRECT(ADDRESS($B50,Plots!$H$3,,,Plots!$A$53))+INDIRECT(ADDRESS($B50,Plots!$H$3,,,Plots!$A$54))+INDIRECT(ADDRESS($B50,Plots!$H$3,,,Plots!$A$55))+INDIRECT(ADDRESS($B50,Plots!$H$3,,,Plots!$A$56))</f>
        <v>85.88</v>
      </c>
      <c r="G50" cm="1">
        <f t="array" aca="1" ref="G50" ca="1">INDIRECT(ADDRESS($B50,Plots!$H$3,,,Plots!$A$57))+INDIRECT(ADDRESS($B50,Plots!$H$3,,,Plots!$A$58))+INDIRECT(ADDRESS($B50,Plots!$H$3,,,Plots!$A$59))+INDIRECT(ADDRESS($B50,Plots!$H$3,,,Plots!$A$60))+INDIRECT(ADDRESS($B50,Plots!$H$3,,,Plots!$A$61))</f>
        <v>0</v>
      </c>
      <c r="H50" cm="1">
        <f t="array" aca="1" ref="H50" ca="1">INDIRECT(ADDRESS($B50,Plots!$H$3,,,Plots!$A$62))+INDIRECT(ADDRESS($B50,Plots!$H$3,,,Plots!$A$63))+INDIRECT(ADDRESS($B50,Plots!$H$3,,,Plots!$A$64))+INDIRECT(ADDRESS($B50,Plots!$H$3,,,Plots!$A$65))+INDIRECT(ADDRESS($B50,Plots!$H$3,,,Plots!$A$66))+INDIRECT(ADDRESS($B50,Plots!$H$3,,,Plots!$A$67))</f>
        <v>0</v>
      </c>
      <c r="I50">
        <f>'AARnetCBR-CamDTN1_tcpmon_ts_81'!H54+'AARnetCBR-CamDTN1_tcpmon_ts_82'!H54+'AARnetCBR-CamDTN1_tcpmon_ts_83'!H54+'AARnetCBR-CamDTN1_tcpmon_ts_84'!H54+'AARnetCBR-CamDTN1_tcpmon_ts_85'!H54+'AARnetCBR-CamDTN1_tcpmon_ts_86'!H54+'AARnetCBR-CamDTN1_tcpmon_ts_87'!H54+'AARnetCBR-CamDTN1_tcpmon_ts_88'!H54</f>
        <v>0</v>
      </c>
      <c r="L50" cm="1">
        <f t="array" aca="1" ref="L50" ca="1">INDIRECT(ADDRESS($B50,Plots!$H$4,,,Plots!$A$47))</f>
        <v>0</v>
      </c>
      <c r="M50" cm="1">
        <f t="array" aca="1" ref="M50" ca="1">INDIRECT(ADDRESS($B50,Plots!$H$4,,,Plots!$A$48))+INDIRECT(ADDRESS($B50,Plots!$H$4,,,Plots!$A$49))</f>
        <v>0</v>
      </c>
      <c r="N50" cm="1">
        <f t="array" aca="1" ref="N50" ca="1">INDIRECT(ADDRESS($B50,Plots!$H$4,,,Plots!$A$50))+INDIRECT(ADDRESS($B50,Plots!$H$4,,,Plots!$A$51))+INDIRECT(ADDRESS($B50,Plots!$H$4,,,Plots!$A$52))</f>
        <v>0</v>
      </c>
      <c r="O50" cm="1">
        <f t="array" aca="1" ref="O50" ca="1">INDIRECT(ADDRESS($B50,Plots!$H$4,,,Plots!$A$53))+INDIRECT(ADDRESS($B50,Plots!$H$4,,,Plots!$A$54))+INDIRECT(ADDRESS($B50,Plots!$H$4,,,Plots!$A$55))+INDIRECT(ADDRESS($B50,Plots!$H$4,,,Plots!$A$56))</f>
        <v>0</v>
      </c>
      <c r="P50" cm="1">
        <f t="array" aca="1" ref="P50" ca="1">INDIRECT(ADDRESS($B50,Plots!$H$4,,,Plots!$A$57))+INDIRECT(ADDRESS($B50,Plots!$H$4,,,Plots!$A$58))+INDIRECT(ADDRESS($B50,Plots!$H$4,,,Plots!$A$59))+INDIRECT(ADDRESS($B50,Plots!$H$4,,,Plots!$A$60))+INDIRECT(ADDRESS($B50,Plots!$H$4,,,Plots!$A$61))</f>
        <v>0</v>
      </c>
      <c r="Q50" cm="1">
        <f t="array" aca="1" ref="Q50" ca="1">INDIRECT(ADDRESS($B50,Plots!$H$4,,,Plots!$A$62))+INDIRECT(ADDRESS($B50,Plots!$H$4,,,Plots!$A$63))+INDIRECT(ADDRESS($B50,Plots!$H$4,,,Plots!$A$64))+INDIRECT(ADDRESS($B50,Plots!$H$4,,,Plots!$A$65))+INDIRECT(ADDRESS($B50,Plots!$H$4,,,Plots!$A$66))+INDIRECT(ADDRESS($B50,Plots!$H$4,,,Plots!$A$67))</f>
        <v>0</v>
      </c>
      <c r="R50">
        <f>'AARnetCBR-CamDTN1_tcpmon_ts_81'!J55+'AARnetCBR-CamDTN1_tcpmon_ts_82'!J55+'AARnetCBR-CamDTN1_tcpmon_ts_83'!J55+'AARnetCBR-CamDTN1_tcpmon_ts_84'!J55+'AARnetCBR-CamDTN1_tcpmon_ts_85'!J55+'AARnetCBR-CamDTN1_tcpmon_ts_86'!J55+'AARnetCBR-CamDTN1_tcpmon_ts_87'!J55+'AARnetCBR-CamDTN1_tcpmon_ts_88'!J55</f>
        <v>0</v>
      </c>
    </row>
    <row r="51" spans="1:18">
      <c r="A51">
        <f>'AARnetCBR-CamDTN1_tcpmon_ts_11'!A51</f>
        <v>78</v>
      </c>
      <c r="B51">
        <f t="shared" si="0"/>
        <v>51</v>
      </c>
      <c r="C51" cm="1">
        <f t="array" aca="1" ref="C51" ca="1">INDIRECT(ADDRESS($B51,Plots!$H$3,,,Plots!$A$47))</f>
        <v>24.33</v>
      </c>
      <c r="D51" cm="1">
        <f t="array" aca="1" ref="D51" ca="1">INDIRECT(ADDRESS($B51,Plots!$H$3,,,Plots!$A$48))+INDIRECT(ADDRESS($B51,Plots!$H$3,,,Plots!$A$49))</f>
        <v>57.2</v>
      </c>
      <c r="E51" cm="1">
        <f t="array" aca="1" ref="E51" ca="1">INDIRECT(ADDRESS($B51,Plots!$H$3,,,Plots!$A$50))+INDIRECT(ADDRESS($B51,Plots!$H$3,,,Plots!$A$51))+INDIRECT(ADDRESS($B51,Plots!$H$3,,,Plots!$A$52))</f>
        <v>60.44</v>
      </c>
      <c r="F51" cm="1">
        <f t="array" aca="1" ref="F51" ca="1">INDIRECT(ADDRESS($B51,Plots!$H$3,,,Plots!$A$53))+INDIRECT(ADDRESS($B51,Plots!$H$3,,,Plots!$A$54))+INDIRECT(ADDRESS($B51,Plots!$H$3,,,Plots!$A$55))+INDIRECT(ADDRESS($B51,Plots!$H$3,,,Plots!$A$56))</f>
        <v>80.209999999999994</v>
      </c>
      <c r="G51" cm="1">
        <f t="array" aca="1" ref="G51" ca="1">INDIRECT(ADDRESS($B51,Plots!$H$3,,,Plots!$A$57))+INDIRECT(ADDRESS($B51,Plots!$H$3,,,Plots!$A$58))+INDIRECT(ADDRESS($B51,Plots!$H$3,,,Plots!$A$59))+INDIRECT(ADDRESS($B51,Plots!$H$3,,,Plots!$A$60))+INDIRECT(ADDRESS($B51,Plots!$H$3,,,Plots!$A$61))</f>
        <v>0</v>
      </c>
      <c r="H51" cm="1">
        <f t="array" aca="1" ref="H51" ca="1">INDIRECT(ADDRESS($B51,Plots!$H$3,,,Plots!$A$62))+INDIRECT(ADDRESS($B51,Plots!$H$3,,,Plots!$A$63))+INDIRECT(ADDRESS($B51,Plots!$H$3,,,Plots!$A$64))+INDIRECT(ADDRESS($B51,Plots!$H$3,,,Plots!$A$65))+INDIRECT(ADDRESS($B51,Plots!$H$3,,,Plots!$A$66))+INDIRECT(ADDRESS($B51,Plots!$H$3,,,Plots!$A$67))</f>
        <v>0</v>
      </c>
      <c r="I51">
        <f>'AARnetCBR-CamDTN1_tcpmon_ts_81'!H55+'AARnetCBR-CamDTN1_tcpmon_ts_82'!H55+'AARnetCBR-CamDTN1_tcpmon_ts_83'!H55+'AARnetCBR-CamDTN1_tcpmon_ts_84'!H55+'AARnetCBR-CamDTN1_tcpmon_ts_85'!H55+'AARnetCBR-CamDTN1_tcpmon_ts_86'!H55+'AARnetCBR-CamDTN1_tcpmon_ts_87'!H55+'AARnetCBR-CamDTN1_tcpmon_ts_88'!H55</f>
        <v>0</v>
      </c>
      <c r="L51" cm="1">
        <f t="array" aca="1" ref="L51" ca="1">INDIRECT(ADDRESS($B51,Plots!$H$4,,,Plots!$A$47))</f>
        <v>0</v>
      </c>
      <c r="M51" cm="1">
        <f t="array" aca="1" ref="M51" ca="1">INDIRECT(ADDRESS($B51,Plots!$H$4,,,Plots!$A$48))+INDIRECT(ADDRESS($B51,Plots!$H$4,,,Plots!$A$49))</f>
        <v>0</v>
      </c>
      <c r="N51" cm="1">
        <f t="array" aca="1" ref="N51" ca="1">INDIRECT(ADDRESS($B51,Plots!$H$4,,,Plots!$A$50))+INDIRECT(ADDRESS($B51,Plots!$H$4,,,Plots!$A$51))+INDIRECT(ADDRESS($B51,Plots!$H$4,,,Plots!$A$52))</f>
        <v>0</v>
      </c>
      <c r="O51" cm="1">
        <f t="array" aca="1" ref="O51" ca="1">INDIRECT(ADDRESS($B51,Plots!$H$4,,,Plots!$A$53))+INDIRECT(ADDRESS($B51,Plots!$H$4,,,Plots!$A$54))+INDIRECT(ADDRESS($B51,Plots!$H$4,,,Plots!$A$55))+INDIRECT(ADDRESS($B51,Plots!$H$4,,,Plots!$A$56))</f>
        <v>0</v>
      </c>
      <c r="P51" cm="1">
        <f t="array" aca="1" ref="P51" ca="1">INDIRECT(ADDRESS($B51,Plots!$H$4,,,Plots!$A$57))+INDIRECT(ADDRESS($B51,Plots!$H$4,,,Plots!$A$58))+INDIRECT(ADDRESS($B51,Plots!$H$4,,,Plots!$A$59))+INDIRECT(ADDRESS($B51,Plots!$H$4,,,Plots!$A$60))+INDIRECT(ADDRESS($B51,Plots!$H$4,,,Plots!$A$61))</f>
        <v>0</v>
      </c>
      <c r="Q51" cm="1">
        <f t="array" aca="1" ref="Q51" ca="1">INDIRECT(ADDRESS($B51,Plots!$H$4,,,Plots!$A$62))+INDIRECT(ADDRESS($B51,Plots!$H$4,,,Plots!$A$63))+INDIRECT(ADDRESS($B51,Plots!$H$4,,,Plots!$A$64))+INDIRECT(ADDRESS($B51,Plots!$H$4,,,Plots!$A$65))+INDIRECT(ADDRESS($B51,Plots!$H$4,,,Plots!$A$66))+INDIRECT(ADDRESS($B51,Plots!$H$4,,,Plots!$A$67))</f>
        <v>0</v>
      </c>
      <c r="R51">
        <f>'AARnetCBR-CamDTN1_tcpmon_ts_81'!J56+'AARnetCBR-CamDTN1_tcpmon_ts_82'!J56+'AARnetCBR-CamDTN1_tcpmon_ts_83'!J56+'AARnetCBR-CamDTN1_tcpmon_ts_84'!J56+'AARnetCBR-CamDTN1_tcpmon_ts_85'!J56+'AARnetCBR-CamDTN1_tcpmon_ts_86'!J56+'AARnetCBR-CamDTN1_tcpmon_ts_87'!J56+'AARnetCBR-CamDTN1_tcpmon_ts_88'!J56</f>
        <v>0</v>
      </c>
    </row>
    <row r="52" spans="1:18">
      <c r="A52">
        <f>'AARnetCBR-CamDTN1_tcpmon_ts_11'!A52</f>
        <v>80</v>
      </c>
      <c r="B52">
        <f t="shared" si="0"/>
        <v>52</v>
      </c>
      <c r="C52" cm="1">
        <f t="array" aca="1" ref="C52" ca="1">INDIRECT(ADDRESS($B52,Plots!$H$3,,,Plots!$A$47))</f>
        <v>26.75</v>
      </c>
      <c r="D52" cm="1">
        <f t="array" aca="1" ref="D52" ca="1">INDIRECT(ADDRESS($B52,Plots!$H$3,,,Plots!$A$48))+INDIRECT(ADDRESS($B52,Plots!$H$3,,,Plots!$A$49))</f>
        <v>59.05</v>
      </c>
      <c r="E52" cm="1">
        <f t="array" aca="1" ref="E52" ca="1">INDIRECT(ADDRESS($B52,Plots!$H$3,,,Plots!$A$50))+INDIRECT(ADDRESS($B52,Plots!$H$3,,,Plots!$A$51))+INDIRECT(ADDRESS($B52,Plots!$H$3,,,Plots!$A$52))</f>
        <v>71.14</v>
      </c>
      <c r="F52" cm="1">
        <f t="array" aca="1" ref="F52" ca="1">INDIRECT(ADDRESS($B52,Plots!$H$3,,,Plots!$A$53))+INDIRECT(ADDRESS($B52,Plots!$H$3,,,Plots!$A$54))+INDIRECT(ADDRESS($B52,Plots!$H$3,,,Plots!$A$55))+INDIRECT(ADDRESS($B52,Plots!$H$3,,,Plots!$A$56))</f>
        <v>89.63</v>
      </c>
      <c r="G52" cm="1">
        <f t="array" aca="1" ref="G52" ca="1">INDIRECT(ADDRESS($B52,Plots!$H$3,,,Plots!$A$57))+INDIRECT(ADDRESS($B52,Plots!$H$3,,,Plots!$A$58))+INDIRECT(ADDRESS($B52,Plots!$H$3,,,Plots!$A$59))+INDIRECT(ADDRESS($B52,Plots!$H$3,,,Plots!$A$60))+INDIRECT(ADDRESS($B52,Plots!$H$3,,,Plots!$A$61))</f>
        <v>0</v>
      </c>
      <c r="H52" cm="1">
        <f t="array" aca="1" ref="H52" ca="1">INDIRECT(ADDRESS($B52,Plots!$H$3,,,Plots!$A$62))+INDIRECT(ADDRESS($B52,Plots!$H$3,,,Plots!$A$63))+INDIRECT(ADDRESS($B52,Plots!$H$3,,,Plots!$A$64))+INDIRECT(ADDRESS($B52,Plots!$H$3,,,Plots!$A$65))+INDIRECT(ADDRESS($B52,Plots!$H$3,,,Plots!$A$66))+INDIRECT(ADDRESS($B52,Plots!$H$3,,,Plots!$A$67))</f>
        <v>0</v>
      </c>
      <c r="I52">
        <f>'AARnetCBR-CamDTN1_tcpmon_ts_81'!H56+'AARnetCBR-CamDTN1_tcpmon_ts_82'!H56+'AARnetCBR-CamDTN1_tcpmon_ts_83'!H56+'AARnetCBR-CamDTN1_tcpmon_ts_84'!H56+'AARnetCBR-CamDTN1_tcpmon_ts_85'!H56+'AARnetCBR-CamDTN1_tcpmon_ts_86'!H56+'AARnetCBR-CamDTN1_tcpmon_ts_87'!H56+'AARnetCBR-CamDTN1_tcpmon_ts_88'!H56</f>
        <v>0</v>
      </c>
      <c r="L52" cm="1">
        <f t="array" aca="1" ref="L52" ca="1">INDIRECT(ADDRESS($B52,Plots!$H$4,,,Plots!$A$47))</f>
        <v>0</v>
      </c>
      <c r="M52" cm="1">
        <f t="array" aca="1" ref="M52" ca="1">INDIRECT(ADDRESS($B52,Plots!$H$4,,,Plots!$A$48))+INDIRECT(ADDRESS($B52,Plots!$H$4,,,Plots!$A$49))</f>
        <v>0</v>
      </c>
      <c r="N52" cm="1">
        <f t="array" aca="1" ref="N52" ca="1">INDIRECT(ADDRESS($B52,Plots!$H$4,,,Plots!$A$50))+INDIRECT(ADDRESS($B52,Plots!$H$4,,,Plots!$A$51))+INDIRECT(ADDRESS($B52,Plots!$H$4,,,Plots!$A$52))</f>
        <v>0</v>
      </c>
      <c r="O52" cm="1">
        <f t="array" aca="1" ref="O52" ca="1">INDIRECT(ADDRESS($B52,Plots!$H$4,,,Plots!$A$53))+INDIRECT(ADDRESS($B52,Plots!$H$4,,,Plots!$A$54))+INDIRECT(ADDRESS($B52,Plots!$H$4,,,Plots!$A$55))+INDIRECT(ADDRESS($B52,Plots!$H$4,,,Plots!$A$56))</f>
        <v>0</v>
      </c>
      <c r="P52" cm="1">
        <f t="array" aca="1" ref="P52" ca="1">INDIRECT(ADDRESS($B52,Plots!$H$4,,,Plots!$A$57))+INDIRECT(ADDRESS($B52,Plots!$H$4,,,Plots!$A$58))+INDIRECT(ADDRESS($B52,Plots!$H$4,,,Plots!$A$59))+INDIRECT(ADDRESS($B52,Plots!$H$4,,,Plots!$A$60))+INDIRECT(ADDRESS($B52,Plots!$H$4,,,Plots!$A$61))</f>
        <v>0</v>
      </c>
      <c r="Q52" cm="1">
        <f t="array" aca="1" ref="Q52" ca="1">INDIRECT(ADDRESS($B52,Plots!$H$4,,,Plots!$A$62))+INDIRECT(ADDRESS($B52,Plots!$H$4,,,Plots!$A$63))+INDIRECT(ADDRESS($B52,Plots!$H$4,,,Plots!$A$64))+INDIRECT(ADDRESS($B52,Plots!$H$4,,,Plots!$A$65))+INDIRECT(ADDRESS($B52,Plots!$H$4,,,Plots!$A$66))+INDIRECT(ADDRESS($B52,Plots!$H$4,,,Plots!$A$67))</f>
        <v>0</v>
      </c>
      <c r="R52">
        <f>'AARnetCBR-CamDTN1_tcpmon_ts_81'!J57+'AARnetCBR-CamDTN1_tcpmon_ts_82'!J57+'AARnetCBR-CamDTN1_tcpmon_ts_83'!J57+'AARnetCBR-CamDTN1_tcpmon_ts_84'!J57+'AARnetCBR-CamDTN1_tcpmon_ts_85'!J57+'AARnetCBR-CamDTN1_tcpmon_ts_86'!J57+'AARnetCBR-CamDTN1_tcpmon_ts_87'!J57+'AARnetCBR-CamDTN1_tcpmon_ts_88'!J57</f>
        <v>0</v>
      </c>
    </row>
    <row r="53" spans="1:18">
      <c r="A53">
        <f>'AARnetCBR-CamDTN1_tcpmon_ts_11'!A53</f>
        <v>82</v>
      </c>
      <c r="B53">
        <f t="shared" si="0"/>
        <v>53</v>
      </c>
      <c r="C53" cm="1">
        <f t="array" aca="1" ref="C53" ca="1">INDIRECT(ADDRESS($B53,Plots!$H$3,,,Plots!$A$47))</f>
        <v>27.34</v>
      </c>
      <c r="D53" cm="1">
        <f t="array" aca="1" ref="D53" ca="1">INDIRECT(ADDRESS($B53,Plots!$H$3,,,Plots!$A$48))+INDIRECT(ADDRESS($B53,Plots!$H$3,,,Plots!$A$49))</f>
        <v>55.900000000000006</v>
      </c>
      <c r="E53" cm="1">
        <f t="array" aca="1" ref="E53" ca="1">INDIRECT(ADDRESS($B53,Plots!$H$3,,,Plots!$A$50))+INDIRECT(ADDRESS($B53,Plots!$H$3,,,Plots!$A$51))+INDIRECT(ADDRESS($B53,Plots!$H$3,,,Plots!$A$52))</f>
        <v>68.97</v>
      </c>
      <c r="F53" cm="1">
        <f t="array" aca="1" ref="F53" ca="1">INDIRECT(ADDRESS($B53,Plots!$H$3,,,Plots!$A$53))+INDIRECT(ADDRESS($B53,Plots!$H$3,,,Plots!$A$54))+INDIRECT(ADDRESS($B53,Plots!$H$3,,,Plots!$A$55))+INDIRECT(ADDRESS($B53,Plots!$H$3,,,Plots!$A$56))</f>
        <v>86.77</v>
      </c>
      <c r="G53" cm="1">
        <f t="array" aca="1" ref="G53" ca="1">INDIRECT(ADDRESS($B53,Plots!$H$3,,,Plots!$A$57))+INDIRECT(ADDRESS($B53,Plots!$H$3,,,Plots!$A$58))+INDIRECT(ADDRESS($B53,Plots!$H$3,,,Plots!$A$59))+INDIRECT(ADDRESS($B53,Plots!$H$3,,,Plots!$A$60))+INDIRECT(ADDRESS($B53,Plots!$H$3,,,Plots!$A$61))</f>
        <v>0</v>
      </c>
      <c r="H53" cm="1">
        <f t="array" aca="1" ref="H53" ca="1">INDIRECT(ADDRESS($B53,Plots!$H$3,,,Plots!$A$62))+INDIRECT(ADDRESS($B53,Plots!$H$3,,,Plots!$A$63))+INDIRECT(ADDRESS($B53,Plots!$H$3,,,Plots!$A$64))+INDIRECT(ADDRESS($B53,Plots!$H$3,,,Plots!$A$65))+INDIRECT(ADDRESS($B53,Plots!$H$3,,,Plots!$A$66))+INDIRECT(ADDRESS($B53,Plots!$H$3,,,Plots!$A$67))</f>
        <v>0</v>
      </c>
      <c r="I53">
        <f>'AARnetCBR-CamDTN1_tcpmon_ts_81'!H57+'AARnetCBR-CamDTN1_tcpmon_ts_82'!H57+'AARnetCBR-CamDTN1_tcpmon_ts_83'!H57+'AARnetCBR-CamDTN1_tcpmon_ts_84'!H57+'AARnetCBR-CamDTN1_tcpmon_ts_85'!H57+'AARnetCBR-CamDTN1_tcpmon_ts_86'!H57+'AARnetCBR-CamDTN1_tcpmon_ts_87'!H57+'AARnetCBR-CamDTN1_tcpmon_ts_88'!H57</f>
        <v>0</v>
      </c>
      <c r="L53" cm="1">
        <f t="array" aca="1" ref="L53" ca="1">INDIRECT(ADDRESS($B53,Plots!$H$4,,,Plots!$A$47))</f>
        <v>0</v>
      </c>
      <c r="M53" cm="1">
        <f t="array" aca="1" ref="M53" ca="1">INDIRECT(ADDRESS($B53,Plots!$H$4,,,Plots!$A$48))+INDIRECT(ADDRESS($B53,Plots!$H$4,,,Plots!$A$49))</f>
        <v>0</v>
      </c>
      <c r="N53" cm="1">
        <f t="array" aca="1" ref="N53" ca="1">INDIRECT(ADDRESS($B53,Plots!$H$4,,,Plots!$A$50))+INDIRECT(ADDRESS($B53,Plots!$H$4,,,Plots!$A$51))+INDIRECT(ADDRESS($B53,Plots!$H$4,,,Plots!$A$52))</f>
        <v>0</v>
      </c>
      <c r="O53" cm="1">
        <f t="array" aca="1" ref="O53" ca="1">INDIRECT(ADDRESS($B53,Plots!$H$4,,,Plots!$A$53))+INDIRECT(ADDRESS($B53,Plots!$H$4,,,Plots!$A$54))+INDIRECT(ADDRESS($B53,Plots!$H$4,,,Plots!$A$55))+INDIRECT(ADDRESS($B53,Plots!$H$4,,,Plots!$A$56))</f>
        <v>0</v>
      </c>
      <c r="P53" cm="1">
        <f t="array" aca="1" ref="P53" ca="1">INDIRECT(ADDRESS($B53,Plots!$H$4,,,Plots!$A$57))+INDIRECT(ADDRESS($B53,Plots!$H$4,,,Plots!$A$58))+INDIRECT(ADDRESS($B53,Plots!$H$4,,,Plots!$A$59))+INDIRECT(ADDRESS($B53,Plots!$H$4,,,Plots!$A$60))+INDIRECT(ADDRESS($B53,Plots!$H$4,,,Plots!$A$61))</f>
        <v>0</v>
      </c>
      <c r="Q53" cm="1">
        <f t="array" aca="1" ref="Q53" ca="1">INDIRECT(ADDRESS($B53,Plots!$H$4,,,Plots!$A$62))+INDIRECT(ADDRESS($B53,Plots!$H$4,,,Plots!$A$63))+INDIRECT(ADDRESS($B53,Plots!$H$4,,,Plots!$A$64))+INDIRECT(ADDRESS($B53,Plots!$H$4,,,Plots!$A$65))+INDIRECT(ADDRESS($B53,Plots!$H$4,,,Plots!$A$66))+INDIRECT(ADDRESS($B53,Plots!$H$4,,,Plots!$A$67))</f>
        <v>0</v>
      </c>
      <c r="R53">
        <f>'AARnetCBR-CamDTN1_tcpmon_ts_81'!J58+'AARnetCBR-CamDTN1_tcpmon_ts_82'!J58+'AARnetCBR-CamDTN1_tcpmon_ts_83'!J58+'AARnetCBR-CamDTN1_tcpmon_ts_84'!J58+'AARnetCBR-CamDTN1_tcpmon_ts_85'!J58+'AARnetCBR-CamDTN1_tcpmon_ts_86'!J58+'AARnetCBR-CamDTN1_tcpmon_ts_87'!J58+'AARnetCBR-CamDTN1_tcpmon_ts_88'!J58</f>
        <v>0</v>
      </c>
    </row>
    <row r="54" spans="1:18">
      <c r="A54">
        <f>'AARnetCBR-CamDTN1_tcpmon_ts_11'!A54</f>
        <v>84</v>
      </c>
      <c r="B54">
        <f t="shared" si="0"/>
        <v>54</v>
      </c>
      <c r="C54" cm="1">
        <f t="array" aca="1" ref="C54" ca="1">INDIRECT(ADDRESS($B54,Plots!$H$3,,,Plots!$A$47))</f>
        <v>25.43</v>
      </c>
      <c r="D54" cm="1">
        <f t="array" aca="1" ref="D54" ca="1">INDIRECT(ADDRESS($B54,Plots!$H$3,,,Plots!$A$48))+INDIRECT(ADDRESS($B54,Plots!$H$3,,,Plots!$A$49))</f>
        <v>55.870000000000005</v>
      </c>
      <c r="E54" cm="1">
        <f t="array" aca="1" ref="E54" ca="1">INDIRECT(ADDRESS($B54,Plots!$H$3,,,Plots!$A$50))+INDIRECT(ADDRESS($B54,Plots!$H$3,,,Plots!$A$51))+INDIRECT(ADDRESS($B54,Plots!$H$3,,,Plots!$A$52))</f>
        <v>63.429999999999993</v>
      </c>
      <c r="F54" cm="1">
        <f t="array" aca="1" ref="F54" ca="1">INDIRECT(ADDRESS($B54,Plots!$H$3,,,Plots!$A$53))+INDIRECT(ADDRESS($B54,Plots!$H$3,,,Plots!$A$54))+INDIRECT(ADDRESS($B54,Plots!$H$3,,,Plots!$A$55))+INDIRECT(ADDRESS($B54,Plots!$H$3,,,Plots!$A$56))</f>
        <v>91.38000000000001</v>
      </c>
      <c r="G54" cm="1">
        <f t="array" aca="1" ref="G54" ca="1">INDIRECT(ADDRESS($B54,Plots!$H$3,,,Plots!$A$57))+INDIRECT(ADDRESS($B54,Plots!$H$3,,,Plots!$A$58))+INDIRECT(ADDRESS($B54,Plots!$H$3,,,Plots!$A$59))+INDIRECT(ADDRESS($B54,Plots!$H$3,,,Plots!$A$60))+INDIRECT(ADDRESS($B54,Plots!$H$3,,,Plots!$A$61))</f>
        <v>0</v>
      </c>
      <c r="H54" cm="1">
        <f t="array" aca="1" ref="H54" ca="1">INDIRECT(ADDRESS($B54,Plots!$H$3,,,Plots!$A$62))+INDIRECT(ADDRESS($B54,Plots!$H$3,,,Plots!$A$63))+INDIRECT(ADDRESS($B54,Plots!$H$3,,,Plots!$A$64))+INDIRECT(ADDRESS($B54,Plots!$H$3,,,Plots!$A$65))+INDIRECT(ADDRESS($B54,Plots!$H$3,,,Plots!$A$66))+INDIRECT(ADDRESS($B54,Plots!$H$3,,,Plots!$A$67))</f>
        <v>0</v>
      </c>
      <c r="I54">
        <f>'AARnetCBR-CamDTN1_tcpmon_ts_81'!H58+'AARnetCBR-CamDTN1_tcpmon_ts_82'!H58+'AARnetCBR-CamDTN1_tcpmon_ts_83'!H58+'AARnetCBR-CamDTN1_tcpmon_ts_84'!H58+'AARnetCBR-CamDTN1_tcpmon_ts_85'!H58+'AARnetCBR-CamDTN1_tcpmon_ts_86'!H58+'AARnetCBR-CamDTN1_tcpmon_ts_87'!H58+'AARnetCBR-CamDTN1_tcpmon_ts_88'!H58</f>
        <v>0</v>
      </c>
      <c r="L54" cm="1">
        <f t="array" aca="1" ref="L54" ca="1">INDIRECT(ADDRESS($B54,Plots!$H$4,,,Plots!$A$47))</f>
        <v>0</v>
      </c>
      <c r="M54" cm="1">
        <f t="array" aca="1" ref="M54" ca="1">INDIRECT(ADDRESS($B54,Plots!$H$4,,,Plots!$A$48))+INDIRECT(ADDRESS($B54,Plots!$H$4,,,Plots!$A$49))</f>
        <v>0</v>
      </c>
      <c r="N54" cm="1">
        <f t="array" aca="1" ref="N54" ca="1">INDIRECT(ADDRESS($B54,Plots!$H$4,,,Plots!$A$50))+INDIRECT(ADDRESS($B54,Plots!$H$4,,,Plots!$A$51))+INDIRECT(ADDRESS($B54,Plots!$H$4,,,Plots!$A$52))</f>
        <v>0</v>
      </c>
      <c r="O54" cm="1">
        <f t="array" aca="1" ref="O54" ca="1">INDIRECT(ADDRESS($B54,Plots!$H$4,,,Plots!$A$53))+INDIRECT(ADDRESS($B54,Plots!$H$4,,,Plots!$A$54))+INDIRECT(ADDRESS($B54,Plots!$H$4,,,Plots!$A$55))+INDIRECT(ADDRESS($B54,Plots!$H$4,,,Plots!$A$56))</f>
        <v>0</v>
      </c>
      <c r="P54" cm="1">
        <f t="array" aca="1" ref="P54" ca="1">INDIRECT(ADDRESS($B54,Plots!$H$4,,,Plots!$A$57))+INDIRECT(ADDRESS($B54,Plots!$H$4,,,Plots!$A$58))+INDIRECT(ADDRESS($B54,Plots!$H$4,,,Plots!$A$59))+INDIRECT(ADDRESS($B54,Plots!$H$4,,,Plots!$A$60))+INDIRECT(ADDRESS($B54,Plots!$H$4,,,Plots!$A$61))</f>
        <v>0</v>
      </c>
      <c r="Q54" cm="1">
        <f t="array" aca="1" ref="Q54" ca="1">INDIRECT(ADDRESS($B54,Plots!$H$4,,,Plots!$A$62))+INDIRECT(ADDRESS($B54,Plots!$H$4,,,Plots!$A$63))+INDIRECT(ADDRESS($B54,Plots!$H$4,,,Plots!$A$64))+INDIRECT(ADDRESS($B54,Plots!$H$4,,,Plots!$A$65))+INDIRECT(ADDRESS($B54,Plots!$H$4,,,Plots!$A$66))+INDIRECT(ADDRESS($B54,Plots!$H$4,,,Plots!$A$67))</f>
        <v>0</v>
      </c>
      <c r="R54">
        <f>'AARnetCBR-CamDTN1_tcpmon_ts_81'!J59+'AARnetCBR-CamDTN1_tcpmon_ts_82'!J59+'AARnetCBR-CamDTN1_tcpmon_ts_83'!J59+'AARnetCBR-CamDTN1_tcpmon_ts_84'!J59+'AARnetCBR-CamDTN1_tcpmon_ts_85'!J59+'AARnetCBR-CamDTN1_tcpmon_ts_86'!J59+'AARnetCBR-CamDTN1_tcpmon_ts_87'!J59+'AARnetCBR-CamDTN1_tcpmon_ts_88'!J59</f>
        <v>0</v>
      </c>
    </row>
    <row r="55" spans="1:18">
      <c r="A55">
        <f>'AARnetCBR-CamDTN1_tcpmon_ts_11'!A55</f>
        <v>86</v>
      </c>
      <c r="B55">
        <f t="shared" si="0"/>
        <v>55</v>
      </c>
      <c r="C55" cm="1">
        <f t="array" aca="1" ref="C55" ca="1">INDIRECT(ADDRESS($B55,Plots!$H$3,,,Plots!$A$47))</f>
        <v>26.22</v>
      </c>
      <c r="D55" cm="1">
        <f t="array" aca="1" ref="D55" ca="1">INDIRECT(ADDRESS($B55,Plots!$H$3,,,Plots!$A$48))+INDIRECT(ADDRESS($B55,Plots!$H$3,,,Plots!$A$49))</f>
        <v>58.58</v>
      </c>
      <c r="E55" cm="1">
        <f t="array" aca="1" ref="E55" ca="1">INDIRECT(ADDRESS($B55,Plots!$H$3,,,Plots!$A$50))+INDIRECT(ADDRESS($B55,Plots!$H$3,,,Plots!$A$51))+INDIRECT(ADDRESS($B55,Plots!$H$3,,,Plots!$A$52))</f>
        <v>73.95</v>
      </c>
      <c r="F55" cm="1">
        <f t="array" aca="1" ref="F55" ca="1">INDIRECT(ADDRESS($B55,Plots!$H$3,,,Plots!$A$53))+INDIRECT(ADDRESS($B55,Plots!$H$3,,,Plots!$A$54))+INDIRECT(ADDRESS($B55,Plots!$H$3,,,Plots!$A$55))+INDIRECT(ADDRESS($B55,Plots!$H$3,,,Plots!$A$56))</f>
        <v>82.43</v>
      </c>
      <c r="G55" cm="1">
        <f t="array" aca="1" ref="G55" ca="1">INDIRECT(ADDRESS($B55,Plots!$H$3,,,Plots!$A$57))+INDIRECT(ADDRESS($B55,Plots!$H$3,,,Plots!$A$58))+INDIRECT(ADDRESS($B55,Plots!$H$3,,,Plots!$A$59))+INDIRECT(ADDRESS($B55,Plots!$H$3,,,Plots!$A$60))+INDIRECT(ADDRESS($B55,Plots!$H$3,,,Plots!$A$61))</f>
        <v>0</v>
      </c>
      <c r="H55" cm="1">
        <f t="array" aca="1" ref="H55" ca="1">INDIRECT(ADDRESS($B55,Plots!$H$3,,,Plots!$A$62))+INDIRECT(ADDRESS($B55,Plots!$H$3,,,Plots!$A$63))+INDIRECT(ADDRESS($B55,Plots!$H$3,,,Plots!$A$64))+INDIRECT(ADDRESS($B55,Plots!$H$3,,,Plots!$A$65))+INDIRECT(ADDRESS($B55,Plots!$H$3,,,Plots!$A$66))+INDIRECT(ADDRESS($B55,Plots!$H$3,,,Plots!$A$67))</f>
        <v>0</v>
      </c>
      <c r="I55">
        <f>'AARnetCBR-CamDTN1_tcpmon_ts_81'!H59+'AARnetCBR-CamDTN1_tcpmon_ts_82'!H59+'AARnetCBR-CamDTN1_tcpmon_ts_83'!H59+'AARnetCBR-CamDTN1_tcpmon_ts_84'!H59+'AARnetCBR-CamDTN1_tcpmon_ts_85'!H59+'AARnetCBR-CamDTN1_tcpmon_ts_86'!H59+'AARnetCBR-CamDTN1_tcpmon_ts_87'!H59+'AARnetCBR-CamDTN1_tcpmon_ts_88'!H59</f>
        <v>0</v>
      </c>
      <c r="L55" cm="1">
        <f t="array" aca="1" ref="L55" ca="1">INDIRECT(ADDRESS($B55,Plots!$H$4,,,Plots!$A$47))</f>
        <v>0</v>
      </c>
      <c r="M55" cm="1">
        <f t="array" aca="1" ref="M55" ca="1">INDIRECT(ADDRESS($B55,Plots!$H$4,,,Plots!$A$48))+INDIRECT(ADDRESS($B55,Plots!$H$4,,,Plots!$A$49))</f>
        <v>0</v>
      </c>
      <c r="N55" cm="1">
        <f t="array" aca="1" ref="N55" ca="1">INDIRECT(ADDRESS($B55,Plots!$H$4,,,Plots!$A$50))+INDIRECT(ADDRESS($B55,Plots!$H$4,,,Plots!$A$51))+INDIRECT(ADDRESS($B55,Plots!$H$4,,,Plots!$A$52))</f>
        <v>0</v>
      </c>
      <c r="O55" cm="1">
        <f t="array" aca="1" ref="O55" ca="1">INDIRECT(ADDRESS($B55,Plots!$H$4,,,Plots!$A$53))+INDIRECT(ADDRESS($B55,Plots!$H$4,,,Plots!$A$54))+INDIRECT(ADDRESS($B55,Plots!$H$4,,,Plots!$A$55))+INDIRECT(ADDRESS($B55,Plots!$H$4,,,Plots!$A$56))</f>
        <v>0</v>
      </c>
      <c r="P55" cm="1">
        <f t="array" aca="1" ref="P55" ca="1">INDIRECT(ADDRESS($B55,Plots!$H$4,,,Plots!$A$57))+INDIRECT(ADDRESS($B55,Plots!$H$4,,,Plots!$A$58))+INDIRECT(ADDRESS($B55,Plots!$H$4,,,Plots!$A$59))+INDIRECT(ADDRESS($B55,Plots!$H$4,,,Plots!$A$60))+INDIRECT(ADDRESS($B55,Plots!$H$4,,,Plots!$A$61))</f>
        <v>0</v>
      </c>
      <c r="Q55" cm="1">
        <f t="array" aca="1" ref="Q55" ca="1">INDIRECT(ADDRESS($B55,Plots!$H$4,,,Plots!$A$62))+INDIRECT(ADDRESS($B55,Plots!$H$4,,,Plots!$A$63))+INDIRECT(ADDRESS($B55,Plots!$H$4,,,Plots!$A$64))+INDIRECT(ADDRESS($B55,Plots!$H$4,,,Plots!$A$65))+INDIRECT(ADDRESS($B55,Plots!$H$4,,,Plots!$A$66))+INDIRECT(ADDRESS($B55,Plots!$H$4,,,Plots!$A$67))</f>
        <v>0</v>
      </c>
      <c r="R55">
        <f>'AARnetCBR-CamDTN1_tcpmon_ts_81'!J60+'AARnetCBR-CamDTN1_tcpmon_ts_82'!J60+'AARnetCBR-CamDTN1_tcpmon_ts_83'!J60+'AARnetCBR-CamDTN1_tcpmon_ts_84'!J60+'AARnetCBR-CamDTN1_tcpmon_ts_85'!J60+'AARnetCBR-CamDTN1_tcpmon_ts_86'!J60+'AARnetCBR-CamDTN1_tcpmon_ts_87'!J60+'AARnetCBR-CamDTN1_tcpmon_ts_88'!J60</f>
        <v>0</v>
      </c>
    </row>
    <row r="56" spans="1:18">
      <c r="A56">
        <f>'AARnetCBR-CamDTN1_tcpmon_ts_11'!A56</f>
        <v>88</v>
      </c>
      <c r="B56">
        <f t="shared" si="0"/>
        <v>56</v>
      </c>
      <c r="C56" cm="1">
        <f t="array" aca="1" ref="C56" ca="1">INDIRECT(ADDRESS($B56,Plots!$H$3,,,Plots!$A$47))</f>
        <v>26.38</v>
      </c>
      <c r="D56" cm="1">
        <f t="array" aca="1" ref="D56" ca="1">INDIRECT(ADDRESS($B56,Plots!$H$3,,,Plots!$A$48))+INDIRECT(ADDRESS($B56,Plots!$H$3,,,Plots!$A$49))</f>
        <v>61.04</v>
      </c>
      <c r="E56" cm="1">
        <f t="array" aca="1" ref="E56" ca="1">INDIRECT(ADDRESS($B56,Plots!$H$3,,,Plots!$A$50))+INDIRECT(ADDRESS($B56,Plots!$H$3,,,Plots!$A$51))+INDIRECT(ADDRESS($B56,Plots!$H$3,,,Plots!$A$52))</f>
        <v>59.83</v>
      </c>
      <c r="F56" cm="1">
        <f t="array" aca="1" ref="F56" ca="1">INDIRECT(ADDRESS($B56,Plots!$H$3,,,Plots!$A$53))+INDIRECT(ADDRESS($B56,Plots!$H$3,,,Plots!$A$54))+INDIRECT(ADDRESS($B56,Plots!$H$3,,,Plots!$A$55))+INDIRECT(ADDRESS($B56,Plots!$H$3,,,Plots!$A$56))</f>
        <v>89.05</v>
      </c>
      <c r="G56" cm="1">
        <f t="array" aca="1" ref="G56" ca="1">INDIRECT(ADDRESS($B56,Plots!$H$3,,,Plots!$A$57))+INDIRECT(ADDRESS($B56,Plots!$H$3,,,Plots!$A$58))+INDIRECT(ADDRESS($B56,Plots!$H$3,,,Plots!$A$59))+INDIRECT(ADDRESS($B56,Plots!$H$3,,,Plots!$A$60))+INDIRECT(ADDRESS($B56,Plots!$H$3,,,Plots!$A$61))</f>
        <v>0</v>
      </c>
      <c r="H56" cm="1">
        <f t="array" aca="1" ref="H56" ca="1">INDIRECT(ADDRESS($B56,Plots!$H$3,,,Plots!$A$62))+INDIRECT(ADDRESS($B56,Plots!$H$3,,,Plots!$A$63))+INDIRECT(ADDRESS($B56,Plots!$H$3,,,Plots!$A$64))+INDIRECT(ADDRESS($B56,Plots!$H$3,,,Plots!$A$65))+INDIRECT(ADDRESS($B56,Plots!$H$3,,,Plots!$A$66))+INDIRECT(ADDRESS($B56,Plots!$H$3,,,Plots!$A$67))</f>
        <v>0</v>
      </c>
      <c r="I56">
        <f>'AARnetCBR-CamDTN1_tcpmon_ts_81'!H60+'AARnetCBR-CamDTN1_tcpmon_ts_82'!H60+'AARnetCBR-CamDTN1_tcpmon_ts_83'!H60+'AARnetCBR-CamDTN1_tcpmon_ts_84'!H60+'AARnetCBR-CamDTN1_tcpmon_ts_85'!H60+'AARnetCBR-CamDTN1_tcpmon_ts_86'!H60+'AARnetCBR-CamDTN1_tcpmon_ts_87'!H60+'AARnetCBR-CamDTN1_tcpmon_ts_88'!H60</f>
        <v>0</v>
      </c>
      <c r="L56" cm="1">
        <f t="array" aca="1" ref="L56" ca="1">INDIRECT(ADDRESS($B56,Plots!$H$4,,,Plots!$A$47))</f>
        <v>0</v>
      </c>
      <c r="M56" cm="1">
        <f t="array" aca="1" ref="M56" ca="1">INDIRECT(ADDRESS($B56,Plots!$H$4,,,Plots!$A$48))+INDIRECT(ADDRESS($B56,Plots!$H$4,,,Plots!$A$49))</f>
        <v>0</v>
      </c>
      <c r="N56" cm="1">
        <f t="array" aca="1" ref="N56" ca="1">INDIRECT(ADDRESS($B56,Plots!$H$4,,,Plots!$A$50))+INDIRECT(ADDRESS($B56,Plots!$H$4,,,Plots!$A$51))+INDIRECT(ADDRESS($B56,Plots!$H$4,,,Plots!$A$52))</f>
        <v>0</v>
      </c>
      <c r="O56" cm="1">
        <f t="array" aca="1" ref="O56" ca="1">INDIRECT(ADDRESS($B56,Plots!$H$4,,,Plots!$A$53))+INDIRECT(ADDRESS($B56,Plots!$H$4,,,Plots!$A$54))+INDIRECT(ADDRESS($B56,Plots!$H$4,,,Plots!$A$55))+INDIRECT(ADDRESS($B56,Plots!$H$4,,,Plots!$A$56))</f>
        <v>0</v>
      </c>
      <c r="P56" cm="1">
        <f t="array" aca="1" ref="P56" ca="1">INDIRECT(ADDRESS($B56,Plots!$H$4,,,Plots!$A$57))+INDIRECT(ADDRESS($B56,Plots!$H$4,,,Plots!$A$58))+INDIRECT(ADDRESS($B56,Plots!$H$4,,,Plots!$A$59))+INDIRECT(ADDRESS($B56,Plots!$H$4,,,Plots!$A$60))+INDIRECT(ADDRESS($B56,Plots!$H$4,,,Plots!$A$61))</f>
        <v>0</v>
      </c>
      <c r="Q56" cm="1">
        <f t="array" aca="1" ref="Q56" ca="1">INDIRECT(ADDRESS($B56,Plots!$H$4,,,Plots!$A$62))+INDIRECT(ADDRESS($B56,Plots!$H$4,,,Plots!$A$63))+INDIRECT(ADDRESS($B56,Plots!$H$4,,,Plots!$A$64))+INDIRECT(ADDRESS($B56,Plots!$H$4,,,Plots!$A$65))+INDIRECT(ADDRESS($B56,Plots!$H$4,,,Plots!$A$66))+INDIRECT(ADDRESS($B56,Plots!$H$4,,,Plots!$A$67))</f>
        <v>0</v>
      </c>
      <c r="R56">
        <f>'AARnetCBR-CamDTN1_tcpmon_ts_81'!J61+'AARnetCBR-CamDTN1_tcpmon_ts_82'!J61+'AARnetCBR-CamDTN1_tcpmon_ts_83'!J61+'AARnetCBR-CamDTN1_tcpmon_ts_84'!J61+'AARnetCBR-CamDTN1_tcpmon_ts_85'!J61+'AARnetCBR-CamDTN1_tcpmon_ts_86'!J61+'AARnetCBR-CamDTN1_tcpmon_ts_87'!J61+'AARnetCBR-CamDTN1_tcpmon_ts_88'!J61</f>
        <v>0</v>
      </c>
    </row>
    <row r="57" spans="1:18">
      <c r="A57">
        <f>'AARnetCBR-CamDTN1_tcpmon_ts_11'!A57</f>
        <v>90</v>
      </c>
      <c r="B57">
        <f t="shared" si="0"/>
        <v>57</v>
      </c>
      <c r="C57" cm="1">
        <f t="array" aca="1" ref="C57" ca="1">INDIRECT(ADDRESS($B57,Plots!$H$3,,,Plots!$A$47))</f>
        <v>26.35</v>
      </c>
      <c r="D57" cm="1">
        <f t="array" aca="1" ref="D57" ca="1">INDIRECT(ADDRESS($B57,Plots!$H$3,,,Plots!$A$48))+INDIRECT(ADDRESS($B57,Plots!$H$3,,,Plots!$A$49))</f>
        <v>55.72</v>
      </c>
      <c r="E57" cm="1">
        <f t="array" aca="1" ref="E57" ca="1">INDIRECT(ADDRESS($B57,Plots!$H$3,,,Plots!$A$50))+INDIRECT(ADDRESS($B57,Plots!$H$3,,,Plots!$A$51))+INDIRECT(ADDRESS($B57,Plots!$H$3,,,Plots!$A$52))</f>
        <v>73.06</v>
      </c>
      <c r="F57" cm="1">
        <f t="array" aca="1" ref="F57" ca="1">INDIRECT(ADDRESS($B57,Plots!$H$3,,,Plots!$A$53))+INDIRECT(ADDRESS($B57,Plots!$H$3,,,Plots!$A$54))+INDIRECT(ADDRESS($B57,Plots!$H$3,,,Plots!$A$55))+INDIRECT(ADDRESS($B57,Plots!$H$3,,,Plots!$A$56))</f>
        <v>90.43</v>
      </c>
      <c r="G57" cm="1">
        <f t="array" aca="1" ref="G57" ca="1">INDIRECT(ADDRESS($B57,Plots!$H$3,,,Plots!$A$57))+INDIRECT(ADDRESS($B57,Plots!$H$3,,,Plots!$A$58))+INDIRECT(ADDRESS($B57,Plots!$H$3,,,Plots!$A$59))+INDIRECT(ADDRESS($B57,Plots!$H$3,,,Plots!$A$60))+INDIRECT(ADDRESS($B57,Plots!$H$3,,,Plots!$A$61))</f>
        <v>0</v>
      </c>
      <c r="H57" cm="1">
        <f t="array" aca="1" ref="H57" ca="1">INDIRECT(ADDRESS($B57,Plots!$H$3,,,Plots!$A$62))+INDIRECT(ADDRESS($B57,Plots!$H$3,,,Plots!$A$63))+INDIRECT(ADDRESS($B57,Plots!$H$3,,,Plots!$A$64))+INDIRECT(ADDRESS($B57,Plots!$H$3,,,Plots!$A$65))+INDIRECT(ADDRESS($B57,Plots!$H$3,,,Plots!$A$66))+INDIRECT(ADDRESS($B57,Plots!$H$3,,,Plots!$A$67))</f>
        <v>0</v>
      </c>
      <c r="I57">
        <f>'AARnetCBR-CamDTN1_tcpmon_ts_81'!H61+'AARnetCBR-CamDTN1_tcpmon_ts_82'!H61+'AARnetCBR-CamDTN1_tcpmon_ts_83'!H61+'AARnetCBR-CamDTN1_tcpmon_ts_84'!H61+'AARnetCBR-CamDTN1_tcpmon_ts_85'!H61+'AARnetCBR-CamDTN1_tcpmon_ts_86'!H61+'AARnetCBR-CamDTN1_tcpmon_ts_87'!H61+'AARnetCBR-CamDTN1_tcpmon_ts_88'!H61</f>
        <v>0</v>
      </c>
      <c r="L57" cm="1">
        <f t="array" aca="1" ref="L57" ca="1">INDIRECT(ADDRESS($B57,Plots!$H$4,,,Plots!$A$47))</f>
        <v>0</v>
      </c>
      <c r="M57" cm="1">
        <f t="array" aca="1" ref="M57" ca="1">INDIRECT(ADDRESS($B57,Plots!$H$4,,,Plots!$A$48))+INDIRECT(ADDRESS($B57,Plots!$H$4,,,Plots!$A$49))</f>
        <v>0</v>
      </c>
      <c r="N57" cm="1">
        <f t="array" aca="1" ref="N57" ca="1">INDIRECT(ADDRESS($B57,Plots!$H$4,,,Plots!$A$50))+INDIRECT(ADDRESS($B57,Plots!$H$4,,,Plots!$A$51))+INDIRECT(ADDRESS($B57,Plots!$H$4,,,Plots!$A$52))</f>
        <v>0</v>
      </c>
      <c r="O57" cm="1">
        <f t="array" aca="1" ref="O57" ca="1">INDIRECT(ADDRESS($B57,Plots!$H$4,,,Plots!$A$53))+INDIRECT(ADDRESS($B57,Plots!$H$4,,,Plots!$A$54))+INDIRECT(ADDRESS($B57,Plots!$H$4,,,Plots!$A$55))+INDIRECT(ADDRESS($B57,Plots!$H$4,,,Plots!$A$56))</f>
        <v>0</v>
      </c>
      <c r="P57" cm="1">
        <f t="array" aca="1" ref="P57" ca="1">INDIRECT(ADDRESS($B57,Plots!$H$4,,,Plots!$A$57))+INDIRECT(ADDRESS($B57,Plots!$H$4,,,Plots!$A$58))+INDIRECT(ADDRESS($B57,Plots!$H$4,,,Plots!$A$59))+INDIRECT(ADDRESS($B57,Plots!$H$4,,,Plots!$A$60))+INDIRECT(ADDRESS($B57,Plots!$H$4,,,Plots!$A$61))</f>
        <v>0</v>
      </c>
      <c r="Q57" cm="1">
        <f t="array" aca="1" ref="Q57" ca="1">INDIRECT(ADDRESS($B57,Plots!$H$4,,,Plots!$A$62))+INDIRECT(ADDRESS($B57,Plots!$H$4,,,Plots!$A$63))+INDIRECT(ADDRESS($B57,Plots!$H$4,,,Plots!$A$64))+INDIRECT(ADDRESS($B57,Plots!$H$4,,,Plots!$A$65))+INDIRECT(ADDRESS($B57,Plots!$H$4,,,Plots!$A$66))+INDIRECT(ADDRESS($B57,Plots!$H$4,,,Plots!$A$67))</f>
        <v>0</v>
      </c>
      <c r="R57">
        <f>'AARnetCBR-CamDTN1_tcpmon_ts_81'!J62+'AARnetCBR-CamDTN1_tcpmon_ts_82'!J62+'AARnetCBR-CamDTN1_tcpmon_ts_83'!J62+'AARnetCBR-CamDTN1_tcpmon_ts_84'!J62+'AARnetCBR-CamDTN1_tcpmon_ts_85'!J62+'AARnetCBR-CamDTN1_tcpmon_ts_86'!J62+'AARnetCBR-CamDTN1_tcpmon_ts_87'!J62+'AARnetCBR-CamDTN1_tcpmon_ts_88'!J62</f>
        <v>0</v>
      </c>
    </row>
    <row r="58" spans="1:18">
      <c r="A58">
        <f>'AARnetCBR-CamDTN1_tcpmon_ts_11'!A58</f>
        <v>92</v>
      </c>
      <c r="B58">
        <f t="shared" si="0"/>
        <v>58</v>
      </c>
      <c r="C58" cm="1">
        <f t="array" aca="1" ref="C58" ca="1">INDIRECT(ADDRESS($B58,Plots!$H$3,,,Plots!$A$47))</f>
        <v>25.08</v>
      </c>
      <c r="D58" cm="1">
        <f t="array" aca="1" ref="D58" ca="1">INDIRECT(ADDRESS($B58,Plots!$H$3,,,Plots!$A$48))+INDIRECT(ADDRESS($B58,Plots!$H$3,,,Plots!$A$49))</f>
        <v>55.97</v>
      </c>
      <c r="E58" cm="1">
        <f t="array" aca="1" ref="E58" ca="1">INDIRECT(ADDRESS($B58,Plots!$H$3,,,Plots!$A$50))+INDIRECT(ADDRESS($B58,Plots!$H$3,,,Plots!$A$51))+INDIRECT(ADDRESS($B58,Plots!$H$3,,,Plots!$A$52))</f>
        <v>62.43</v>
      </c>
      <c r="F58" cm="1">
        <f t="array" aca="1" ref="F58" ca="1">INDIRECT(ADDRESS($B58,Plots!$H$3,,,Plots!$A$53))+INDIRECT(ADDRESS($B58,Plots!$H$3,,,Plots!$A$54))+INDIRECT(ADDRESS($B58,Plots!$H$3,,,Plots!$A$55))+INDIRECT(ADDRESS($B58,Plots!$H$3,,,Plots!$A$56))</f>
        <v>85.36999999999999</v>
      </c>
      <c r="G58" cm="1">
        <f t="array" aca="1" ref="G58" ca="1">INDIRECT(ADDRESS($B58,Plots!$H$3,,,Plots!$A$57))+INDIRECT(ADDRESS($B58,Plots!$H$3,,,Plots!$A$58))+INDIRECT(ADDRESS($B58,Plots!$H$3,,,Plots!$A$59))+INDIRECT(ADDRESS($B58,Plots!$H$3,,,Plots!$A$60))+INDIRECT(ADDRESS($B58,Plots!$H$3,,,Plots!$A$61))</f>
        <v>0</v>
      </c>
      <c r="H58" cm="1">
        <f t="array" aca="1" ref="H58" ca="1">INDIRECT(ADDRESS($B58,Plots!$H$3,,,Plots!$A$62))+INDIRECT(ADDRESS($B58,Plots!$H$3,,,Plots!$A$63))+INDIRECT(ADDRESS($B58,Plots!$H$3,,,Plots!$A$64))+INDIRECT(ADDRESS($B58,Plots!$H$3,,,Plots!$A$65))+INDIRECT(ADDRESS($B58,Plots!$H$3,,,Plots!$A$66))+INDIRECT(ADDRESS($B58,Plots!$H$3,,,Plots!$A$67))</f>
        <v>0</v>
      </c>
      <c r="I58">
        <f>'AARnetCBR-CamDTN1_tcpmon_ts_81'!H62+'AARnetCBR-CamDTN1_tcpmon_ts_82'!H62+'AARnetCBR-CamDTN1_tcpmon_ts_83'!H62+'AARnetCBR-CamDTN1_tcpmon_ts_84'!H62+'AARnetCBR-CamDTN1_tcpmon_ts_85'!H62+'AARnetCBR-CamDTN1_tcpmon_ts_86'!H62+'AARnetCBR-CamDTN1_tcpmon_ts_87'!H62+'AARnetCBR-CamDTN1_tcpmon_ts_88'!H62</f>
        <v>0</v>
      </c>
      <c r="L58" cm="1">
        <f t="array" aca="1" ref="L58" ca="1">INDIRECT(ADDRESS($B58,Plots!$H$4,,,Plots!$A$47))</f>
        <v>0</v>
      </c>
      <c r="M58" cm="1">
        <f t="array" aca="1" ref="M58" ca="1">INDIRECT(ADDRESS($B58,Plots!$H$4,,,Plots!$A$48))+INDIRECT(ADDRESS($B58,Plots!$H$4,,,Plots!$A$49))</f>
        <v>0</v>
      </c>
      <c r="N58" cm="1">
        <f t="array" aca="1" ref="N58" ca="1">INDIRECT(ADDRESS($B58,Plots!$H$4,,,Plots!$A$50))+INDIRECT(ADDRESS($B58,Plots!$H$4,,,Plots!$A$51))+INDIRECT(ADDRESS($B58,Plots!$H$4,,,Plots!$A$52))</f>
        <v>0</v>
      </c>
      <c r="O58" cm="1">
        <f t="array" aca="1" ref="O58" ca="1">INDIRECT(ADDRESS($B58,Plots!$H$4,,,Plots!$A$53))+INDIRECT(ADDRESS($B58,Plots!$H$4,,,Plots!$A$54))+INDIRECT(ADDRESS($B58,Plots!$H$4,,,Plots!$A$55))+INDIRECT(ADDRESS($B58,Plots!$H$4,,,Plots!$A$56))</f>
        <v>0</v>
      </c>
      <c r="P58" cm="1">
        <f t="array" aca="1" ref="P58" ca="1">INDIRECT(ADDRESS($B58,Plots!$H$4,,,Plots!$A$57))+INDIRECT(ADDRESS($B58,Plots!$H$4,,,Plots!$A$58))+INDIRECT(ADDRESS($B58,Plots!$H$4,,,Plots!$A$59))+INDIRECT(ADDRESS($B58,Plots!$H$4,,,Plots!$A$60))+INDIRECT(ADDRESS($B58,Plots!$H$4,,,Plots!$A$61))</f>
        <v>0</v>
      </c>
      <c r="Q58" cm="1">
        <f t="array" aca="1" ref="Q58" ca="1">INDIRECT(ADDRESS($B58,Plots!$H$4,,,Plots!$A$62))+INDIRECT(ADDRESS($B58,Plots!$H$4,,,Plots!$A$63))+INDIRECT(ADDRESS($B58,Plots!$H$4,,,Plots!$A$64))+INDIRECT(ADDRESS($B58,Plots!$H$4,,,Plots!$A$65))+INDIRECT(ADDRESS($B58,Plots!$H$4,,,Plots!$A$66))+INDIRECT(ADDRESS($B58,Plots!$H$4,,,Plots!$A$67))</f>
        <v>0</v>
      </c>
      <c r="R58">
        <f>'AARnetCBR-CamDTN1_tcpmon_ts_81'!J63+'AARnetCBR-CamDTN1_tcpmon_ts_82'!J63+'AARnetCBR-CamDTN1_tcpmon_ts_83'!J63+'AARnetCBR-CamDTN1_tcpmon_ts_84'!J63+'AARnetCBR-CamDTN1_tcpmon_ts_85'!J63+'AARnetCBR-CamDTN1_tcpmon_ts_86'!J63+'AARnetCBR-CamDTN1_tcpmon_ts_87'!J63+'AARnetCBR-CamDTN1_tcpmon_ts_88'!J63</f>
        <v>0</v>
      </c>
    </row>
    <row r="59" spans="1:18">
      <c r="A59">
        <f>'AARnetCBR-CamDTN1_tcpmon_ts_11'!A59</f>
        <v>94</v>
      </c>
      <c r="B59">
        <f t="shared" si="0"/>
        <v>59</v>
      </c>
      <c r="C59" cm="1">
        <f t="array" aca="1" ref="C59" ca="1">INDIRECT(ADDRESS($B59,Plots!$H$3,,,Plots!$A$47))</f>
        <v>23.76</v>
      </c>
      <c r="D59" cm="1">
        <f t="array" aca="1" ref="D59" ca="1">INDIRECT(ADDRESS($B59,Plots!$H$3,,,Plots!$A$48))+INDIRECT(ADDRESS($B59,Plots!$H$3,,,Plots!$A$49))</f>
        <v>58.239999999999995</v>
      </c>
      <c r="E59" cm="1">
        <f t="array" aca="1" ref="E59" ca="1">INDIRECT(ADDRESS($B59,Plots!$H$3,,,Plots!$A$50))+INDIRECT(ADDRESS($B59,Plots!$H$3,,,Plots!$A$51))+INDIRECT(ADDRESS($B59,Plots!$H$3,,,Plots!$A$52))</f>
        <v>74.31</v>
      </c>
      <c r="F59" cm="1">
        <f t="array" aca="1" ref="F59" ca="1">INDIRECT(ADDRESS($B59,Plots!$H$3,,,Plots!$A$53))+INDIRECT(ADDRESS($B59,Plots!$H$3,,,Plots!$A$54))+INDIRECT(ADDRESS($B59,Plots!$H$3,,,Plots!$A$55))+INDIRECT(ADDRESS($B59,Plots!$H$3,,,Plots!$A$56))</f>
        <v>94.429999999999993</v>
      </c>
      <c r="G59" cm="1">
        <f t="array" aca="1" ref="G59" ca="1">INDIRECT(ADDRESS($B59,Plots!$H$3,,,Plots!$A$57))+INDIRECT(ADDRESS($B59,Plots!$H$3,,,Plots!$A$58))+INDIRECT(ADDRESS($B59,Plots!$H$3,,,Plots!$A$59))+INDIRECT(ADDRESS($B59,Plots!$H$3,,,Plots!$A$60))+INDIRECT(ADDRESS($B59,Plots!$H$3,,,Plots!$A$61))</f>
        <v>0</v>
      </c>
      <c r="H59" cm="1">
        <f t="array" aca="1" ref="H59" ca="1">INDIRECT(ADDRESS($B59,Plots!$H$3,,,Plots!$A$62))+INDIRECT(ADDRESS($B59,Plots!$H$3,,,Plots!$A$63))+INDIRECT(ADDRESS($B59,Plots!$H$3,,,Plots!$A$64))+INDIRECT(ADDRESS($B59,Plots!$H$3,,,Plots!$A$65))+INDIRECT(ADDRESS($B59,Plots!$H$3,,,Plots!$A$66))+INDIRECT(ADDRESS($B59,Plots!$H$3,,,Plots!$A$67))</f>
        <v>0</v>
      </c>
      <c r="I59">
        <f>'AARnetCBR-CamDTN1_tcpmon_ts_81'!H63+'AARnetCBR-CamDTN1_tcpmon_ts_82'!H63+'AARnetCBR-CamDTN1_tcpmon_ts_83'!H63+'AARnetCBR-CamDTN1_tcpmon_ts_84'!H63+'AARnetCBR-CamDTN1_tcpmon_ts_85'!H63+'AARnetCBR-CamDTN1_tcpmon_ts_86'!H63+'AARnetCBR-CamDTN1_tcpmon_ts_87'!H63+'AARnetCBR-CamDTN1_tcpmon_ts_88'!H63</f>
        <v>0</v>
      </c>
      <c r="L59" cm="1">
        <f t="array" aca="1" ref="L59" ca="1">INDIRECT(ADDRESS($B59,Plots!$H$4,,,Plots!$A$47))</f>
        <v>0</v>
      </c>
      <c r="M59" cm="1">
        <f t="array" aca="1" ref="M59" ca="1">INDIRECT(ADDRESS($B59,Plots!$H$4,,,Plots!$A$48))+INDIRECT(ADDRESS($B59,Plots!$H$4,,,Plots!$A$49))</f>
        <v>0</v>
      </c>
      <c r="N59" cm="1">
        <f t="array" aca="1" ref="N59" ca="1">INDIRECT(ADDRESS($B59,Plots!$H$4,,,Plots!$A$50))+INDIRECT(ADDRESS($B59,Plots!$H$4,,,Plots!$A$51))+INDIRECT(ADDRESS($B59,Plots!$H$4,,,Plots!$A$52))</f>
        <v>0</v>
      </c>
      <c r="O59" cm="1">
        <f t="array" aca="1" ref="O59" ca="1">INDIRECT(ADDRESS($B59,Plots!$H$4,,,Plots!$A$53))+INDIRECT(ADDRESS($B59,Plots!$H$4,,,Plots!$A$54))+INDIRECT(ADDRESS($B59,Plots!$H$4,,,Plots!$A$55))+INDIRECT(ADDRESS($B59,Plots!$H$4,,,Plots!$A$56))</f>
        <v>0</v>
      </c>
      <c r="P59" cm="1">
        <f t="array" aca="1" ref="P59" ca="1">INDIRECT(ADDRESS($B59,Plots!$H$4,,,Plots!$A$57))+INDIRECT(ADDRESS($B59,Plots!$H$4,,,Plots!$A$58))+INDIRECT(ADDRESS($B59,Plots!$H$4,,,Plots!$A$59))+INDIRECT(ADDRESS($B59,Plots!$H$4,,,Plots!$A$60))+INDIRECT(ADDRESS($B59,Plots!$H$4,,,Plots!$A$61))</f>
        <v>0</v>
      </c>
      <c r="Q59" cm="1">
        <f t="array" aca="1" ref="Q59" ca="1">INDIRECT(ADDRESS($B59,Plots!$H$4,,,Plots!$A$62))+INDIRECT(ADDRESS($B59,Plots!$H$4,,,Plots!$A$63))+INDIRECT(ADDRESS($B59,Plots!$H$4,,,Plots!$A$64))+INDIRECT(ADDRESS($B59,Plots!$H$4,,,Plots!$A$65))+INDIRECT(ADDRESS($B59,Plots!$H$4,,,Plots!$A$66))+INDIRECT(ADDRESS($B59,Plots!$H$4,,,Plots!$A$67))</f>
        <v>0</v>
      </c>
      <c r="R59">
        <f>'AARnetCBR-CamDTN1_tcpmon_ts_81'!J64+'AARnetCBR-CamDTN1_tcpmon_ts_82'!J64+'AARnetCBR-CamDTN1_tcpmon_ts_83'!J64+'AARnetCBR-CamDTN1_tcpmon_ts_84'!J64+'AARnetCBR-CamDTN1_tcpmon_ts_85'!J64+'AARnetCBR-CamDTN1_tcpmon_ts_86'!J64+'AARnetCBR-CamDTN1_tcpmon_ts_87'!J64+'AARnetCBR-CamDTN1_tcpmon_ts_88'!J64</f>
        <v>0</v>
      </c>
    </row>
    <row r="60" spans="1:18">
      <c r="A60">
        <f>'AARnetCBR-CamDTN1_tcpmon_ts_11'!A60</f>
        <v>96</v>
      </c>
      <c r="B60">
        <f t="shared" si="0"/>
        <v>60</v>
      </c>
      <c r="C60" cm="1">
        <f t="array" aca="1" ref="C60" ca="1">INDIRECT(ADDRESS($B60,Plots!$H$3,,,Plots!$A$47))</f>
        <v>26.2</v>
      </c>
      <c r="D60" cm="1">
        <f t="array" aca="1" ref="D60" ca="1">INDIRECT(ADDRESS($B60,Plots!$H$3,,,Plots!$A$48))+INDIRECT(ADDRESS($B60,Plots!$H$3,,,Plots!$A$49))</f>
        <v>54.21</v>
      </c>
      <c r="E60" cm="1">
        <f t="array" aca="1" ref="E60" ca="1">INDIRECT(ADDRESS($B60,Plots!$H$3,,,Plots!$A$50))+INDIRECT(ADDRESS($B60,Plots!$H$3,,,Plots!$A$51))+INDIRECT(ADDRESS($B60,Plots!$H$3,,,Plots!$A$52))</f>
        <v>60.350000000000009</v>
      </c>
      <c r="F60" cm="1">
        <f t="array" aca="1" ref="F60" ca="1">INDIRECT(ADDRESS($B60,Plots!$H$3,,,Plots!$A$53))+INDIRECT(ADDRESS($B60,Plots!$H$3,,,Plots!$A$54))+INDIRECT(ADDRESS($B60,Plots!$H$3,,,Plots!$A$55))+INDIRECT(ADDRESS($B60,Plots!$H$3,,,Plots!$A$56))</f>
        <v>86.329999999999984</v>
      </c>
      <c r="G60" cm="1">
        <f t="array" aca="1" ref="G60" ca="1">INDIRECT(ADDRESS($B60,Plots!$H$3,,,Plots!$A$57))+INDIRECT(ADDRESS($B60,Plots!$H$3,,,Plots!$A$58))+INDIRECT(ADDRESS($B60,Plots!$H$3,,,Plots!$A$59))+INDIRECT(ADDRESS($B60,Plots!$H$3,,,Plots!$A$60))+INDIRECT(ADDRESS($B60,Plots!$H$3,,,Plots!$A$61))</f>
        <v>0</v>
      </c>
      <c r="H60" cm="1">
        <f t="array" aca="1" ref="H60" ca="1">INDIRECT(ADDRESS($B60,Plots!$H$3,,,Plots!$A$62))+INDIRECT(ADDRESS($B60,Plots!$H$3,,,Plots!$A$63))+INDIRECT(ADDRESS($B60,Plots!$H$3,,,Plots!$A$64))+INDIRECT(ADDRESS($B60,Plots!$H$3,,,Plots!$A$65))+INDIRECT(ADDRESS($B60,Plots!$H$3,,,Plots!$A$66))+INDIRECT(ADDRESS($B60,Plots!$H$3,,,Plots!$A$67))</f>
        <v>0</v>
      </c>
      <c r="I60">
        <f>'AARnetCBR-CamDTN1_tcpmon_ts_81'!H64+'AARnetCBR-CamDTN1_tcpmon_ts_82'!H64+'AARnetCBR-CamDTN1_tcpmon_ts_83'!H64+'AARnetCBR-CamDTN1_tcpmon_ts_84'!H64+'AARnetCBR-CamDTN1_tcpmon_ts_85'!H64+'AARnetCBR-CamDTN1_tcpmon_ts_86'!H64+'AARnetCBR-CamDTN1_tcpmon_ts_87'!H64+'AARnetCBR-CamDTN1_tcpmon_ts_88'!H64</f>
        <v>0</v>
      </c>
      <c r="L60" cm="1">
        <f t="array" aca="1" ref="L60" ca="1">INDIRECT(ADDRESS($B60,Plots!$H$4,,,Plots!$A$47))</f>
        <v>0</v>
      </c>
      <c r="M60" cm="1">
        <f t="array" aca="1" ref="M60" ca="1">INDIRECT(ADDRESS($B60,Plots!$H$4,,,Plots!$A$48))+INDIRECT(ADDRESS($B60,Plots!$H$4,,,Plots!$A$49))</f>
        <v>0</v>
      </c>
      <c r="N60" cm="1">
        <f t="array" aca="1" ref="N60" ca="1">INDIRECT(ADDRESS($B60,Plots!$H$4,,,Plots!$A$50))+INDIRECT(ADDRESS($B60,Plots!$H$4,,,Plots!$A$51))+INDIRECT(ADDRESS($B60,Plots!$H$4,,,Plots!$A$52))</f>
        <v>0</v>
      </c>
      <c r="O60" cm="1">
        <f t="array" aca="1" ref="O60" ca="1">INDIRECT(ADDRESS($B60,Plots!$H$4,,,Plots!$A$53))+INDIRECT(ADDRESS($B60,Plots!$H$4,,,Plots!$A$54))+INDIRECT(ADDRESS($B60,Plots!$H$4,,,Plots!$A$55))+INDIRECT(ADDRESS($B60,Plots!$H$4,,,Plots!$A$56))</f>
        <v>0</v>
      </c>
      <c r="P60" cm="1">
        <f t="array" aca="1" ref="P60" ca="1">INDIRECT(ADDRESS($B60,Plots!$H$4,,,Plots!$A$57))+INDIRECT(ADDRESS($B60,Plots!$H$4,,,Plots!$A$58))+INDIRECT(ADDRESS($B60,Plots!$H$4,,,Plots!$A$59))+INDIRECT(ADDRESS($B60,Plots!$H$4,,,Plots!$A$60))+INDIRECT(ADDRESS($B60,Plots!$H$4,,,Plots!$A$61))</f>
        <v>0</v>
      </c>
      <c r="Q60" cm="1">
        <f t="array" aca="1" ref="Q60" ca="1">INDIRECT(ADDRESS($B60,Plots!$H$4,,,Plots!$A$62))+INDIRECT(ADDRESS($B60,Plots!$H$4,,,Plots!$A$63))+INDIRECT(ADDRESS($B60,Plots!$H$4,,,Plots!$A$64))+INDIRECT(ADDRESS($B60,Plots!$H$4,,,Plots!$A$65))+INDIRECT(ADDRESS($B60,Plots!$H$4,,,Plots!$A$66))+INDIRECT(ADDRESS($B60,Plots!$H$4,,,Plots!$A$67))</f>
        <v>0</v>
      </c>
      <c r="R60">
        <f>'AARnetCBR-CamDTN1_tcpmon_ts_81'!J65+'AARnetCBR-CamDTN1_tcpmon_ts_82'!J65+'AARnetCBR-CamDTN1_tcpmon_ts_83'!J65+'AARnetCBR-CamDTN1_tcpmon_ts_84'!J65+'AARnetCBR-CamDTN1_tcpmon_ts_85'!J65+'AARnetCBR-CamDTN1_tcpmon_ts_86'!J65+'AARnetCBR-CamDTN1_tcpmon_ts_87'!J65+'AARnetCBR-CamDTN1_tcpmon_ts_88'!J65</f>
        <v>0</v>
      </c>
    </row>
    <row r="61" spans="1:18">
      <c r="A61">
        <f>'AARnetCBR-CamDTN1_tcpmon_ts_11'!A61</f>
        <v>98</v>
      </c>
      <c r="B61">
        <f t="shared" si="0"/>
        <v>61</v>
      </c>
      <c r="C61" cm="1">
        <f t="array" aca="1" ref="C61" ca="1">INDIRECT(ADDRESS($B61,Plots!$H$3,,,Plots!$A$47))</f>
        <v>27.49</v>
      </c>
      <c r="D61" cm="1">
        <f t="array" aca="1" ref="D61" ca="1">INDIRECT(ADDRESS($B61,Plots!$H$3,,,Plots!$A$48))+INDIRECT(ADDRESS($B61,Plots!$H$3,,,Plots!$A$49))</f>
        <v>57.17</v>
      </c>
      <c r="E61" cm="1">
        <f t="array" aca="1" ref="E61" ca="1">INDIRECT(ADDRESS($B61,Plots!$H$3,,,Plots!$A$50))+INDIRECT(ADDRESS($B61,Plots!$H$3,,,Plots!$A$51))+INDIRECT(ADDRESS($B61,Plots!$H$3,,,Plots!$A$52))</f>
        <v>72.92</v>
      </c>
      <c r="F61" cm="1">
        <f t="array" aca="1" ref="F61" ca="1">INDIRECT(ADDRESS($B61,Plots!$H$3,,,Plots!$A$53))+INDIRECT(ADDRESS($B61,Plots!$H$3,,,Plots!$A$54))+INDIRECT(ADDRESS($B61,Plots!$H$3,,,Plots!$A$55))+INDIRECT(ADDRESS($B61,Plots!$H$3,,,Plots!$A$56))</f>
        <v>89.91</v>
      </c>
      <c r="G61" cm="1">
        <f t="array" aca="1" ref="G61" ca="1">INDIRECT(ADDRESS($B61,Plots!$H$3,,,Plots!$A$57))+INDIRECT(ADDRESS($B61,Plots!$H$3,,,Plots!$A$58))+INDIRECT(ADDRESS($B61,Plots!$H$3,,,Plots!$A$59))+INDIRECT(ADDRESS($B61,Plots!$H$3,,,Plots!$A$60))+INDIRECT(ADDRESS($B61,Plots!$H$3,,,Plots!$A$61))</f>
        <v>0</v>
      </c>
      <c r="H61" cm="1">
        <f t="array" aca="1" ref="H61" ca="1">INDIRECT(ADDRESS($B61,Plots!$H$3,,,Plots!$A$62))+INDIRECT(ADDRESS($B61,Plots!$H$3,,,Plots!$A$63))+INDIRECT(ADDRESS($B61,Plots!$H$3,,,Plots!$A$64))+INDIRECT(ADDRESS($B61,Plots!$H$3,,,Plots!$A$65))+INDIRECT(ADDRESS($B61,Plots!$H$3,,,Plots!$A$66))+INDIRECT(ADDRESS($B61,Plots!$H$3,,,Plots!$A$67))</f>
        <v>0</v>
      </c>
      <c r="I61">
        <f>'AARnetCBR-CamDTN1_tcpmon_ts_81'!H65+'AARnetCBR-CamDTN1_tcpmon_ts_82'!H65+'AARnetCBR-CamDTN1_tcpmon_ts_83'!H65+'AARnetCBR-CamDTN1_tcpmon_ts_84'!H65+'AARnetCBR-CamDTN1_tcpmon_ts_85'!H65+'AARnetCBR-CamDTN1_tcpmon_ts_86'!H65+'AARnetCBR-CamDTN1_tcpmon_ts_87'!H65+'AARnetCBR-CamDTN1_tcpmon_ts_88'!H65</f>
        <v>0</v>
      </c>
      <c r="L61" cm="1">
        <f t="array" aca="1" ref="L61" ca="1">INDIRECT(ADDRESS($B61,Plots!$H$4,,,Plots!$A$47))</f>
        <v>0</v>
      </c>
      <c r="M61" cm="1">
        <f t="array" aca="1" ref="M61" ca="1">INDIRECT(ADDRESS($B61,Plots!$H$4,,,Plots!$A$48))+INDIRECT(ADDRESS($B61,Plots!$H$4,,,Plots!$A$49))</f>
        <v>0</v>
      </c>
      <c r="N61" cm="1">
        <f t="array" aca="1" ref="N61" ca="1">INDIRECT(ADDRESS($B61,Plots!$H$4,,,Plots!$A$50))+INDIRECT(ADDRESS($B61,Plots!$H$4,,,Plots!$A$51))+INDIRECT(ADDRESS($B61,Plots!$H$4,,,Plots!$A$52))</f>
        <v>0</v>
      </c>
      <c r="O61" cm="1">
        <f t="array" aca="1" ref="O61" ca="1">INDIRECT(ADDRESS($B61,Plots!$H$4,,,Plots!$A$53))+INDIRECT(ADDRESS($B61,Plots!$H$4,,,Plots!$A$54))+INDIRECT(ADDRESS($B61,Plots!$H$4,,,Plots!$A$55))+INDIRECT(ADDRESS($B61,Plots!$H$4,,,Plots!$A$56))</f>
        <v>0</v>
      </c>
      <c r="P61" cm="1">
        <f t="array" aca="1" ref="P61" ca="1">INDIRECT(ADDRESS($B61,Plots!$H$4,,,Plots!$A$57))+INDIRECT(ADDRESS($B61,Plots!$H$4,,,Plots!$A$58))+INDIRECT(ADDRESS($B61,Plots!$H$4,,,Plots!$A$59))+INDIRECT(ADDRESS($B61,Plots!$H$4,,,Plots!$A$60))+INDIRECT(ADDRESS($B61,Plots!$H$4,,,Plots!$A$61))</f>
        <v>0</v>
      </c>
      <c r="Q61" cm="1">
        <f t="array" aca="1" ref="Q61" ca="1">INDIRECT(ADDRESS($B61,Plots!$H$4,,,Plots!$A$62))+INDIRECT(ADDRESS($B61,Plots!$H$4,,,Plots!$A$63))+INDIRECT(ADDRESS($B61,Plots!$H$4,,,Plots!$A$64))+INDIRECT(ADDRESS($B61,Plots!$H$4,,,Plots!$A$65))+INDIRECT(ADDRESS($B61,Plots!$H$4,,,Plots!$A$66))+INDIRECT(ADDRESS($B61,Plots!$H$4,,,Plots!$A$67))</f>
        <v>0</v>
      </c>
      <c r="R61">
        <f>'AARnetCBR-CamDTN1_tcpmon_ts_81'!J66+'AARnetCBR-CamDTN1_tcpmon_ts_82'!J66+'AARnetCBR-CamDTN1_tcpmon_ts_83'!J66+'AARnetCBR-CamDTN1_tcpmon_ts_84'!J66+'AARnetCBR-CamDTN1_tcpmon_ts_85'!J66+'AARnetCBR-CamDTN1_tcpmon_ts_86'!J66+'AARnetCBR-CamDTN1_tcpmon_ts_87'!J66+'AARnetCBR-CamDTN1_tcpmon_ts_88'!J66</f>
        <v>0</v>
      </c>
    </row>
    <row r="62" spans="1:18">
      <c r="A62">
        <f>'AARnetCBR-CamDTN1_tcpmon_ts_11'!A62</f>
        <v>100</v>
      </c>
      <c r="B62">
        <f t="shared" si="0"/>
        <v>62</v>
      </c>
      <c r="C62" cm="1">
        <f t="array" aca="1" ref="C62" ca="1">INDIRECT(ADDRESS($B62,Plots!$H$3,,,Plots!$A$47))</f>
        <v>26.07</v>
      </c>
      <c r="D62" cm="1">
        <f t="array" aca="1" ref="D62" ca="1">INDIRECT(ADDRESS($B62,Plots!$H$3,,,Plots!$A$48))+INDIRECT(ADDRESS($B62,Plots!$H$3,,,Plots!$A$49))</f>
        <v>62.69</v>
      </c>
      <c r="E62" cm="1">
        <f t="array" aca="1" ref="E62" ca="1">INDIRECT(ADDRESS($B62,Plots!$H$3,,,Plots!$A$50))+INDIRECT(ADDRESS($B62,Plots!$H$3,,,Plots!$A$51))+INDIRECT(ADDRESS($B62,Plots!$H$3,,,Plots!$A$52))</f>
        <v>62.34</v>
      </c>
      <c r="F62" cm="1">
        <f t="array" aca="1" ref="F62" ca="1">INDIRECT(ADDRESS($B62,Plots!$H$3,,,Plots!$A$53))+INDIRECT(ADDRESS($B62,Plots!$H$3,,,Plots!$A$54))+INDIRECT(ADDRESS($B62,Plots!$H$3,,,Plots!$A$55))+INDIRECT(ADDRESS($B62,Plots!$H$3,,,Plots!$A$56))</f>
        <v>86.8</v>
      </c>
      <c r="G62" cm="1">
        <f t="array" aca="1" ref="G62" ca="1">INDIRECT(ADDRESS($B62,Plots!$H$3,,,Plots!$A$57))+INDIRECT(ADDRESS($B62,Plots!$H$3,,,Plots!$A$58))+INDIRECT(ADDRESS($B62,Plots!$H$3,,,Plots!$A$59))+INDIRECT(ADDRESS($B62,Plots!$H$3,,,Plots!$A$60))+INDIRECT(ADDRESS($B62,Plots!$H$3,,,Plots!$A$61))</f>
        <v>0</v>
      </c>
      <c r="H62" cm="1">
        <f t="array" aca="1" ref="H62" ca="1">INDIRECT(ADDRESS($B62,Plots!$H$3,,,Plots!$A$62))+INDIRECT(ADDRESS($B62,Plots!$H$3,,,Plots!$A$63))+INDIRECT(ADDRESS($B62,Plots!$H$3,,,Plots!$A$64))+INDIRECT(ADDRESS($B62,Plots!$H$3,,,Plots!$A$65))+INDIRECT(ADDRESS($B62,Plots!$H$3,,,Plots!$A$66))+INDIRECT(ADDRESS($B62,Plots!$H$3,,,Plots!$A$67))</f>
        <v>0</v>
      </c>
      <c r="I62">
        <f>'AARnetCBR-CamDTN1_tcpmon_ts_81'!H66+'AARnetCBR-CamDTN1_tcpmon_ts_82'!H66+'AARnetCBR-CamDTN1_tcpmon_ts_83'!H66+'AARnetCBR-CamDTN1_tcpmon_ts_84'!H66+'AARnetCBR-CamDTN1_tcpmon_ts_85'!H66+'AARnetCBR-CamDTN1_tcpmon_ts_86'!H66+'AARnetCBR-CamDTN1_tcpmon_ts_87'!H66+'AARnetCBR-CamDTN1_tcpmon_ts_88'!H66</f>
        <v>0</v>
      </c>
      <c r="L62" cm="1">
        <f t="array" aca="1" ref="L62" ca="1">INDIRECT(ADDRESS($B62,Plots!$H$4,,,Plots!$A$47))</f>
        <v>0</v>
      </c>
      <c r="M62" cm="1">
        <f t="array" aca="1" ref="M62" ca="1">INDIRECT(ADDRESS($B62,Plots!$H$4,,,Plots!$A$48))+INDIRECT(ADDRESS($B62,Plots!$H$4,,,Plots!$A$49))</f>
        <v>0</v>
      </c>
      <c r="N62" cm="1">
        <f t="array" aca="1" ref="N62" ca="1">INDIRECT(ADDRESS($B62,Plots!$H$4,,,Plots!$A$50))+INDIRECT(ADDRESS($B62,Plots!$H$4,,,Plots!$A$51))+INDIRECT(ADDRESS($B62,Plots!$H$4,,,Plots!$A$52))</f>
        <v>0</v>
      </c>
      <c r="O62" cm="1">
        <f t="array" aca="1" ref="O62" ca="1">INDIRECT(ADDRESS($B62,Plots!$H$4,,,Plots!$A$53))+INDIRECT(ADDRESS($B62,Plots!$H$4,,,Plots!$A$54))+INDIRECT(ADDRESS($B62,Plots!$H$4,,,Plots!$A$55))+INDIRECT(ADDRESS($B62,Plots!$H$4,,,Plots!$A$56))</f>
        <v>0</v>
      </c>
      <c r="P62" cm="1">
        <f t="array" aca="1" ref="P62" ca="1">INDIRECT(ADDRESS($B62,Plots!$H$4,,,Plots!$A$57))+INDIRECT(ADDRESS($B62,Plots!$H$4,,,Plots!$A$58))+INDIRECT(ADDRESS($B62,Plots!$H$4,,,Plots!$A$59))+INDIRECT(ADDRESS($B62,Plots!$H$4,,,Plots!$A$60))+INDIRECT(ADDRESS($B62,Plots!$H$4,,,Plots!$A$61))</f>
        <v>0</v>
      </c>
      <c r="Q62" cm="1">
        <f t="array" aca="1" ref="Q62" ca="1">INDIRECT(ADDRESS($B62,Plots!$H$4,,,Plots!$A$62))+INDIRECT(ADDRESS($B62,Plots!$H$4,,,Plots!$A$63))+INDIRECT(ADDRESS($B62,Plots!$H$4,,,Plots!$A$64))+INDIRECT(ADDRESS($B62,Plots!$H$4,,,Plots!$A$65))+INDIRECT(ADDRESS($B62,Plots!$H$4,,,Plots!$A$66))+INDIRECT(ADDRESS($B62,Plots!$H$4,,,Plots!$A$67))</f>
        <v>0</v>
      </c>
      <c r="R62">
        <f>'AARnetCBR-CamDTN1_tcpmon_ts_81'!J67+'AARnetCBR-CamDTN1_tcpmon_ts_82'!J67+'AARnetCBR-CamDTN1_tcpmon_ts_83'!J67+'AARnetCBR-CamDTN1_tcpmon_ts_84'!J67+'AARnetCBR-CamDTN1_tcpmon_ts_85'!J67+'AARnetCBR-CamDTN1_tcpmon_ts_86'!J67+'AARnetCBR-CamDTN1_tcpmon_ts_87'!J67+'AARnetCBR-CamDTN1_tcpmon_ts_88'!J67</f>
        <v>0</v>
      </c>
    </row>
    <row r="63" spans="1:18">
      <c r="A63">
        <f>'AARnetCBR-CamDTN1_tcpmon_ts_11'!A63</f>
        <v>102</v>
      </c>
      <c r="B63">
        <f t="shared" si="0"/>
        <v>63</v>
      </c>
      <c r="C63" cm="1">
        <f t="array" aca="1" ref="C63" ca="1">INDIRECT(ADDRESS($B63,Plots!$H$3,,,Plots!$A$47))</f>
        <v>24.66</v>
      </c>
      <c r="D63" cm="1">
        <f t="array" aca="1" ref="D63" ca="1">INDIRECT(ADDRESS($B63,Plots!$H$3,,,Plots!$A$48))+INDIRECT(ADDRESS($B63,Plots!$H$3,,,Plots!$A$49))</f>
        <v>53.81</v>
      </c>
      <c r="E63" cm="1">
        <f t="array" aca="1" ref="E63" ca="1">INDIRECT(ADDRESS($B63,Plots!$H$3,,,Plots!$A$50))+INDIRECT(ADDRESS($B63,Plots!$H$3,,,Plots!$A$51))+INDIRECT(ADDRESS($B63,Plots!$H$3,,,Plots!$A$52))</f>
        <v>74.11</v>
      </c>
      <c r="F63" cm="1">
        <f t="array" aca="1" ref="F63" ca="1">INDIRECT(ADDRESS($B63,Plots!$H$3,,,Plots!$A$53))+INDIRECT(ADDRESS($B63,Plots!$H$3,,,Plots!$A$54))+INDIRECT(ADDRESS($B63,Plots!$H$3,,,Plots!$A$55))+INDIRECT(ADDRESS($B63,Plots!$H$3,,,Plots!$A$56))</f>
        <v>91.66</v>
      </c>
      <c r="G63" cm="1">
        <f t="array" aca="1" ref="G63" ca="1">INDIRECT(ADDRESS($B63,Plots!$H$3,,,Plots!$A$57))+INDIRECT(ADDRESS($B63,Plots!$H$3,,,Plots!$A$58))+INDIRECT(ADDRESS($B63,Plots!$H$3,,,Plots!$A$59))+INDIRECT(ADDRESS($B63,Plots!$H$3,,,Plots!$A$60))+INDIRECT(ADDRESS($B63,Plots!$H$3,,,Plots!$A$61))</f>
        <v>0</v>
      </c>
      <c r="H63" cm="1">
        <f t="array" aca="1" ref="H63" ca="1">INDIRECT(ADDRESS($B63,Plots!$H$3,,,Plots!$A$62))+INDIRECT(ADDRESS($B63,Plots!$H$3,,,Plots!$A$63))+INDIRECT(ADDRESS($B63,Plots!$H$3,,,Plots!$A$64))+INDIRECT(ADDRESS($B63,Plots!$H$3,,,Plots!$A$65))+INDIRECT(ADDRESS($B63,Plots!$H$3,,,Plots!$A$66))+INDIRECT(ADDRESS($B63,Plots!$H$3,,,Plots!$A$67))</f>
        <v>0</v>
      </c>
      <c r="I63">
        <f>'AARnetCBR-CamDTN1_tcpmon_ts_81'!H67+'AARnetCBR-CamDTN1_tcpmon_ts_82'!H67+'AARnetCBR-CamDTN1_tcpmon_ts_83'!H67+'AARnetCBR-CamDTN1_tcpmon_ts_84'!H67+'AARnetCBR-CamDTN1_tcpmon_ts_85'!H67+'AARnetCBR-CamDTN1_tcpmon_ts_86'!H67+'AARnetCBR-CamDTN1_tcpmon_ts_87'!H67+'AARnetCBR-CamDTN1_tcpmon_ts_88'!H67</f>
        <v>0</v>
      </c>
      <c r="L63" cm="1">
        <f t="array" aca="1" ref="L63" ca="1">INDIRECT(ADDRESS($B63,Plots!$H$4,,,Plots!$A$47))</f>
        <v>0</v>
      </c>
      <c r="M63" cm="1">
        <f t="array" aca="1" ref="M63" ca="1">INDIRECT(ADDRESS($B63,Plots!$H$4,,,Plots!$A$48))+INDIRECT(ADDRESS($B63,Plots!$H$4,,,Plots!$A$49))</f>
        <v>0</v>
      </c>
      <c r="N63" cm="1">
        <f t="array" aca="1" ref="N63" ca="1">INDIRECT(ADDRESS($B63,Plots!$H$4,,,Plots!$A$50))+INDIRECT(ADDRESS($B63,Plots!$H$4,,,Plots!$A$51))+INDIRECT(ADDRESS($B63,Plots!$H$4,,,Plots!$A$52))</f>
        <v>0</v>
      </c>
      <c r="O63" cm="1">
        <f t="array" aca="1" ref="O63" ca="1">INDIRECT(ADDRESS($B63,Plots!$H$4,,,Plots!$A$53))+INDIRECT(ADDRESS($B63,Plots!$H$4,,,Plots!$A$54))+INDIRECT(ADDRESS($B63,Plots!$H$4,,,Plots!$A$55))+INDIRECT(ADDRESS($B63,Plots!$H$4,,,Plots!$A$56))</f>
        <v>0</v>
      </c>
      <c r="P63" cm="1">
        <f t="array" aca="1" ref="P63" ca="1">INDIRECT(ADDRESS($B63,Plots!$H$4,,,Plots!$A$57))+INDIRECT(ADDRESS($B63,Plots!$H$4,,,Plots!$A$58))+INDIRECT(ADDRESS($B63,Plots!$H$4,,,Plots!$A$59))+INDIRECT(ADDRESS($B63,Plots!$H$4,,,Plots!$A$60))+INDIRECT(ADDRESS($B63,Plots!$H$4,,,Plots!$A$61))</f>
        <v>0</v>
      </c>
      <c r="Q63" cm="1">
        <f t="array" aca="1" ref="Q63" ca="1">INDIRECT(ADDRESS($B63,Plots!$H$4,,,Plots!$A$62))+INDIRECT(ADDRESS($B63,Plots!$H$4,,,Plots!$A$63))+INDIRECT(ADDRESS($B63,Plots!$H$4,,,Plots!$A$64))+INDIRECT(ADDRESS($B63,Plots!$H$4,,,Plots!$A$65))+INDIRECT(ADDRESS($B63,Plots!$H$4,,,Plots!$A$66))+INDIRECT(ADDRESS($B63,Plots!$H$4,,,Plots!$A$67))</f>
        <v>0</v>
      </c>
      <c r="R63">
        <f>'AARnetCBR-CamDTN1_tcpmon_ts_81'!J68+'AARnetCBR-CamDTN1_tcpmon_ts_82'!J68+'AARnetCBR-CamDTN1_tcpmon_ts_83'!J68+'AARnetCBR-CamDTN1_tcpmon_ts_84'!J68+'AARnetCBR-CamDTN1_tcpmon_ts_85'!J68+'AARnetCBR-CamDTN1_tcpmon_ts_86'!J68+'AARnetCBR-CamDTN1_tcpmon_ts_87'!J68+'AARnetCBR-CamDTN1_tcpmon_ts_88'!J68</f>
        <v>0</v>
      </c>
    </row>
    <row r="64" spans="1:18">
      <c r="A64">
        <f>'AARnetCBR-CamDTN1_tcpmon_ts_11'!A64</f>
        <v>104</v>
      </c>
      <c r="B64">
        <f t="shared" si="0"/>
        <v>64</v>
      </c>
      <c r="C64" cm="1">
        <f t="array" aca="1" ref="C64" ca="1">INDIRECT(ADDRESS($B64,Plots!$H$3,,,Plots!$A$47))</f>
        <v>25.6</v>
      </c>
      <c r="D64" cm="1">
        <f t="array" aca="1" ref="D64" ca="1">INDIRECT(ADDRESS($B64,Plots!$H$3,,,Plots!$A$48))+INDIRECT(ADDRESS($B64,Plots!$H$3,,,Plots!$A$49))</f>
        <v>57.35</v>
      </c>
      <c r="E64" cm="1">
        <f t="array" aca="1" ref="E64" ca="1">INDIRECT(ADDRESS($B64,Plots!$H$3,,,Plots!$A$50))+INDIRECT(ADDRESS($B64,Plots!$H$3,,,Plots!$A$51))+INDIRECT(ADDRESS($B64,Plots!$H$3,,,Plots!$A$52))</f>
        <v>61.81</v>
      </c>
      <c r="F64" cm="1">
        <f t="array" aca="1" ref="F64" ca="1">INDIRECT(ADDRESS($B64,Plots!$H$3,,,Plots!$A$53))+INDIRECT(ADDRESS($B64,Plots!$H$3,,,Plots!$A$54))+INDIRECT(ADDRESS($B64,Plots!$H$3,,,Plots!$A$55))+INDIRECT(ADDRESS($B64,Plots!$H$3,,,Plots!$A$56))</f>
        <v>88.24</v>
      </c>
      <c r="G64" cm="1">
        <f t="array" aca="1" ref="G64" ca="1">INDIRECT(ADDRESS($B64,Plots!$H$3,,,Plots!$A$57))+INDIRECT(ADDRESS($B64,Plots!$H$3,,,Plots!$A$58))+INDIRECT(ADDRESS($B64,Plots!$H$3,,,Plots!$A$59))+INDIRECT(ADDRESS($B64,Plots!$H$3,,,Plots!$A$60))+INDIRECT(ADDRESS($B64,Plots!$H$3,,,Plots!$A$61))</f>
        <v>0</v>
      </c>
      <c r="H64" cm="1">
        <f t="array" aca="1" ref="H64" ca="1">INDIRECT(ADDRESS($B64,Plots!$H$3,,,Plots!$A$62))+INDIRECT(ADDRESS($B64,Plots!$H$3,,,Plots!$A$63))+INDIRECT(ADDRESS($B64,Plots!$H$3,,,Plots!$A$64))+INDIRECT(ADDRESS($B64,Plots!$H$3,,,Plots!$A$65))+INDIRECT(ADDRESS($B64,Plots!$H$3,,,Plots!$A$66))+INDIRECT(ADDRESS($B64,Plots!$H$3,,,Plots!$A$67))</f>
        <v>0</v>
      </c>
      <c r="I64">
        <f>'AARnetCBR-CamDTN1_tcpmon_ts_81'!H68+'AARnetCBR-CamDTN1_tcpmon_ts_82'!H68+'AARnetCBR-CamDTN1_tcpmon_ts_83'!H68+'AARnetCBR-CamDTN1_tcpmon_ts_84'!H68+'AARnetCBR-CamDTN1_tcpmon_ts_85'!H68+'AARnetCBR-CamDTN1_tcpmon_ts_86'!H68+'AARnetCBR-CamDTN1_tcpmon_ts_87'!H68+'AARnetCBR-CamDTN1_tcpmon_ts_88'!H68</f>
        <v>0</v>
      </c>
      <c r="L64" cm="1">
        <f t="array" aca="1" ref="L64" ca="1">INDIRECT(ADDRESS($B64,Plots!$H$4,,,Plots!$A$47))</f>
        <v>0</v>
      </c>
      <c r="M64" cm="1">
        <f t="array" aca="1" ref="M64" ca="1">INDIRECT(ADDRESS($B64,Plots!$H$4,,,Plots!$A$48))+INDIRECT(ADDRESS($B64,Plots!$H$4,,,Plots!$A$49))</f>
        <v>0</v>
      </c>
      <c r="N64" cm="1">
        <f t="array" aca="1" ref="N64" ca="1">INDIRECT(ADDRESS($B64,Plots!$H$4,,,Plots!$A$50))+INDIRECT(ADDRESS($B64,Plots!$H$4,,,Plots!$A$51))+INDIRECT(ADDRESS($B64,Plots!$H$4,,,Plots!$A$52))</f>
        <v>0</v>
      </c>
      <c r="O64" cm="1">
        <f t="array" aca="1" ref="O64" ca="1">INDIRECT(ADDRESS($B64,Plots!$H$4,,,Plots!$A$53))+INDIRECT(ADDRESS($B64,Plots!$H$4,,,Plots!$A$54))+INDIRECT(ADDRESS($B64,Plots!$H$4,,,Plots!$A$55))+INDIRECT(ADDRESS($B64,Plots!$H$4,,,Plots!$A$56))</f>
        <v>0</v>
      </c>
      <c r="P64" cm="1">
        <f t="array" aca="1" ref="P64" ca="1">INDIRECT(ADDRESS($B64,Plots!$H$4,,,Plots!$A$57))+INDIRECT(ADDRESS($B64,Plots!$H$4,,,Plots!$A$58))+INDIRECT(ADDRESS($B64,Plots!$H$4,,,Plots!$A$59))+INDIRECT(ADDRESS($B64,Plots!$H$4,,,Plots!$A$60))+INDIRECT(ADDRESS($B64,Plots!$H$4,,,Plots!$A$61))</f>
        <v>0</v>
      </c>
      <c r="Q64" cm="1">
        <f t="array" aca="1" ref="Q64" ca="1">INDIRECT(ADDRESS($B64,Plots!$H$4,,,Plots!$A$62))+INDIRECT(ADDRESS($B64,Plots!$H$4,,,Plots!$A$63))+INDIRECT(ADDRESS($B64,Plots!$H$4,,,Plots!$A$64))+INDIRECT(ADDRESS($B64,Plots!$H$4,,,Plots!$A$65))+INDIRECT(ADDRESS($B64,Plots!$H$4,,,Plots!$A$66))+INDIRECT(ADDRESS($B64,Plots!$H$4,,,Plots!$A$67))</f>
        <v>0</v>
      </c>
    </row>
    <row r="65" spans="1:17">
      <c r="A65">
        <f>'AARnetCBR-CamDTN1_tcpmon_ts_11'!A65</f>
        <v>106</v>
      </c>
      <c r="B65">
        <f t="shared" si="0"/>
        <v>65</v>
      </c>
      <c r="C65" cm="1">
        <f t="array" aca="1" ref="C65" ca="1">INDIRECT(ADDRESS($B65,Plots!$H$3,,,Plots!$A$47))</f>
        <v>25.83</v>
      </c>
      <c r="D65" cm="1">
        <f t="array" aca="1" ref="D65" ca="1">INDIRECT(ADDRESS($B65,Plots!$H$3,,,Plots!$A$48))+INDIRECT(ADDRESS($B65,Plots!$H$3,,,Plots!$A$49))</f>
        <v>56.41</v>
      </c>
      <c r="E65" cm="1">
        <f t="array" aca="1" ref="E65" ca="1">INDIRECT(ADDRESS($B65,Plots!$H$3,,,Plots!$A$50))+INDIRECT(ADDRESS($B65,Plots!$H$3,,,Plots!$A$51))+INDIRECT(ADDRESS($B65,Plots!$H$3,,,Plots!$A$52))</f>
        <v>71.92</v>
      </c>
      <c r="F65" cm="1">
        <f t="array" aca="1" ref="F65" ca="1">INDIRECT(ADDRESS($B65,Plots!$H$3,,,Plots!$A$53))+INDIRECT(ADDRESS($B65,Plots!$H$3,,,Plots!$A$54))+INDIRECT(ADDRESS($B65,Plots!$H$3,,,Plots!$A$55))+INDIRECT(ADDRESS($B65,Plots!$H$3,,,Plots!$A$56))</f>
        <v>87.14</v>
      </c>
      <c r="G65" cm="1">
        <f t="array" aca="1" ref="G65" ca="1">INDIRECT(ADDRESS($B65,Plots!$H$3,,,Plots!$A$57))+INDIRECT(ADDRESS($B65,Plots!$H$3,,,Plots!$A$58))+INDIRECT(ADDRESS($B65,Plots!$H$3,,,Plots!$A$59))+INDIRECT(ADDRESS($B65,Plots!$H$3,,,Plots!$A$60))+INDIRECT(ADDRESS($B65,Plots!$H$3,,,Plots!$A$61))</f>
        <v>0</v>
      </c>
      <c r="H65" cm="1">
        <f t="array" aca="1" ref="H65" ca="1">INDIRECT(ADDRESS($B65,Plots!$H$3,,,Plots!$A$62))+INDIRECT(ADDRESS($B65,Plots!$H$3,,,Plots!$A$63))+INDIRECT(ADDRESS($B65,Plots!$H$3,,,Plots!$A$64))+INDIRECT(ADDRESS($B65,Plots!$H$3,,,Plots!$A$65))+INDIRECT(ADDRESS($B65,Plots!$H$3,,,Plots!$A$66))+INDIRECT(ADDRESS($B65,Plots!$H$3,,,Plots!$A$67))</f>
        <v>0</v>
      </c>
      <c r="I65">
        <f>'AARnetCBR-CamDTN1_tcpmon_ts_81'!H69+'AARnetCBR-CamDTN1_tcpmon_ts_82'!H69+'AARnetCBR-CamDTN1_tcpmon_ts_83'!H69+'AARnetCBR-CamDTN1_tcpmon_ts_84'!H69+'AARnetCBR-CamDTN1_tcpmon_ts_85'!H69+'AARnetCBR-CamDTN1_tcpmon_ts_86'!H69+'AARnetCBR-CamDTN1_tcpmon_ts_87'!H69+'AARnetCBR-CamDTN1_tcpmon_ts_88'!H69</f>
        <v>0</v>
      </c>
      <c r="L65" cm="1">
        <f t="array" aca="1" ref="L65" ca="1">INDIRECT(ADDRESS($B65,Plots!$H$4,,,Plots!$A$47))</f>
        <v>0</v>
      </c>
      <c r="M65" cm="1">
        <f t="array" aca="1" ref="M65" ca="1">INDIRECT(ADDRESS($B65,Plots!$H$4,,,Plots!$A$48))+INDIRECT(ADDRESS($B65,Plots!$H$4,,,Plots!$A$49))</f>
        <v>0</v>
      </c>
      <c r="N65" cm="1">
        <f t="array" aca="1" ref="N65" ca="1">INDIRECT(ADDRESS($B65,Plots!$H$4,,,Plots!$A$50))+INDIRECT(ADDRESS($B65,Plots!$H$4,,,Plots!$A$51))+INDIRECT(ADDRESS($B65,Plots!$H$4,,,Plots!$A$52))</f>
        <v>0</v>
      </c>
      <c r="O65" cm="1">
        <f t="array" aca="1" ref="O65" ca="1">INDIRECT(ADDRESS($B65,Plots!$H$4,,,Plots!$A$53))+INDIRECT(ADDRESS($B65,Plots!$H$4,,,Plots!$A$54))+INDIRECT(ADDRESS($B65,Plots!$H$4,,,Plots!$A$55))+INDIRECT(ADDRESS($B65,Plots!$H$4,,,Plots!$A$56))</f>
        <v>0</v>
      </c>
      <c r="P65" cm="1">
        <f t="array" aca="1" ref="P65" ca="1">INDIRECT(ADDRESS($B65,Plots!$H$4,,,Plots!$A$57))+INDIRECT(ADDRESS($B65,Plots!$H$4,,,Plots!$A$58))+INDIRECT(ADDRESS($B65,Plots!$H$4,,,Plots!$A$59))+INDIRECT(ADDRESS($B65,Plots!$H$4,,,Plots!$A$60))+INDIRECT(ADDRESS($B65,Plots!$H$4,,,Plots!$A$61))</f>
        <v>0</v>
      </c>
      <c r="Q65" cm="1">
        <f t="array" aca="1" ref="Q65" ca="1">INDIRECT(ADDRESS($B65,Plots!$H$4,,,Plots!$A$62))+INDIRECT(ADDRESS($B65,Plots!$H$4,,,Plots!$A$63))+INDIRECT(ADDRESS($B65,Plots!$H$4,,,Plots!$A$64))+INDIRECT(ADDRESS($B65,Plots!$H$4,,,Plots!$A$65))+INDIRECT(ADDRESS($B65,Plots!$H$4,,,Plots!$A$66))+INDIRECT(ADDRESS($B65,Plots!$H$4,,,Plots!$A$67))</f>
        <v>0</v>
      </c>
    </row>
    <row r="66" spans="1:17">
      <c r="A66">
        <f>'AARnetCBR-CamDTN1_tcpmon_ts_11'!A66</f>
        <v>108</v>
      </c>
      <c r="B66">
        <f t="shared" si="0"/>
        <v>66</v>
      </c>
      <c r="C66" cm="1">
        <f t="array" aca="1" ref="C66" ca="1">INDIRECT(ADDRESS($B66,Plots!$H$3,,,Plots!$A$47))</f>
        <v>25.9</v>
      </c>
      <c r="D66" cm="1">
        <f t="array" aca="1" ref="D66" ca="1">INDIRECT(ADDRESS($B66,Plots!$H$3,,,Plots!$A$48))+INDIRECT(ADDRESS($B66,Plots!$H$3,,,Plots!$A$49))</f>
        <v>58.47</v>
      </c>
      <c r="E66" cm="1">
        <f t="array" aca="1" ref="E66" ca="1">INDIRECT(ADDRESS($B66,Plots!$H$3,,,Plots!$A$50))+INDIRECT(ADDRESS($B66,Plots!$H$3,,,Plots!$A$51))+INDIRECT(ADDRESS($B66,Plots!$H$3,,,Plots!$A$52))</f>
        <v>63.05</v>
      </c>
      <c r="F66" cm="1">
        <f t="array" aca="1" ref="F66" ca="1">INDIRECT(ADDRESS($B66,Plots!$H$3,,,Plots!$A$53))+INDIRECT(ADDRESS($B66,Plots!$H$3,,,Plots!$A$54))+INDIRECT(ADDRESS($B66,Plots!$H$3,,,Plots!$A$55))+INDIRECT(ADDRESS($B66,Plots!$H$3,,,Plots!$A$56))</f>
        <v>91.69</v>
      </c>
      <c r="G66" cm="1">
        <f t="array" aca="1" ref="G66" ca="1">INDIRECT(ADDRESS($B66,Plots!$H$3,,,Plots!$A$57))+INDIRECT(ADDRESS($B66,Plots!$H$3,,,Plots!$A$58))+INDIRECT(ADDRESS($B66,Plots!$H$3,,,Plots!$A$59))+INDIRECT(ADDRESS($B66,Plots!$H$3,,,Plots!$A$60))+INDIRECT(ADDRESS($B66,Plots!$H$3,,,Plots!$A$61))</f>
        <v>0</v>
      </c>
      <c r="H66" cm="1">
        <f t="array" aca="1" ref="H66" ca="1">INDIRECT(ADDRESS($B66,Plots!$H$3,,,Plots!$A$62))+INDIRECT(ADDRESS($B66,Plots!$H$3,,,Plots!$A$63))+INDIRECT(ADDRESS($B66,Plots!$H$3,,,Plots!$A$64))+INDIRECT(ADDRESS($B66,Plots!$H$3,,,Plots!$A$65))+INDIRECT(ADDRESS($B66,Plots!$H$3,,,Plots!$A$66))+INDIRECT(ADDRESS($B66,Plots!$H$3,,,Plots!$A$67))</f>
        <v>0</v>
      </c>
      <c r="I66">
        <f>'AARnetCBR-CamDTN1_tcpmon_ts_81'!H70+'AARnetCBR-CamDTN1_tcpmon_ts_82'!H70+'AARnetCBR-CamDTN1_tcpmon_ts_83'!H70+'AARnetCBR-CamDTN1_tcpmon_ts_84'!H70+'AARnetCBR-CamDTN1_tcpmon_ts_85'!H70+'AARnetCBR-CamDTN1_tcpmon_ts_86'!H70+'AARnetCBR-CamDTN1_tcpmon_ts_87'!H70+'AARnetCBR-CamDTN1_tcpmon_ts_88'!H70</f>
        <v>0</v>
      </c>
      <c r="L66" cm="1">
        <f t="array" aca="1" ref="L66" ca="1">INDIRECT(ADDRESS($B66,Plots!$H$4,,,Plots!$A$47))</f>
        <v>0</v>
      </c>
      <c r="M66" cm="1">
        <f t="array" aca="1" ref="M66" ca="1">INDIRECT(ADDRESS($B66,Plots!$H$4,,,Plots!$A$48))+INDIRECT(ADDRESS($B66,Plots!$H$4,,,Plots!$A$49))</f>
        <v>0</v>
      </c>
      <c r="N66" cm="1">
        <f t="array" aca="1" ref="N66" ca="1">INDIRECT(ADDRESS($B66,Plots!$H$4,,,Plots!$A$50))+INDIRECT(ADDRESS($B66,Plots!$H$4,,,Plots!$A$51))+INDIRECT(ADDRESS($B66,Plots!$H$4,,,Plots!$A$52))</f>
        <v>0</v>
      </c>
      <c r="O66" cm="1">
        <f t="array" aca="1" ref="O66" ca="1">INDIRECT(ADDRESS($B66,Plots!$H$4,,,Plots!$A$53))+INDIRECT(ADDRESS($B66,Plots!$H$4,,,Plots!$A$54))+INDIRECT(ADDRESS($B66,Plots!$H$4,,,Plots!$A$55))+INDIRECT(ADDRESS($B66,Plots!$H$4,,,Plots!$A$56))</f>
        <v>0</v>
      </c>
      <c r="P66" cm="1">
        <f t="array" aca="1" ref="P66" ca="1">INDIRECT(ADDRESS($B66,Plots!$H$4,,,Plots!$A$57))+INDIRECT(ADDRESS($B66,Plots!$H$4,,,Plots!$A$58))+INDIRECT(ADDRESS($B66,Plots!$H$4,,,Plots!$A$59))+INDIRECT(ADDRESS($B66,Plots!$H$4,,,Plots!$A$60))+INDIRECT(ADDRESS($B66,Plots!$H$4,,,Plots!$A$61))</f>
        <v>0</v>
      </c>
      <c r="Q66" cm="1">
        <f t="array" aca="1" ref="Q66" ca="1">INDIRECT(ADDRESS($B66,Plots!$H$4,,,Plots!$A$62))+INDIRECT(ADDRESS($B66,Plots!$H$4,,,Plots!$A$63))+INDIRECT(ADDRESS($B66,Plots!$H$4,,,Plots!$A$64))+INDIRECT(ADDRESS($B66,Plots!$H$4,,,Plots!$A$65))+INDIRECT(ADDRESS($B66,Plots!$H$4,,,Plots!$A$66))+INDIRECT(ADDRESS($B66,Plots!$H$4,,,Plots!$A$67))</f>
        <v>0</v>
      </c>
    </row>
    <row r="67" spans="1:17">
      <c r="A67">
        <f>'AARnetCBR-CamDTN1_tcpmon_ts_11'!A67</f>
        <v>110</v>
      </c>
      <c r="B67">
        <f t="shared" si="0"/>
        <v>67</v>
      </c>
      <c r="C67" cm="1">
        <f t="array" aca="1" ref="C67" ca="1">INDIRECT(ADDRESS($B67,Plots!$H$3,,,Plots!$A$47))</f>
        <v>25.98</v>
      </c>
      <c r="D67" cm="1">
        <f t="array" aca="1" ref="D67" ca="1">INDIRECT(ADDRESS($B67,Plots!$H$3,,,Plots!$A$48))+INDIRECT(ADDRESS($B67,Plots!$H$3,,,Plots!$A$49))</f>
        <v>54.68</v>
      </c>
      <c r="E67" cm="1">
        <f t="array" aca="1" ref="E67" ca="1">INDIRECT(ADDRESS($B67,Plots!$H$3,,,Plots!$A$50))+INDIRECT(ADDRESS($B67,Plots!$H$3,,,Plots!$A$51))+INDIRECT(ADDRESS($B67,Plots!$H$3,,,Plots!$A$52))</f>
        <v>72.92</v>
      </c>
      <c r="F67" cm="1">
        <f t="array" aca="1" ref="F67" ca="1">INDIRECT(ADDRESS($B67,Plots!$H$3,,,Plots!$A$53))+INDIRECT(ADDRESS($B67,Plots!$H$3,,,Plots!$A$54))+INDIRECT(ADDRESS($B67,Plots!$H$3,,,Plots!$A$55))+INDIRECT(ADDRESS($B67,Plots!$H$3,,,Plots!$A$56))</f>
        <v>87.61999999999999</v>
      </c>
      <c r="G67" cm="1">
        <f t="array" aca="1" ref="G67" ca="1">INDIRECT(ADDRESS($B67,Plots!$H$3,,,Plots!$A$57))+INDIRECT(ADDRESS($B67,Plots!$H$3,,,Plots!$A$58))+INDIRECT(ADDRESS($B67,Plots!$H$3,,,Plots!$A$59))+INDIRECT(ADDRESS($B67,Plots!$H$3,,,Plots!$A$60))+INDIRECT(ADDRESS($B67,Plots!$H$3,,,Plots!$A$61))</f>
        <v>0</v>
      </c>
      <c r="H67" cm="1">
        <f t="array" aca="1" ref="H67" ca="1">INDIRECT(ADDRESS($B67,Plots!$H$3,,,Plots!$A$62))+INDIRECT(ADDRESS($B67,Plots!$H$3,,,Plots!$A$63))+INDIRECT(ADDRESS($B67,Plots!$H$3,,,Plots!$A$64))+INDIRECT(ADDRESS($B67,Plots!$H$3,,,Plots!$A$65))+INDIRECT(ADDRESS($B67,Plots!$H$3,,,Plots!$A$66))+INDIRECT(ADDRESS($B67,Plots!$H$3,,,Plots!$A$67))</f>
        <v>0</v>
      </c>
      <c r="I67">
        <f>'AARnetCBR-CamDTN1_tcpmon_ts_81'!H71+'AARnetCBR-CamDTN1_tcpmon_ts_82'!H71+'AARnetCBR-CamDTN1_tcpmon_ts_83'!H71+'AARnetCBR-CamDTN1_tcpmon_ts_84'!H71+'AARnetCBR-CamDTN1_tcpmon_ts_85'!H71+'AARnetCBR-CamDTN1_tcpmon_ts_86'!H71+'AARnetCBR-CamDTN1_tcpmon_ts_87'!H71+'AARnetCBR-CamDTN1_tcpmon_ts_88'!H71</f>
        <v>0</v>
      </c>
      <c r="L67" cm="1">
        <f t="array" aca="1" ref="L67" ca="1">INDIRECT(ADDRESS($B67,Plots!$H$4,,,Plots!$A$47))</f>
        <v>0</v>
      </c>
      <c r="M67" cm="1">
        <f t="array" aca="1" ref="M67" ca="1">INDIRECT(ADDRESS($B67,Plots!$H$4,,,Plots!$A$48))+INDIRECT(ADDRESS($B67,Plots!$H$4,,,Plots!$A$49))</f>
        <v>0</v>
      </c>
      <c r="N67" cm="1">
        <f t="array" aca="1" ref="N67" ca="1">INDIRECT(ADDRESS($B67,Plots!$H$4,,,Plots!$A$50))+INDIRECT(ADDRESS($B67,Plots!$H$4,,,Plots!$A$51))+INDIRECT(ADDRESS($B67,Plots!$H$4,,,Plots!$A$52))</f>
        <v>0</v>
      </c>
      <c r="O67" cm="1">
        <f t="array" aca="1" ref="O67" ca="1">INDIRECT(ADDRESS($B67,Plots!$H$4,,,Plots!$A$53))+INDIRECT(ADDRESS($B67,Plots!$H$4,,,Plots!$A$54))+INDIRECT(ADDRESS($B67,Plots!$H$4,,,Plots!$A$55))+INDIRECT(ADDRESS($B67,Plots!$H$4,,,Plots!$A$56))</f>
        <v>0</v>
      </c>
      <c r="P67" cm="1">
        <f t="array" aca="1" ref="P67" ca="1">INDIRECT(ADDRESS($B67,Plots!$H$4,,,Plots!$A$57))+INDIRECT(ADDRESS($B67,Plots!$H$4,,,Plots!$A$58))+INDIRECT(ADDRESS($B67,Plots!$H$4,,,Plots!$A$59))+INDIRECT(ADDRESS($B67,Plots!$H$4,,,Plots!$A$60))+INDIRECT(ADDRESS($B67,Plots!$H$4,,,Plots!$A$61))</f>
        <v>0</v>
      </c>
      <c r="Q67" cm="1">
        <f t="array" aca="1" ref="Q67" ca="1">INDIRECT(ADDRESS($B67,Plots!$H$4,,,Plots!$A$62))+INDIRECT(ADDRESS($B67,Plots!$H$4,,,Plots!$A$63))+INDIRECT(ADDRESS($B67,Plots!$H$4,,,Plots!$A$64))+INDIRECT(ADDRESS($B67,Plots!$H$4,,,Plots!$A$65))+INDIRECT(ADDRESS($B67,Plots!$H$4,,,Plots!$A$66))+INDIRECT(ADDRESS($B67,Plots!$H$4,,,Plots!$A$67))</f>
        <v>0</v>
      </c>
    </row>
    <row r="68" spans="1:17">
      <c r="A68">
        <f>'AARnetCBR-CamDTN1_tcpmon_ts_11'!A68</f>
        <v>112</v>
      </c>
      <c r="B68">
        <f t="shared" si="0"/>
        <v>68</v>
      </c>
      <c r="C68" cm="1">
        <f t="array" aca="1" ref="C68" ca="1">INDIRECT(ADDRESS($B68,Plots!$H$3,,,Plots!$A$47))</f>
        <v>25.97</v>
      </c>
      <c r="D68" cm="1">
        <f t="array" aca="1" ref="D68" ca="1">INDIRECT(ADDRESS($B68,Plots!$H$3,,,Plots!$A$48))+INDIRECT(ADDRESS($B68,Plots!$H$3,,,Plots!$A$49))</f>
        <v>56.620000000000005</v>
      </c>
      <c r="E68" cm="1">
        <f t="array" aca="1" ref="E68" ca="1">INDIRECT(ADDRESS($B68,Plots!$H$3,,,Plots!$A$50))+INDIRECT(ADDRESS($B68,Plots!$H$3,,,Plots!$A$51))+INDIRECT(ADDRESS($B68,Plots!$H$3,,,Plots!$A$52))</f>
        <v>61.230000000000004</v>
      </c>
      <c r="F68" cm="1">
        <f t="array" aca="1" ref="F68" ca="1">INDIRECT(ADDRESS($B68,Plots!$H$3,,,Plots!$A$53))+INDIRECT(ADDRESS($B68,Plots!$H$3,,,Plots!$A$54))+INDIRECT(ADDRESS($B68,Plots!$H$3,,,Plots!$A$55))+INDIRECT(ADDRESS($B68,Plots!$H$3,,,Plots!$A$56))</f>
        <v>89.3</v>
      </c>
      <c r="G68" cm="1">
        <f t="array" aca="1" ref="G68" ca="1">INDIRECT(ADDRESS($B68,Plots!$H$3,,,Plots!$A$57))+INDIRECT(ADDRESS($B68,Plots!$H$3,,,Plots!$A$58))+INDIRECT(ADDRESS($B68,Plots!$H$3,,,Plots!$A$59))+INDIRECT(ADDRESS($B68,Plots!$H$3,,,Plots!$A$60))+INDIRECT(ADDRESS($B68,Plots!$H$3,,,Plots!$A$61))</f>
        <v>0</v>
      </c>
      <c r="H68" cm="1">
        <f t="array" aca="1" ref="H68" ca="1">INDIRECT(ADDRESS($B68,Plots!$H$3,,,Plots!$A$62))+INDIRECT(ADDRESS($B68,Plots!$H$3,,,Plots!$A$63))+INDIRECT(ADDRESS($B68,Plots!$H$3,,,Plots!$A$64))+INDIRECT(ADDRESS($B68,Plots!$H$3,,,Plots!$A$65))+INDIRECT(ADDRESS($B68,Plots!$H$3,,,Plots!$A$66))+INDIRECT(ADDRESS($B68,Plots!$H$3,,,Plots!$A$67))</f>
        <v>0</v>
      </c>
      <c r="I68">
        <f>'AARnetCBR-CamDTN1_tcpmon_ts_81'!H72+'AARnetCBR-CamDTN1_tcpmon_ts_82'!H72+'AARnetCBR-CamDTN1_tcpmon_ts_83'!H72+'AARnetCBR-CamDTN1_tcpmon_ts_84'!H72+'AARnetCBR-CamDTN1_tcpmon_ts_85'!H72+'AARnetCBR-CamDTN1_tcpmon_ts_86'!H72+'AARnetCBR-CamDTN1_tcpmon_ts_87'!H72+'AARnetCBR-CamDTN1_tcpmon_ts_88'!H72</f>
        <v>0</v>
      </c>
      <c r="L68" cm="1">
        <f t="array" aca="1" ref="L68" ca="1">INDIRECT(ADDRESS($B68,Plots!$H$4,,,Plots!$A$47))</f>
        <v>0</v>
      </c>
      <c r="M68" cm="1">
        <f t="array" aca="1" ref="M68" ca="1">INDIRECT(ADDRESS($B68,Plots!$H$4,,,Plots!$A$48))+INDIRECT(ADDRESS($B68,Plots!$H$4,,,Plots!$A$49))</f>
        <v>0</v>
      </c>
      <c r="N68" cm="1">
        <f t="array" aca="1" ref="N68" ca="1">INDIRECT(ADDRESS($B68,Plots!$H$4,,,Plots!$A$50))+INDIRECT(ADDRESS($B68,Plots!$H$4,,,Plots!$A$51))+INDIRECT(ADDRESS($B68,Plots!$H$4,,,Plots!$A$52))</f>
        <v>0</v>
      </c>
      <c r="O68" cm="1">
        <f t="array" aca="1" ref="O68" ca="1">INDIRECT(ADDRESS($B68,Plots!$H$4,,,Plots!$A$53))+INDIRECT(ADDRESS($B68,Plots!$H$4,,,Plots!$A$54))+INDIRECT(ADDRESS($B68,Plots!$H$4,,,Plots!$A$55))+INDIRECT(ADDRESS($B68,Plots!$H$4,,,Plots!$A$56))</f>
        <v>0</v>
      </c>
      <c r="P68" cm="1">
        <f t="array" aca="1" ref="P68" ca="1">INDIRECT(ADDRESS($B68,Plots!$H$4,,,Plots!$A$57))+INDIRECT(ADDRESS($B68,Plots!$H$4,,,Plots!$A$58))+INDIRECT(ADDRESS($B68,Plots!$H$4,,,Plots!$A$59))+INDIRECT(ADDRESS($B68,Plots!$H$4,,,Plots!$A$60))+INDIRECT(ADDRESS($B68,Plots!$H$4,,,Plots!$A$61))</f>
        <v>0</v>
      </c>
      <c r="Q68" cm="1">
        <f t="array" aca="1" ref="Q68" ca="1">INDIRECT(ADDRESS($B68,Plots!$H$4,,,Plots!$A$62))+INDIRECT(ADDRESS($B68,Plots!$H$4,,,Plots!$A$63))+INDIRECT(ADDRESS($B68,Plots!$H$4,,,Plots!$A$64))+INDIRECT(ADDRESS($B68,Plots!$H$4,,,Plots!$A$65))+INDIRECT(ADDRESS($B68,Plots!$H$4,,,Plots!$A$66))+INDIRECT(ADDRESS($B68,Plots!$H$4,,,Plots!$A$67))</f>
        <v>0</v>
      </c>
    </row>
    <row r="69" spans="1:17">
      <c r="A69">
        <f>'AARnetCBR-CamDTN1_tcpmon_ts_11'!A69</f>
        <v>114</v>
      </c>
      <c r="B69">
        <f t="shared" si="0"/>
        <v>69</v>
      </c>
      <c r="C69" cm="1">
        <f t="array" aca="1" ref="C69" ca="1">INDIRECT(ADDRESS($B69,Plots!$H$3,,,Plots!$A$47))</f>
        <v>26.11</v>
      </c>
      <c r="D69" cm="1">
        <f t="array" aca="1" ref="D69" ca="1">INDIRECT(ADDRESS($B69,Plots!$H$3,,,Plots!$A$48))+INDIRECT(ADDRESS($B69,Plots!$H$3,,,Plots!$A$49))</f>
        <v>58.519999999999996</v>
      </c>
      <c r="E69" cm="1">
        <f t="array" aca="1" ref="E69" ca="1">INDIRECT(ADDRESS($B69,Plots!$H$3,,,Plots!$A$50))+INDIRECT(ADDRESS($B69,Plots!$H$3,,,Plots!$A$51))+INDIRECT(ADDRESS($B69,Plots!$H$3,,,Plots!$A$52))</f>
        <v>74.19</v>
      </c>
      <c r="F69" cm="1">
        <f t="array" aca="1" ref="F69" ca="1">INDIRECT(ADDRESS($B69,Plots!$H$3,,,Plots!$A$53))+INDIRECT(ADDRESS($B69,Plots!$H$3,,,Plots!$A$54))+INDIRECT(ADDRESS($B69,Plots!$H$3,,,Plots!$A$55))+INDIRECT(ADDRESS($B69,Plots!$H$3,,,Plots!$A$56))</f>
        <v>92.039999999999992</v>
      </c>
      <c r="G69" cm="1">
        <f t="array" aca="1" ref="G69" ca="1">INDIRECT(ADDRESS($B69,Plots!$H$3,,,Plots!$A$57))+INDIRECT(ADDRESS($B69,Plots!$H$3,,,Plots!$A$58))+INDIRECT(ADDRESS($B69,Plots!$H$3,,,Plots!$A$59))+INDIRECT(ADDRESS($B69,Plots!$H$3,,,Plots!$A$60))+INDIRECT(ADDRESS($B69,Plots!$H$3,,,Plots!$A$61))</f>
        <v>0</v>
      </c>
      <c r="H69" cm="1">
        <f t="array" aca="1" ref="H69" ca="1">INDIRECT(ADDRESS($B69,Plots!$H$3,,,Plots!$A$62))+INDIRECT(ADDRESS($B69,Plots!$H$3,,,Plots!$A$63))+INDIRECT(ADDRESS($B69,Plots!$H$3,,,Plots!$A$64))+INDIRECT(ADDRESS($B69,Plots!$H$3,,,Plots!$A$65))+INDIRECT(ADDRESS($B69,Plots!$H$3,,,Plots!$A$66))+INDIRECT(ADDRESS($B69,Plots!$H$3,,,Plots!$A$67))</f>
        <v>0</v>
      </c>
      <c r="I69">
        <f>'AARnetCBR-CamDTN1_tcpmon_ts_81'!H73+'AARnetCBR-CamDTN1_tcpmon_ts_82'!H73+'AARnetCBR-CamDTN1_tcpmon_ts_83'!H73+'AARnetCBR-CamDTN1_tcpmon_ts_84'!H73+'AARnetCBR-CamDTN1_tcpmon_ts_85'!H73+'AARnetCBR-CamDTN1_tcpmon_ts_86'!H73+'AARnetCBR-CamDTN1_tcpmon_ts_87'!H73+'AARnetCBR-CamDTN1_tcpmon_ts_88'!H73</f>
        <v>0</v>
      </c>
      <c r="L69" cm="1">
        <f t="array" aca="1" ref="L69" ca="1">INDIRECT(ADDRESS($B69,Plots!$H$4,,,Plots!$A$47))</f>
        <v>0</v>
      </c>
      <c r="M69" cm="1">
        <f t="array" aca="1" ref="M69" ca="1">INDIRECT(ADDRESS($B69,Plots!$H$4,,,Plots!$A$48))+INDIRECT(ADDRESS($B69,Plots!$H$4,,,Plots!$A$49))</f>
        <v>0</v>
      </c>
      <c r="N69" cm="1">
        <f t="array" aca="1" ref="N69" ca="1">INDIRECT(ADDRESS($B69,Plots!$H$4,,,Plots!$A$50))+INDIRECT(ADDRESS($B69,Plots!$H$4,,,Plots!$A$51))+INDIRECT(ADDRESS($B69,Plots!$H$4,,,Plots!$A$52))</f>
        <v>0</v>
      </c>
      <c r="O69" cm="1">
        <f t="array" aca="1" ref="O69" ca="1">INDIRECT(ADDRESS($B69,Plots!$H$4,,,Plots!$A$53))+INDIRECT(ADDRESS($B69,Plots!$H$4,,,Plots!$A$54))+INDIRECT(ADDRESS($B69,Plots!$H$4,,,Plots!$A$55))+INDIRECT(ADDRESS($B69,Plots!$H$4,,,Plots!$A$56))</f>
        <v>0</v>
      </c>
      <c r="P69" cm="1">
        <f t="array" aca="1" ref="P69" ca="1">INDIRECT(ADDRESS($B69,Plots!$H$4,,,Plots!$A$57))+INDIRECT(ADDRESS($B69,Plots!$H$4,,,Plots!$A$58))+INDIRECT(ADDRESS($B69,Plots!$H$4,,,Plots!$A$59))+INDIRECT(ADDRESS($B69,Plots!$H$4,,,Plots!$A$60))+INDIRECT(ADDRESS($B69,Plots!$H$4,,,Plots!$A$61))</f>
        <v>0</v>
      </c>
      <c r="Q69" cm="1">
        <f t="array" aca="1" ref="Q69" ca="1">INDIRECT(ADDRESS($B69,Plots!$H$4,,,Plots!$A$62))+INDIRECT(ADDRESS($B69,Plots!$H$4,,,Plots!$A$63))+INDIRECT(ADDRESS($B69,Plots!$H$4,,,Plots!$A$64))+INDIRECT(ADDRESS($B69,Plots!$H$4,,,Plots!$A$65))+INDIRECT(ADDRESS($B69,Plots!$H$4,,,Plots!$A$66))+INDIRECT(ADDRESS($B69,Plots!$H$4,,,Plots!$A$67))</f>
        <v>0</v>
      </c>
    </row>
    <row r="70" spans="1:17">
      <c r="A70">
        <f>'AARnetCBR-CamDTN1_tcpmon_ts_11'!A70</f>
        <v>116</v>
      </c>
      <c r="B70">
        <f t="shared" si="0"/>
        <v>70</v>
      </c>
      <c r="C70" cm="1">
        <f t="array" aca="1" ref="C70" ca="1">INDIRECT(ADDRESS($B70,Plots!$H$3,,,Plots!$A$47))</f>
        <v>27.6</v>
      </c>
      <c r="D70" cm="1">
        <f t="array" aca="1" ref="D70" ca="1">INDIRECT(ADDRESS($B70,Plots!$H$3,,,Plots!$A$48))+INDIRECT(ADDRESS($B70,Plots!$H$3,,,Plots!$A$49))</f>
        <v>59.41</v>
      </c>
      <c r="E70" cm="1">
        <f t="array" aca="1" ref="E70" ca="1">INDIRECT(ADDRESS($B70,Plots!$H$3,,,Plots!$A$50))+INDIRECT(ADDRESS($B70,Plots!$H$3,,,Plots!$A$51))+INDIRECT(ADDRESS($B70,Plots!$H$3,,,Plots!$A$52))</f>
        <v>60.67</v>
      </c>
      <c r="F70" cm="1">
        <f t="array" aca="1" ref="F70" ca="1">INDIRECT(ADDRESS($B70,Plots!$H$3,,,Plots!$A$53))+INDIRECT(ADDRESS($B70,Plots!$H$3,,,Plots!$A$54))+INDIRECT(ADDRESS($B70,Plots!$H$3,,,Plots!$A$55))+INDIRECT(ADDRESS($B70,Plots!$H$3,,,Plots!$A$56))</f>
        <v>92.92</v>
      </c>
      <c r="G70" cm="1">
        <f t="array" aca="1" ref="G70" ca="1">INDIRECT(ADDRESS($B70,Plots!$H$3,,,Plots!$A$57))+INDIRECT(ADDRESS($B70,Plots!$H$3,,,Plots!$A$58))+INDIRECT(ADDRESS($B70,Plots!$H$3,,,Plots!$A$59))+INDIRECT(ADDRESS($B70,Plots!$H$3,,,Plots!$A$60))+INDIRECT(ADDRESS($B70,Plots!$H$3,,,Plots!$A$61))</f>
        <v>0</v>
      </c>
      <c r="H70" cm="1">
        <f t="array" aca="1" ref="H70" ca="1">INDIRECT(ADDRESS($B70,Plots!$H$3,,,Plots!$A$62))+INDIRECT(ADDRESS($B70,Plots!$H$3,,,Plots!$A$63))+INDIRECT(ADDRESS($B70,Plots!$H$3,,,Plots!$A$64))+INDIRECT(ADDRESS($B70,Plots!$H$3,,,Plots!$A$65))+INDIRECT(ADDRESS($B70,Plots!$H$3,,,Plots!$A$66))+INDIRECT(ADDRESS($B70,Plots!$H$3,,,Plots!$A$67))</f>
        <v>0</v>
      </c>
      <c r="I70">
        <f>'AARnetCBR-CamDTN1_tcpmon_ts_81'!H74+'AARnetCBR-CamDTN1_tcpmon_ts_82'!H74+'AARnetCBR-CamDTN1_tcpmon_ts_83'!H74+'AARnetCBR-CamDTN1_tcpmon_ts_84'!H74+'AARnetCBR-CamDTN1_tcpmon_ts_85'!H74+'AARnetCBR-CamDTN1_tcpmon_ts_86'!H74+'AARnetCBR-CamDTN1_tcpmon_ts_87'!H74+'AARnetCBR-CamDTN1_tcpmon_ts_88'!H74</f>
        <v>0</v>
      </c>
      <c r="L70" cm="1">
        <f t="array" aca="1" ref="L70" ca="1">INDIRECT(ADDRESS($B70,Plots!$H$4,,,Plots!$A$47))</f>
        <v>0</v>
      </c>
      <c r="M70" cm="1">
        <f t="array" aca="1" ref="M70" ca="1">INDIRECT(ADDRESS($B70,Plots!$H$4,,,Plots!$A$48))+INDIRECT(ADDRESS($B70,Plots!$H$4,,,Plots!$A$49))</f>
        <v>0</v>
      </c>
      <c r="N70" cm="1">
        <f t="array" aca="1" ref="N70" ca="1">INDIRECT(ADDRESS($B70,Plots!$H$4,,,Plots!$A$50))+INDIRECT(ADDRESS($B70,Plots!$H$4,,,Plots!$A$51))+INDIRECT(ADDRESS($B70,Plots!$H$4,,,Plots!$A$52))</f>
        <v>0</v>
      </c>
      <c r="O70" cm="1">
        <f t="array" aca="1" ref="O70" ca="1">INDIRECT(ADDRESS($B70,Plots!$H$4,,,Plots!$A$53))+INDIRECT(ADDRESS($B70,Plots!$H$4,,,Plots!$A$54))+INDIRECT(ADDRESS($B70,Plots!$H$4,,,Plots!$A$55))+INDIRECT(ADDRESS($B70,Plots!$H$4,,,Plots!$A$56))</f>
        <v>0</v>
      </c>
      <c r="P70" cm="1">
        <f t="array" aca="1" ref="P70" ca="1">INDIRECT(ADDRESS($B70,Plots!$H$4,,,Plots!$A$57))+INDIRECT(ADDRESS($B70,Plots!$H$4,,,Plots!$A$58))+INDIRECT(ADDRESS($B70,Plots!$H$4,,,Plots!$A$59))+INDIRECT(ADDRESS($B70,Plots!$H$4,,,Plots!$A$60))+INDIRECT(ADDRESS($B70,Plots!$H$4,,,Plots!$A$61))</f>
        <v>0</v>
      </c>
      <c r="Q70" cm="1">
        <f t="array" aca="1" ref="Q70" ca="1">INDIRECT(ADDRESS($B70,Plots!$H$4,,,Plots!$A$62))+INDIRECT(ADDRESS($B70,Plots!$H$4,,,Plots!$A$63))+INDIRECT(ADDRESS($B70,Plots!$H$4,,,Plots!$A$64))+INDIRECT(ADDRESS($B70,Plots!$H$4,,,Plots!$A$65))+INDIRECT(ADDRESS($B70,Plots!$H$4,,,Plots!$A$66))+INDIRECT(ADDRESS($B70,Plots!$H$4,,,Plots!$A$67))</f>
        <v>0</v>
      </c>
    </row>
    <row r="71" spans="1:17">
      <c r="A71">
        <f>'AARnetCBR-CamDTN1_tcpmon_ts_11'!A71</f>
        <v>118</v>
      </c>
      <c r="B71">
        <f t="shared" si="0"/>
        <v>71</v>
      </c>
      <c r="C71" cm="1">
        <f t="array" aca="1" ref="C71" ca="1">INDIRECT(ADDRESS($B71,Plots!$H$3,,,Plots!$A$47))</f>
        <v>25.96</v>
      </c>
      <c r="D71" cm="1">
        <f t="array" aca="1" ref="D71" ca="1">INDIRECT(ADDRESS($B71,Plots!$H$3,,,Plots!$A$48))+INDIRECT(ADDRESS($B71,Plots!$H$3,,,Plots!$A$49))</f>
        <v>55.3</v>
      </c>
      <c r="E71" cm="1">
        <f t="array" aca="1" ref="E71" ca="1">INDIRECT(ADDRESS($B71,Plots!$H$3,,,Plots!$A$50))+INDIRECT(ADDRESS($B71,Plots!$H$3,,,Plots!$A$51))+INDIRECT(ADDRESS($B71,Plots!$H$3,,,Plots!$A$52))</f>
        <v>74.789999999999992</v>
      </c>
      <c r="F71" cm="1">
        <f t="array" aca="1" ref="F71" ca="1">INDIRECT(ADDRESS($B71,Plots!$H$3,,,Plots!$A$53))+INDIRECT(ADDRESS($B71,Plots!$H$3,,,Plots!$A$54))+INDIRECT(ADDRESS($B71,Plots!$H$3,,,Plots!$A$55))+INDIRECT(ADDRESS($B71,Plots!$H$3,,,Plots!$A$56))</f>
        <v>84.03</v>
      </c>
      <c r="G71" cm="1">
        <f t="array" aca="1" ref="G71" ca="1">INDIRECT(ADDRESS($B71,Plots!$H$3,,,Plots!$A$57))+INDIRECT(ADDRESS($B71,Plots!$H$3,,,Plots!$A$58))+INDIRECT(ADDRESS($B71,Plots!$H$3,,,Plots!$A$59))+INDIRECT(ADDRESS($B71,Plots!$H$3,,,Plots!$A$60))+INDIRECT(ADDRESS($B71,Plots!$H$3,,,Plots!$A$61))</f>
        <v>0</v>
      </c>
      <c r="H71" cm="1">
        <f t="array" aca="1" ref="H71" ca="1">INDIRECT(ADDRESS($B71,Plots!$H$3,,,Plots!$A$62))+INDIRECT(ADDRESS($B71,Plots!$H$3,,,Plots!$A$63))+INDIRECT(ADDRESS($B71,Plots!$H$3,,,Plots!$A$64))+INDIRECT(ADDRESS($B71,Plots!$H$3,,,Plots!$A$65))+INDIRECT(ADDRESS($B71,Plots!$H$3,,,Plots!$A$66))+INDIRECT(ADDRESS($B71,Plots!$H$3,,,Plots!$A$67))</f>
        <v>0</v>
      </c>
      <c r="I71">
        <f>'AARnetCBR-CamDTN1_tcpmon_ts_81'!H75+'AARnetCBR-CamDTN1_tcpmon_ts_82'!H75+'AARnetCBR-CamDTN1_tcpmon_ts_83'!H75+'AARnetCBR-CamDTN1_tcpmon_ts_84'!H75+'AARnetCBR-CamDTN1_tcpmon_ts_85'!H75+'AARnetCBR-CamDTN1_tcpmon_ts_86'!H75+'AARnetCBR-CamDTN1_tcpmon_ts_87'!H75+'AARnetCBR-CamDTN1_tcpmon_ts_88'!H75</f>
        <v>0</v>
      </c>
      <c r="L71" cm="1">
        <f t="array" aca="1" ref="L71" ca="1">INDIRECT(ADDRESS($B71,Plots!$H$4,,,Plots!$A$47))</f>
        <v>0</v>
      </c>
      <c r="M71" cm="1">
        <f t="array" aca="1" ref="M71" ca="1">INDIRECT(ADDRESS($B71,Plots!$H$4,,,Plots!$A$48))+INDIRECT(ADDRESS($B71,Plots!$H$4,,,Plots!$A$49))</f>
        <v>0</v>
      </c>
      <c r="N71" cm="1">
        <f t="array" aca="1" ref="N71" ca="1">INDIRECT(ADDRESS($B71,Plots!$H$4,,,Plots!$A$50))+INDIRECT(ADDRESS($B71,Plots!$H$4,,,Plots!$A$51))+INDIRECT(ADDRESS($B71,Plots!$H$4,,,Plots!$A$52))</f>
        <v>0</v>
      </c>
      <c r="O71" cm="1">
        <f t="array" aca="1" ref="O71" ca="1">INDIRECT(ADDRESS($B71,Plots!$H$4,,,Plots!$A$53))+INDIRECT(ADDRESS($B71,Plots!$H$4,,,Plots!$A$54))+INDIRECT(ADDRESS($B71,Plots!$H$4,,,Plots!$A$55))+INDIRECT(ADDRESS($B71,Plots!$H$4,,,Plots!$A$56))</f>
        <v>0</v>
      </c>
      <c r="P71" cm="1">
        <f t="array" aca="1" ref="P71" ca="1">INDIRECT(ADDRESS($B71,Plots!$H$4,,,Plots!$A$57))+INDIRECT(ADDRESS($B71,Plots!$H$4,,,Plots!$A$58))+INDIRECT(ADDRESS($B71,Plots!$H$4,,,Plots!$A$59))+INDIRECT(ADDRESS($B71,Plots!$H$4,,,Plots!$A$60))+INDIRECT(ADDRESS($B71,Plots!$H$4,,,Plots!$A$61))</f>
        <v>0</v>
      </c>
      <c r="Q71" cm="1">
        <f t="array" aca="1" ref="Q71" ca="1">INDIRECT(ADDRESS($B71,Plots!$H$4,,,Plots!$A$62))+INDIRECT(ADDRESS($B71,Plots!$H$4,,,Plots!$A$63))+INDIRECT(ADDRESS($B71,Plots!$H$4,,,Plots!$A$64))+INDIRECT(ADDRESS($B71,Plots!$H$4,,,Plots!$A$65))+INDIRECT(ADDRESS($B71,Plots!$H$4,,,Plots!$A$66))+INDIRECT(ADDRESS($B71,Plots!$H$4,,,Plots!$A$67))</f>
        <v>0</v>
      </c>
    </row>
    <row r="72" spans="1:17">
      <c r="A72">
        <f>'AARnetCBR-CamDTN1_tcpmon_ts_11'!A72</f>
        <v>120</v>
      </c>
      <c r="B72">
        <f t="shared" si="0"/>
        <v>72</v>
      </c>
      <c r="C72" cm="1">
        <f t="array" aca="1" ref="C72" ca="1">INDIRECT(ADDRESS($B72,Plots!$H$3,,,Plots!$A$47))</f>
        <v>25.03</v>
      </c>
      <c r="D72" cm="1">
        <f t="array" aca="1" ref="D72" ca="1">INDIRECT(ADDRESS($B72,Plots!$H$3,,,Plots!$A$48))+INDIRECT(ADDRESS($B72,Plots!$H$3,,,Plots!$A$49))</f>
        <v>58.06</v>
      </c>
      <c r="E72" cm="1">
        <f t="array" aca="1" ref="E72" ca="1">INDIRECT(ADDRESS($B72,Plots!$H$3,,,Plots!$A$50))+INDIRECT(ADDRESS($B72,Plots!$H$3,,,Plots!$A$51))+INDIRECT(ADDRESS($B72,Plots!$H$3,,,Plots!$A$52))</f>
        <v>60.2</v>
      </c>
      <c r="F72" cm="1">
        <f t="array" aca="1" ref="F72" ca="1">INDIRECT(ADDRESS($B72,Plots!$H$3,,,Plots!$A$53))+INDIRECT(ADDRESS($B72,Plots!$H$3,,,Plots!$A$54))+INDIRECT(ADDRESS($B72,Plots!$H$3,,,Plots!$A$55))+INDIRECT(ADDRESS($B72,Plots!$H$3,,,Plots!$A$56))</f>
        <v>98.03</v>
      </c>
      <c r="G72" cm="1">
        <f t="array" aca="1" ref="G72" ca="1">INDIRECT(ADDRESS($B72,Plots!$H$3,,,Plots!$A$57))+INDIRECT(ADDRESS($B72,Plots!$H$3,,,Plots!$A$58))+INDIRECT(ADDRESS($B72,Plots!$H$3,,,Plots!$A$59))+INDIRECT(ADDRESS($B72,Plots!$H$3,,,Plots!$A$60))+INDIRECT(ADDRESS($B72,Plots!$H$3,,,Plots!$A$61))</f>
        <v>0</v>
      </c>
      <c r="H72" cm="1">
        <f t="array" aca="1" ref="H72" ca="1">INDIRECT(ADDRESS($B72,Plots!$H$3,,,Plots!$A$62))+INDIRECT(ADDRESS($B72,Plots!$H$3,,,Plots!$A$63))+INDIRECT(ADDRESS($B72,Plots!$H$3,,,Plots!$A$64))+INDIRECT(ADDRESS($B72,Plots!$H$3,,,Plots!$A$65))+INDIRECT(ADDRESS($B72,Plots!$H$3,,,Plots!$A$66))+INDIRECT(ADDRESS($B72,Plots!$H$3,,,Plots!$A$67))</f>
        <v>0</v>
      </c>
      <c r="I72">
        <f>'AARnetCBR-CamDTN1_tcpmon_ts_81'!H76+'AARnetCBR-CamDTN1_tcpmon_ts_82'!H76+'AARnetCBR-CamDTN1_tcpmon_ts_83'!H76+'AARnetCBR-CamDTN1_tcpmon_ts_84'!H76+'AARnetCBR-CamDTN1_tcpmon_ts_85'!H76+'AARnetCBR-CamDTN1_tcpmon_ts_86'!H76+'AARnetCBR-CamDTN1_tcpmon_ts_87'!H76+'AARnetCBR-CamDTN1_tcpmon_ts_88'!H76</f>
        <v>0</v>
      </c>
      <c r="L72" cm="1">
        <f t="array" aca="1" ref="L72" ca="1">INDIRECT(ADDRESS($B72,Plots!$H$4,,,Plots!$A$47))</f>
        <v>0</v>
      </c>
      <c r="M72" cm="1">
        <f t="array" aca="1" ref="M72" ca="1">INDIRECT(ADDRESS($B72,Plots!$H$4,,,Plots!$A$48))+INDIRECT(ADDRESS($B72,Plots!$H$4,,,Plots!$A$49))</f>
        <v>0</v>
      </c>
      <c r="N72" cm="1">
        <f t="array" aca="1" ref="N72" ca="1">INDIRECT(ADDRESS($B72,Plots!$H$4,,,Plots!$A$50))+INDIRECT(ADDRESS($B72,Plots!$H$4,,,Plots!$A$51))+INDIRECT(ADDRESS($B72,Plots!$H$4,,,Plots!$A$52))</f>
        <v>0</v>
      </c>
      <c r="O72" cm="1">
        <f t="array" aca="1" ref="O72" ca="1">INDIRECT(ADDRESS($B72,Plots!$H$4,,,Plots!$A$53))+INDIRECT(ADDRESS($B72,Plots!$H$4,,,Plots!$A$54))+INDIRECT(ADDRESS($B72,Plots!$H$4,,,Plots!$A$55))+INDIRECT(ADDRESS($B72,Plots!$H$4,,,Plots!$A$56))</f>
        <v>0</v>
      </c>
      <c r="P72" cm="1">
        <f t="array" aca="1" ref="P72" ca="1">INDIRECT(ADDRESS($B72,Plots!$H$4,,,Plots!$A$57))+INDIRECT(ADDRESS($B72,Plots!$H$4,,,Plots!$A$58))+INDIRECT(ADDRESS($B72,Plots!$H$4,,,Plots!$A$59))+INDIRECT(ADDRESS($B72,Plots!$H$4,,,Plots!$A$60))+INDIRECT(ADDRESS($B72,Plots!$H$4,,,Plots!$A$61))</f>
        <v>0</v>
      </c>
      <c r="Q72" cm="1">
        <f t="array" aca="1" ref="Q72" ca="1">INDIRECT(ADDRESS($B72,Plots!$H$4,,,Plots!$A$62))+INDIRECT(ADDRESS($B72,Plots!$H$4,,,Plots!$A$63))+INDIRECT(ADDRESS($B72,Plots!$H$4,,,Plots!$A$64))+INDIRECT(ADDRESS($B72,Plots!$H$4,,,Plots!$A$65))+INDIRECT(ADDRESS($B72,Plots!$H$4,,,Plots!$A$66))+INDIRECT(ADDRESS($B72,Plots!$H$4,,,Plots!$A$67))</f>
        <v>0</v>
      </c>
    </row>
    <row r="73" spans="1:17">
      <c r="A73">
        <f>'AARnetCBR-CamDTN1_tcpmon_ts_11'!A73</f>
        <v>122</v>
      </c>
      <c r="B73">
        <f t="shared" si="0"/>
        <v>73</v>
      </c>
      <c r="C73" cm="1">
        <f t="array" aca="1" ref="C73" ca="1">INDIRECT(ADDRESS($B73,Plots!$H$3,,,Plots!$A$47))</f>
        <v>25.35</v>
      </c>
      <c r="D73" cm="1">
        <f t="array" aca="1" ref="D73" ca="1">INDIRECT(ADDRESS($B73,Plots!$H$3,,,Plots!$A$48))+INDIRECT(ADDRESS($B73,Plots!$H$3,,,Plots!$A$49))</f>
        <v>58.24</v>
      </c>
      <c r="E73" cm="1">
        <f t="array" aca="1" ref="E73" ca="1">INDIRECT(ADDRESS($B73,Plots!$H$3,,,Plots!$A$50))+INDIRECT(ADDRESS($B73,Plots!$H$3,,,Plots!$A$51))+INDIRECT(ADDRESS($B73,Plots!$H$3,,,Plots!$A$52))</f>
        <v>75.210000000000008</v>
      </c>
      <c r="F73" cm="1">
        <f t="array" aca="1" ref="F73" ca="1">INDIRECT(ADDRESS($B73,Plots!$H$3,,,Plots!$A$53))+INDIRECT(ADDRESS($B73,Plots!$H$3,,,Plots!$A$54))+INDIRECT(ADDRESS($B73,Plots!$H$3,,,Plots!$A$55))+INDIRECT(ADDRESS($B73,Plots!$H$3,,,Plots!$A$56))</f>
        <v>92.34</v>
      </c>
      <c r="G73" cm="1">
        <f t="array" aca="1" ref="G73" ca="1">INDIRECT(ADDRESS($B73,Plots!$H$3,,,Plots!$A$57))+INDIRECT(ADDRESS($B73,Plots!$H$3,,,Plots!$A$58))+INDIRECT(ADDRESS($B73,Plots!$H$3,,,Plots!$A$59))+INDIRECT(ADDRESS($B73,Plots!$H$3,,,Plots!$A$60))+INDIRECT(ADDRESS($B73,Plots!$H$3,,,Plots!$A$61))</f>
        <v>0</v>
      </c>
      <c r="H73" cm="1">
        <f t="array" aca="1" ref="H73" ca="1">INDIRECT(ADDRESS($B73,Plots!$H$3,,,Plots!$A$62))+INDIRECT(ADDRESS($B73,Plots!$H$3,,,Plots!$A$63))+INDIRECT(ADDRESS($B73,Plots!$H$3,,,Plots!$A$64))+INDIRECT(ADDRESS($B73,Plots!$H$3,,,Plots!$A$65))+INDIRECT(ADDRESS($B73,Plots!$H$3,,,Plots!$A$66))+INDIRECT(ADDRESS($B73,Plots!$H$3,,,Plots!$A$67))</f>
        <v>0</v>
      </c>
      <c r="I73">
        <f>'AARnetCBR-CamDTN1_tcpmon_ts_81'!H77+'AARnetCBR-CamDTN1_tcpmon_ts_82'!H77+'AARnetCBR-CamDTN1_tcpmon_ts_83'!H77+'AARnetCBR-CamDTN1_tcpmon_ts_84'!H77+'AARnetCBR-CamDTN1_tcpmon_ts_85'!H77+'AARnetCBR-CamDTN1_tcpmon_ts_86'!H77+'AARnetCBR-CamDTN1_tcpmon_ts_87'!H77+'AARnetCBR-CamDTN1_tcpmon_ts_88'!H77</f>
        <v>0</v>
      </c>
      <c r="L73" cm="1">
        <f t="array" aca="1" ref="L73" ca="1">INDIRECT(ADDRESS($B73,Plots!$H$4,,,Plots!$A$47))</f>
        <v>0</v>
      </c>
      <c r="M73" cm="1">
        <f t="array" aca="1" ref="M73" ca="1">INDIRECT(ADDRESS($B73,Plots!$H$4,,,Plots!$A$48))+INDIRECT(ADDRESS($B73,Plots!$H$4,,,Plots!$A$49))</f>
        <v>0</v>
      </c>
      <c r="N73" cm="1">
        <f t="array" aca="1" ref="N73" ca="1">INDIRECT(ADDRESS($B73,Plots!$H$4,,,Plots!$A$50))+INDIRECT(ADDRESS($B73,Plots!$H$4,,,Plots!$A$51))+INDIRECT(ADDRESS($B73,Plots!$H$4,,,Plots!$A$52))</f>
        <v>0</v>
      </c>
      <c r="O73" cm="1">
        <f t="array" aca="1" ref="O73" ca="1">INDIRECT(ADDRESS($B73,Plots!$H$4,,,Plots!$A$53))+INDIRECT(ADDRESS($B73,Plots!$H$4,,,Plots!$A$54))+INDIRECT(ADDRESS($B73,Plots!$H$4,,,Plots!$A$55))+INDIRECT(ADDRESS($B73,Plots!$H$4,,,Plots!$A$56))</f>
        <v>0</v>
      </c>
      <c r="P73" cm="1">
        <f t="array" aca="1" ref="P73" ca="1">INDIRECT(ADDRESS($B73,Plots!$H$4,,,Plots!$A$57))+INDIRECT(ADDRESS($B73,Plots!$H$4,,,Plots!$A$58))+INDIRECT(ADDRESS($B73,Plots!$H$4,,,Plots!$A$59))+INDIRECT(ADDRESS($B73,Plots!$H$4,,,Plots!$A$60))+INDIRECT(ADDRESS($B73,Plots!$H$4,,,Plots!$A$61))</f>
        <v>0</v>
      </c>
      <c r="Q73" cm="1">
        <f t="array" aca="1" ref="Q73" ca="1">INDIRECT(ADDRESS($B73,Plots!$H$4,,,Plots!$A$62))+INDIRECT(ADDRESS($B73,Plots!$H$4,,,Plots!$A$63))+INDIRECT(ADDRESS($B73,Plots!$H$4,,,Plots!$A$64))+INDIRECT(ADDRESS($B73,Plots!$H$4,,,Plots!$A$65))+INDIRECT(ADDRESS($B73,Plots!$H$4,,,Plots!$A$66))+INDIRECT(ADDRESS($B73,Plots!$H$4,,,Plots!$A$67))</f>
        <v>0</v>
      </c>
    </row>
    <row r="74" spans="1:17">
      <c r="A74">
        <f>'AARnetCBR-CamDTN1_tcpmon_ts_11'!A74</f>
        <v>124</v>
      </c>
      <c r="B74">
        <f t="shared" si="0"/>
        <v>74</v>
      </c>
      <c r="C74" cm="1">
        <f t="array" aca="1" ref="C74" ca="1">INDIRECT(ADDRESS($B74,Plots!$H$3,,,Plots!$A$47))</f>
        <v>25.82</v>
      </c>
      <c r="D74" cm="1">
        <f t="array" aca="1" ref="D74" ca="1">INDIRECT(ADDRESS($B74,Plots!$H$3,,,Plots!$A$48))+INDIRECT(ADDRESS($B74,Plots!$H$3,,,Plots!$A$49))</f>
        <v>55.54</v>
      </c>
      <c r="E74" cm="1">
        <f t="array" aca="1" ref="E74" ca="1">INDIRECT(ADDRESS($B74,Plots!$H$3,,,Plots!$A$50))+INDIRECT(ADDRESS($B74,Plots!$H$3,,,Plots!$A$51))+INDIRECT(ADDRESS($B74,Plots!$H$3,,,Plots!$A$52))</f>
        <v>60.19</v>
      </c>
      <c r="F74" cm="1">
        <f t="array" aca="1" ref="F74" ca="1">INDIRECT(ADDRESS($B74,Plots!$H$3,,,Plots!$A$53))+INDIRECT(ADDRESS($B74,Plots!$H$3,,,Plots!$A$54))+INDIRECT(ADDRESS($B74,Plots!$H$3,,,Plots!$A$55))+INDIRECT(ADDRESS($B74,Plots!$H$3,,,Plots!$A$56))</f>
        <v>91.570000000000007</v>
      </c>
      <c r="G74" cm="1">
        <f t="array" aca="1" ref="G74" ca="1">INDIRECT(ADDRESS($B74,Plots!$H$3,,,Plots!$A$57))+INDIRECT(ADDRESS($B74,Plots!$H$3,,,Plots!$A$58))+INDIRECT(ADDRESS($B74,Plots!$H$3,,,Plots!$A$59))+INDIRECT(ADDRESS($B74,Plots!$H$3,,,Plots!$A$60))+INDIRECT(ADDRESS($B74,Plots!$H$3,,,Plots!$A$61))</f>
        <v>0</v>
      </c>
      <c r="H74" cm="1">
        <f t="array" aca="1" ref="H74" ca="1">INDIRECT(ADDRESS($B74,Plots!$H$3,,,Plots!$A$62))+INDIRECT(ADDRESS($B74,Plots!$H$3,,,Plots!$A$63))+INDIRECT(ADDRESS($B74,Plots!$H$3,,,Plots!$A$64))+INDIRECT(ADDRESS($B74,Plots!$H$3,,,Plots!$A$65))+INDIRECT(ADDRESS($B74,Plots!$H$3,,,Plots!$A$66))+INDIRECT(ADDRESS($B74,Plots!$H$3,,,Plots!$A$67))</f>
        <v>0</v>
      </c>
      <c r="I74">
        <f>'AARnetCBR-CamDTN1_tcpmon_ts_81'!H78+'AARnetCBR-CamDTN1_tcpmon_ts_82'!H78+'AARnetCBR-CamDTN1_tcpmon_ts_83'!H78+'AARnetCBR-CamDTN1_tcpmon_ts_84'!H78+'AARnetCBR-CamDTN1_tcpmon_ts_85'!H78+'AARnetCBR-CamDTN1_tcpmon_ts_86'!H78+'AARnetCBR-CamDTN1_tcpmon_ts_87'!H78+'AARnetCBR-CamDTN1_tcpmon_ts_88'!H78</f>
        <v>0</v>
      </c>
      <c r="L74" cm="1">
        <f t="array" aca="1" ref="L74" ca="1">INDIRECT(ADDRESS($B74,Plots!$H$4,,,Plots!$A$47))</f>
        <v>0</v>
      </c>
      <c r="M74" cm="1">
        <f t="array" aca="1" ref="M74" ca="1">INDIRECT(ADDRESS($B74,Plots!$H$4,,,Plots!$A$48))+INDIRECT(ADDRESS($B74,Plots!$H$4,,,Plots!$A$49))</f>
        <v>0</v>
      </c>
      <c r="N74" cm="1">
        <f t="array" aca="1" ref="N74" ca="1">INDIRECT(ADDRESS($B74,Plots!$H$4,,,Plots!$A$50))+INDIRECT(ADDRESS($B74,Plots!$H$4,,,Plots!$A$51))+INDIRECT(ADDRESS($B74,Plots!$H$4,,,Plots!$A$52))</f>
        <v>0</v>
      </c>
      <c r="O74" cm="1">
        <f t="array" aca="1" ref="O74" ca="1">INDIRECT(ADDRESS($B74,Plots!$H$4,,,Plots!$A$53))+INDIRECT(ADDRESS($B74,Plots!$H$4,,,Plots!$A$54))+INDIRECT(ADDRESS($B74,Plots!$H$4,,,Plots!$A$55))+INDIRECT(ADDRESS($B74,Plots!$H$4,,,Plots!$A$56))</f>
        <v>0</v>
      </c>
      <c r="P74" cm="1">
        <f t="array" aca="1" ref="P74" ca="1">INDIRECT(ADDRESS($B74,Plots!$H$4,,,Plots!$A$57))+INDIRECT(ADDRESS($B74,Plots!$H$4,,,Plots!$A$58))+INDIRECT(ADDRESS($B74,Plots!$H$4,,,Plots!$A$59))+INDIRECT(ADDRESS($B74,Plots!$H$4,,,Plots!$A$60))+INDIRECT(ADDRESS($B74,Plots!$H$4,,,Plots!$A$61))</f>
        <v>0</v>
      </c>
      <c r="Q74" cm="1">
        <f t="array" aca="1" ref="Q74" ca="1">INDIRECT(ADDRESS($B74,Plots!$H$4,,,Plots!$A$62))+INDIRECT(ADDRESS($B74,Plots!$H$4,,,Plots!$A$63))+INDIRECT(ADDRESS($B74,Plots!$H$4,,,Plots!$A$64))+INDIRECT(ADDRESS($B74,Plots!$H$4,,,Plots!$A$65))+INDIRECT(ADDRESS($B74,Plots!$H$4,,,Plots!$A$66))+INDIRECT(ADDRESS($B74,Plots!$H$4,,,Plots!$A$67))</f>
        <v>0</v>
      </c>
    </row>
    <row r="75" spans="1:17">
      <c r="A75">
        <f>'AARnetCBR-CamDTN1_tcpmon_ts_11'!A75</f>
        <v>126</v>
      </c>
      <c r="B75">
        <f t="shared" si="0"/>
        <v>75</v>
      </c>
      <c r="C75" cm="1">
        <f t="array" aca="1" ref="C75" ca="1">INDIRECT(ADDRESS($B75,Plots!$H$3,,,Plots!$A$47))</f>
        <v>25.92</v>
      </c>
      <c r="D75" cm="1">
        <f t="array" aca="1" ref="D75" ca="1">INDIRECT(ADDRESS($B75,Plots!$H$3,,,Plots!$A$48))+INDIRECT(ADDRESS($B75,Plots!$H$3,,,Plots!$A$49))</f>
        <v>58.08</v>
      </c>
      <c r="E75" cm="1">
        <f t="array" aca="1" ref="E75" ca="1">INDIRECT(ADDRESS($B75,Plots!$H$3,,,Plots!$A$50))+INDIRECT(ADDRESS($B75,Plots!$H$3,,,Plots!$A$51))+INDIRECT(ADDRESS($B75,Plots!$H$3,,,Plots!$A$52))</f>
        <v>73.569999999999993</v>
      </c>
      <c r="F75" cm="1">
        <f t="array" aca="1" ref="F75" ca="1">INDIRECT(ADDRESS($B75,Plots!$H$3,,,Plots!$A$53))+INDIRECT(ADDRESS($B75,Plots!$H$3,,,Plots!$A$54))+INDIRECT(ADDRESS($B75,Plots!$H$3,,,Plots!$A$55))+INDIRECT(ADDRESS($B75,Plots!$H$3,,,Plots!$A$56))</f>
        <v>92.11</v>
      </c>
      <c r="G75" cm="1">
        <f t="array" aca="1" ref="G75" ca="1">INDIRECT(ADDRESS($B75,Plots!$H$3,,,Plots!$A$57))+INDIRECT(ADDRESS($B75,Plots!$H$3,,,Plots!$A$58))+INDIRECT(ADDRESS($B75,Plots!$H$3,,,Plots!$A$59))+INDIRECT(ADDRESS($B75,Plots!$H$3,,,Plots!$A$60))+INDIRECT(ADDRESS($B75,Plots!$H$3,,,Plots!$A$61))</f>
        <v>0</v>
      </c>
      <c r="H75" cm="1">
        <f t="array" aca="1" ref="H75" ca="1">INDIRECT(ADDRESS($B75,Plots!$H$3,,,Plots!$A$62))+INDIRECT(ADDRESS($B75,Plots!$H$3,,,Plots!$A$63))+INDIRECT(ADDRESS($B75,Plots!$H$3,,,Plots!$A$64))+INDIRECT(ADDRESS($B75,Plots!$H$3,,,Plots!$A$65))+INDIRECT(ADDRESS($B75,Plots!$H$3,,,Plots!$A$66))+INDIRECT(ADDRESS($B75,Plots!$H$3,,,Plots!$A$67))</f>
        <v>0</v>
      </c>
      <c r="I75">
        <f>'AARnetCBR-CamDTN1_tcpmon_ts_81'!H79+'AARnetCBR-CamDTN1_tcpmon_ts_82'!H79+'AARnetCBR-CamDTN1_tcpmon_ts_83'!H79+'AARnetCBR-CamDTN1_tcpmon_ts_84'!H79+'AARnetCBR-CamDTN1_tcpmon_ts_85'!H79+'AARnetCBR-CamDTN1_tcpmon_ts_86'!H79+'AARnetCBR-CamDTN1_tcpmon_ts_87'!H79+'AARnetCBR-CamDTN1_tcpmon_ts_88'!H79</f>
        <v>0</v>
      </c>
      <c r="L75" cm="1">
        <f t="array" aca="1" ref="L75" ca="1">INDIRECT(ADDRESS($B75,Plots!$H$4,,,Plots!$A$47))</f>
        <v>0</v>
      </c>
      <c r="M75" cm="1">
        <f t="array" aca="1" ref="M75" ca="1">INDIRECT(ADDRESS($B75,Plots!$H$4,,,Plots!$A$48))+INDIRECT(ADDRESS($B75,Plots!$H$4,,,Plots!$A$49))</f>
        <v>0</v>
      </c>
      <c r="N75" cm="1">
        <f t="array" aca="1" ref="N75" ca="1">INDIRECT(ADDRESS($B75,Plots!$H$4,,,Plots!$A$50))+INDIRECT(ADDRESS($B75,Plots!$H$4,,,Plots!$A$51))+INDIRECT(ADDRESS($B75,Plots!$H$4,,,Plots!$A$52))</f>
        <v>0</v>
      </c>
      <c r="O75" cm="1">
        <f t="array" aca="1" ref="O75" ca="1">INDIRECT(ADDRESS($B75,Plots!$H$4,,,Plots!$A$53))+INDIRECT(ADDRESS($B75,Plots!$H$4,,,Plots!$A$54))+INDIRECT(ADDRESS($B75,Plots!$H$4,,,Plots!$A$55))+INDIRECT(ADDRESS($B75,Plots!$H$4,,,Plots!$A$56))</f>
        <v>0</v>
      </c>
      <c r="P75" cm="1">
        <f t="array" aca="1" ref="P75" ca="1">INDIRECT(ADDRESS($B75,Plots!$H$4,,,Plots!$A$57))+INDIRECT(ADDRESS($B75,Plots!$H$4,,,Plots!$A$58))+INDIRECT(ADDRESS($B75,Plots!$H$4,,,Plots!$A$59))+INDIRECT(ADDRESS($B75,Plots!$H$4,,,Plots!$A$60))+INDIRECT(ADDRESS($B75,Plots!$H$4,,,Plots!$A$61))</f>
        <v>0</v>
      </c>
      <c r="Q75" cm="1">
        <f t="array" aca="1" ref="Q75" ca="1">INDIRECT(ADDRESS($B75,Plots!$H$4,,,Plots!$A$62))+INDIRECT(ADDRESS($B75,Plots!$H$4,,,Plots!$A$63))+INDIRECT(ADDRESS($B75,Plots!$H$4,,,Plots!$A$64))+INDIRECT(ADDRESS($B75,Plots!$H$4,,,Plots!$A$65))+INDIRECT(ADDRESS($B75,Plots!$H$4,,,Plots!$A$66))+INDIRECT(ADDRESS($B75,Plots!$H$4,,,Plots!$A$67))</f>
        <v>0</v>
      </c>
    </row>
    <row r="76" spans="1:17">
      <c r="A76">
        <f>'AARnetCBR-CamDTN1_tcpmon_ts_11'!A76</f>
        <v>128</v>
      </c>
      <c r="B76">
        <f t="shared" si="0"/>
        <v>76</v>
      </c>
      <c r="C76" cm="1">
        <f t="array" aca="1" ref="C76" ca="1">INDIRECT(ADDRESS($B76,Plots!$H$3,,,Plots!$A$47))</f>
        <v>26.28</v>
      </c>
      <c r="D76" cm="1">
        <f t="array" aca="1" ref="D76" ca="1">INDIRECT(ADDRESS($B76,Plots!$H$3,,,Plots!$A$48))+INDIRECT(ADDRESS($B76,Plots!$H$3,,,Plots!$A$49))</f>
        <v>56.269999999999996</v>
      </c>
      <c r="E76" cm="1">
        <f t="array" aca="1" ref="E76" ca="1">INDIRECT(ADDRESS($B76,Plots!$H$3,,,Plots!$A$50))+INDIRECT(ADDRESS($B76,Plots!$H$3,,,Plots!$A$51))+INDIRECT(ADDRESS($B76,Plots!$H$3,,,Plots!$A$52))</f>
        <v>66.41</v>
      </c>
      <c r="F76" cm="1">
        <f t="array" aca="1" ref="F76" ca="1">INDIRECT(ADDRESS($B76,Plots!$H$3,,,Plots!$A$53))+INDIRECT(ADDRESS($B76,Plots!$H$3,,,Plots!$A$54))+INDIRECT(ADDRESS($B76,Plots!$H$3,,,Plots!$A$55))+INDIRECT(ADDRESS($B76,Plots!$H$3,,,Plots!$A$56))</f>
        <v>94.820000000000007</v>
      </c>
      <c r="G76" cm="1">
        <f t="array" aca="1" ref="G76" ca="1">INDIRECT(ADDRESS($B76,Plots!$H$3,,,Plots!$A$57))+INDIRECT(ADDRESS($B76,Plots!$H$3,,,Plots!$A$58))+INDIRECT(ADDRESS($B76,Plots!$H$3,,,Plots!$A$59))+INDIRECT(ADDRESS($B76,Plots!$H$3,,,Plots!$A$60))+INDIRECT(ADDRESS($B76,Plots!$H$3,,,Plots!$A$61))</f>
        <v>0</v>
      </c>
      <c r="H76" cm="1">
        <f t="array" aca="1" ref="H76" ca="1">INDIRECT(ADDRESS($B76,Plots!$H$3,,,Plots!$A$62))+INDIRECT(ADDRESS($B76,Plots!$H$3,,,Plots!$A$63))+INDIRECT(ADDRESS($B76,Plots!$H$3,,,Plots!$A$64))+INDIRECT(ADDRESS($B76,Plots!$H$3,,,Plots!$A$65))+INDIRECT(ADDRESS($B76,Plots!$H$3,,,Plots!$A$66))+INDIRECT(ADDRESS($B76,Plots!$H$3,,,Plots!$A$67))</f>
        <v>0</v>
      </c>
      <c r="I76">
        <f>'AARnetCBR-CamDTN1_tcpmon_ts_81'!H80+'AARnetCBR-CamDTN1_tcpmon_ts_82'!H80+'AARnetCBR-CamDTN1_tcpmon_ts_83'!H80+'AARnetCBR-CamDTN1_tcpmon_ts_84'!H80+'AARnetCBR-CamDTN1_tcpmon_ts_85'!H80+'AARnetCBR-CamDTN1_tcpmon_ts_86'!H80+'AARnetCBR-CamDTN1_tcpmon_ts_87'!H80+'AARnetCBR-CamDTN1_tcpmon_ts_88'!H80</f>
        <v>0</v>
      </c>
      <c r="L76" cm="1">
        <f t="array" aca="1" ref="L76" ca="1">INDIRECT(ADDRESS($B76,Plots!$H$4,,,Plots!$A$47))</f>
        <v>0</v>
      </c>
      <c r="M76" cm="1">
        <f t="array" aca="1" ref="M76" ca="1">INDIRECT(ADDRESS($B76,Plots!$H$4,,,Plots!$A$48))+INDIRECT(ADDRESS($B76,Plots!$H$4,,,Plots!$A$49))</f>
        <v>0</v>
      </c>
      <c r="N76" cm="1">
        <f t="array" aca="1" ref="N76" ca="1">INDIRECT(ADDRESS($B76,Plots!$H$4,,,Plots!$A$50))+INDIRECT(ADDRESS($B76,Plots!$H$4,,,Plots!$A$51))+INDIRECT(ADDRESS($B76,Plots!$H$4,,,Plots!$A$52))</f>
        <v>0</v>
      </c>
      <c r="O76" cm="1">
        <f t="array" aca="1" ref="O76" ca="1">INDIRECT(ADDRESS($B76,Plots!$H$4,,,Plots!$A$53))+INDIRECT(ADDRESS($B76,Plots!$H$4,,,Plots!$A$54))+INDIRECT(ADDRESS($B76,Plots!$H$4,,,Plots!$A$55))+INDIRECT(ADDRESS($B76,Plots!$H$4,,,Plots!$A$56))</f>
        <v>0</v>
      </c>
      <c r="P76" cm="1">
        <f t="array" aca="1" ref="P76" ca="1">INDIRECT(ADDRESS($B76,Plots!$H$4,,,Plots!$A$57))+INDIRECT(ADDRESS($B76,Plots!$H$4,,,Plots!$A$58))+INDIRECT(ADDRESS($B76,Plots!$H$4,,,Plots!$A$59))+INDIRECT(ADDRESS($B76,Plots!$H$4,,,Plots!$A$60))+INDIRECT(ADDRESS($B76,Plots!$H$4,,,Plots!$A$61))</f>
        <v>0</v>
      </c>
      <c r="Q76" cm="1">
        <f t="array" aca="1" ref="Q76" ca="1">INDIRECT(ADDRESS($B76,Plots!$H$4,,,Plots!$A$62))+INDIRECT(ADDRESS($B76,Plots!$H$4,,,Plots!$A$63))+INDIRECT(ADDRESS($B76,Plots!$H$4,,,Plots!$A$64))+INDIRECT(ADDRESS($B76,Plots!$H$4,,,Plots!$A$65))+INDIRECT(ADDRESS($B76,Plots!$H$4,,,Plots!$A$66))+INDIRECT(ADDRESS($B76,Plots!$H$4,,,Plots!$A$67))</f>
        <v>0</v>
      </c>
    </row>
    <row r="77" spans="1:17">
      <c r="A77">
        <f>'AARnetCBR-CamDTN1_tcpmon_ts_11'!A77</f>
        <v>130</v>
      </c>
      <c r="B77">
        <f t="shared" si="0"/>
        <v>77</v>
      </c>
      <c r="C77" cm="1">
        <f t="array" aca="1" ref="C77" ca="1">INDIRECT(ADDRESS($B77,Plots!$H$3,,,Plots!$A$47))</f>
        <v>26.18</v>
      </c>
      <c r="D77" cm="1">
        <f t="array" aca="1" ref="D77" ca="1">INDIRECT(ADDRESS($B77,Plots!$H$3,,,Plots!$A$48))+INDIRECT(ADDRESS($B77,Plots!$H$3,,,Plots!$A$49))</f>
        <v>58.81</v>
      </c>
      <c r="E77" cm="1">
        <f t="array" aca="1" ref="E77" ca="1">INDIRECT(ADDRESS($B77,Plots!$H$3,,,Plots!$A$50))+INDIRECT(ADDRESS($B77,Plots!$H$3,,,Plots!$A$51))+INDIRECT(ADDRESS($B77,Plots!$H$3,,,Plots!$A$52))</f>
        <v>63.59</v>
      </c>
      <c r="F77" cm="1">
        <f t="array" aca="1" ref="F77" ca="1">INDIRECT(ADDRESS($B77,Plots!$H$3,,,Plots!$A$53))+INDIRECT(ADDRESS($B77,Plots!$H$3,,,Plots!$A$54))+INDIRECT(ADDRESS($B77,Plots!$H$3,,,Plots!$A$55))+INDIRECT(ADDRESS($B77,Plots!$H$3,,,Plots!$A$56))</f>
        <v>92.69</v>
      </c>
      <c r="G77" cm="1">
        <f t="array" aca="1" ref="G77" ca="1">INDIRECT(ADDRESS($B77,Plots!$H$3,,,Plots!$A$57))+INDIRECT(ADDRESS($B77,Plots!$H$3,,,Plots!$A$58))+INDIRECT(ADDRESS($B77,Plots!$H$3,,,Plots!$A$59))+INDIRECT(ADDRESS($B77,Plots!$H$3,,,Plots!$A$60))+INDIRECT(ADDRESS($B77,Plots!$H$3,,,Plots!$A$61))</f>
        <v>0</v>
      </c>
      <c r="H77" cm="1">
        <f t="array" aca="1" ref="H77" ca="1">INDIRECT(ADDRESS($B77,Plots!$H$3,,,Plots!$A$62))+INDIRECT(ADDRESS($B77,Plots!$H$3,,,Plots!$A$63))+INDIRECT(ADDRESS($B77,Plots!$H$3,,,Plots!$A$64))+INDIRECT(ADDRESS($B77,Plots!$H$3,,,Plots!$A$65))+INDIRECT(ADDRESS($B77,Plots!$H$3,,,Plots!$A$66))+INDIRECT(ADDRESS($B77,Plots!$H$3,,,Plots!$A$67))</f>
        <v>0</v>
      </c>
      <c r="I77">
        <f>'AARnetCBR-CamDTN1_tcpmon_ts_81'!H81+'AARnetCBR-CamDTN1_tcpmon_ts_82'!H81+'AARnetCBR-CamDTN1_tcpmon_ts_83'!H81+'AARnetCBR-CamDTN1_tcpmon_ts_84'!H81+'AARnetCBR-CamDTN1_tcpmon_ts_85'!H81+'AARnetCBR-CamDTN1_tcpmon_ts_86'!H81+'AARnetCBR-CamDTN1_tcpmon_ts_87'!H81+'AARnetCBR-CamDTN1_tcpmon_ts_88'!H81</f>
        <v>0</v>
      </c>
      <c r="L77" cm="1">
        <f t="array" aca="1" ref="L77" ca="1">INDIRECT(ADDRESS($B77,Plots!$H$4,,,Plots!$A$47))</f>
        <v>0</v>
      </c>
      <c r="M77" cm="1">
        <f t="array" aca="1" ref="M77" ca="1">INDIRECT(ADDRESS($B77,Plots!$H$4,,,Plots!$A$48))+INDIRECT(ADDRESS($B77,Plots!$H$4,,,Plots!$A$49))</f>
        <v>0</v>
      </c>
      <c r="N77" cm="1">
        <f t="array" aca="1" ref="N77" ca="1">INDIRECT(ADDRESS($B77,Plots!$H$4,,,Plots!$A$50))+INDIRECT(ADDRESS($B77,Plots!$H$4,,,Plots!$A$51))+INDIRECT(ADDRESS($B77,Plots!$H$4,,,Plots!$A$52))</f>
        <v>0</v>
      </c>
      <c r="O77" cm="1">
        <f t="array" aca="1" ref="O77" ca="1">INDIRECT(ADDRESS($B77,Plots!$H$4,,,Plots!$A$53))+INDIRECT(ADDRESS($B77,Plots!$H$4,,,Plots!$A$54))+INDIRECT(ADDRESS($B77,Plots!$H$4,,,Plots!$A$55))+INDIRECT(ADDRESS($B77,Plots!$H$4,,,Plots!$A$56))</f>
        <v>0</v>
      </c>
      <c r="P77" cm="1">
        <f t="array" aca="1" ref="P77" ca="1">INDIRECT(ADDRESS($B77,Plots!$H$4,,,Plots!$A$57))+INDIRECT(ADDRESS($B77,Plots!$H$4,,,Plots!$A$58))+INDIRECT(ADDRESS($B77,Plots!$H$4,,,Plots!$A$59))+INDIRECT(ADDRESS($B77,Plots!$H$4,,,Plots!$A$60))+INDIRECT(ADDRESS($B77,Plots!$H$4,,,Plots!$A$61))</f>
        <v>0</v>
      </c>
      <c r="Q77" cm="1">
        <f t="array" aca="1" ref="Q77" ca="1">INDIRECT(ADDRESS($B77,Plots!$H$4,,,Plots!$A$62))+INDIRECT(ADDRESS($B77,Plots!$H$4,,,Plots!$A$63))+INDIRECT(ADDRESS($B77,Plots!$H$4,,,Plots!$A$64))+INDIRECT(ADDRESS($B77,Plots!$H$4,,,Plots!$A$65))+INDIRECT(ADDRESS($B77,Plots!$H$4,,,Plots!$A$66))+INDIRECT(ADDRESS($B77,Plots!$H$4,,,Plots!$A$67))</f>
        <v>0</v>
      </c>
    </row>
    <row r="78" spans="1:17">
      <c r="A78">
        <f>'AARnetCBR-CamDTN1_tcpmon_ts_11'!A78</f>
        <v>132</v>
      </c>
      <c r="B78">
        <f t="shared" si="0"/>
        <v>78</v>
      </c>
      <c r="C78" cm="1">
        <f t="array" aca="1" ref="C78" ca="1">INDIRECT(ADDRESS($B78,Plots!$H$3,,,Plots!$A$47))</f>
        <v>27</v>
      </c>
      <c r="D78" cm="1">
        <f t="array" aca="1" ref="D78" ca="1">INDIRECT(ADDRESS($B78,Plots!$H$3,,,Plots!$A$48))+INDIRECT(ADDRESS($B78,Plots!$H$3,,,Plots!$A$49))</f>
        <v>56.58</v>
      </c>
      <c r="E78" cm="1">
        <f t="array" aca="1" ref="E78" ca="1">INDIRECT(ADDRESS($B78,Plots!$H$3,,,Plots!$A$50))+INDIRECT(ADDRESS($B78,Plots!$H$3,,,Plots!$A$51))+INDIRECT(ADDRESS($B78,Plots!$H$3,,,Plots!$A$52))</f>
        <v>72.61</v>
      </c>
      <c r="F78" cm="1">
        <f t="array" aca="1" ref="F78" ca="1">INDIRECT(ADDRESS($B78,Plots!$H$3,,,Plots!$A$53))+INDIRECT(ADDRESS($B78,Plots!$H$3,,,Plots!$A$54))+INDIRECT(ADDRESS($B78,Plots!$H$3,,,Plots!$A$55))+INDIRECT(ADDRESS($B78,Plots!$H$3,,,Plots!$A$56))</f>
        <v>65.16</v>
      </c>
      <c r="G78" cm="1">
        <f t="array" aca="1" ref="G78" ca="1">INDIRECT(ADDRESS($B78,Plots!$H$3,,,Plots!$A$57))+INDIRECT(ADDRESS($B78,Plots!$H$3,,,Plots!$A$58))+INDIRECT(ADDRESS($B78,Plots!$H$3,,,Plots!$A$59))+INDIRECT(ADDRESS($B78,Plots!$H$3,,,Plots!$A$60))+INDIRECT(ADDRESS($B78,Plots!$H$3,,,Plots!$A$61))</f>
        <v>0</v>
      </c>
      <c r="H78" cm="1">
        <f t="array" aca="1" ref="H78" ca="1">INDIRECT(ADDRESS($B78,Plots!$H$3,,,Plots!$A$62))+INDIRECT(ADDRESS($B78,Plots!$H$3,,,Plots!$A$63))+INDIRECT(ADDRESS($B78,Plots!$H$3,,,Plots!$A$64))+INDIRECT(ADDRESS($B78,Plots!$H$3,,,Plots!$A$65))+INDIRECT(ADDRESS($B78,Plots!$H$3,,,Plots!$A$66))+INDIRECT(ADDRESS($B78,Plots!$H$3,,,Plots!$A$67))</f>
        <v>0</v>
      </c>
      <c r="I78">
        <f>'AARnetCBR-CamDTN1_tcpmon_ts_81'!H82+'AARnetCBR-CamDTN1_tcpmon_ts_82'!H82+'AARnetCBR-CamDTN1_tcpmon_ts_83'!H82+'AARnetCBR-CamDTN1_tcpmon_ts_84'!H82+'AARnetCBR-CamDTN1_tcpmon_ts_85'!H82+'AARnetCBR-CamDTN1_tcpmon_ts_86'!H82+'AARnetCBR-CamDTN1_tcpmon_ts_87'!H82+'AARnetCBR-CamDTN1_tcpmon_ts_88'!H82</f>
        <v>0</v>
      </c>
      <c r="L78" cm="1">
        <f t="array" aca="1" ref="L78" ca="1">INDIRECT(ADDRESS($B78,Plots!$H$4,,,Plots!$A$47))</f>
        <v>0</v>
      </c>
      <c r="M78" cm="1">
        <f t="array" aca="1" ref="M78" ca="1">INDIRECT(ADDRESS($B78,Plots!$H$4,,,Plots!$A$48))+INDIRECT(ADDRESS($B78,Plots!$H$4,,,Plots!$A$49))</f>
        <v>0</v>
      </c>
      <c r="N78" cm="1">
        <f t="array" aca="1" ref="N78" ca="1">INDIRECT(ADDRESS($B78,Plots!$H$4,,,Plots!$A$50))+INDIRECT(ADDRESS($B78,Plots!$H$4,,,Plots!$A$51))+INDIRECT(ADDRESS($B78,Plots!$H$4,,,Plots!$A$52))</f>
        <v>0</v>
      </c>
      <c r="O78" cm="1">
        <f t="array" aca="1" ref="O78" ca="1">INDIRECT(ADDRESS($B78,Plots!$H$4,,,Plots!$A$53))+INDIRECT(ADDRESS($B78,Plots!$H$4,,,Plots!$A$54))+INDIRECT(ADDRESS($B78,Plots!$H$4,,,Plots!$A$55))+INDIRECT(ADDRESS($B78,Plots!$H$4,,,Plots!$A$56))</f>
        <v>1165</v>
      </c>
      <c r="P78" cm="1">
        <f t="array" aca="1" ref="P78" ca="1">INDIRECT(ADDRESS($B78,Plots!$H$4,,,Plots!$A$57))+INDIRECT(ADDRESS($B78,Plots!$H$4,,,Plots!$A$58))+INDIRECT(ADDRESS($B78,Plots!$H$4,,,Plots!$A$59))+INDIRECT(ADDRESS($B78,Plots!$H$4,,,Plots!$A$60))+INDIRECT(ADDRESS($B78,Plots!$H$4,,,Plots!$A$61))</f>
        <v>0</v>
      </c>
      <c r="Q78" cm="1">
        <f t="array" aca="1" ref="Q78" ca="1">INDIRECT(ADDRESS($B78,Plots!$H$4,,,Plots!$A$62))+INDIRECT(ADDRESS($B78,Plots!$H$4,,,Plots!$A$63))+INDIRECT(ADDRESS($B78,Plots!$H$4,,,Plots!$A$64))+INDIRECT(ADDRESS($B78,Plots!$H$4,,,Plots!$A$65))+INDIRECT(ADDRESS($B78,Plots!$H$4,,,Plots!$A$66))+INDIRECT(ADDRESS($B78,Plots!$H$4,,,Plots!$A$67))</f>
        <v>0</v>
      </c>
    </row>
    <row r="79" spans="1:17">
      <c r="A79">
        <f>'AARnetCBR-CamDTN1_tcpmon_ts_11'!A79</f>
        <v>134</v>
      </c>
      <c r="B79">
        <f t="shared" si="0"/>
        <v>79</v>
      </c>
      <c r="C79" cm="1">
        <f t="array" aca="1" ref="C79" ca="1">INDIRECT(ADDRESS($B79,Plots!$H$3,,,Plots!$A$47))</f>
        <v>26.33</v>
      </c>
      <c r="D79" cm="1">
        <f t="array" aca="1" ref="D79" ca="1">INDIRECT(ADDRESS($B79,Plots!$H$3,,,Plots!$A$48))+INDIRECT(ADDRESS($B79,Plots!$H$3,,,Plots!$A$49))</f>
        <v>56.55</v>
      </c>
      <c r="E79" cm="1">
        <f t="array" aca="1" ref="E79" ca="1">INDIRECT(ADDRESS($B79,Plots!$H$3,,,Plots!$A$50))+INDIRECT(ADDRESS($B79,Plots!$H$3,,,Plots!$A$51))+INDIRECT(ADDRESS($B79,Plots!$H$3,,,Plots!$A$52))</f>
        <v>60.959999999999994</v>
      </c>
      <c r="F79" cm="1">
        <f t="array" aca="1" ref="F79" ca="1">INDIRECT(ADDRESS($B79,Plots!$H$3,,,Plots!$A$53))+INDIRECT(ADDRESS($B79,Plots!$H$3,,,Plots!$A$54))+INDIRECT(ADDRESS($B79,Plots!$H$3,,,Plots!$A$55))+INDIRECT(ADDRESS($B79,Plots!$H$3,,,Plots!$A$56))</f>
        <v>80.400000000000006</v>
      </c>
      <c r="G79" cm="1">
        <f t="array" aca="1" ref="G79" ca="1">INDIRECT(ADDRESS($B79,Plots!$H$3,,,Plots!$A$57))+INDIRECT(ADDRESS($B79,Plots!$H$3,,,Plots!$A$58))+INDIRECT(ADDRESS($B79,Plots!$H$3,,,Plots!$A$59))+INDIRECT(ADDRESS($B79,Plots!$H$3,,,Plots!$A$60))+INDIRECT(ADDRESS($B79,Plots!$H$3,,,Plots!$A$61))</f>
        <v>0</v>
      </c>
      <c r="H79" cm="1">
        <f t="array" aca="1" ref="H79" ca="1">INDIRECT(ADDRESS($B79,Plots!$H$3,,,Plots!$A$62))+INDIRECT(ADDRESS($B79,Plots!$H$3,,,Plots!$A$63))+INDIRECT(ADDRESS($B79,Plots!$H$3,,,Plots!$A$64))+INDIRECT(ADDRESS($B79,Plots!$H$3,,,Plots!$A$65))+INDIRECT(ADDRESS($B79,Plots!$H$3,,,Plots!$A$66))+INDIRECT(ADDRESS($B79,Plots!$H$3,,,Plots!$A$67))</f>
        <v>0</v>
      </c>
      <c r="I79">
        <f>'AARnetCBR-CamDTN1_tcpmon_ts_81'!H83+'AARnetCBR-CamDTN1_tcpmon_ts_82'!H83+'AARnetCBR-CamDTN1_tcpmon_ts_83'!H83+'AARnetCBR-CamDTN1_tcpmon_ts_84'!H83+'AARnetCBR-CamDTN1_tcpmon_ts_85'!H83+'AARnetCBR-CamDTN1_tcpmon_ts_86'!H83+'AARnetCBR-CamDTN1_tcpmon_ts_87'!H83+'AARnetCBR-CamDTN1_tcpmon_ts_88'!H83</f>
        <v>0</v>
      </c>
      <c r="L79" cm="1">
        <f t="array" aca="1" ref="L79" ca="1">INDIRECT(ADDRESS($B79,Plots!$H$4,,,Plots!$A$47))</f>
        <v>0</v>
      </c>
      <c r="M79" cm="1">
        <f t="array" aca="1" ref="M79" ca="1">INDIRECT(ADDRESS($B79,Plots!$H$4,,,Plots!$A$48))+INDIRECT(ADDRESS($B79,Plots!$H$4,,,Plots!$A$49))</f>
        <v>0</v>
      </c>
      <c r="N79" cm="1">
        <f t="array" aca="1" ref="N79" ca="1">INDIRECT(ADDRESS($B79,Plots!$H$4,,,Plots!$A$50))+INDIRECT(ADDRESS($B79,Plots!$H$4,,,Plots!$A$51))+INDIRECT(ADDRESS($B79,Plots!$H$4,,,Plots!$A$52))</f>
        <v>0</v>
      </c>
      <c r="O79" cm="1">
        <f t="array" aca="1" ref="O79" ca="1">INDIRECT(ADDRESS($B79,Plots!$H$4,,,Plots!$A$53))+INDIRECT(ADDRESS($B79,Plots!$H$4,,,Plots!$A$54))+INDIRECT(ADDRESS($B79,Plots!$H$4,,,Plots!$A$55))+INDIRECT(ADDRESS($B79,Plots!$H$4,,,Plots!$A$56))</f>
        <v>0</v>
      </c>
      <c r="P79" cm="1">
        <f t="array" aca="1" ref="P79" ca="1">INDIRECT(ADDRESS($B79,Plots!$H$4,,,Plots!$A$57))+INDIRECT(ADDRESS($B79,Plots!$H$4,,,Plots!$A$58))+INDIRECT(ADDRESS($B79,Plots!$H$4,,,Plots!$A$59))+INDIRECT(ADDRESS($B79,Plots!$H$4,,,Plots!$A$60))+INDIRECT(ADDRESS($B79,Plots!$H$4,,,Plots!$A$61))</f>
        <v>0</v>
      </c>
      <c r="Q79" cm="1">
        <f t="array" aca="1" ref="Q79" ca="1">INDIRECT(ADDRESS($B79,Plots!$H$4,,,Plots!$A$62))+INDIRECT(ADDRESS($B79,Plots!$H$4,,,Plots!$A$63))+INDIRECT(ADDRESS($B79,Plots!$H$4,,,Plots!$A$64))+INDIRECT(ADDRESS($B79,Plots!$H$4,,,Plots!$A$65))+INDIRECT(ADDRESS($B79,Plots!$H$4,,,Plots!$A$66))+INDIRECT(ADDRESS($B79,Plots!$H$4,,,Plots!$A$67))</f>
        <v>0</v>
      </c>
    </row>
    <row r="80" spans="1:17">
      <c r="A80">
        <f>'AARnetCBR-CamDTN1_tcpmon_ts_11'!A80</f>
        <v>136</v>
      </c>
      <c r="B80">
        <f t="shared" si="0"/>
        <v>80</v>
      </c>
      <c r="C80" cm="1">
        <f t="array" aca="1" ref="C80" ca="1">INDIRECT(ADDRESS($B80,Plots!$H$3,,,Plots!$A$47))</f>
        <v>26</v>
      </c>
      <c r="D80" cm="1">
        <f t="array" aca="1" ref="D80" ca="1">INDIRECT(ADDRESS($B80,Plots!$H$3,,,Plots!$A$48))+INDIRECT(ADDRESS($B80,Plots!$H$3,,,Plots!$A$49))</f>
        <v>57.55</v>
      </c>
      <c r="E80" cm="1">
        <f t="array" aca="1" ref="E80" ca="1">INDIRECT(ADDRESS($B80,Plots!$H$3,,,Plots!$A$50))+INDIRECT(ADDRESS($B80,Plots!$H$3,,,Plots!$A$51))+INDIRECT(ADDRESS($B80,Plots!$H$3,,,Plots!$A$52))</f>
        <v>74.62</v>
      </c>
      <c r="F80" cm="1">
        <f t="array" aca="1" ref="F80" ca="1">INDIRECT(ADDRESS($B80,Plots!$H$3,,,Plots!$A$53))+INDIRECT(ADDRESS($B80,Plots!$H$3,,,Plots!$A$54))+INDIRECT(ADDRESS($B80,Plots!$H$3,,,Plots!$A$55))+INDIRECT(ADDRESS($B80,Plots!$H$3,,,Plots!$A$56))</f>
        <v>75.94</v>
      </c>
      <c r="G80" cm="1">
        <f t="array" aca="1" ref="G80" ca="1">INDIRECT(ADDRESS($B80,Plots!$H$3,,,Plots!$A$57))+INDIRECT(ADDRESS($B80,Plots!$H$3,,,Plots!$A$58))+INDIRECT(ADDRESS($B80,Plots!$H$3,,,Plots!$A$59))+INDIRECT(ADDRESS($B80,Plots!$H$3,,,Plots!$A$60))+INDIRECT(ADDRESS($B80,Plots!$H$3,,,Plots!$A$61))</f>
        <v>0</v>
      </c>
      <c r="H80" cm="1">
        <f t="array" aca="1" ref="H80" ca="1">INDIRECT(ADDRESS($B80,Plots!$H$3,,,Plots!$A$62))+INDIRECT(ADDRESS($B80,Plots!$H$3,,,Plots!$A$63))+INDIRECT(ADDRESS($B80,Plots!$H$3,,,Plots!$A$64))+INDIRECT(ADDRESS($B80,Plots!$H$3,,,Plots!$A$65))+INDIRECT(ADDRESS($B80,Plots!$H$3,,,Plots!$A$66))+INDIRECT(ADDRESS($B80,Plots!$H$3,,,Plots!$A$67))</f>
        <v>0</v>
      </c>
      <c r="I80">
        <f>'AARnetCBR-CamDTN1_tcpmon_ts_81'!H84+'AARnetCBR-CamDTN1_tcpmon_ts_82'!H84+'AARnetCBR-CamDTN1_tcpmon_ts_83'!H84+'AARnetCBR-CamDTN1_tcpmon_ts_84'!H84+'AARnetCBR-CamDTN1_tcpmon_ts_85'!H84+'AARnetCBR-CamDTN1_tcpmon_ts_86'!H84+'AARnetCBR-CamDTN1_tcpmon_ts_87'!H84+'AARnetCBR-CamDTN1_tcpmon_ts_88'!H84</f>
        <v>0</v>
      </c>
      <c r="L80" cm="1">
        <f t="array" aca="1" ref="L80" ca="1">INDIRECT(ADDRESS($B80,Plots!$H$4,,,Plots!$A$47))</f>
        <v>0</v>
      </c>
      <c r="M80" cm="1">
        <f t="array" aca="1" ref="M80" ca="1">INDIRECT(ADDRESS($B80,Plots!$H$4,,,Plots!$A$48))+INDIRECT(ADDRESS($B80,Plots!$H$4,,,Plots!$A$49))</f>
        <v>0</v>
      </c>
      <c r="N80" cm="1">
        <f t="array" aca="1" ref="N80" ca="1">INDIRECT(ADDRESS($B80,Plots!$H$4,,,Plots!$A$50))+INDIRECT(ADDRESS($B80,Plots!$H$4,,,Plots!$A$51))+INDIRECT(ADDRESS($B80,Plots!$H$4,,,Plots!$A$52))</f>
        <v>0</v>
      </c>
      <c r="O80" cm="1">
        <f t="array" aca="1" ref="O80" ca="1">INDIRECT(ADDRESS($B80,Plots!$H$4,,,Plots!$A$53))+INDIRECT(ADDRESS($B80,Plots!$H$4,,,Plots!$A$54))+INDIRECT(ADDRESS($B80,Plots!$H$4,,,Plots!$A$55))+INDIRECT(ADDRESS($B80,Plots!$H$4,,,Plots!$A$56))</f>
        <v>0</v>
      </c>
      <c r="P80" cm="1">
        <f t="array" aca="1" ref="P80" ca="1">INDIRECT(ADDRESS($B80,Plots!$H$4,,,Plots!$A$57))+INDIRECT(ADDRESS($B80,Plots!$H$4,,,Plots!$A$58))+INDIRECT(ADDRESS($B80,Plots!$H$4,,,Plots!$A$59))+INDIRECT(ADDRESS($B80,Plots!$H$4,,,Plots!$A$60))+INDIRECT(ADDRESS($B80,Plots!$H$4,,,Plots!$A$61))</f>
        <v>0</v>
      </c>
      <c r="Q80" cm="1">
        <f t="array" aca="1" ref="Q80" ca="1">INDIRECT(ADDRESS($B80,Plots!$H$4,,,Plots!$A$62))+INDIRECT(ADDRESS($B80,Plots!$H$4,,,Plots!$A$63))+INDIRECT(ADDRESS($B80,Plots!$H$4,,,Plots!$A$64))+INDIRECT(ADDRESS($B80,Plots!$H$4,,,Plots!$A$65))+INDIRECT(ADDRESS($B80,Plots!$H$4,,,Plots!$A$66))+INDIRECT(ADDRESS($B80,Plots!$H$4,,,Plots!$A$67))</f>
        <v>0</v>
      </c>
    </row>
    <row r="81" spans="1:17">
      <c r="A81">
        <f>'AARnetCBR-CamDTN1_tcpmon_ts_11'!A81</f>
        <v>138</v>
      </c>
      <c r="B81">
        <f t="shared" si="0"/>
        <v>81</v>
      </c>
      <c r="C81" cm="1">
        <f t="array" aca="1" ref="C81" ca="1">INDIRECT(ADDRESS($B81,Plots!$H$3,,,Plots!$A$47))</f>
        <v>26.21</v>
      </c>
      <c r="D81" cm="1">
        <f t="array" aca="1" ref="D81" ca="1">INDIRECT(ADDRESS($B81,Plots!$H$3,,,Plots!$A$48))+INDIRECT(ADDRESS($B81,Plots!$H$3,,,Plots!$A$49))</f>
        <v>56.56</v>
      </c>
      <c r="E81" cm="1">
        <f t="array" aca="1" ref="E81" ca="1">INDIRECT(ADDRESS($B81,Plots!$H$3,,,Plots!$A$50))+INDIRECT(ADDRESS($B81,Plots!$H$3,,,Plots!$A$51))+INDIRECT(ADDRESS($B81,Plots!$H$3,,,Plots!$A$52))</f>
        <v>60.349999999999994</v>
      </c>
      <c r="F81" cm="1">
        <f t="array" aca="1" ref="F81" ca="1">INDIRECT(ADDRESS($B81,Plots!$H$3,,,Plots!$A$53))+INDIRECT(ADDRESS($B81,Plots!$H$3,,,Plots!$A$54))+INDIRECT(ADDRESS($B81,Plots!$H$3,,,Plots!$A$55))+INDIRECT(ADDRESS($B81,Plots!$H$3,,,Plots!$A$56))</f>
        <v>82.110000000000014</v>
      </c>
      <c r="G81" cm="1">
        <f t="array" aca="1" ref="G81" ca="1">INDIRECT(ADDRESS($B81,Plots!$H$3,,,Plots!$A$57))+INDIRECT(ADDRESS($B81,Plots!$H$3,,,Plots!$A$58))+INDIRECT(ADDRESS($B81,Plots!$H$3,,,Plots!$A$59))+INDIRECT(ADDRESS($B81,Plots!$H$3,,,Plots!$A$60))+INDIRECT(ADDRESS($B81,Plots!$H$3,,,Plots!$A$61))</f>
        <v>0</v>
      </c>
      <c r="H81" cm="1">
        <f t="array" aca="1" ref="H81" ca="1">INDIRECT(ADDRESS($B81,Plots!$H$3,,,Plots!$A$62))+INDIRECT(ADDRESS($B81,Plots!$H$3,,,Plots!$A$63))+INDIRECT(ADDRESS($B81,Plots!$H$3,,,Plots!$A$64))+INDIRECT(ADDRESS($B81,Plots!$H$3,,,Plots!$A$65))+INDIRECT(ADDRESS($B81,Plots!$H$3,,,Plots!$A$66))+INDIRECT(ADDRESS($B81,Plots!$H$3,,,Plots!$A$67))</f>
        <v>0</v>
      </c>
      <c r="I81">
        <f>'AARnetCBR-CamDTN1_tcpmon_ts_81'!H85+'AARnetCBR-CamDTN1_tcpmon_ts_82'!H85+'AARnetCBR-CamDTN1_tcpmon_ts_83'!H85+'AARnetCBR-CamDTN1_tcpmon_ts_84'!H85+'AARnetCBR-CamDTN1_tcpmon_ts_85'!H85+'AARnetCBR-CamDTN1_tcpmon_ts_86'!H85+'AARnetCBR-CamDTN1_tcpmon_ts_87'!H85+'AARnetCBR-CamDTN1_tcpmon_ts_88'!H85</f>
        <v>0</v>
      </c>
      <c r="L81" cm="1">
        <f t="array" aca="1" ref="L81" ca="1">INDIRECT(ADDRESS($B81,Plots!$H$4,,,Plots!$A$47))</f>
        <v>0</v>
      </c>
      <c r="M81" cm="1">
        <f t="array" aca="1" ref="M81" ca="1">INDIRECT(ADDRESS($B81,Plots!$H$4,,,Plots!$A$48))+INDIRECT(ADDRESS($B81,Plots!$H$4,,,Plots!$A$49))</f>
        <v>0</v>
      </c>
      <c r="N81" cm="1">
        <f t="array" aca="1" ref="N81" ca="1">INDIRECT(ADDRESS($B81,Plots!$H$4,,,Plots!$A$50))+INDIRECT(ADDRESS($B81,Plots!$H$4,,,Plots!$A$51))+INDIRECT(ADDRESS($B81,Plots!$H$4,,,Plots!$A$52))</f>
        <v>0</v>
      </c>
      <c r="O81" cm="1">
        <f t="array" aca="1" ref="O81" ca="1">INDIRECT(ADDRESS($B81,Plots!$H$4,,,Plots!$A$53))+INDIRECT(ADDRESS($B81,Plots!$H$4,,,Plots!$A$54))+INDIRECT(ADDRESS($B81,Plots!$H$4,,,Plots!$A$55))+INDIRECT(ADDRESS($B81,Plots!$H$4,,,Plots!$A$56))</f>
        <v>0</v>
      </c>
      <c r="P81" cm="1">
        <f t="array" aca="1" ref="P81" ca="1">INDIRECT(ADDRESS($B81,Plots!$H$4,,,Plots!$A$57))+INDIRECT(ADDRESS($B81,Plots!$H$4,,,Plots!$A$58))+INDIRECT(ADDRESS($B81,Plots!$H$4,,,Plots!$A$59))+INDIRECT(ADDRESS($B81,Plots!$H$4,,,Plots!$A$60))+INDIRECT(ADDRESS($B81,Plots!$H$4,,,Plots!$A$61))</f>
        <v>0</v>
      </c>
      <c r="Q81" cm="1">
        <f t="array" aca="1" ref="Q81" ca="1">INDIRECT(ADDRESS($B81,Plots!$H$4,,,Plots!$A$62))+INDIRECT(ADDRESS($B81,Plots!$H$4,,,Plots!$A$63))+INDIRECT(ADDRESS($B81,Plots!$H$4,,,Plots!$A$64))+INDIRECT(ADDRESS($B81,Plots!$H$4,,,Plots!$A$65))+INDIRECT(ADDRESS($B81,Plots!$H$4,,,Plots!$A$66))+INDIRECT(ADDRESS($B81,Plots!$H$4,,,Plots!$A$67))</f>
        <v>0</v>
      </c>
    </row>
    <row r="82" spans="1:17">
      <c r="A82">
        <f>'AARnetCBR-CamDTN1_tcpmon_ts_11'!A82</f>
        <v>140</v>
      </c>
      <c r="B82">
        <f t="shared" si="0"/>
        <v>82</v>
      </c>
      <c r="C82" cm="1">
        <f t="array" aca="1" ref="C82" ca="1">INDIRECT(ADDRESS($B82,Plots!$H$3,,,Plots!$A$47))</f>
        <v>26.35</v>
      </c>
      <c r="D82" cm="1">
        <f t="array" aca="1" ref="D82" ca="1">INDIRECT(ADDRESS($B82,Plots!$H$3,,,Plots!$A$48))+INDIRECT(ADDRESS($B82,Plots!$H$3,,,Plots!$A$49))</f>
        <v>57.93</v>
      </c>
      <c r="E82" cm="1">
        <f t="array" aca="1" ref="E82" ca="1">INDIRECT(ADDRESS($B82,Plots!$H$3,,,Plots!$A$50))+INDIRECT(ADDRESS($B82,Plots!$H$3,,,Plots!$A$51))+INDIRECT(ADDRESS($B82,Plots!$H$3,,,Plots!$A$52))</f>
        <v>74.23</v>
      </c>
      <c r="F82" cm="1">
        <f t="array" aca="1" ref="F82" ca="1">INDIRECT(ADDRESS($B82,Plots!$H$3,,,Plots!$A$53))+INDIRECT(ADDRESS($B82,Plots!$H$3,,,Plots!$A$54))+INDIRECT(ADDRESS($B82,Plots!$H$3,,,Plots!$A$55))+INDIRECT(ADDRESS($B82,Plots!$H$3,,,Plots!$A$56))</f>
        <v>91.18</v>
      </c>
      <c r="G82" cm="1">
        <f t="array" aca="1" ref="G82" ca="1">INDIRECT(ADDRESS($B82,Plots!$H$3,,,Plots!$A$57))+INDIRECT(ADDRESS($B82,Plots!$H$3,,,Plots!$A$58))+INDIRECT(ADDRESS($B82,Plots!$H$3,,,Plots!$A$59))+INDIRECT(ADDRESS($B82,Plots!$H$3,,,Plots!$A$60))+INDIRECT(ADDRESS($B82,Plots!$H$3,,,Plots!$A$61))</f>
        <v>0</v>
      </c>
      <c r="H82" cm="1">
        <f t="array" aca="1" ref="H82" ca="1">INDIRECT(ADDRESS($B82,Plots!$H$3,,,Plots!$A$62))+INDIRECT(ADDRESS($B82,Plots!$H$3,,,Plots!$A$63))+INDIRECT(ADDRESS($B82,Plots!$H$3,,,Plots!$A$64))+INDIRECT(ADDRESS($B82,Plots!$H$3,,,Plots!$A$65))+INDIRECT(ADDRESS($B82,Plots!$H$3,,,Plots!$A$66))+INDIRECT(ADDRESS($B82,Plots!$H$3,,,Plots!$A$67))</f>
        <v>0</v>
      </c>
      <c r="I82">
        <f>'AARnetCBR-CamDTN1_tcpmon_ts_81'!H86+'AARnetCBR-CamDTN1_tcpmon_ts_82'!H86+'AARnetCBR-CamDTN1_tcpmon_ts_83'!H86+'AARnetCBR-CamDTN1_tcpmon_ts_84'!H86+'AARnetCBR-CamDTN1_tcpmon_ts_85'!H86+'AARnetCBR-CamDTN1_tcpmon_ts_86'!H86+'AARnetCBR-CamDTN1_tcpmon_ts_87'!H86+'AARnetCBR-CamDTN1_tcpmon_ts_88'!H86</f>
        <v>0</v>
      </c>
      <c r="L82" cm="1">
        <f t="array" aca="1" ref="L82" ca="1">INDIRECT(ADDRESS($B82,Plots!$H$4,,,Plots!$A$47))</f>
        <v>0</v>
      </c>
      <c r="M82" cm="1">
        <f t="array" aca="1" ref="M82" ca="1">INDIRECT(ADDRESS($B82,Plots!$H$4,,,Plots!$A$48))+INDIRECT(ADDRESS($B82,Plots!$H$4,,,Plots!$A$49))</f>
        <v>0</v>
      </c>
      <c r="N82" cm="1">
        <f t="array" aca="1" ref="N82" ca="1">INDIRECT(ADDRESS($B82,Plots!$H$4,,,Plots!$A$50))+INDIRECT(ADDRESS($B82,Plots!$H$4,,,Plots!$A$51))+INDIRECT(ADDRESS($B82,Plots!$H$4,,,Plots!$A$52))</f>
        <v>0</v>
      </c>
      <c r="O82" cm="1">
        <f t="array" aca="1" ref="O82" ca="1">INDIRECT(ADDRESS($B82,Plots!$H$4,,,Plots!$A$53))+INDIRECT(ADDRESS($B82,Plots!$H$4,,,Plots!$A$54))+INDIRECT(ADDRESS($B82,Plots!$H$4,,,Plots!$A$55))+INDIRECT(ADDRESS($B82,Plots!$H$4,,,Plots!$A$56))</f>
        <v>0</v>
      </c>
      <c r="P82" cm="1">
        <f t="array" aca="1" ref="P82" ca="1">INDIRECT(ADDRESS($B82,Plots!$H$4,,,Plots!$A$57))+INDIRECT(ADDRESS($B82,Plots!$H$4,,,Plots!$A$58))+INDIRECT(ADDRESS($B82,Plots!$H$4,,,Plots!$A$59))+INDIRECT(ADDRESS($B82,Plots!$H$4,,,Plots!$A$60))+INDIRECT(ADDRESS($B82,Plots!$H$4,,,Plots!$A$61))</f>
        <v>0</v>
      </c>
      <c r="Q82" cm="1">
        <f t="array" aca="1" ref="Q82" ca="1">INDIRECT(ADDRESS($B82,Plots!$H$4,,,Plots!$A$62))+INDIRECT(ADDRESS($B82,Plots!$H$4,,,Plots!$A$63))+INDIRECT(ADDRESS($B82,Plots!$H$4,,,Plots!$A$64))+INDIRECT(ADDRESS($B82,Plots!$H$4,,,Plots!$A$65))+INDIRECT(ADDRESS($B82,Plots!$H$4,,,Plots!$A$66))+INDIRECT(ADDRESS($B82,Plots!$H$4,,,Plots!$A$67))</f>
        <v>0</v>
      </c>
    </row>
    <row r="83" spans="1:17">
      <c r="A83">
        <f>'AARnetCBR-CamDTN1_tcpmon_ts_11'!A83</f>
        <v>142</v>
      </c>
      <c r="B83">
        <f t="shared" si="0"/>
        <v>83</v>
      </c>
      <c r="C83" cm="1">
        <f t="array" aca="1" ref="C83" ca="1">INDIRECT(ADDRESS($B83,Plots!$H$3,,,Plots!$A$47))</f>
        <v>26.23</v>
      </c>
      <c r="D83" cm="1">
        <f t="array" aca="1" ref="D83" ca="1">INDIRECT(ADDRESS($B83,Plots!$H$3,,,Plots!$A$48))+INDIRECT(ADDRESS($B83,Plots!$H$3,,,Plots!$A$49))</f>
        <v>56.26</v>
      </c>
      <c r="E83" cm="1">
        <f t="array" aca="1" ref="E83" ca="1">INDIRECT(ADDRESS($B83,Plots!$H$3,,,Plots!$A$50))+INDIRECT(ADDRESS($B83,Plots!$H$3,,,Plots!$A$51))+INDIRECT(ADDRESS($B83,Plots!$H$3,,,Plots!$A$52))</f>
        <v>60.870000000000005</v>
      </c>
      <c r="F83" cm="1">
        <f t="array" aca="1" ref="F83" ca="1">INDIRECT(ADDRESS($B83,Plots!$H$3,,,Plots!$A$53))+INDIRECT(ADDRESS($B83,Plots!$H$3,,,Plots!$A$54))+INDIRECT(ADDRESS($B83,Plots!$H$3,,,Plots!$A$55))+INDIRECT(ADDRESS($B83,Plots!$H$3,,,Plots!$A$56))</f>
        <v>89.18</v>
      </c>
      <c r="G83" cm="1">
        <f t="array" aca="1" ref="G83" ca="1">INDIRECT(ADDRESS($B83,Plots!$H$3,,,Plots!$A$57))+INDIRECT(ADDRESS($B83,Plots!$H$3,,,Plots!$A$58))+INDIRECT(ADDRESS($B83,Plots!$H$3,,,Plots!$A$59))+INDIRECT(ADDRESS($B83,Plots!$H$3,,,Plots!$A$60))+INDIRECT(ADDRESS($B83,Plots!$H$3,,,Plots!$A$61))</f>
        <v>0</v>
      </c>
      <c r="H83" cm="1">
        <f t="array" aca="1" ref="H83" ca="1">INDIRECT(ADDRESS($B83,Plots!$H$3,,,Plots!$A$62))+INDIRECT(ADDRESS($B83,Plots!$H$3,,,Plots!$A$63))+INDIRECT(ADDRESS($B83,Plots!$H$3,,,Plots!$A$64))+INDIRECT(ADDRESS($B83,Plots!$H$3,,,Plots!$A$65))+INDIRECT(ADDRESS($B83,Plots!$H$3,,,Plots!$A$66))+INDIRECT(ADDRESS($B83,Plots!$H$3,,,Plots!$A$67))</f>
        <v>0</v>
      </c>
      <c r="I83">
        <f>'AARnetCBR-CamDTN1_tcpmon_ts_81'!H87+'AARnetCBR-CamDTN1_tcpmon_ts_82'!H87+'AARnetCBR-CamDTN1_tcpmon_ts_83'!H87+'AARnetCBR-CamDTN1_tcpmon_ts_84'!H87+'AARnetCBR-CamDTN1_tcpmon_ts_85'!H87+'AARnetCBR-CamDTN1_tcpmon_ts_86'!H87+'AARnetCBR-CamDTN1_tcpmon_ts_87'!H87+'AARnetCBR-CamDTN1_tcpmon_ts_88'!H87</f>
        <v>0</v>
      </c>
      <c r="L83" cm="1">
        <f t="array" aca="1" ref="L83" ca="1">INDIRECT(ADDRESS($B83,Plots!$H$4,,,Plots!$A$47))</f>
        <v>0</v>
      </c>
      <c r="M83" cm="1">
        <f t="array" aca="1" ref="M83" ca="1">INDIRECT(ADDRESS($B83,Plots!$H$4,,,Plots!$A$48))+INDIRECT(ADDRESS($B83,Plots!$H$4,,,Plots!$A$49))</f>
        <v>0</v>
      </c>
      <c r="N83" cm="1">
        <f t="array" aca="1" ref="N83" ca="1">INDIRECT(ADDRESS($B83,Plots!$H$4,,,Plots!$A$50))+INDIRECT(ADDRESS($B83,Plots!$H$4,,,Plots!$A$51))+INDIRECT(ADDRESS($B83,Plots!$H$4,,,Plots!$A$52))</f>
        <v>0</v>
      </c>
      <c r="O83" cm="1">
        <f t="array" aca="1" ref="O83" ca="1">INDIRECT(ADDRESS($B83,Plots!$H$4,,,Plots!$A$53))+INDIRECT(ADDRESS($B83,Plots!$H$4,,,Plots!$A$54))+INDIRECT(ADDRESS($B83,Plots!$H$4,,,Plots!$A$55))+INDIRECT(ADDRESS($B83,Plots!$H$4,,,Plots!$A$56))</f>
        <v>0</v>
      </c>
      <c r="P83" cm="1">
        <f t="array" aca="1" ref="P83" ca="1">INDIRECT(ADDRESS($B83,Plots!$H$4,,,Plots!$A$57))+INDIRECT(ADDRESS($B83,Plots!$H$4,,,Plots!$A$58))+INDIRECT(ADDRESS($B83,Plots!$H$4,,,Plots!$A$59))+INDIRECT(ADDRESS($B83,Plots!$H$4,,,Plots!$A$60))+INDIRECT(ADDRESS($B83,Plots!$H$4,,,Plots!$A$61))</f>
        <v>0</v>
      </c>
      <c r="Q83" cm="1">
        <f t="array" aca="1" ref="Q83" ca="1">INDIRECT(ADDRESS($B83,Plots!$H$4,,,Plots!$A$62))+INDIRECT(ADDRESS($B83,Plots!$H$4,,,Plots!$A$63))+INDIRECT(ADDRESS($B83,Plots!$H$4,,,Plots!$A$64))+INDIRECT(ADDRESS($B83,Plots!$H$4,,,Plots!$A$65))+INDIRECT(ADDRESS($B83,Plots!$H$4,,,Plots!$A$66))+INDIRECT(ADDRESS($B83,Plots!$H$4,,,Plots!$A$67))</f>
        <v>0</v>
      </c>
    </row>
    <row r="84" spans="1:17">
      <c r="A84">
        <f>'AARnetCBR-CamDTN1_tcpmon_ts_11'!A84</f>
        <v>144</v>
      </c>
      <c r="B84">
        <f t="shared" si="0"/>
        <v>84</v>
      </c>
      <c r="C84" cm="1">
        <f t="array" aca="1" ref="C84" ca="1">INDIRECT(ADDRESS($B84,Plots!$H$3,,,Plots!$A$47))</f>
        <v>26</v>
      </c>
      <c r="D84" cm="1">
        <f t="array" aca="1" ref="D84" ca="1">INDIRECT(ADDRESS($B84,Plots!$H$3,,,Plots!$A$48))+INDIRECT(ADDRESS($B84,Plots!$H$3,,,Plots!$A$49))</f>
        <v>58.36</v>
      </c>
      <c r="E84" cm="1">
        <f t="array" aca="1" ref="E84" ca="1">INDIRECT(ADDRESS($B84,Plots!$H$3,,,Plots!$A$50))+INDIRECT(ADDRESS($B84,Plots!$H$3,,,Plots!$A$51))+INDIRECT(ADDRESS($B84,Plots!$H$3,,,Plots!$A$52))</f>
        <v>73.5</v>
      </c>
      <c r="F84" cm="1">
        <f t="array" aca="1" ref="F84" ca="1">INDIRECT(ADDRESS($B84,Plots!$H$3,,,Plots!$A$53))+INDIRECT(ADDRESS($B84,Plots!$H$3,,,Plots!$A$54))+INDIRECT(ADDRESS($B84,Plots!$H$3,,,Plots!$A$55))+INDIRECT(ADDRESS($B84,Plots!$H$3,,,Plots!$A$56))</f>
        <v>92.259999999999991</v>
      </c>
      <c r="G84" cm="1">
        <f t="array" aca="1" ref="G84" ca="1">INDIRECT(ADDRESS($B84,Plots!$H$3,,,Plots!$A$57))+INDIRECT(ADDRESS($B84,Plots!$H$3,,,Plots!$A$58))+INDIRECT(ADDRESS($B84,Plots!$H$3,,,Plots!$A$59))+INDIRECT(ADDRESS($B84,Plots!$H$3,,,Plots!$A$60))+INDIRECT(ADDRESS($B84,Plots!$H$3,,,Plots!$A$61))</f>
        <v>0</v>
      </c>
      <c r="H84" cm="1">
        <f t="array" aca="1" ref="H84" ca="1">INDIRECT(ADDRESS($B84,Plots!$H$3,,,Plots!$A$62))+INDIRECT(ADDRESS($B84,Plots!$H$3,,,Plots!$A$63))+INDIRECT(ADDRESS($B84,Plots!$H$3,,,Plots!$A$64))+INDIRECT(ADDRESS($B84,Plots!$H$3,,,Plots!$A$65))+INDIRECT(ADDRESS($B84,Plots!$H$3,,,Plots!$A$66))+INDIRECT(ADDRESS($B84,Plots!$H$3,,,Plots!$A$67))</f>
        <v>0</v>
      </c>
      <c r="I84">
        <f>'AARnetCBR-CamDTN1_tcpmon_ts_81'!H88+'AARnetCBR-CamDTN1_tcpmon_ts_82'!H88+'AARnetCBR-CamDTN1_tcpmon_ts_83'!H88+'AARnetCBR-CamDTN1_tcpmon_ts_84'!H88+'AARnetCBR-CamDTN1_tcpmon_ts_85'!H88+'AARnetCBR-CamDTN1_tcpmon_ts_86'!H88+'AARnetCBR-CamDTN1_tcpmon_ts_87'!H88+'AARnetCBR-CamDTN1_tcpmon_ts_88'!H88</f>
        <v>0</v>
      </c>
      <c r="L84" cm="1">
        <f t="array" aca="1" ref="L84" ca="1">INDIRECT(ADDRESS($B84,Plots!$H$4,,,Plots!$A$47))</f>
        <v>0</v>
      </c>
      <c r="M84" cm="1">
        <f t="array" aca="1" ref="M84" ca="1">INDIRECT(ADDRESS($B84,Plots!$H$4,,,Plots!$A$48))+INDIRECT(ADDRESS($B84,Plots!$H$4,,,Plots!$A$49))</f>
        <v>0</v>
      </c>
      <c r="N84" cm="1">
        <f t="array" aca="1" ref="N84" ca="1">INDIRECT(ADDRESS($B84,Plots!$H$4,,,Plots!$A$50))+INDIRECT(ADDRESS($B84,Plots!$H$4,,,Plots!$A$51))+INDIRECT(ADDRESS($B84,Plots!$H$4,,,Plots!$A$52))</f>
        <v>0</v>
      </c>
      <c r="O84" cm="1">
        <f t="array" aca="1" ref="O84" ca="1">INDIRECT(ADDRESS($B84,Plots!$H$4,,,Plots!$A$53))+INDIRECT(ADDRESS($B84,Plots!$H$4,,,Plots!$A$54))+INDIRECT(ADDRESS($B84,Plots!$H$4,,,Plots!$A$55))+INDIRECT(ADDRESS($B84,Plots!$H$4,,,Plots!$A$56))</f>
        <v>0</v>
      </c>
      <c r="P84" cm="1">
        <f t="array" aca="1" ref="P84" ca="1">INDIRECT(ADDRESS($B84,Plots!$H$4,,,Plots!$A$57))+INDIRECT(ADDRESS($B84,Plots!$H$4,,,Plots!$A$58))+INDIRECT(ADDRESS($B84,Plots!$H$4,,,Plots!$A$59))+INDIRECT(ADDRESS($B84,Plots!$H$4,,,Plots!$A$60))+INDIRECT(ADDRESS($B84,Plots!$H$4,,,Plots!$A$61))</f>
        <v>0</v>
      </c>
      <c r="Q84" cm="1">
        <f t="array" aca="1" ref="Q84" ca="1">INDIRECT(ADDRESS($B84,Plots!$H$4,,,Plots!$A$62))+INDIRECT(ADDRESS($B84,Plots!$H$4,,,Plots!$A$63))+INDIRECT(ADDRESS($B84,Plots!$H$4,,,Plots!$A$64))+INDIRECT(ADDRESS($B84,Plots!$H$4,,,Plots!$A$65))+INDIRECT(ADDRESS($B84,Plots!$H$4,,,Plots!$A$66))+INDIRECT(ADDRESS($B84,Plots!$H$4,,,Plots!$A$67))</f>
        <v>0</v>
      </c>
    </row>
    <row r="85" spans="1:17">
      <c r="A85">
        <f>'AARnetCBR-CamDTN1_tcpmon_ts_11'!A85</f>
        <v>146</v>
      </c>
      <c r="B85">
        <f t="shared" si="0"/>
        <v>85</v>
      </c>
      <c r="C85" cm="1">
        <f t="array" aca="1" ref="C85" ca="1">INDIRECT(ADDRESS($B85,Plots!$H$3,,,Plots!$A$47))</f>
        <v>26.33</v>
      </c>
      <c r="D85" cm="1">
        <f t="array" aca="1" ref="D85" ca="1">INDIRECT(ADDRESS($B85,Plots!$H$3,,,Plots!$A$48))+INDIRECT(ADDRESS($B85,Plots!$H$3,,,Plots!$A$49))</f>
        <v>55.7</v>
      </c>
      <c r="E85" cm="1">
        <f t="array" aca="1" ref="E85" ca="1">INDIRECT(ADDRESS($B85,Plots!$H$3,,,Plots!$A$50))+INDIRECT(ADDRESS($B85,Plots!$H$3,,,Plots!$A$51))+INDIRECT(ADDRESS($B85,Plots!$H$3,,,Plots!$A$52))</f>
        <v>62.08</v>
      </c>
      <c r="F85" cm="1">
        <f t="array" aca="1" ref="F85" ca="1">INDIRECT(ADDRESS($B85,Plots!$H$3,,,Plots!$A$53))+INDIRECT(ADDRESS($B85,Plots!$H$3,,,Plots!$A$54))+INDIRECT(ADDRESS($B85,Plots!$H$3,,,Plots!$A$55))+INDIRECT(ADDRESS($B85,Plots!$H$3,,,Plots!$A$56))</f>
        <v>91.72999999999999</v>
      </c>
      <c r="G85" cm="1">
        <f t="array" aca="1" ref="G85" ca="1">INDIRECT(ADDRESS($B85,Plots!$H$3,,,Plots!$A$57))+INDIRECT(ADDRESS($B85,Plots!$H$3,,,Plots!$A$58))+INDIRECT(ADDRESS($B85,Plots!$H$3,,,Plots!$A$59))+INDIRECT(ADDRESS($B85,Plots!$H$3,,,Plots!$A$60))+INDIRECT(ADDRESS($B85,Plots!$H$3,,,Plots!$A$61))</f>
        <v>0</v>
      </c>
      <c r="H85" cm="1">
        <f t="array" aca="1" ref="H85" ca="1">INDIRECT(ADDRESS($B85,Plots!$H$3,,,Plots!$A$62))+INDIRECT(ADDRESS($B85,Plots!$H$3,,,Plots!$A$63))+INDIRECT(ADDRESS($B85,Plots!$H$3,,,Plots!$A$64))+INDIRECT(ADDRESS($B85,Plots!$H$3,,,Plots!$A$65))+INDIRECT(ADDRESS($B85,Plots!$H$3,,,Plots!$A$66))+INDIRECT(ADDRESS($B85,Plots!$H$3,,,Plots!$A$67))</f>
        <v>0</v>
      </c>
      <c r="I85">
        <f>'AARnetCBR-CamDTN1_tcpmon_ts_81'!H89+'AARnetCBR-CamDTN1_tcpmon_ts_82'!H89+'AARnetCBR-CamDTN1_tcpmon_ts_83'!H89+'AARnetCBR-CamDTN1_tcpmon_ts_84'!H89+'AARnetCBR-CamDTN1_tcpmon_ts_85'!H89+'AARnetCBR-CamDTN1_tcpmon_ts_86'!H89+'AARnetCBR-CamDTN1_tcpmon_ts_87'!H89+'AARnetCBR-CamDTN1_tcpmon_ts_88'!H89</f>
        <v>0</v>
      </c>
      <c r="L85" cm="1">
        <f t="array" aca="1" ref="L85" ca="1">INDIRECT(ADDRESS($B85,Plots!$H$4,,,Plots!$A$47))</f>
        <v>0</v>
      </c>
      <c r="M85" cm="1">
        <f t="array" aca="1" ref="M85" ca="1">INDIRECT(ADDRESS($B85,Plots!$H$4,,,Plots!$A$48))+INDIRECT(ADDRESS($B85,Plots!$H$4,,,Plots!$A$49))</f>
        <v>0</v>
      </c>
      <c r="N85" cm="1">
        <f t="array" aca="1" ref="N85" ca="1">INDIRECT(ADDRESS($B85,Plots!$H$4,,,Plots!$A$50))+INDIRECT(ADDRESS($B85,Plots!$H$4,,,Plots!$A$51))+INDIRECT(ADDRESS($B85,Plots!$H$4,,,Plots!$A$52))</f>
        <v>0</v>
      </c>
      <c r="O85" cm="1">
        <f t="array" aca="1" ref="O85" ca="1">INDIRECT(ADDRESS($B85,Plots!$H$4,,,Plots!$A$53))+INDIRECT(ADDRESS($B85,Plots!$H$4,,,Plots!$A$54))+INDIRECT(ADDRESS($B85,Plots!$H$4,,,Plots!$A$55))+INDIRECT(ADDRESS($B85,Plots!$H$4,,,Plots!$A$56))</f>
        <v>0</v>
      </c>
      <c r="P85" cm="1">
        <f t="array" aca="1" ref="P85" ca="1">INDIRECT(ADDRESS($B85,Plots!$H$4,,,Plots!$A$57))+INDIRECT(ADDRESS($B85,Plots!$H$4,,,Plots!$A$58))+INDIRECT(ADDRESS($B85,Plots!$H$4,,,Plots!$A$59))+INDIRECT(ADDRESS($B85,Plots!$H$4,,,Plots!$A$60))+INDIRECT(ADDRESS($B85,Plots!$H$4,,,Plots!$A$61))</f>
        <v>0</v>
      </c>
      <c r="Q85" cm="1">
        <f t="array" aca="1" ref="Q85" ca="1">INDIRECT(ADDRESS($B85,Plots!$H$4,,,Plots!$A$62))+INDIRECT(ADDRESS($B85,Plots!$H$4,,,Plots!$A$63))+INDIRECT(ADDRESS($B85,Plots!$H$4,,,Plots!$A$64))+INDIRECT(ADDRESS($B85,Plots!$H$4,,,Plots!$A$65))+INDIRECT(ADDRESS($B85,Plots!$H$4,,,Plots!$A$66))+INDIRECT(ADDRESS($B85,Plots!$H$4,,,Plots!$A$67))</f>
        <v>0</v>
      </c>
    </row>
    <row r="86" spans="1:17">
      <c r="A86">
        <f>'AARnetCBR-CamDTN1_tcpmon_ts_11'!A86</f>
        <v>148</v>
      </c>
      <c r="B86">
        <f t="shared" si="0"/>
        <v>86</v>
      </c>
      <c r="C86" cm="1">
        <f t="array" aca="1" ref="C86" ca="1">INDIRECT(ADDRESS($B86,Plots!$H$3,,,Plots!$A$47))</f>
        <v>25.59</v>
      </c>
      <c r="D86" cm="1">
        <f t="array" aca="1" ref="D86" ca="1">INDIRECT(ADDRESS($B86,Plots!$H$3,,,Plots!$A$48))+INDIRECT(ADDRESS($B86,Plots!$H$3,,,Plots!$A$49))</f>
        <v>58.09</v>
      </c>
      <c r="E86" cm="1">
        <f t="array" aca="1" ref="E86" ca="1">INDIRECT(ADDRESS($B86,Plots!$H$3,,,Plots!$A$50))+INDIRECT(ADDRESS($B86,Plots!$H$3,,,Plots!$A$51))+INDIRECT(ADDRESS($B86,Plots!$H$3,,,Plots!$A$52))</f>
        <v>74.31</v>
      </c>
      <c r="F86" cm="1">
        <f t="array" aca="1" ref="F86" ca="1">INDIRECT(ADDRESS($B86,Plots!$H$3,,,Plots!$A$53))+INDIRECT(ADDRESS($B86,Plots!$H$3,,,Plots!$A$54))+INDIRECT(ADDRESS($B86,Plots!$H$3,,,Plots!$A$55))+INDIRECT(ADDRESS($B86,Plots!$H$3,,,Plots!$A$56))</f>
        <v>91.33</v>
      </c>
      <c r="G86" cm="1">
        <f t="array" aca="1" ref="G86" ca="1">INDIRECT(ADDRESS($B86,Plots!$H$3,,,Plots!$A$57))+INDIRECT(ADDRESS($B86,Plots!$H$3,,,Plots!$A$58))+INDIRECT(ADDRESS($B86,Plots!$H$3,,,Plots!$A$59))+INDIRECT(ADDRESS($B86,Plots!$H$3,,,Plots!$A$60))+INDIRECT(ADDRESS($B86,Plots!$H$3,,,Plots!$A$61))</f>
        <v>0</v>
      </c>
      <c r="H86" cm="1">
        <f t="array" aca="1" ref="H86" ca="1">INDIRECT(ADDRESS($B86,Plots!$H$3,,,Plots!$A$62))+INDIRECT(ADDRESS($B86,Plots!$H$3,,,Plots!$A$63))+INDIRECT(ADDRESS($B86,Plots!$H$3,,,Plots!$A$64))+INDIRECT(ADDRESS($B86,Plots!$H$3,,,Plots!$A$65))+INDIRECT(ADDRESS($B86,Plots!$H$3,,,Plots!$A$66))+INDIRECT(ADDRESS($B86,Plots!$H$3,,,Plots!$A$67))</f>
        <v>0</v>
      </c>
      <c r="I86">
        <f>'AARnetCBR-CamDTN1_tcpmon_ts_81'!H90+'AARnetCBR-CamDTN1_tcpmon_ts_82'!H90+'AARnetCBR-CamDTN1_tcpmon_ts_83'!H90+'AARnetCBR-CamDTN1_tcpmon_ts_84'!H90+'AARnetCBR-CamDTN1_tcpmon_ts_85'!H90+'AARnetCBR-CamDTN1_tcpmon_ts_86'!H90+'AARnetCBR-CamDTN1_tcpmon_ts_87'!H90+'AARnetCBR-CamDTN1_tcpmon_ts_88'!H90</f>
        <v>0</v>
      </c>
      <c r="L86" cm="1">
        <f t="array" aca="1" ref="L86" ca="1">INDIRECT(ADDRESS($B86,Plots!$H$4,,,Plots!$A$47))</f>
        <v>0</v>
      </c>
      <c r="M86" cm="1">
        <f t="array" aca="1" ref="M86" ca="1">INDIRECT(ADDRESS($B86,Plots!$H$4,,,Plots!$A$48))+INDIRECT(ADDRESS($B86,Plots!$H$4,,,Plots!$A$49))</f>
        <v>0</v>
      </c>
      <c r="N86" cm="1">
        <f t="array" aca="1" ref="N86" ca="1">INDIRECT(ADDRESS($B86,Plots!$H$4,,,Plots!$A$50))+INDIRECT(ADDRESS($B86,Plots!$H$4,,,Plots!$A$51))+INDIRECT(ADDRESS($B86,Plots!$H$4,,,Plots!$A$52))</f>
        <v>0</v>
      </c>
      <c r="O86" cm="1">
        <f t="array" aca="1" ref="O86" ca="1">INDIRECT(ADDRESS($B86,Plots!$H$4,,,Plots!$A$53))+INDIRECT(ADDRESS($B86,Plots!$H$4,,,Plots!$A$54))+INDIRECT(ADDRESS($B86,Plots!$H$4,,,Plots!$A$55))+INDIRECT(ADDRESS($B86,Plots!$H$4,,,Plots!$A$56))</f>
        <v>0</v>
      </c>
      <c r="P86" cm="1">
        <f t="array" aca="1" ref="P86" ca="1">INDIRECT(ADDRESS($B86,Plots!$H$4,,,Plots!$A$57))+INDIRECT(ADDRESS($B86,Plots!$H$4,,,Plots!$A$58))+INDIRECT(ADDRESS($B86,Plots!$H$4,,,Plots!$A$59))+INDIRECT(ADDRESS($B86,Plots!$H$4,,,Plots!$A$60))+INDIRECT(ADDRESS($B86,Plots!$H$4,,,Plots!$A$61))</f>
        <v>0</v>
      </c>
      <c r="Q86" cm="1">
        <f t="array" aca="1" ref="Q86" ca="1">INDIRECT(ADDRESS($B86,Plots!$H$4,,,Plots!$A$62))+INDIRECT(ADDRESS($B86,Plots!$H$4,,,Plots!$A$63))+INDIRECT(ADDRESS($B86,Plots!$H$4,,,Plots!$A$64))+INDIRECT(ADDRESS($B86,Plots!$H$4,,,Plots!$A$65))+INDIRECT(ADDRESS($B86,Plots!$H$4,,,Plots!$A$66))+INDIRECT(ADDRESS($B86,Plots!$H$4,,,Plots!$A$67))</f>
        <v>0</v>
      </c>
    </row>
    <row r="87" spans="1:17">
      <c r="A87">
        <f>'AARnetCBR-CamDTN1_tcpmon_ts_11'!A87</f>
        <v>150</v>
      </c>
      <c r="B87">
        <f t="shared" si="0"/>
        <v>87</v>
      </c>
      <c r="C87" cm="1">
        <f t="array" aca="1" ref="C87" ca="1">INDIRECT(ADDRESS($B87,Plots!$H$3,,,Plots!$A$47))</f>
        <v>26.47</v>
      </c>
      <c r="D87" cm="1">
        <f t="array" aca="1" ref="D87" ca="1">INDIRECT(ADDRESS($B87,Plots!$H$3,,,Plots!$A$48))+INDIRECT(ADDRESS($B87,Plots!$H$3,,,Plots!$A$49))</f>
        <v>57.08</v>
      </c>
      <c r="E87" cm="1">
        <f t="array" aca="1" ref="E87" ca="1">INDIRECT(ADDRESS($B87,Plots!$H$3,,,Plots!$A$50))+INDIRECT(ADDRESS($B87,Plots!$H$3,,,Plots!$A$51))+INDIRECT(ADDRESS($B87,Plots!$H$3,,,Plots!$A$52))</f>
        <v>60.83</v>
      </c>
      <c r="F87" cm="1">
        <f t="array" aca="1" ref="F87" ca="1">INDIRECT(ADDRESS($B87,Plots!$H$3,,,Plots!$A$53))+INDIRECT(ADDRESS($B87,Plots!$H$3,,,Plots!$A$54))+INDIRECT(ADDRESS($B87,Plots!$H$3,,,Plots!$A$55))+INDIRECT(ADDRESS($B87,Plots!$H$3,,,Plots!$A$56))</f>
        <v>94.759999999999991</v>
      </c>
      <c r="G87" cm="1">
        <f t="array" aca="1" ref="G87" ca="1">INDIRECT(ADDRESS($B87,Plots!$H$3,,,Plots!$A$57))+INDIRECT(ADDRESS($B87,Plots!$H$3,,,Plots!$A$58))+INDIRECT(ADDRESS($B87,Plots!$H$3,,,Plots!$A$59))+INDIRECT(ADDRESS($B87,Plots!$H$3,,,Plots!$A$60))+INDIRECT(ADDRESS($B87,Plots!$H$3,,,Plots!$A$61))</f>
        <v>0</v>
      </c>
      <c r="H87" cm="1">
        <f t="array" aca="1" ref="H87" ca="1">INDIRECT(ADDRESS($B87,Plots!$H$3,,,Plots!$A$62))+INDIRECT(ADDRESS($B87,Plots!$H$3,,,Plots!$A$63))+INDIRECT(ADDRESS($B87,Plots!$H$3,,,Plots!$A$64))+INDIRECT(ADDRESS($B87,Plots!$H$3,,,Plots!$A$65))+INDIRECT(ADDRESS($B87,Plots!$H$3,,,Plots!$A$66))+INDIRECT(ADDRESS($B87,Plots!$H$3,,,Plots!$A$67))</f>
        <v>0</v>
      </c>
      <c r="I87">
        <f>'AARnetCBR-CamDTN1_tcpmon_ts_81'!H91+'AARnetCBR-CamDTN1_tcpmon_ts_82'!H91+'AARnetCBR-CamDTN1_tcpmon_ts_83'!H91+'AARnetCBR-CamDTN1_tcpmon_ts_84'!H91+'AARnetCBR-CamDTN1_tcpmon_ts_85'!H91+'AARnetCBR-CamDTN1_tcpmon_ts_86'!H91+'AARnetCBR-CamDTN1_tcpmon_ts_87'!H91+'AARnetCBR-CamDTN1_tcpmon_ts_88'!H91</f>
        <v>0</v>
      </c>
      <c r="L87" cm="1">
        <f t="array" aca="1" ref="L87" ca="1">INDIRECT(ADDRESS($B87,Plots!$H$4,,,Plots!$A$47))</f>
        <v>0</v>
      </c>
      <c r="M87" cm="1">
        <f t="array" aca="1" ref="M87" ca="1">INDIRECT(ADDRESS($B87,Plots!$H$4,,,Plots!$A$48))+INDIRECT(ADDRESS($B87,Plots!$H$4,,,Plots!$A$49))</f>
        <v>0</v>
      </c>
      <c r="N87" cm="1">
        <f t="array" aca="1" ref="N87" ca="1">INDIRECT(ADDRESS($B87,Plots!$H$4,,,Plots!$A$50))+INDIRECT(ADDRESS($B87,Plots!$H$4,,,Plots!$A$51))+INDIRECT(ADDRESS($B87,Plots!$H$4,,,Plots!$A$52))</f>
        <v>0</v>
      </c>
      <c r="O87" cm="1">
        <f t="array" aca="1" ref="O87" ca="1">INDIRECT(ADDRESS($B87,Plots!$H$4,,,Plots!$A$53))+INDIRECT(ADDRESS($B87,Plots!$H$4,,,Plots!$A$54))+INDIRECT(ADDRESS($B87,Plots!$H$4,,,Plots!$A$55))+INDIRECT(ADDRESS($B87,Plots!$H$4,,,Plots!$A$56))</f>
        <v>0</v>
      </c>
      <c r="P87" cm="1">
        <f t="array" aca="1" ref="P87" ca="1">INDIRECT(ADDRESS($B87,Plots!$H$4,,,Plots!$A$57))+INDIRECT(ADDRESS($B87,Plots!$H$4,,,Plots!$A$58))+INDIRECT(ADDRESS($B87,Plots!$H$4,,,Plots!$A$59))+INDIRECT(ADDRESS($B87,Plots!$H$4,,,Plots!$A$60))+INDIRECT(ADDRESS($B87,Plots!$H$4,,,Plots!$A$61))</f>
        <v>0</v>
      </c>
      <c r="Q87" cm="1">
        <f t="array" aca="1" ref="Q87" ca="1">INDIRECT(ADDRESS($B87,Plots!$H$4,,,Plots!$A$62))+INDIRECT(ADDRESS($B87,Plots!$H$4,,,Plots!$A$63))+INDIRECT(ADDRESS($B87,Plots!$H$4,,,Plots!$A$64))+INDIRECT(ADDRESS($B87,Plots!$H$4,,,Plots!$A$65))+INDIRECT(ADDRESS($B87,Plots!$H$4,,,Plots!$A$66))+INDIRECT(ADDRESS($B87,Plots!$H$4,,,Plots!$A$67))</f>
        <v>0</v>
      </c>
    </row>
    <row r="88" spans="1:17">
      <c r="A88">
        <f>'AARnetCBR-CamDTN1_tcpmon_ts_11'!A88</f>
        <v>152</v>
      </c>
      <c r="B88">
        <f t="shared" si="0"/>
        <v>88</v>
      </c>
      <c r="C88" cm="1">
        <f t="array" aca="1" ref="C88" ca="1">INDIRECT(ADDRESS($B88,Plots!$H$3,,,Plots!$A$47))</f>
        <v>25.48</v>
      </c>
      <c r="D88" cm="1">
        <f t="array" aca="1" ref="D88" ca="1">INDIRECT(ADDRESS($B88,Plots!$H$3,,,Plots!$A$48))+INDIRECT(ADDRESS($B88,Plots!$H$3,,,Plots!$A$49))</f>
        <v>57.64</v>
      </c>
      <c r="E88" cm="1">
        <f t="array" aca="1" ref="E88" ca="1">INDIRECT(ADDRESS($B88,Plots!$H$3,,,Plots!$A$50))+INDIRECT(ADDRESS($B88,Plots!$H$3,,,Plots!$A$51))+INDIRECT(ADDRESS($B88,Plots!$H$3,,,Plots!$A$52))</f>
        <v>72.27000000000001</v>
      </c>
      <c r="F88" cm="1">
        <f t="array" aca="1" ref="F88" ca="1">INDIRECT(ADDRESS($B88,Plots!$H$3,,,Plots!$A$53))+INDIRECT(ADDRESS($B88,Plots!$H$3,,,Plots!$A$54))+INDIRECT(ADDRESS($B88,Plots!$H$3,,,Plots!$A$55))+INDIRECT(ADDRESS($B88,Plots!$H$3,,,Plots!$A$56))</f>
        <v>93.679999999999993</v>
      </c>
      <c r="G88" cm="1">
        <f t="array" aca="1" ref="G88" ca="1">INDIRECT(ADDRESS($B88,Plots!$H$3,,,Plots!$A$57))+INDIRECT(ADDRESS($B88,Plots!$H$3,,,Plots!$A$58))+INDIRECT(ADDRESS($B88,Plots!$H$3,,,Plots!$A$59))+INDIRECT(ADDRESS($B88,Plots!$H$3,,,Plots!$A$60))+INDIRECT(ADDRESS($B88,Plots!$H$3,,,Plots!$A$61))</f>
        <v>0</v>
      </c>
      <c r="H88" cm="1">
        <f t="array" aca="1" ref="H88" ca="1">INDIRECT(ADDRESS($B88,Plots!$H$3,,,Plots!$A$62))+INDIRECT(ADDRESS($B88,Plots!$H$3,,,Plots!$A$63))+INDIRECT(ADDRESS($B88,Plots!$H$3,,,Plots!$A$64))+INDIRECT(ADDRESS($B88,Plots!$H$3,,,Plots!$A$65))+INDIRECT(ADDRESS($B88,Plots!$H$3,,,Plots!$A$66))+INDIRECT(ADDRESS($B88,Plots!$H$3,,,Plots!$A$67))</f>
        <v>0</v>
      </c>
      <c r="I88">
        <f>'AARnetCBR-CamDTN1_tcpmon_ts_81'!H92+'AARnetCBR-CamDTN1_tcpmon_ts_82'!H92+'AARnetCBR-CamDTN1_tcpmon_ts_83'!H92+'AARnetCBR-CamDTN1_tcpmon_ts_84'!H92+'AARnetCBR-CamDTN1_tcpmon_ts_85'!H92+'AARnetCBR-CamDTN1_tcpmon_ts_86'!H92+'AARnetCBR-CamDTN1_tcpmon_ts_87'!H92+'AARnetCBR-CamDTN1_tcpmon_ts_88'!H92</f>
        <v>0</v>
      </c>
      <c r="L88" cm="1">
        <f t="array" aca="1" ref="L88" ca="1">INDIRECT(ADDRESS($B88,Plots!$H$4,,,Plots!$A$47))</f>
        <v>0</v>
      </c>
      <c r="M88" cm="1">
        <f t="array" aca="1" ref="M88" ca="1">INDIRECT(ADDRESS($B88,Plots!$H$4,,,Plots!$A$48))+INDIRECT(ADDRESS($B88,Plots!$H$4,,,Plots!$A$49))</f>
        <v>0</v>
      </c>
      <c r="N88" cm="1">
        <f t="array" aca="1" ref="N88" ca="1">INDIRECT(ADDRESS($B88,Plots!$H$4,,,Plots!$A$50))+INDIRECT(ADDRESS($B88,Plots!$H$4,,,Plots!$A$51))+INDIRECT(ADDRESS($B88,Plots!$H$4,,,Plots!$A$52))</f>
        <v>0</v>
      </c>
      <c r="O88" cm="1">
        <f t="array" aca="1" ref="O88" ca="1">INDIRECT(ADDRESS($B88,Plots!$H$4,,,Plots!$A$53))+INDIRECT(ADDRESS($B88,Plots!$H$4,,,Plots!$A$54))+INDIRECT(ADDRESS($B88,Plots!$H$4,,,Plots!$A$55))+INDIRECT(ADDRESS($B88,Plots!$H$4,,,Plots!$A$56))</f>
        <v>0</v>
      </c>
      <c r="P88" cm="1">
        <f t="array" aca="1" ref="P88" ca="1">INDIRECT(ADDRESS($B88,Plots!$H$4,,,Plots!$A$57))+INDIRECT(ADDRESS($B88,Plots!$H$4,,,Plots!$A$58))+INDIRECT(ADDRESS($B88,Plots!$H$4,,,Plots!$A$59))+INDIRECT(ADDRESS($B88,Plots!$H$4,,,Plots!$A$60))+INDIRECT(ADDRESS($B88,Plots!$H$4,,,Plots!$A$61))</f>
        <v>0</v>
      </c>
      <c r="Q88" cm="1">
        <f t="array" aca="1" ref="Q88" ca="1">INDIRECT(ADDRESS($B88,Plots!$H$4,,,Plots!$A$62))+INDIRECT(ADDRESS($B88,Plots!$H$4,,,Plots!$A$63))+INDIRECT(ADDRESS($B88,Plots!$H$4,,,Plots!$A$64))+INDIRECT(ADDRESS($B88,Plots!$H$4,,,Plots!$A$65))+INDIRECT(ADDRESS($B88,Plots!$H$4,,,Plots!$A$66))+INDIRECT(ADDRESS($B88,Plots!$H$4,,,Plots!$A$67))</f>
        <v>0</v>
      </c>
    </row>
    <row r="89" spans="1:17">
      <c r="A89">
        <f>'AARnetCBR-CamDTN1_tcpmon_ts_11'!A89</f>
        <v>154</v>
      </c>
      <c r="B89">
        <f t="shared" si="0"/>
        <v>89</v>
      </c>
      <c r="C89" cm="1">
        <f t="array" aca="1" ref="C89" ca="1">INDIRECT(ADDRESS($B89,Plots!$H$3,,,Plots!$A$47))</f>
        <v>26.06</v>
      </c>
      <c r="D89" cm="1">
        <f t="array" aca="1" ref="D89" ca="1">INDIRECT(ADDRESS($B89,Plots!$H$3,,,Plots!$A$48))+INDIRECT(ADDRESS($B89,Plots!$H$3,,,Plots!$A$49))</f>
        <v>55.54</v>
      </c>
      <c r="E89" cm="1">
        <f t="array" aca="1" ref="E89" ca="1">INDIRECT(ADDRESS($B89,Plots!$H$3,,,Plots!$A$50))+INDIRECT(ADDRESS($B89,Plots!$H$3,,,Plots!$A$51))+INDIRECT(ADDRESS($B89,Plots!$H$3,,,Plots!$A$52))</f>
        <v>64.09</v>
      </c>
      <c r="F89" cm="1">
        <f t="array" aca="1" ref="F89" ca="1">INDIRECT(ADDRESS($B89,Plots!$H$3,,,Plots!$A$53))+INDIRECT(ADDRESS($B89,Plots!$H$3,,,Plots!$A$54))+INDIRECT(ADDRESS($B89,Plots!$H$3,,,Plots!$A$55))+INDIRECT(ADDRESS($B89,Plots!$H$3,,,Plots!$A$56))</f>
        <v>90.6</v>
      </c>
      <c r="G89" cm="1">
        <f t="array" aca="1" ref="G89" ca="1">INDIRECT(ADDRESS($B89,Plots!$H$3,,,Plots!$A$57))+INDIRECT(ADDRESS($B89,Plots!$H$3,,,Plots!$A$58))+INDIRECT(ADDRESS($B89,Plots!$H$3,,,Plots!$A$59))+INDIRECT(ADDRESS($B89,Plots!$H$3,,,Plots!$A$60))+INDIRECT(ADDRESS($B89,Plots!$H$3,,,Plots!$A$61))</f>
        <v>0</v>
      </c>
      <c r="H89" cm="1">
        <f t="array" aca="1" ref="H89" ca="1">INDIRECT(ADDRESS($B89,Plots!$H$3,,,Plots!$A$62))+INDIRECT(ADDRESS($B89,Plots!$H$3,,,Plots!$A$63))+INDIRECT(ADDRESS($B89,Plots!$H$3,,,Plots!$A$64))+INDIRECT(ADDRESS($B89,Plots!$H$3,,,Plots!$A$65))+INDIRECT(ADDRESS($B89,Plots!$H$3,,,Plots!$A$66))+INDIRECT(ADDRESS($B89,Plots!$H$3,,,Plots!$A$67))</f>
        <v>0</v>
      </c>
      <c r="I89">
        <f>'AARnetCBR-CamDTN1_tcpmon_ts_81'!H93+'AARnetCBR-CamDTN1_tcpmon_ts_82'!H93+'AARnetCBR-CamDTN1_tcpmon_ts_83'!H93+'AARnetCBR-CamDTN1_tcpmon_ts_84'!H93+'AARnetCBR-CamDTN1_tcpmon_ts_85'!H93+'AARnetCBR-CamDTN1_tcpmon_ts_86'!H93+'AARnetCBR-CamDTN1_tcpmon_ts_87'!H93+'AARnetCBR-CamDTN1_tcpmon_ts_88'!H93</f>
        <v>0</v>
      </c>
      <c r="L89" cm="1">
        <f t="array" aca="1" ref="L89" ca="1">INDIRECT(ADDRESS($B89,Plots!$H$4,,,Plots!$A$47))</f>
        <v>0</v>
      </c>
      <c r="M89" cm="1">
        <f t="array" aca="1" ref="M89" ca="1">INDIRECT(ADDRESS($B89,Plots!$H$4,,,Plots!$A$48))+INDIRECT(ADDRESS($B89,Plots!$H$4,,,Plots!$A$49))</f>
        <v>0</v>
      </c>
      <c r="N89" cm="1">
        <f t="array" aca="1" ref="N89" ca="1">INDIRECT(ADDRESS($B89,Plots!$H$4,,,Plots!$A$50))+INDIRECT(ADDRESS($B89,Plots!$H$4,,,Plots!$A$51))+INDIRECT(ADDRESS($B89,Plots!$H$4,,,Plots!$A$52))</f>
        <v>0</v>
      </c>
      <c r="O89" cm="1">
        <f t="array" aca="1" ref="O89" ca="1">INDIRECT(ADDRESS($B89,Plots!$H$4,,,Plots!$A$53))+INDIRECT(ADDRESS($B89,Plots!$H$4,,,Plots!$A$54))+INDIRECT(ADDRESS($B89,Plots!$H$4,,,Plots!$A$55))+INDIRECT(ADDRESS($B89,Plots!$H$4,,,Plots!$A$56))</f>
        <v>0</v>
      </c>
      <c r="P89" cm="1">
        <f t="array" aca="1" ref="P89" ca="1">INDIRECT(ADDRESS($B89,Plots!$H$4,,,Plots!$A$57))+INDIRECT(ADDRESS($B89,Plots!$H$4,,,Plots!$A$58))+INDIRECT(ADDRESS($B89,Plots!$H$4,,,Plots!$A$59))+INDIRECT(ADDRESS($B89,Plots!$H$4,,,Plots!$A$60))+INDIRECT(ADDRESS($B89,Plots!$H$4,,,Plots!$A$61))</f>
        <v>0</v>
      </c>
      <c r="Q89" cm="1">
        <f t="array" aca="1" ref="Q89" ca="1">INDIRECT(ADDRESS($B89,Plots!$H$4,,,Plots!$A$62))+INDIRECT(ADDRESS($B89,Plots!$H$4,,,Plots!$A$63))+INDIRECT(ADDRESS($B89,Plots!$H$4,,,Plots!$A$64))+INDIRECT(ADDRESS($B89,Plots!$H$4,,,Plots!$A$65))+INDIRECT(ADDRESS($B89,Plots!$H$4,,,Plots!$A$66))+INDIRECT(ADDRESS($B89,Plots!$H$4,,,Plots!$A$67))</f>
        <v>0</v>
      </c>
    </row>
    <row r="90" spans="1:17">
      <c r="A90">
        <f>'AARnetCBR-CamDTN1_tcpmon_ts_11'!A90</f>
        <v>156</v>
      </c>
      <c r="B90">
        <f t="shared" si="0"/>
        <v>90</v>
      </c>
      <c r="C90" cm="1">
        <f t="array" aca="1" ref="C90" ca="1">INDIRECT(ADDRESS($B90,Plots!$H$3,,,Plots!$A$47))</f>
        <v>26.2</v>
      </c>
      <c r="D90" cm="1">
        <f t="array" aca="1" ref="D90" ca="1">INDIRECT(ADDRESS($B90,Plots!$H$3,,,Plots!$A$48))+INDIRECT(ADDRESS($B90,Plots!$H$3,,,Plots!$A$49))</f>
        <v>57.879999999999995</v>
      </c>
      <c r="E90" cm="1">
        <f t="array" aca="1" ref="E90" ca="1">INDIRECT(ADDRESS($B90,Plots!$H$3,,,Plots!$A$50))+INDIRECT(ADDRESS($B90,Plots!$H$3,,,Plots!$A$51))+INDIRECT(ADDRESS($B90,Plots!$H$3,,,Plots!$A$52))</f>
        <v>72.88</v>
      </c>
      <c r="F90" cm="1">
        <f t="array" aca="1" ref="F90" ca="1">INDIRECT(ADDRESS($B90,Plots!$H$3,,,Plots!$A$53))+INDIRECT(ADDRESS($B90,Plots!$H$3,,,Plots!$A$54))+INDIRECT(ADDRESS($B90,Plots!$H$3,,,Plots!$A$55))+INDIRECT(ADDRESS($B90,Plots!$H$3,,,Plots!$A$56))</f>
        <v>91.91</v>
      </c>
      <c r="G90" cm="1">
        <f t="array" aca="1" ref="G90" ca="1">INDIRECT(ADDRESS($B90,Plots!$H$3,,,Plots!$A$57))+INDIRECT(ADDRESS($B90,Plots!$H$3,,,Plots!$A$58))+INDIRECT(ADDRESS($B90,Plots!$H$3,,,Plots!$A$59))+INDIRECT(ADDRESS($B90,Plots!$H$3,,,Plots!$A$60))+INDIRECT(ADDRESS($B90,Plots!$H$3,,,Plots!$A$61))</f>
        <v>0</v>
      </c>
      <c r="H90" cm="1">
        <f t="array" aca="1" ref="H90" ca="1">INDIRECT(ADDRESS($B90,Plots!$H$3,,,Plots!$A$62))+INDIRECT(ADDRESS($B90,Plots!$H$3,,,Plots!$A$63))+INDIRECT(ADDRESS($B90,Plots!$H$3,,,Plots!$A$64))+INDIRECT(ADDRESS($B90,Plots!$H$3,,,Plots!$A$65))+INDIRECT(ADDRESS($B90,Plots!$H$3,,,Plots!$A$66))+INDIRECT(ADDRESS($B90,Plots!$H$3,,,Plots!$A$67))</f>
        <v>0</v>
      </c>
      <c r="I90">
        <f>'AARnetCBR-CamDTN1_tcpmon_ts_81'!H94+'AARnetCBR-CamDTN1_tcpmon_ts_82'!H94+'AARnetCBR-CamDTN1_tcpmon_ts_83'!H94+'AARnetCBR-CamDTN1_tcpmon_ts_84'!H94+'AARnetCBR-CamDTN1_tcpmon_ts_85'!H94+'AARnetCBR-CamDTN1_tcpmon_ts_86'!H94+'AARnetCBR-CamDTN1_tcpmon_ts_87'!H94+'AARnetCBR-CamDTN1_tcpmon_ts_88'!H94</f>
        <v>0</v>
      </c>
      <c r="L90" cm="1">
        <f t="array" aca="1" ref="L90" ca="1">INDIRECT(ADDRESS($B90,Plots!$H$4,,,Plots!$A$47))</f>
        <v>0</v>
      </c>
      <c r="M90" cm="1">
        <f t="array" aca="1" ref="M90" ca="1">INDIRECT(ADDRESS($B90,Plots!$H$4,,,Plots!$A$48))+INDIRECT(ADDRESS($B90,Plots!$H$4,,,Plots!$A$49))</f>
        <v>0</v>
      </c>
      <c r="N90" cm="1">
        <f t="array" aca="1" ref="N90" ca="1">INDIRECT(ADDRESS($B90,Plots!$H$4,,,Plots!$A$50))+INDIRECT(ADDRESS($B90,Plots!$H$4,,,Plots!$A$51))+INDIRECT(ADDRESS($B90,Plots!$H$4,,,Plots!$A$52))</f>
        <v>0</v>
      </c>
      <c r="O90" cm="1">
        <f t="array" aca="1" ref="O90" ca="1">INDIRECT(ADDRESS($B90,Plots!$H$4,,,Plots!$A$53))+INDIRECT(ADDRESS($B90,Plots!$H$4,,,Plots!$A$54))+INDIRECT(ADDRESS($B90,Plots!$H$4,,,Plots!$A$55))+INDIRECT(ADDRESS($B90,Plots!$H$4,,,Plots!$A$56))</f>
        <v>0</v>
      </c>
      <c r="P90" cm="1">
        <f t="array" aca="1" ref="P90" ca="1">INDIRECT(ADDRESS($B90,Plots!$H$4,,,Plots!$A$57))+INDIRECT(ADDRESS($B90,Plots!$H$4,,,Plots!$A$58))+INDIRECT(ADDRESS($B90,Plots!$H$4,,,Plots!$A$59))+INDIRECT(ADDRESS($B90,Plots!$H$4,,,Plots!$A$60))+INDIRECT(ADDRESS($B90,Plots!$H$4,,,Plots!$A$61))</f>
        <v>0</v>
      </c>
      <c r="Q90" cm="1">
        <f t="array" aca="1" ref="Q90" ca="1">INDIRECT(ADDRESS($B90,Plots!$H$4,,,Plots!$A$62))+INDIRECT(ADDRESS($B90,Plots!$H$4,,,Plots!$A$63))+INDIRECT(ADDRESS($B90,Plots!$H$4,,,Plots!$A$64))+INDIRECT(ADDRESS($B90,Plots!$H$4,,,Plots!$A$65))+INDIRECT(ADDRESS($B90,Plots!$H$4,,,Plots!$A$66))+INDIRECT(ADDRESS($B90,Plots!$H$4,,,Plots!$A$67))</f>
        <v>0</v>
      </c>
    </row>
    <row r="91" spans="1:17">
      <c r="A91">
        <f>'AARnetCBR-CamDTN1_tcpmon_ts_11'!A91</f>
        <v>158</v>
      </c>
      <c r="B91">
        <f t="shared" si="0"/>
        <v>91</v>
      </c>
      <c r="C91" cm="1">
        <f t="array" aca="1" ref="C91" ca="1">INDIRECT(ADDRESS($B91,Plots!$H$3,,,Plots!$A$47))</f>
        <v>25.8</v>
      </c>
      <c r="D91" cm="1">
        <f t="array" aca="1" ref="D91" ca="1">INDIRECT(ADDRESS($B91,Plots!$H$3,,,Plots!$A$48))+INDIRECT(ADDRESS($B91,Plots!$H$3,,,Plots!$A$49))</f>
        <v>58.89</v>
      </c>
      <c r="E91" cm="1">
        <f t="array" aca="1" ref="E91" ca="1">INDIRECT(ADDRESS($B91,Plots!$H$3,,,Plots!$A$50))+INDIRECT(ADDRESS($B91,Plots!$H$3,,,Plots!$A$51))+INDIRECT(ADDRESS($B91,Plots!$H$3,,,Plots!$A$52))</f>
        <v>59.899999999999991</v>
      </c>
      <c r="F91" cm="1">
        <f t="array" aca="1" ref="F91" ca="1">INDIRECT(ADDRESS($B91,Plots!$H$3,,,Plots!$A$53))+INDIRECT(ADDRESS($B91,Plots!$H$3,,,Plots!$A$54))+INDIRECT(ADDRESS($B91,Plots!$H$3,,,Plots!$A$55))+INDIRECT(ADDRESS($B91,Plots!$H$3,,,Plots!$A$56))</f>
        <v>93.34</v>
      </c>
      <c r="G91" cm="1">
        <f t="array" aca="1" ref="G91" ca="1">INDIRECT(ADDRESS($B91,Plots!$H$3,,,Plots!$A$57))+INDIRECT(ADDRESS($B91,Plots!$H$3,,,Plots!$A$58))+INDIRECT(ADDRESS($B91,Plots!$H$3,,,Plots!$A$59))+INDIRECT(ADDRESS($B91,Plots!$H$3,,,Plots!$A$60))+INDIRECT(ADDRESS($B91,Plots!$H$3,,,Plots!$A$61))</f>
        <v>0</v>
      </c>
      <c r="H91" cm="1">
        <f t="array" aca="1" ref="H91" ca="1">INDIRECT(ADDRESS($B91,Plots!$H$3,,,Plots!$A$62))+INDIRECT(ADDRESS($B91,Plots!$H$3,,,Plots!$A$63))+INDIRECT(ADDRESS($B91,Plots!$H$3,,,Plots!$A$64))+INDIRECT(ADDRESS($B91,Plots!$H$3,,,Plots!$A$65))+INDIRECT(ADDRESS($B91,Plots!$H$3,,,Plots!$A$66))+INDIRECT(ADDRESS($B91,Plots!$H$3,,,Plots!$A$67))</f>
        <v>0</v>
      </c>
      <c r="I91">
        <f>'AARnetCBR-CamDTN1_tcpmon_ts_81'!H95+'AARnetCBR-CamDTN1_tcpmon_ts_82'!H95+'AARnetCBR-CamDTN1_tcpmon_ts_83'!H95+'AARnetCBR-CamDTN1_tcpmon_ts_84'!H95+'AARnetCBR-CamDTN1_tcpmon_ts_85'!H95+'AARnetCBR-CamDTN1_tcpmon_ts_86'!H95+'AARnetCBR-CamDTN1_tcpmon_ts_87'!H95+'AARnetCBR-CamDTN1_tcpmon_ts_88'!H95</f>
        <v>0</v>
      </c>
      <c r="L91" cm="1">
        <f t="array" aca="1" ref="L91" ca="1">INDIRECT(ADDRESS($B91,Plots!$H$4,,,Plots!$A$47))</f>
        <v>0</v>
      </c>
      <c r="M91" cm="1">
        <f t="array" aca="1" ref="M91" ca="1">INDIRECT(ADDRESS($B91,Plots!$H$4,,,Plots!$A$48))+INDIRECT(ADDRESS($B91,Plots!$H$4,,,Plots!$A$49))</f>
        <v>0</v>
      </c>
      <c r="N91" cm="1">
        <f t="array" aca="1" ref="N91" ca="1">INDIRECT(ADDRESS($B91,Plots!$H$4,,,Plots!$A$50))+INDIRECT(ADDRESS($B91,Plots!$H$4,,,Plots!$A$51))+INDIRECT(ADDRESS($B91,Plots!$H$4,,,Plots!$A$52))</f>
        <v>0</v>
      </c>
      <c r="O91" cm="1">
        <f t="array" aca="1" ref="O91" ca="1">INDIRECT(ADDRESS($B91,Plots!$H$4,,,Plots!$A$53))+INDIRECT(ADDRESS($B91,Plots!$H$4,,,Plots!$A$54))+INDIRECT(ADDRESS($B91,Plots!$H$4,,,Plots!$A$55))+INDIRECT(ADDRESS($B91,Plots!$H$4,,,Plots!$A$56))</f>
        <v>0</v>
      </c>
      <c r="P91" cm="1">
        <f t="array" aca="1" ref="P91" ca="1">INDIRECT(ADDRESS($B91,Plots!$H$4,,,Plots!$A$57))+INDIRECT(ADDRESS($B91,Plots!$H$4,,,Plots!$A$58))+INDIRECT(ADDRESS($B91,Plots!$H$4,,,Plots!$A$59))+INDIRECT(ADDRESS($B91,Plots!$H$4,,,Plots!$A$60))+INDIRECT(ADDRESS($B91,Plots!$H$4,,,Plots!$A$61))</f>
        <v>0</v>
      </c>
      <c r="Q91" cm="1">
        <f t="array" aca="1" ref="Q91" ca="1">INDIRECT(ADDRESS($B91,Plots!$H$4,,,Plots!$A$62))+INDIRECT(ADDRESS($B91,Plots!$H$4,,,Plots!$A$63))+INDIRECT(ADDRESS($B91,Plots!$H$4,,,Plots!$A$64))+INDIRECT(ADDRESS($B91,Plots!$H$4,,,Plots!$A$65))+INDIRECT(ADDRESS($B91,Plots!$H$4,,,Plots!$A$66))+INDIRECT(ADDRESS($B91,Plots!$H$4,,,Plots!$A$67))</f>
        <v>0</v>
      </c>
    </row>
    <row r="92" spans="1:17">
      <c r="A92">
        <f>'AARnetCBR-CamDTN1_tcpmon_ts_11'!A92</f>
        <v>160</v>
      </c>
      <c r="B92">
        <f t="shared" si="0"/>
        <v>92</v>
      </c>
      <c r="C92" cm="1">
        <f t="array" aca="1" ref="C92" ca="1">INDIRECT(ADDRESS($B92,Plots!$H$3,,,Plots!$A$47))</f>
        <v>25.91</v>
      </c>
      <c r="D92" cm="1">
        <f t="array" aca="1" ref="D92" ca="1">INDIRECT(ADDRESS($B92,Plots!$H$3,,,Plots!$A$48))+INDIRECT(ADDRESS($B92,Plots!$H$3,,,Plots!$A$49))</f>
        <v>56.31</v>
      </c>
      <c r="E92" cm="1">
        <f t="array" aca="1" ref="E92" ca="1">INDIRECT(ADDRESS($B92,Plots!$H$3,,,Plots!$A$50))+INDIRECT(ADDRESS($B92,Plots!$H$3,,,Plots!$A$51))+INDIRECT(ADDRESS($B92,Plots!$H$3,,,Plots!$A$52))</f>
        <v>74.58</v>
      </c>
      <c r="F92" cm="1">
        <f t="array" aca="1" ref="F92" ca="1">INDIRECT(ADDRESS($B92,Plots!$H$3,,,Plots!$A$53))+INDIRECT(ADDRESS($B92,Plots!$H$3,,,Plots!$A$54))+INDIRECT(ADDRESS($B92,Plots!$H$3,,,Plots!$A$55))+INDIRECT(ADDRESS($B92,Plots!$H$3,,,Plots!$A$56))</f>
        <v>89.9</v>
      </c>
      <c r="G92" cm="1">
        <f t="array" aca="1" ref="G92" ca="1">INDIRECT(ADDRESS($B92,Plots!$H$3,,,Plots!$A$57))+INDIRECT(ADDRESS($B92,Plots!$H$3,,,Plots!$A$58))+INDIRECT(ADDRESS($B92,Plots!$H$3,,,Plots!$A$59))+INDIRECT(ADDRESS($B92,Plots!$H$3,,,Plots!$A$60))+INDIRECT(ADDRESS($B92,Plots!$H$3,,,Plots!$A$61))</f>
        <v>0</v>
      </c>
      <c r="H92" cm="1">
        <f t="array" aca="1" ref="H92" ca="1">INDIRECT(ADDRESS($B92,Plots!$H$3,,,Plots!$A$62))+INDIRECT(ADDRESS($B92,Plots!$H$3,,,Plots!$A$63))+INDIRECT(ADDRESS($B92,Plots!$H$3,,,Plots!$A$64))+INDIRECT(ADDRESS($B92,Plots!$H$3,,,Plots!$A$65))+INDIRECT(ADDRESS($B92,Plots!$H$3,,,Plots!$A$66))+INDIRECT(ADDRESS($B92,Plots!$H$3,,,Plots!$A$67))</f>
        <v>0</v>
      </c>
      <c r="I92">
        <f>'AARnetCBR-CamDTN1_tcpmon_ts_81'!H96+'AARnetCBR-CamDTN1_tcpmon_ts_82'!H96+'AARnetCBR-CamDTN1_tcpmon_ts_83'!H96+'AARnetCBR-CamDTN1_tcpmon_ts_84'!H96+'AARnetCBR-CamDTN1_tcpmon_ts_85'!H96+'AARnetCBR-CamDTN1_tcpmon_ts_86'!H96+'AARnetCBR-CamDTN1_tcpmon_ts_87'!H96+'AARnetCBR-CamDTN1_tcpmon_ts_88'!H96</f>
        <v>0</v>
      </c>
      <c r="L92" cm="1">
        <f t="array" aca="1" ref="L92" ca="1">INDIRECT(ADDRESS($B92,Plots!$H$4,,,Plots!$A$47))</f>
        <v>0</v>
      </c>
      <c r="M92" cm="1">
        <f t="array" aca="1" ref="M92" ca="1">INDIRECT(ADDRESS($B92,Plots!$H$4,,,Plots!$A$48))+INDIRECT(ADDRESS($B92,Plots!$H$4,,,Plots!$A$49))</f>
        <v>0</v>
      </c>
      <c r="N92" cm="1">
        <f t="array" aca="1" ref="N92" ca="1">INDIRECT(ADDRESS($B92,Plots!$H$4,,,Plots!$A$50))+INDIRECT(ADDRESS($B92,Plots!$H$4,,,Plots!$A$51))+INDIRECT(ADDRESS($B92,Plots!$H$4,,,Plots!$A$52))</f>
        <v>0</v>
      </c>
      <c r="O92" cm="1">
        <f t="array" aca="1" ref="O92" ca="1">INDIRECT(ADDRESS($B92,Plots!$H$4,,,Plots!$A$53))+INDIRECT(ADDRESS($B92,Plots!$H$4,,,Plots!$A$54))+INDIRECT(ADDRESS($B92,Plots!$H$4,,,Plots!$A$55))+INDIRECT(ADDRESS($B92,Plots!$H$4,,,Plots!$A$56))</f>
        <v>0</v>
      </c>
      <c r="P92" cm="1">
        <f t="array" aca="1" ref="P92" ca="1">INDIRECT(ADDRESS($B92,Plots!$H$4,,,Plots!$A$57))+INDIRECT(ADDRESS($B92,Plots!$H$4,,,Plots!$A$58))+INDIRECT(ADDRESS($B92,Plots!$H$4,,,Plots!$A$59))+INDIRECT(ADDRESS($B92,Plots!$H$4,,,Plots!$A$60))+INDIRECT(ADDRESS($B92,Plots!$H$4,,,Plots!$A$61))</f>
        <v>0</v>
      </c>
      <c r="Q92" cm="1">
        <f t="array" aca="1" ref="Q92" ca="1">INDIRECT(ADDRESS($B92,Plots!$H$4,,,Plots!$A$62))+INDIRECT(ADDRESS($B92,Plots!$H$4,,,Plots!$A$63))+INDIRECT(ADDRESS($B92,Plots!$H$4,,,Plots!$A$64))+INDIRECT(ADDRESS($B92,Plots!$H$4,,,Plots!$A$65))+INDIRECT(ADDRESS($B92,Plots!$H$4,,,Plots!$A$66))+INDIRECT(ADDRESS($B92,Plots!$H$4,,,Plots!$A$67))</f>
        <v>0</v>
      </c>
    </row>
    <row r="93" spans="1:17">
      <c r="A93">
        <f>'AARnetCBR-CamDTN1_tcpmon_ts_11'!A93</f>
        <v>162</v>
      </c>
      <c r="B93">
        <f t="shared" si="0"/>
        <v>93</v>
      </c>
      <c r="C93" cm="1">
        <f t="array" aca="1" ref="C93" ca="1">INDIRECT(ADDRESS($B93,Plots!$H$3,,,Plots!$A$47))</f>
        <v>26.45</v>
      </c>
      <c r="D93" cm="1">
        <f t="array" aca="1" ref="D93" ca="1">INDIRECT(ADDRESS($B93,Plots!$H$3,,,Plots!$A$48))+INDIRECT(ADDRESS($B93,Plots!$H$3,,,Plots!$A$49))</f>
        <v>57.129999999999995</v>
      </c>
      <c r="E93" cm="1">
        <f t="array" aca="1" ref="E93" ca="1">INDIRECT(ADDRESS($B93,Plots!$H$3,,,Plots!$A$50))+INDIRECT(ADDRESS($B93,Plots!$H$3,,,Plots!$A$51))+INDIRECT(ADDRESS($B93,Plots!$H$3,,,Plots!$A$52))</f>
        <v>60.5</v>
      </c>
      <c r="F93" cm="1">
        <f t="array" aca="1" ref="F93" ca="1">INDIRECT(ADDRESS($B93,Plots!$H$3,,,Plots!$A$53))+INDIRECT(ADDRESS($B93,Plots!$H$3,,,Plots!$A$54))+INDIRECT(ADDRESS($B93,Plots!$H$3,,,Plots!$A$55))+INDIRECT(ADDRESS($B93,Plots!$H$3,,,Plots!$A$56))</f>
        <v>91.679999999999993</v>
      </c>
      <c r="G93" cm="1">
        <f t="array" aca="1" ref="G93" ca="1">INDIRECT(ADDRESS($B93,Plots!$H$3,,,Plots!$A$57))+INDIRECT(ADDRESS($B93,Plots!$H$3,,,Plots!$A$58))+INDIRECT(ADDRESS($B93,Plots!$H$3,,,Plots!$A$59))+INDIRECT(ADDRESS($B93,Plots!$H$3,,,Plots!$A$60))+INDIRECT(ADDRESS($B93,Plots!$H$3,,,Plots!$A$61))</f>
        <v>0</v>
      </c>
      <c r="H93" cm="1">
        <f t="array" aca="1" ref="H93" ca="1">INDIRECT(ADDRESS($B93,Plots!$H$3,,,Plots!$A$62))+INDIRECT(ADDRESS($B93,Plots!$H$3,,,Plots!$A$63))+INDIRECT(ADDRESS($B93,Plots!$H$3,,,Plots!$A$64))+INDIRECT(ADDRESS($B93,Plots!$H$3,,,Plots!$A$65))+INDIRECT(ADDRESS($B93,Plots!$H$3,,,Plots!$A$66))+INDIRECT(ADDRESS($B93,Plots!$H$3,,,Plots!$A$67))</f>
        <v>0</v>
      </c>
      <c r="I93">
        <f>'AARnetCBR-CamDTN1_tcpmon_ts_81'!H97+'AARnetCBR-CamDTN1_tcpmon_ts_82'!H97+'AARnetCBR-CamDTN1_tcpmon_ts_83'!H97+'AARnetCBR-CamDTN1_tcpmon_ts_84'!H97+'AARnetCBR-CamDTN1_tcpmon_ts_85'!H97+'AARnetCBR-CamDTN1_tcpmon_ts_86'!H97+'AARnetCBR-CamDTN1_tcpmon_ts_87'!H97+'AARnetCBR-CamDTN1_tcpmon_ts_88'!H97</f>
        <v>0</v>
      </c>
      <c r="L93" cm="1">
        <f t="array" aca="1" ref="L93" ca="1">INDIRECT(ADDRESS($B93,Plots!$H$4,,,Plots!$A$47))</f>
        <v>0</v>
      </c>
      <c r="M93" cm="1">
        <f t="array" aca="1" ref="M93" ca="1">INDIRECT(ADDRESS($B93,Plots!$H$4,,,Plots!$A$48))+INDIRECT(ADDRESS($B93,Plots!$H$4,,,Plots!$A$49))</f>
        <v>0</v>
      </c>
      <c r="N93" cm="1">
        <f t="array" aca="1" ref="N93" ca="1">INDIRECT(ADDRESS($B93,Plots!$H$4,,,Plots!$A$50))+INDIRECT(ADDRESS($B93,Plots!$H$4,,,Plots!$A$51))+INDIRECT(ADDRESS($B93,Plots!$H$4,,,Plots!$A$52))</f>
        <v>0</v>
      </c>
      <c r="O93" cm="1">
        <f t="array" aca="1" ref="O93" ca="1">INDIRECT(ADDRESS($B93,Plots!$H$4,,,Plots!$A$53))+INDIRECT(ADDRESS($B93,Plots!$H$4,,,Plots!$A$54))+INDIRECT(ADDRESS($B93,Plots!$H$4,,,Plots!$A$55))+INDIRECT(ADDRESS($B93,Plots!$H$4,,,Plots!$A$56))</f>
        <v>0</v>
      </c>
      <c r="P93" cm="1">
        <f t="array" aca="1" ref="P93" ca="1">INDIRECT(ADDRESS($B93,Plots!$H$4,,,Plots!$A$57))+INDIRECT(ADDRESS($B93,Plots!$H$4,,,Plots!$A$58))+INDIRECT(ADDRESS($B93,Plots!$H$4,,,Plots!$A$59))+INDIRECT(ADDRESS($B93,Plots!$H$4,,,Plots!$A$60))+INDIRECT(ADDRESS($B93,Plots!$H$4,,,Plots!$A$61))</f>
        <v>0</v>
      </c>
      <c r="Q93" cm="1">
        <f t="array" aca="1" ref="Q93" ca="1">INDIRECT(ADDRESS($B93,Plots!$H$4,,,Plots!$A$62))+INDIRECT(ADDRESS($B93,Plots!$H$4,,,Plots!$A$63))+INDIRECT(ADDRESS($B93,Plots!$H$4,,,Plots!$A$64))+INDIRECT(ADDRESS($B93,Plots!$H$4,,,Plots!$A$65))+INDIRECT(ADDRESS($B93,Plots!$H$4,,,Plots!$A$66))+INDIRECT(ADDRESS($B93,Plots!$H$4,,,Plots!$A$67))</f>
        <v>0</v>
      </c>
    </row>
    <row r="94" spans="1:17">
      <c r="A94">
        <f>'AARnetCBR-CamDTN1_tcpmon_ts_11'!A94</f>
        <v>164</v>
      </c>
      <c r="B94">
        <f t="shared" si="0"/>
        <v>94</v>
      </c>
      <c r="C94" cm="1">
        <f t="array" aca="1" ref="C94" ca="1">INDIRECT(ADDRESS($B94,Plots!$H$3,,,Plots!$A$47))</f>
        <v>25.11</v>
      </c>
      <c r="D94" cm="1">
        <f t="array" aca="1" ref="D94" ca="1">INDIRECT(ADDRESS($B94,Plots!$H$3,,,Plots!$A$48))+INDIRECT(ADDRESS($B94,Plots!$H$3,,,Plots!$A$49))</f>
        <v>58.15</v>
      </c>
      <c r="E94" cm="1">
        <f t="array" aca="1" ref="E94" ca="1">INDIRECT(ADDRESS($B94,Plots!$H$3,,,Plots!$A$50))+INDIRECT(ADDRESS($B94,Plots!$H$3,,,Plots!$A$51))+INDIRECT(ADDRESS($B94,Plots!$H$3,,,Plots!$A$52))</f>
        <v>74.28</v>
      </c>
      <c r="F94" cm="1">
        <f t="array" aca="1" ref="F94" ca="1">INDIRECT(ADDRESS($B94,Plots!$H$3,,,Plots!$A$53))+INDIRECT(ADDRESS($B94,Plots!$H$3,,,Plots!$A$54))+INDIRECT(ADDRESS($B94,Plots!$H$3,,,Plots!$A$55))+INDIRECT(ADDRESS($B94,Plots!$H$3,,,Plots!$A$56))</f>
        <v>95.3</v>
      </c>
      <c r="G94" cm="1">
        <f t="array" aca="1" ref="G94" ca="1">INDIRECT(ADDRESS($B94,Plots!$H$3,,,Plots!$A$57))+INDIRECT(ADDRESS($B94,Plots!$H$3,,,Plots!$A$58))+INDIRECT(ADDRESS($B94,Plots!$H$3,,,Plots!$A$59))+INDIRECT(ADDRESS($B94,Plots!$H$3,,,Plots!$A$60))+INDIRECT(ADDRESS($B94,Plots!$H$3,,,Plots!$A$61))</f>
        <v>0</v>
      </c>
      <c r="H94" cm="1">
        <f t="array" aca="1" ref="H94" ca="1">INDIRECT(ADDRESS($B94,Plots!$H$3,,,Plots!$A$62))+INDIRECT(ADDRESS($B94,Plots!$H$3,,,Plots!$A$63))+INDIRECT(ADDRESS($B94,Plots!$H$3,,,Plots!$A$64))+INDIRECT(ADDRESS($B94,Plots!$H$3,,,Plots!$A$65))+INDIRECT(ADDRESS($B94,Plots!$H$3,,,Plots!$A$66))+INDIRECT(ADDRESS($B94,Plots!$H$3,,,Plots!$A$67))</f>
        <v>0</v>
      </c>
      <c r="I94">
        <f>'AARnetCBR-CamDTN1_tcpmon_ts_81'!H98+'AARnetCBR-CamDTN1_tcpmon_ts_82'!H98+'AARnetCBR-CamDTN1_tcpmon_ts_83'!H98+'AARnetCBR-CamDTN1_tcpmon_ts_84'!H98+'AARnetCBR-CamDTN1_tcpmon_ts_85'!H98+'AARnetCBR-CamDTN1_tcpmon_ts_86'!H98+'AARnetCBR-CamDTN1_tcpmon_ts_87'!H98+'AARnetCBR-CamDTN1_tcpmon_ts_88'!H98</f>
        <v>0</v>
      </c>
      <c r="L94" cm="1">
        <f t="array" aca="1" ref="L94" ca="1">INDIRECT(ADDRESS($B94,Plots!$H$4,,,Plots!$A$47))</f>
        <v>0</v>
      </c>
      <c r="M94" cm="1">
        <f t="array" aca="1" ref="M94" ca="1">INDIRECT(ADDRESS($B94,Plots!$H$4,,,Plots!$A$48))+INDIRECT(ADDRESS($B94,Plots!$H$4,,,Plots!$A$49))</f>
        <v>0</v>
      </c>
      <c r="N94" cm="1">
        <f t="array" aca="1" ref="N94" ca="1">INDIRECT(ADDRESS($B94,Plots!$H$4,,,Plots!$A$50))+INDIRECT(ADDRESS($B94,Plots!$H$4,,,Plots!$A$51))+INDIRECT(ADDRESS($B94,Plots!$H$4,,,Plots!$A$52))</f>
        <v>0</v>
      </c>
      <c r="O94" cm="1">
        <f t="array" aca="1" ref="O94" ca="1">INDIRECT(ADDRESS($B94,Plots!$H$4,,,Plots!$A$53))+INDIRECT(ADDRESS($B94,Plots!$H$4,,,Plots!$A$54))+INDIRECT(ADDRESS($B94,Plots!$H$4,,,Plots!$A$55))+INDIRECT(ADDRESS($B94,Plots!$H$4,,,Plots!$A$56))</f>
        <v>0</v>
      </c>
      <c r="P94" cm="1">
        <f t="array" aca="1" ref="P94" ca="1">INDIRECT(ADDRESS($B94,Plots!$H$4,,,Plots!$A$57))+INDIRECT(ADDRESS($B94,Plots!$H$4,,,Plots!$A$58))+INDIRECT(ADDRESS($B94,Plots!$H$4,,,Plots!$A$59))+INDIRECT(ADDRESS($B94,Plots!$H$4,,,Plots!$A$60))+INDIRECT(ADDRESS($B94,Plots!$H$4,,,Plots!$A$61))</f>
        <v>0</v>
      </c>
      <c r="Q94" cm="1">
        <f t="array" aca="1" ref="Q94" ca="1">INDIRECT(ADDRESS($B94,Plots!$H$4,,,Plots!$A$62))+INDIRECT(ADDRESS($B94,Plots!$H$4,,,Plots!$A$63))+INDIRECT(ADDRESS($B94,Plots!$H$4,,,Plots!$A$64))+INDIRECT(ADDRESS($B94,Plots!$H$4,,,Plots!$A$65))+INDIRECT(ADDRESS($B94,Plots!$H$4,,,Plots!$A$66))+INDIRECT(ADDRESS($B94,Plots!$H$4,,,Plots!$A$67))</f>
        <v>0</v>
      </c>
    </row>
    <row r="95" spans="1:17">
      <c r="A95">
        <f>'AARnetCBR-CamDTN1_tcpmon_ts_11'!A95</f>
        <v>166</v>
      </c>
      <c r="B95">
        <f t="shared" si="0"/>
        <v>95</v>
      </c>
      <c r="C95" cm="1">
        <f t="array" aca="1" ref="C95" ca="1">INDIRECT(ADDRESS($B95,Plots!$H$3,,,Plots!$A$47))</f>
        <v>25.22</v>
      </c>
      <c r="D95" cm="1">
        <f t="array" aca="1" ref="D95" ca="1">INDIRECT(ADDRESS($B95,Plots!$H$3,,,Plots!$A$48))+INDIRECT(ADDRESS($B95,Plots!$H$3,,,Plots!$A$49))</f>
        <v>55.7</v>
      </c>
      <c r="E95" cm="1">
        <f t="array" aca="1" ref="E95" ca="1">INDIRECT(ADDRESS($B95,Plots!$H$3,,,Plots!$A$50))+INDIRECT(ADDRESS($B95,Plots!$H$3,,,Plots!$A$51))+INDIRECT(ADDRESS($B95,Plots!$H$3,,,Plots!$A$52))</f>
        <v>61.04</v>
      </c>
      <c r="F95" cm="1">
        <f t="array" aca="1" ref="F95" ca="1">INDIRECT(ADDRESS($B95,Plots!$H$3,,,Plots!$A$53))+INDIRECT(ADDRESS($B95,Plots!$H$3,,,Plots!$A$54))+INDIRECT(ADDRESS($B95,Plots!$H$3,,,Plots!$A$55))+INDIRECT(ADDRESS($B95,Plots!$H$3,,,Plots!$A$56))</f>
        <v>63.96</v>
      </c>
      <c r="G95" cm="1">
        <f t="array" aca="1" ref="G95" ca="1">INDIRECT(ADDRESS($B95,Plots!$H$3,,,Plots!$A$57))+INDIRECT(ADDRESS($B95,Plots!$H$3,,,Plots!$A$58))+INDIRECT(ADDRESS($B95,Plots!$H$3,,,Plots!$A$59))+INDIRECT(ADDRESS($B95,Plots!$H$3,,,Plots!$A$60))+INDIRECT(ADDRESS($B95,Plots!$H$3,,,Plots!$A$61))</f>
        <v>0</v>
      </c>
      <c r="H95" cm="1">
        <f t="array" aca="1" ref="H95" ca="1">INDIRECT(ADDRESS($B95,Plots!$H$3,,,Plots!$A$62))+INDIRECT(ADDRESS($B95,Plots!$H$3,,,Plots!$A$63))+INDIRECT(ADDRESS($B95,Plots!$H$3,,,Plots!$A$64))+INDIRECT(ADDRESS($B95,Plots!$H$3,,,Plots!$A$65))+INDIRECT(ADDRESS($B95,Plots!$H$3,,,Plots!$A$66))+INDIRECT(ADDRESS($B95,Plots!$H$3,,,Plots!$A$67))</f>
        <v>0</v>
      </c>
      <c r="I95">
        <f>'AARnetCBR-CamDTN1_tcpmon_ts_81'!H99+'AARnetCBR-CamDTN1_tcpmon_ts_82'!H99+'AARnetCBR-CamDTN1_tcpmon_ts_83'!H99+'AARnetCBR-CamDTN1_tcpmon_ts_84'!H99+'AARnetCBR-CamDTN1_tcpmon_ts_85'!H99+'AARnetCBR-CamDTN1_tcpmon_ts_86'!H99+'AARnetCBR-CamDTN1_tcpmon_ts_87'!H99+'AARnetCBR-CamDTN1_tcpmon_ts_88'!H99</f>
        <v>0</v>
      </c>
      <c r="L95" cm="1">
        <f t="array" aca="1" ref="L95" ca="1">INDIRECT(ADDRESS($B95,Plots!$H$4,,,Plots!$A$47))</f>
        <v>0</v>
      </c>
      <c r="M95" cm="1">
        <f t="array" aca="1" ref="M95" ca="1">INDIRECT(ADDRESS($B95,Plots!$H$4,,,Plots!$A$48))+INDIRECT(ADDRESS($B95,Plots!$H$4,,,Plots!$A$49))</f>
        <v>0</v>
      </c>
      <c r="N95" cm="1">
        <f t="array" aca="1" ref="N95" ca="1">INDIRECT(ADDRESS($B95,Plots!$H$4,,,Plots!$A$50))+INDIRECT(ADDRESS($B95,Plots!$H$4,,,Plots!$A$51))+INDIRECT(ADDRESS($B95,Plots!$H$4,,,Plots!$A$52))</f>
        <v>0</v>
      </c>
      <c r="O95" cm="1">
        <f t="array" aca="1" ref="O95" ca="1">INDIRECT(ADDRESS($B95,Plots!$H$4,,,Plots!$A$53))+INDIRECT(ADDRESS($B95,Plots!$H$4,,,Plots!$A$54))+INDIRECT(ADDRESS($B95,Plots!$H$4,,,Plots!$A$55))+INDIRECT(ADDRESS($B95,Plots!$H$4,,,Plots!$A$56))</f>
        <v>18060</v>
      </c>
      <c r="P95" cm="1">
        <f t="array" aca="1" ref="P95" ca="1">INDIRECT(ADDRESS($B95,Plots!$H$4,,,Plots!$A$57))+INDIRECT(ADDRESS($B95,Plots!$H$4,,,Plots!$A$58))+INDIRECT(ADDRESS($B95,Plots!$H$4,,,Plots!$A$59))+INDIRECT(ADDRESS($B95,Plots!$H$4,,,Plots!$A$60))+INDIRECT(ADDRESS($B95,Plots!$H$4,,,Plots!$A$61))</f>
        <v>0</v>
      </c>
      <c r="Q95" cm="1">
        <f t="array" aca="1" ref="Q95" ca="1">INDIRECT(ADDRESS($B95,Plots!$H$4,,,Plots!$A$62))+INDIRECT(ADDRESS($B95,Plots!$H$4,,,Plots!$A$63))+INDIRECT(ADDRESS($B95,Plots!$H$4,,,Plots!$A$64))+INDIRECT(ADDRESS($B95,Plots!$H$4,,,Plots!$A$65))+INDIRECT(ADDRESS($B95,Plots!$H$4,,,Plots!$A$66))+INDIRECT(ADDRESS($B95,Plots!$H$4,,,Plots!$A$67))</f>
        <v>0</v>
      </c>
    </row>
    <row r="96" spans="1:17">
      <c r="A96">
        <f>'AARnetCBR-CamDTN1_tcpmon_ts_11'!A96</f>
        <v>168</v>
      </c>
      <c r="B96">
        <f t="shared" si="0"/>
        <v>96</v>
      </c>
      <c r="C96" cm="1">
        <f t="array" aca="1" ref="C96" ca="1">INDIRECT(ADDRESS($B96,Plots!$H$3,,,Plots!$A$47))</f>
        <v>26.39</v>
      </c>
      <c r="D96" cm="1">
        <f t="array" aca="1" ref="D96" ca="1">INDIRECT(ADDRESS($B96,Plots!$H$3,,,Plots!$A$48))+INDIRECT(ADDRESS($B96,Plots!$H$3,,,Plots!$A$49))</f>
        <v>57.83</v>
      </c>
      <c r="E96" cm="1">
        <f t="array" aca="1" ref="E96" ca="1">INDIRECT(ADDRESS($B96,Plots!$H$3,,,Plots!$A$50))+INDIRECT(ADDRESS($B96,Plots!$H$3,,,Plots!$A$51))+INDIRECT(ADDRESS($B96,Plots!$H$3,,,Plots!$A$52))</f>
        <v>72.81</v>
      </c>
      <c r="F96" cm="1">
        <f t="array" aca="1" ref="F96" ca="1">INDIRECT(ADDRESS($B96,Plots!$H$3,,,Plots!$A$53))+INDIRECT(ADDRESS($B96,Plots!$H$3,,,Plots!$A$54))+INDIRECT(ADDRESS($B96,Plots!$H$3,,,Plots!$A$55))+INDIRECT(ADDRESS($B96,Plots!$H$3,,,Plots!$A$56))</f>
        <v>75.990000000000009</v>
      </c>
      <c r="G96" cm="1">
        <f t="array" aca="1" ref="G96" ca="1">INDIRECT(ADDRESS($B96,Plots!$H$3,,,Plots!$A$57))+INDIRECT(ADDRESS($B96,Plots!$H$3,,,Plots!$A$58))+INDIRECT(ADDRESS($B96,Plots!$H$3,,,Plots!$A$59))+INDIRECT(ADDRESS($B96,Plots!$H$3,,,Plots!$A$60))+INDIRECT(ADDRESS($B96,Plots!$H$3,,,Plots!$A$61))</f>
        <v>0</v>
      </c>
      <c r="H96" cm="1">
        <f t="array" aca="1" ref="H96" ca="1">INDIRECT(ADDRESS($B96,Plots!$H$3,,,Plots!$A$62))+INDIRECT(ADDRESS($B96,Plots!$H$3,,,Plots!$A$63))+INDIRECT(ADDRESS($B96,Plots!$H$3,,,Plots!$A$64))+INDIRECT(ADDRESS($B96,Plots!$H$3,,,Plots!$A$65))+INDIRECT(ADDRESS($B96,Plots!$H$3,,,Plots!$A$66))+INDIRECT(ADDRESS($B96,Plots!$H$3,,,Plots!$A$67))</f>
        <v>0</v>
      </c>
      <c r="I96">
        <f>'AARnetCBR-CamDTN1_tcpmon_ts_81'!H100+'AARnetCBR-CamDTN1_tcpmon_ts_82'!H100+'AARnetCBR-CamDTN1_tcpmon_ts_83'!H100+'AARnetCBR-CamDTN1_tcpmon_ts_84'!H100+'AARnetCBR-CamDTN1_tcpmon_ts_85'!H100+'AARnetCBR-CamDTN1_tcpmon_ts_86'!H100+'AARnetCBR-CamDTN1_tcpmon_ts_87'!H100+'AARnetCBR-CamDTN1_tcpmon_ts_88'!H100</f>
        <v>0</v>
      </c>
      <c r="L96" cm="1">
        <f t="array" aca="1" ref="L96" ca="1">INDIRECT(ADDRESS($B96,Plots!$H$4,,,Plots!$A$47))</f>
        <v>0</v>
      </c>
      <c r="M96" cm="1">
        <f t="array" aca="1" ref="M96" ca="1">INDIRECT(ADDRESS($B96,Plots!$H$4,,,Plots!$A$48))+INDIRECT(ADDRESS($B96,Plots!$H$4,,,Plots!$A$49))</f>
        <v>0</v>
      </c>
      <c r="N96" cm="1">
        <f t="array" aca="1" ref="N96" ca="1">INDIRECT(ADDRESS($B96,Plots!$H$4,,,Plots!$A$50))+INDIRECT(ADDRESS($B96,Plots!$H$4,,,Plots!$A$51))+INDIRECT(ADDRESS($B96,Plots!$H$4,,,Plots!$A$52))</f>
        <v>0</v>
      </c>
      <c r="O96" cm="1">
        <f t="array" aca="1" ref="O96" ca="1">INDIRECT(ADDRESS($B96,Plots!$H$4,,,Plots!$A$53))+INDIRECT(ADDRESS($B96,Plots!$H$4,,,Plots!$A$54))+INDIRECT(ADDRESS($B96,Plots!$H$4,,,Plots!$A$55))+INDIRECT(ADDRESS($B96,Plots!$H$4,,,Plots!$A$56))</f>
        <v>0</v>
      </c>
      <c r="P96" cm="1">
        <f t="array" aca="1" ref="P96" ca="1">INDIRECT(ADDRESS($B96,Plots!$H$4,,,Plots!$A$57))+INDIRECT(ADDRESS($B96,Plots!$H$4,,,Plots!$A$58))+INDIRECT(ADDRESS($B96,Plots!$H$4,,,Plots!$A$59))+INDIRECT(ADDRESS($B96,Plots!$H$4,,,Plots!$A$60))+INDIRECT(ADDRESS($B96,Plots!$H$4,,,Plots!$A$61))</f>
        <v>0</v>
      </c>
      <c r="Q96" cm="1">
        <f t="array" aca="1" ref="Q96" ca="1">INDIRECT(ADDRESS($B96,Plots!$H$4,,,Plots!$A$62))+INDIRECT(ADDRESS($B96,Plots!$H$4,,,Plots!$A$63))+INDIRECT(ADDRESS($B96,Plots!$H$4,,,Plots!$A$64))+INDIRECT(ADDRESS($B96,Plots!$H$4,,,Plots!$A$65))+INDIRECT(ADDRESS($B96,Plots!$H$4,,,Plots!$A$66))+INDIRECT(ADDRESS($B96,Plots!$H$4,,,Plots!$A$67))</f>
        <v>0</v>
      </c>
    </row>
    <row r="97" spans="1:17">
      <c r="A97">
        <f>'AARnetCBR-CamDTN1_tcpmon_ts_11'!A97</f>
        <v>170</v>
      </c>
      <c r="B97">
        <f t="shared" si="0"/>
        <v>97</v>
      </c>
      <c r="C97" cm="1">
        <f t="array" aca="1" ref="C97" ca="1">INDIRECT(ADDRESS($B97,Plots!$H$3,,,Plots!$A$47))</f>
        <v>26.47</v>
      </c>
      <c r="D97" cm="1">
        <f t="array" aca="1" ref="D97" ca="1">INDIRECT(ADDRESS($B97,Plots!$H$3,,,Plots!$A$48))+INDIRECT(ADDRESS($B97,Plots!$H$3,,,Plots!$A$49))</f>
        <v>56.22</v>
      </c>
      <c r="E97" cm="1">
        <f t="array" aca="1" ref="E97" ca="1">INDIRECT(ADDRESS($B97,Plots!$H$3,,,Plots!$A$50))+INDIRECT(ADDRESS($B97,Plots!$H$3,,,Plots!$A$51))+INDIRECT(ADDRESS($B97,Plots!$H$3,,,Plots!$A$52))</f>
        <v>62.33</v>
      </c>
      <c r="F97" cm="1">
        <f t="array" aca="1" ref="F97" ca="1">INDIRECT(ADDRESS($B97,Plots!$H$3,,,Plots!$A$53))+INDIRECT(ADDRESS($B97,Plots!$H$3,,,Plots!$A$54))+INDIRECT(ADDRESS($B97,Plots!$H$3,,,Plots!$A$55))+INDIRECT(ADDRESS($B97,Plots!$H$3,,,Plots!$A$56))</f>
        <v>76.930000000000007</v>
      </c>
      <c r="G97" cm="1">
        <f t="array" aca="1" ref="G97" ca="1">INDIRECT(ADDRESS($B97,Plots!$H$3,,,Plots!$A$57))+INDIRECT(ADDRESS($B97,Plots!$H$3,,,Plots!$A$58))+INDIRECT(ADDRESS($B97,Plots!$H$3,,,Plots!$A$59))+INDIRECT(ADDRESS($B97,Plots!$H$3,,,Plots!$A$60))+INDIRECT(ADDRESS($B97,Plots!$H$3,,,Plots!$A$61))</f>
        <v>0</v>
      </c>
      <c r="H97" cm="1">
        <f t="array" aca="1" ref="H97" ca="1">INDIRECT(ADDRESS($B97,Plots!$H$3,,,Plots!$A$62))+INDIRECT(ADDRESS($B97,Plots!$H$3,,,Plots!$A$63))+INDIRECT(ADDRESS($B97,Plots!$H$3,,,Plots!$A$64))+INDIRECT(ADDRESS($B97,Plots!$H$3,,,Plots!$A$65))+INDIRECT(ADDRESS($B97,Plots!$H$3,,,Plots!$A$66))+INDIRECT(ADDRESS($B97,Plots!$H$3,,,Plots!$A$67))</f>
        <v>0</v>
      </c>
      <c r="I97">
        <f>'AARnetCBR-CamDTN1_tcpmon_ts_81'!H101+'AARnetCBR-CamDTN1_tcpmon_ts_82'!H101+'AARnetCBR-CamDTN1_tcpmon_ts_83'!H101+'AARnetCBR-CamDTN1_tcpmon_ts_84'!H101+'AARnetCBR-CamDTN1_tcpmon_ts_85'!H101+'AARnetCBR-CamDTN1_tcpmon_ts_86'!H101+'AARnetCBR-CamDTN1_tcpmon_ts_87'!H101+'AARnetCBR-CamDTN1_tcpmon_ts_88'!H101</f>
        <v>0</v>
      </c>
      <c r="L97" cm="1">
        <f t="array" aca="1" ref="L97" ca="1">INDIRECT(ADDRESS($B97,Plots!$H$4,,,Plots!$A$47))</f>
        <v>0</v>
      </c>
      <c r="M97" cm="1">
        <f t="array" aca="1" ref="M97" ca="1">INDIRECT(ADDRESS($B97,Plots!$H$4,,,Plots!$A$48))+INDIRECT(ADDRESS($B97,Plots!$H$4,,,Plots!$A$49))</f>
        <v>0</v>
      </c>
      <c r="N97" cm="1">
        <f t="array" aca="1" ref="N97" ca="1">INDIRECT(ADDRESS($B97,Plots!$H$4,,,Plots!$A$50))+INDIRECT(ADDRESS($B97,Plots!$H$4,,,Plots!$A$51))+INDIRECT(ADDRESS($B97,Plots!$H$4,,,Plots!$A$52))</f>
        <v>0</v>
      </c>
      <c r="O97" cm="1">
        <f t="array" aca="1" ref="O97" ca="1">INDIRECT(ADDRESS($B97,Plots!$H$4,,,Plots!$A$53))+INDIRECT(ADDRESS($B97,Plots!$H$4,,,Plots!$A$54))+INDIRECT(ADDRESS($B97,Plots!$H$4,,,Plots!$A$55))+INDIRECT(ADDRESS($B97,Plots!$H$4,,,Plots!$A$56))</f>
        <v>0</v>
      </c>
      <c r="P97" cm="1">
        <f t="array" aca="1" ref="P97" ca="1">INDIRECT(ADDRESS($B97,Plots!$H$4,,,Plots!$A$57))+INDIRECT(ADDRESS($B97,Plots!$H$4,,,Plots!$A$58))+INDIRECT(ADDRESS($B97,Plots!$H$4,,,Plots!$A$59))+INDIRECT(ADDRESS($B97,Plots!$H$4,,,Plots!$A$60))+INDIRECT(ADDRESS($B97,Plots!$H$4,,,Plots!$A$61))</f>
        <v>0</v>
      </c>
      <c r="Q97" cm="1">
        <f t="array" aca="1" ref="Q97" ca="1">INDIRECT(ADDRESS($B97,Plots!$H$4,,,Plots!$A$62))+INDIRECT(ADDRESS($B97,Plots!$H$4,,,Plots!$A$63))+INDIRECT(ADDRESS($B97,Plots!$H$4,,,Plots!$A$64))+INDIRECT(ADDRESS($B97,Plots!$H$4,,,Plots!$A$65))+INDIRECT(ADDRESS($B97,Plots!$H$4,,,Plots!$A$66))+INDIRECT(ADDRESS($B97,Plots!$H$4,,,Plots!$A$67))</f>
        <v>0</v>
      </c>
    </row>
    <row r="98" spans="1:17">
      <c r="A98">
        <f>'AARnetCBR-CamDTN1_tcpmon_ts_11'!A98</f>
        <v>172</v>
      </c>
      <c r="B98">
        <f t="shared" si="0"/>
        <v>98</v>
      </c>
      <c r="C98" cm="1">
        <f t="array" aca="1" ref="C98" ca="1">INDIRECT(ADDRESS($B98,Plots!$H$3,,,Plots!$A$47))</f>
        <v>26.33</v>
      </c>
      <c r="D98" cm="1">
        <f t="array" aca="1" ref="D98" ca="1">INDIRECT(ADDRESS($B98,Plots!$H$3,,,Plots!$A$48))+INDIRECT(ADDRESS($B98,Plots!$H$3,,,Plots!$A$49))</f>
        <v>57.730000000000004</v>
      </c>
      <c r="E98" cm="1">
        <f t="array" aca="1" ref="E98" ca="1">INDIRECT(ADDRESS($B98,Plots!$H$3,,,Plots!$A$50))+INDIRECT(ADDRESS($B98,Plots!$H$3,,,Plots!$A$51))+INDIRECT(ADDRESS($B98,Plots!$H$3,,,Plots!$A$52))</f>
        <v>74.77</v>
      </c>
      <c r="F98" cm="1">
        <f t="array" aca="1" ref="F98" ca="1">INDIRECT(ADDRESS($B98,Plots!$H$3,,,Plots!$A$53))+INDIRECT(ADDRESS($B98,Plots!$H$3,,,Plots!$A$54))+INDIRECT(ADDRESS($B98,Plots!$H$3,,,Plots!$A$55))+INDIRECT(ADDRESS($B98,Plots!$H$3,,,Plots!$A$56))</f>
        <v>77.88</v>
      </c>
      <c r="G98" cm="1">
        <f t="array" aca="1" ref="G98" ca="1">INDIRECT(ADDRESS($B98,Plots!$H$3,,,Plots!$A$57))+INDIRECT(ADDRESS($B98,Plots!$H$3,,,Plots!$A$58))+INDIRECT(ADDRESS($B98,Plots!$H$3,,,Plots!$A$59))+INDIRECT(ADDRESS($B98,Plots!$H$3,,,Plots!$A$60))+INDIRECT(ADDRESS($B98,Plots!$H$3,,,Plots!$A$61))</f>
        <v>0</v>
      </c>
      <c r="H98" cm="1">
        <f t="array" aca="1" ref="H98" ca="1">INDIRECT(ADDRESS($B98,Plots!$H$3,,,Plots!$A$62))+INDIRECT(ADDRESS($B98,Plots!$H$3,,,Plots!$A$63))+INDIRECT(ADDRESS($B98,Plots!$H$3,,,Plots!$A$64))+INDIRECT(ADDRESS($B98,Plots!$H$3,,,Plots!$A$65))+INDIRECT(ADDRESS($B98,Plots!$H$3,,,Plots!$A$66))+INDIRECT(ADDRESS($B98,Plots!$H$3,,,Plots!$A$67))</f>
        <v>0</v>
      </c>
      <c r="I98">
        <f>'AARnetCBR-CamDTN1_tcpmon_ts_81'!H102+'AARnetCBR-CamDTN1_tcpmon_ts_82'!H102+'AARnetCBR-CamDTN1_tcpmon_ts_83'!H102+'AARnetCBR-CamDTN1_tcpmon_ts_84'!H102+'AARnetCBR-CamDTN1_tcpmon_ts_85'!H102+'AARnetCBR-CamDTN1_tcpmon_ts_86'!H102+'AARnetCBR-CamDTN1_tcpmon_ts_87'!H102+'AARnetCBR-CamDTN1_tcpmon_ts_88'!H102</f>
        <v>0</v>
      </c>
      <c r="L98" cm="1">
        <f t="array" aca="1" ref="L98" ca="1">INDIRECT(ADDRESS($B98,Plots!$H$4,,,Plots!$A$47))</f>
        <v>0</v>
      </c>
      <c r="M98" cm="1">
        <f t="array" aca="1" ref="M98" ca="1">INDIRECT(ADDRESS($B98,Plots!$H$4,,,Plots!$A$48))+INDIRECT(ADDRESS($B98,Plots!$H$4,,,Plots!$A$49))</f>
        <v>0</v>
      </c>
      <c r="N98" cm="1">
        <f t="array" aca="1" ref="N98" ca="1">INDIRECT(ADDRESS($B98,Plots!$H$4,,,Plots!$A$50))+INDIRECT(ADDRESS($B98,Plots!$H$4,,,Plots!$A$51))+INDIRECT(ADDRESS($B98,Plots!$H$4,,,Plots!$A$52))</f>
        <v>0</v>
      </c>
      <c r="O98" cm="1">
        <f t="array" aca="1" ref="O98" ca="1">INDIRECT(ADDRESS($B98,Plots!$H$4,,,Plots!$A$53))+INDIRECT(ADDRESS($B98,Plots!$H$4,,,Plots!$A$54))+INDIRECT(ADDRESS($B98,Plots!$H$4,,,Plots!$A$55))+INDIRECT(ADDRESS($B98,Plots!$H$4,,,Plots!$A$56))</f>
        <v>0</v>
      </c>
      <c r="P98" cm="1">
        <f t="array" aca="1" ref="P98" ca="1">INDIRECT(ADDRESS($B98,Plots!$H$4,,,Plots!$A$57))+INDIRECT(ADDRESS($B98,Plots!$H$4,,,Plots!$A$58))+INDIRECT(ADDRESS($B98,Plots!$H$4,,,Plots!$A$59))+INDIRECT(ADDRESS($B98,Plots!$H$4,,,Plots!$A$60))+INDIRECT(ADDRESS($B98,Plots!$H$4,,,Plots!$A$61))</f>
        <v>0</v>
      </c>
      <c r="Q98" cm="1">
        <f t="array" aca="1" ref="Q98" ca="1">INDIRECT(ADDRESS($B98,Plots!$H$4,,,Plots!$A$62))+INDIRECT(ADDRESS($B98,Plots!$H$4,,,Plots!$A$63))+INDIRECT(ADDRESS($B98,Plots!$H$4,,,Plots!$A$64))+INDIRECT(ADDRESS($B98,Plots!$H$4,,,Plots!$A$65))+INDIRECT(ADDRESS($B98,Plots!$H$4,,,Plots!$A$66))+INDIRECT(ADDRESS($B98,Plots!$H$4,,,Plots!$A$67))</f>
        <v>0</v>
      </c>
    </row>
    <row r="99" spans="1:17">
      <c r="A99">
        <f>'AARnetCBR-CamDTN1_tcpmon_ts_11'!A99</f>
        <v>174</v>
      </c>
      <c r="B99">
        <f t="shared" si="0"/>
        <v>99</v>
      </c>
      <c r="C99" cm="1">
        <f t="array" aca="1" ref="C99" ca="1">INDIRECT(ADDRESS($B99,Plots!$H$3,,,Plots!$A$47))</f>
        <v>25.84</v>
      </c>
      <c r="D99" cm="1">
        <f t="array" aca="1" ref="D99" ca="1">INDIRECT(ADDRESS($B99,Plots!$H$3,,,Plots!$A$48))+INDIRECT(ADDRESS($B99,Plots!$H$3,,,Plots!$A$49))</f>
        <v>57.19</v>
      </c>
      <c r="E99" cm="1">
        <f t="array" aca="1" ref="E99" ca="1">INDIRECT(ADDRESS($B99,Plots!$H$3,,,Plots!$A$50))+INDIRECT(ADDRESS($B99,Plots!$H$3,,,Plots!$A$51))+INDIRECT(ADDRESS($B99,Plots!$H$3,,,Plots!$A$52))</f>
        <v>60.1</v>
      </c>
      <c r="F99" cm="1">
        <f t="array" aca="1" ref="F99" ca="1">INDIRECT(ADDRESS($B99,Plots!$H$3,,,Plots!$A$53))+INDIRECT(ADDRESS($B99,Plots!$H$3,,,Plots!$A$54))+INDIRECT(ADDRESS($B99,Plots!$H$3,,,Plots!$A$55))+INDIRECT(ADDRESS($B99,Plots!$H$3,,,Plots!$A$56))</f>
        <v>79.19</v>
      </c>
      <c r="G99" cm="1">
        <f t="array" aca="1" ref="G99" ca="1">INDIRECT(ADDRESS($B99,Plots!$H$3,,,Plots!$A$57))+INDIRECT(ADDRESS($B99,Plots!$H$3,,,Plots!$A$58))+INDIRECT(ADDRESS($B99,Plots!$H$3,,,Plots!$A$59))+INDIRECT(ADDRESS($B99,Plots!$H$3,,,Plots!$A$60))+INDIRECT(ADDRESS($B99,Plots!$H$3,,,Plots!$A$61))</f>
        <v>0</v>
      </c>
      <c r="H99" cm="1">
        <f t="array" aca="1" ref="H99" ca="1">INDIRECT(ADDRESS($B99,Plots!$H$3,,,Plots!$A$62))+INDIRECT(ADDRESS($B99,Plots!$H$3,,,Plots!$A$63))+INDIRECT(ADDRESS($B99,Plots!$H$3,,,Plots!$A$64))+INDIRECT(ADDRESS($B99,Plots!$H$3,,,Plots!$A$65))+INDIRECT(ADDRESS($B99,Plots!$H$3,,,Plots!$A$66))+INDIRECT(ADDRESS($B99,Plots!$H$3,,,Plots!$A$67))</f>
        <v>0</v>
      </c>
      <c r="I99">
        <f>'AARnetCBR-CamDTN1_tcpmon_ts_81'!H103+'AARnetCBR-CamDTN1_tcpmon_ts_82'!H103+'AARnetCBR-CamDTN1_tcpmon_ts_83'!H103+'AARnetCBR-CamDTN1_tcpmon_ts_84'!H103+'AARnetCBR-CamDTN1_tcpmon_ts_85'!H103+'AARnetCBR-CamDTN1_tcpmon_ts_86'!H103+'AARnetCBR-CamDTN1_tcpmon_ts_87'!H103+'AARnetCBR-CamDTN1_tcpmon_ts_88'!H103</f>
        <v>0</v>
      </c>
      <c r="L99" cm="1">
        <f t="array" aca="1" ref="L99" ca="1">INDIRECT(ADDRESS($B99,Plots!$H$4,,,Plots!$A$47))</f>
        <v>0</v>
      </c>
      <c r="M99" cm="1">
        <f t="array" aca="1" ref="M99" ca="1">INDIRECT(ADDRESS($B99,Plots!$H$4,,,Plots!$A$48))+INDIRECT(ADDRESS($B99,Plots!$H$4,,,Plots!$A$49))</f>
        <v>0</v>
      </c>
      <c r="N99" cm="1">
        <f t="array" aca="1" ref="N99" ca="1">INDIRECT(ADDRESS($B99,Plots!$H$4,,,Plots!$A$50))+INDIRECT(ADDRESS($B99,Plots!$H$4,,,Plots!$A$51))+INDIRECT(ADDRESS($B99,Plots!$H$4,,,Plots!$A$52))</f>
        <v>0</v>
      </c>
      <c r="O99" cm="1">
        <f t="array" aca="1" ref="O99" ca="1">INDIRECT(ADDRESS($B99,Plots!$H$4,,,Plots!$A$53))+INDIRECT(ADDRESS($B99,Plots!$H$4,,,Plots!$A$54))+INDIRECT(ADDRESS($B99,Plots!$H$4,,,Plots!$A$55))+INDIRECT(ADDRESS($B99,Plots!$H$4,,,Plots!$A$56))</f>
        <v>0</v>
      </c>
      <c r="P99" cm="1">
        <f t="array" aca="1" ref="P99" ca="1">INDIRECT(ADDRESS($B99,Plots!$H$4,,,Plots!$A$57))+INDIRECT(ADDRESS($B99,Plots!$H$4,,,Plots!$A$58))+INDIRECT(ADDRESS($B99,Plots!$H$4,,,Plots!$A$59))+INDIRECT(ADDRESS($B99,Plots!$H$4,,,Plots!$A$60))+INDIRECT(ADDRESS($B99,Plots!$H$4,,,Plots!$A$61))</f>
        <v>0</v>
      </c>
      <c r="Q99" cm="1">
        <f t="array" aca="1" ref="Q99" ca="1">INDIRECT(ADDRESS($B99,Plots!$H$4,,,Plots!$A$62))+INDIRECT(ADDRESS($B99,Plots!$H$4,,,Plots!$A$63))+INDIRECT(ADDRESS($B99,Plots!$H$4,,,Plots!$A$64))+INDIRECT(ADDRESS($B99,Plots!$H$4,,,Plots!$A$65))+INDIRECT(ADDRESS($B99,Plots!$H$4,,,Plots!$A$66))+INDIRECT(ADDRESS($B99,Plots!$H$4,,,Plots!$A$67))</f>
        <v>0</v>
      </c>
    </row>
    <row r="100" spans="1:17">
      <c r="A100">
        <f>'AARnetCBR-CamDTN1_tcpmon_ts_11'!A100</f>
        <v>176</v>
      </c>
      <c r="B100">
        <f t="shared" si="0"/>
        <v>100</v>
      </c>
      <c r="C100" cm="1">
        <f t="array" aca="1" ref="C100" ca="1">INDIRECT(ADDRESS($B100,Plots!$H$3,,,Plots!$A$47))</f>
        <v>26.12</v>
      </c>
      <c r="D100" cm="1">
        <f t="array" aca="1" ref="D100" ca="1">INDIRECT(ADDRESS($B100,Plots!$H$3,,,Plots!$A$48))+INDIRECT(ADDRESS($B100,Plots!$H$3,,,Plots!$A$49))</f>
        <v>57.39</v>
      </c>
      <c r="E100" cm="1">
        <f t="array" aca="1" ref="E100" ca="1">INDIRECT(ADDRESS($B100,Plots!$H$3,,,Plots!$A$50))+INDIRECT(ADDRESS($B100,Plots!$H$3,,,Plots!$A$51))+INDIRECT(ADDRESS($B100,Plots!$H$3,,,Plots!$A$52))</f>
        <v>74.319999999999993</v>
      </c>
      <c r="F100" cm="1">
        <f t="array" aca="1" ref="F100" ca="1">INDIRECT(ADDRESS($B100,Plots!$H$3,,,Plots!$A$53))+INDIRECT(ADDRESS($B100,Plots!$H$3,,,Plots!$A$54))+INDIRECT(ADDRESS($B100,Plots!$H$3,,,Plots!$A$55))+INDIRECT(ADDRESS($B100,Plots!$H$3,,,Plots!$A$56))</f>
        <v>80.66</v>
      </c>
      <c r="G100" cm="1">
        <f t="array" aca="1" ref="G100" ca="1">INDIRECT(ADDRESS($B100,Plots!$H$3,,,Plots!$A$57))+INDIRECT(ADDRESS($B100,Plots!$H$3,,,Plots!$A$58))+INDIRECT(ADDRESS($B100,Plots!$H$3,,,Plots!$A$59))+INDIRECT(ADDRESS($B100,Plots!$H$3,,,Plots!$A$60))+INDIRECT(ADDRESS($B100,Plots!$H$3,,,Plots!$A$61))</f>
        <v>0</v>
      </c>
      <c r="H100" cm="1">
        <f t="array" aca="1" ref="H100" ca="1">INDIRECT(ADDRESS($B100,Plots!$H$3,,,Plots!$A$62))+INDIRECT(ADDRESS($B100,Plots!$H$3,,,Plots!$A$63))+INDIRECT(ADDRESS($B100,Plots!$H$3,,,Plots!$A$64))+INDIRECT(ADDRESS($B100,Plots!$H$3,,,Plots!$A$65))+INDIRECT(ADDRESS($B100,Plots!$H$3,,,Plots!$A$66))+INDIRECT(ADDRESS($B100,Plots!$H$3,,,Plots!$A$67))</f>
        <v>0</v>
      </c>
      <c r="I100">
        <f>'AARnetCBR-CamDTN1_tcpmon_ts_81'!H104+'AARnetCBR-CamDTN1_tcpmon_ts_82'!H104+'AARnetCBR-CamDTN1_tcpmon_ts_83'!H104+'AARnetCBR-CamDTN1_tcpmon_ts_84'!H104+'AARnetCBR-CamDTN1_tcpmon_ts_85'!H104+'AARnetCBR-CamDTN1_tcpmon_ts_86'!H104+'AARnetCBR-CamDTN1_tcpmon_ts_87'!H104+'AARnetCBR-CamDTN1_tcpmon_ts_88'!H104</f>
        <v>0</v>
      </c>
      <c r="L100" cm="1">
        <f t="array" aca="1" ref="L100" ca="1">INDIRECT(ADDRESS($B100,Plots!$H$4,,,Plots!$A$47))</f>
        <v>0</v>
      </c>
      <c r="M100" cm="1">
        <f t="array" aca="1" ref="M100" ca="1">INDIRECT(ADDRESS($B100,Plots!$H$4,,,Plots!$A$48))+INDIRECT(ADDRESS($B100,Plots!$H$4,,,Plots!$A$49))</f>
        <v>0</v>
      </c>
      <c r="N100" cm="1">
        <f t="array" aca="1" ref="N100" ca="1">INDIRECT(ADDRESS($B100,Plots!$H$4,,,Plots!$A$50))+INDIRECT(ADDRESS($B100,Plots!$H$4,,,Plots!$A$51))+INDIRECT(ADDRESS($B100,Plots!$H$4,,,Plots!$A$52))</f>
        <v>0</v>
      </c>
      <c r="O100" cm="1">
        <f t="array" aca="1" ref="O100" ca="1">INDIRECT(ADDRESS($B100,Plots!$H$4,,,Plots!$A$53))+INDIRECT(ADDRESS($B100,Plots!$H$4,,,Plots!$A$54))+INDIRECT(ADDRESS($B100,Plots!$H$4,,,Plots!$A$55))+INDIRECT(ADDRESS($B100,Plots!$H$4,,,Plots!$A$56))</f>
        <v>0</v>
      </c>
      <c r="P100" cm="1">
        <f t="array" aca="1" ref="P100" ca="1">INDIRECT(ADDRESS($B100,Plots!$H$4,,,Plots!$A$57))+INDIRECT(ADDRESS($B100,Plots!$H$4,,,Plots!$A$58))+INDIRECT(ADDRESS($B100,Plots!$H$4,,,Plots!$A$59))+INDIRECT(ADDRESS($B100,Plots!$H$4,,,Plots!$A$60))+INDIRECT(ADDRESS($B100,Plots!$H$4,,,Plots!$A$61))</f>
        <v>0</v>
      </c>
      <c r="Q100" cm="1">
        <f t="array" aca="1" ref="Q100" ca="1">INDIRECT(ADDRESS($B100,Plots!$H$4,,,Plots!$A$62))+INDIRECT(ADDRESS($B100,Plots!$H$4,,,Plots!$A$63))+INDIRECT(ADDRESS($B100,Plots!$H$4,,,Plots!$A$64))+INDIRECT(ADDRESS($B100,Plots!$H$4,,,Plots!$A$65))+INDIRECT(ADDRESS($B100,Plots!$H$4,,,Plots!$A$66))+INDIRECT(ADDRESS($B100,Plots!$H$4,,,Plots!$A$67))</f>
        <v>0</v>
      </c>
    </row>
    <row r="101" spans="1:17">
      <c r="A101">
        <f>'AARnetCBR-CamDTN1_tcpmon_ts_11'!A101</f>
        <v>178</v>
      </c>
      <c r="B101">
        <f t="shared" si="0"/>
        <v>101</v>
      </c>
      <c r="C101" cm="1">
        <f t="array" aca="1" ref="C101" ca="1">INDIRECT(ADDRESS($B101,Plots!$H$3,,,Plots!$A$47))</f>
        <v>26.14</v>
      </c>
      <c r="D101" cm="1">
        <f t="array" aca="1" ref="D101" ca="1">INDIRECT(ADDRESS($B101,Plots!$H$3,,,Plots!$A$48))+INDIRECT(ADDRESS($B101,Plots!$H$3,,,Plots!$A$49))</f>
        <v>56.5</v>
      </c>
      <c r="E101" cm="1">
        <f t="array" aca="1" ref="E101" ca="1">INDIRECT(ADDRESS($B101,Plots!$H$3,,,Plots!$A$50))+INDIRECT(ADDRESS($B101,Plots!$H$3,,,Plots!$A$51))+INDIRECT(ADDRESS($B101,Plots!$H$3,,,Plots!$A$52))</f>
        <v>60.65</v>
      </c>
      <c r="F101" cm="1">
        <f t="array" aca="1" ref="F101" ca="1">INDIRECT(ADDRESS($B101,Plots!$H$3,,,Plots!$A$53))+INDIRECT(ADDRESS($B101,Plots!$H$3,,,Plots!$A$54))+INDIRECT(ADDRESS($B101,Plots!$H$3,,,Plots!$A$55))+INDIRECT(ADDRESS($B101,Plots!$H$3,,,Plots!$A$56))</f>
        <v>78.570000000000007</v>
      </c>
      <c r="G101" cm="1">
        <f t="array" aca="1" ref="G101" ca="1">INDIRECT(ADDRESS($B101,Plots!$H$3,,,Plots!$A$57))+INDIRECT(ADDRESS($B101,Plots!$H$3,,,Plots!$A$58))+INDIRECT(ADDRESS($B101,Plots!$H$3,,,Plots!$A$59))+INDIRECT(ADDRESS($B101,Plots!$H$3,,,Plots!$A$60))+INDIRECT(ADDRESS($B101,Plots!$H$3,,,Plots!$A$61))</f>
        <v>0</v>
      </c>
      <c r="H101" cm="1">
        <f t="array" aca="1" ref="H101" ca="1">INDIRECT(ADDRESS($B101,Plots!$H$3,,,Plots!$A$62))+INDIRECT(ADDRESS($B101,Plots!$H$3,,,Plots!$A$63))+INDIRECT(ADDRESS($B101,Plots!$H$3,,,Plots!$A$64))+INDIRECT(ADDRESS($B101,Plots!$H$3,,,Plots!$A$65))+INDIRECT(ADDRESS($B101,Plots!$H$3,,,Plots!$A$66))+INDIRECT(ADDRESS($B101,Plots!$H$3,,,Plots!$A$67))</f>
        <v>0</v>
      </c>
      <c r="I101">
        <f>'AARnetCBR-CamDTN1_tcpmon_ts_81'!H105+'AARnetCBR-CamDTN1_tcpmon_ts_82'!H105+'AARnetCBR-CamDTN1_tcpmon_ts_83'!H105+'AARnetCBR-CamDTN1_tcpmon_ts_84'!H105+'AARnetCBR-CamDTN1_tcpmon_ts_85'!H105+'AARnetCBR-CamDTN1_tcpmon_ts_86'!H105+'AARnetCBR-CamDTN1_tcpmon_ts_87'!H105+'AARnetCBR-CamDTN1_tcpmon_ts_88'!H105</f>
        <v>0</v>
      </c>
      <c r="L101" cm="1">
        <f t="array" aca="1" ref="L101" ca="1">INDIRECT(ADDRESS($B101,Plots!$H$4,,,Plots!$A$47))</f>
        <v>0</v>
      </c>
      <c r="M101" cm="1">
        <f t="array" aca="1" ref="M101" ca="1">INDIRECT(ADDRESS($B101,Plots!$H$4,,,Plots!$A$48))+INDIRECT(ADDRESS($B101,Plots!$H$4,,,Plots!$A$49))</f>
        <v>0</v>
      </c>
      <c r="N101" cm="1">
        <f t="array" aca="1" ref="N101" ca="1">INDIRECT(ADDRESS($B101,Plots!$H$4,,,Plots!$A$50))+INDIRECT(ADDRESS($B101,Plots!$H$4,,,Plots!$A$51))+INDIRECT(ADDRESS($B101,Plots!$H$4,,,Plots!$A$52))</f>
        <v>0</v>
      </c>
      <c r="O101" cm="1">
        <f t="array" aca="1" ref="O101" ca="1">INDIRECT(ADDRESS($B101,Plots!$H$4,,,Plots!$A$53))+INDIRECT(ADDRESS($B101,Plots!$H$4,,,Plots!$A$54))+INDIRECT(ADDRESS($B101,Plots!$H$4,,,Plots!$A$55))+INDIRECT(ADDRESS($B101,Plots!$H$4,,,Plots!$A$56))</f>
        <v>0</v>
      </c>
      <c r="P101" cm="1">
        <f t="array" aca="1" ref="P101" ca="1">INDIRECT(ADDRESS($B101,Plots!$H$4,,,Plots!$A$57))+INDIRECT(ADDRESS($B101,Plots!$H$4,,,Plots!$A$58))+INDIRECT(ADDRESS($B101,Plots!$H$4,,,Plots!$A$59))+INDIRECT(ADDRESS($B101,Plots!$H$4,,,Plots!$A$60))+INDIRECT(ADDRESS($B101,Plots!$H$4,,,Plots!$A$61))</f>
        <v>0</v>
      </c>
      <c r="Q101" cm="1">
        <f t="array" aca="1" ref="Q101" ca="1">INDIRECT(ADDRESS($B101,Plots!$H$4,,,Plots!$A$62))+INDIRECT(ADDRESS($B101,Plots!$H$4,,,Plots!$A$63))+INDIRECT(ADDRESS($B101,Plots!$H$4,,,Plots!$A$64))+INDIRECT(ADDRESS($B101,Plots!$H$4,,,Plots!$A$65))+INDIRECT(ADDRESS($B101,Plots!$H$4,,,Plots!$A$66))+INDIRECT(ADDRESS($B101,Plots!$H$4,,,Plots!$A$67))</f>
        <v>0</v>
      </c>
    </row>
    <row r="102" spans="1:17">
      <c r="A102">
        <f>'AARnetCBR-CamDTN1_tcpmon_ts_11'!A102</f>
        <v>180</v>
      </c>
      <c r="B102">
        <f t="shared" si="0"/>
        <v>102</v>
      </c>
      <c r="C102" cm="1">
        <f t="array" aca="1" ref="C102" ca="1">INDIRECT(ADDRESS($B102,Plots!$H$3,,,Plots!$A$47))</f>
        <v>26.12</v>
      </c>
      <c r="D102" cm="1">
        <f t="array" aca="1" ref="D102" ca="1">INDIRECT(ADDRESS($B102,Plots!$H$3,,,Plots!$A$48))+INDIRECT(ADDRESS($B102,Plots!$H$3,,,Plots!$A$49))</f>
        <v>58.370000000000005</v>
      </c>
      <c r="E102" cm="1">
        <f t="array" aca="1" ref="E102" ca="1">INDIRECT(ADDRESS($B102,Plots!$H$3,,,Plots!$A$50))+INDIRECT(ADDRESS($B102,Plots!$H$3,,,Plots!$A$51))+INDIRECT(ADDRESS($B102,Plots!$H$3,,,Plots!$A$52))</f>
        <v>74.53</v>
      </c>
      <c r="F102" cm="1">
        <f t="array" aca="1" ref="F102" ca="1">INDIRECT(ADDRESS($B102,Plots!$H$3,,,Plots!$A$53))+INDIRECT(ADDRESS($B102,Plots!$H$3,,,Plots!$A$54))+INDIRECT(ADDRESS($B102,Plots!$H$3,,,Plots!$A$55))+INDIRECT(ADDRESS($B102,Plots!$H$3,,,Plots!$A$56))</f>
        <v>88.300000000000011</v>
      </c>
      <c r="G102" cm="1">
        <f t="array" aca="1" ref="G102" ca="1">INDIRECT(ADDRESS($B102,Plots!$H$3,,,Plots!$A$57))+INDIRECT(ADDRESS($B102,Plots!$H$3,,,Plots!$A$58))+INDIRECT(ADDRESS($B102,Plots!$H$3,,,Plots!$A$59))+INDIRECT(ADDRESS($B102,Plots!$H$3,,,Plots!$A$60))+INDIRECT(ADDRESS($B102,Plots!$H$3,,,Plots!$A$61))</f>
        <v>0</v>
      </c>
      <c r="H102" cm="1">
        <f t="array" aca="1" ref="H102" ca="1">INDIRECT(ADDRESS($B102,Plots!$H$3,,,Plots!$A$62))+INDIRECT(ADDRESS($B102,Plots!$H$3,,,Plots!$A$63))+INDIRECT(ADDRESS($B102,Plots!$H$3,,,Plots!$A$64))+INDIRECT(ADDRESS($B102,Plots!$H$3,,,Plots!$A$65))+INDIRECT(ADDRESS($B102,Plots!$H$3,,,Plots!$A$66))+INDIRECT(ADDRESS($B102,Plots!$H$3,,,Plots!$A$67))</f>
        <v>0</v>
      </c>
      <c r="I102">
        <f>'AARnetCBR-CamDTN1_tcpmon_ts_81'!H106+'AARnetCBR-CamDTN1_tcpmon_ts_82'!H106+'AARnetCBR-CamDTN1_tcpmon_ts_83'!H106+'AARnetCBR-CamDTN1_tcpmon_ts_84'!H106+'AARnetCBR-CamDTN1_tcpmon_ts_85'!H106+'AARnetCBR-CamDTN1_tcpmon_ts_86'!H106+'AARnetCBR-CamDTN1_tcpmon_ts_87'!H106+'AARnetCBR-CamDTN1_tcpmon_ts_88'!H106</f>
        <v>0</v>
      </c>
      <c r="L102" cm="1">
        <f t="array" aca="1" ref="L102" ca="1">INDIRECT(ADDRESS($B102,Plots!$H$4,,,Plots!$A$47))</f>
        <v>0</v>
      </c>
      <c r="M102" cm="1">
        <f t="array" aca="1" ref="M102" ca="1">INDIRECT(ADDRESS($B102,Plots!$H$4,,,Plots!$A$48))+INDIRECT(ADDRESS($B102,Plots!$H$4,,,Plots!$A$49))</f>
        <v>0</v>
      </c>
      <c r="N102" cm="1">
        <f t="array" aca="1" ref="N102" ca="1">INDIRECT(ADDRESS($B102,Plots!$H$4,,,Plots!$A$50))+INDIRECT(ADDRESS($B102,Plots!$H$4,,,Plots!$A$51))+INDIRECT(ADDRESS($B102,Plots!$H$4,,,Plots!$A$52))</f>
        <v>0</v>
      </c>
      <c r="O102" cm="1">
        <f t="array" aca="1" ref="O102" ca="1">INDIRECT(ADDRESS($B102,Plots!$H$4,,,Plots!$A$53))+INDIRECT(ADDRESS($B102,Plots!$H$4,,,Plots!$A$54))+INDIRECT(ADDRESS($B102,Plots!$H$4,,,Plots!$A$55))+INDIRECT(ADDRESS($B102,Plots!$H$4,,,Plots!$A$56))</f>
        <v>0</v>
      </c>
      <c r="P102" cm="1">
        <f t="array" aca="1" ref="P102" ca="1">INDIRECT(ADDRESS($B102,Plots!$H$4,,,Plots!$A$57))+INDIRECT(ADDRESS($B102,Plots!$H$4,,,Plots!$A$58))+INDIRECT(ADDRESS($B102,Plots!$H$4,,,Plots!$A$59))+INDIRECT(ADDRESS($B102,Plots!$H$4,,,Plots!$A$60))+INDIRECT(ADDRESS($B102,Plots!$H$4,,,Plots!$A$61))</f>
        <v>0</v>
      </c>
      <c r="Q102" cm="1">
        <f t="array" aca="1" ref="Q102" ca="1">INDIRECT(ADDRESS($B102,Plots!$H$4,,,Plots!$A$62))+INDIRECT(ADDRESS($B102,Plots!$H$4,,,Plots!$A$63))+INDIRECT(ADDRESS($B102,Plots!$H$4,,,Plots!$A$64))+INDIRECT(ADDRESS($B102,Plots!$H$4,,,Plots!$A$65))+INDIRECT(ADDRESS($B102,Plots!$H$4,,,Plots!$A$66))+INDIRECT(ADDRESS($B102,Plots!$H$4,,,Plots!$A$67))</f>
        <v>0</v>
      </c>
    </row>
    <row r="103" spans="1:17">
      <c r="A103">
        <f>'AARnetCBR-CamDTN1_tcpmon_ts_11'!A103</f>
        <v>182</v>
      </c>
      <c r="B103">
        <f t="shared" si="0"/>
        <v>103</v>
      </c>
      <c r="C103" cm="1">
        <f t="array" aca="1" ref="C103" ca="1">INDIRECT(ADDRESS($B103,Plots!$H$3,,,Plots!$A$47))</f>
        <v>25.53</v>
      </c>
      <c r="D103" cm="1">
        <f t="array" aca="1" ref="D103" ca="1">INDIRECT(ADDRESS($B103,Plots!$H$3,,,Plots!$A$48))+INDIRECT(ADDRESS($B103,Plots!$H$3,,,Plots!$A$49))</f>
        <v>54.13</v>
      </c>
      <c r="E103" cm="1">
        <f t="array" aca="1" ref="E103" ca="1">INDIRECT(ADDRESS($B103,Plots!$H$3,,,Plots!$A$50))+INDIRECT(ADDRESS($B103,Plots!$H$3,,,Plots!$A$51))+INDIRECT(ADDRESS($B103,Plots!$H$3,,,Plots!$A$52))</f>
        <v>60.2</v>
      </c>
      <c r="F103" cm="1">
        <f t="array" aca="1" ref="F103" ca="1">INDIRECT(ADDRESS($B103,Plots!$H$3,,,Plots!$A$53))+INDIRECT(ADDRESS($B103,Plots!$H$3,,,Plots!$A$54))+INDIRECT(ADDRESS($B103,Plots!$H$3,,,Plots!$A$55))+INDIRECT(ADDRESS($B103,Plots!$H$3,,,Plots!$A$56))</f>
        <v>78.760000000000005</v>
      </c>
      <c r="G103" cm="1">
        <f t="array" aca="1" ref="G103" ca="1">INDIRECT(ADDRESS($B103,Plots!$H$3,,,Plots!$A$57))+INDIRECT(ADDRESS($B103,Plots!$H$3,,,Plots!$A$58))+INDIRECT(ADDRESS($B103,Plots!$H$3,,,Plots!$A$59))+INDIRECT(ADDRESS($B103,Plots!$H$3,,,Plots!$A$60))+INDIRECT(ADDRESS($B103,Plots!$H$3,,,Plots!$A$61))</f>
        <v>0</v>
      </c>
      <c r="H103" cm="1">
        <f t="array" aca="1" ref="H103" ca="1">INDIRECT(ADDRESS($B103,Plots!$H$3,,,Plots!$A$62))+INDIRECT(ADDRESS($B103,Plots!$H$3,,,Plots!$A$63))+INDIRECT(ADDRESS($B103,Plots!$H$3,,,Plots!$A$64))+INDIRECT(ADDRESS($B103,Plots!$H$3,,,Plots!$A$65))+INDIRECT(ADDRESS($B103,Plots!$H$3,,,Plots!$A$66))+INDIRECT(ADDRESS($B103,Plots!$H$3,,,Plots!$A$67))</f>
        <v>0</v>
      </c>
      <c r="I103">
        <f>'AARnetCBR-CamDTN1_tcpmon_ts_81'!H107+'AARnetCBR-CamDTN1_tcpmon_ts_82'!H107+'AARnetCBR-CamDTN1_tcpmon_ts_83'!H107+'AARnetCBR-CamDTN1_tcpmon_ts_84'!H107+'AARnetCBR-CamDTN1_tcpmon_ts_85'!H107+'AARnetCBR-CamDTN1_tcpmon_ts_86'!H107+'AARnetCBR-CamDTN1_tcpmon_ts_87'!H107+'AARnetCBR-CamDTN1_tcpmon_ts_88'!H107</f>
        <v>0</v>
      </c>
      <c r="L103" cm="1">
        <f t="array" aca="1" ref="L103" ca="1">INDIRECT(ADDRESS($B103,Plots!$H$4,,,Plots!$A$47))</f>
        <v>0</v>
      </c>
      <c r="M103" cm="1">
        <f t="array" aca="1" ref="M103" ca="1">INDIRECT(ADDRESS($B103,Plots!$H$4,,,Plots!$A$48))+INDIRECT(ADDRESS($B103,Plots!$H$4,,,Plots!$A$49))</f>
        <v>0</v>
      </c>
      <c r="N103" cm="1">
        <f t="array" aca="1" ref="N103" ca="1">INDIRECT(ADDRESS($B103,Plots!$H$4,,,Plots!$A$50))+INDIRECT(ADDRESS($B103,Plots!$H$4,,,Plots!$A$51))+INDIRECT(ADDRESS($B103,Plots!$H$4,,,Plots!$A$52))</f>
        <v>0</v>
      </c>
      <c r="O103" cm="1">
        <f t="array" aca="1" ref="O103" ca="1">INDIRECT(ADDRESS($B103,Plots!$H$4,,,Plots!$A$53))+INDIRECT(ADDRESS($B103,Plots!$H$4,,,Plots!$A$54))+INDIRECT(ADDRESS($B103,Plots!$H$4,,,Plots!$A$55))+INDIRECT(ADDRESS($B103,Plots!$H$4,,,Plots!$A$56))</f>
        <v>0</v>
      </c>
      <c r="P103" cm="1">
        <f t="array" aca="1" ref="P103" ca="1">INDIRECT(ADDRESS($B103,Plots!$H$4,,,Plots!$A$57))+INDIRECT(ADDRESS($B103,Plots!$H$4,,,Plots!$A$58))+INDIRECT(ADDRESS($B103,Plots!$H$4,,,Plots!$A$59))+INDIRECT(ADDRESS($B103,Plots!$H$4,,,Plots!$A$60))+INDIRECT(ADDRESS($B103,Plots!$H$4,,,Plots!$A$61))</f>
        <v>0</v>
      </c>
      <c r="Q103" cm="1">
        <f t="array" aca="1" ref="Q103" ca="1">INDIRECT(ADDRESS($B103,Plots!$H$4,,,Plots!$A$62))+INDIRECT(ADDRESS($B103,Plots!$H$4,,,Plots!$A$63))+INDIRECT(ADDRESS($B103,Plots!$H$4,,,Plots!$A$64))+INDIRECT(ADDRESS($B103,Plots!$H$4,,,Plots!$A$65))+INDIRECT(ADDRESS($B103,Plots!$H$4,,,Plots!$A$66))+INDIRECT(ADDRESS($B103,Plots!$H$4,,,Plots!$A$67))</f>
        <v>0</v>
      </c>
    </row>
    <row r="104" spans="1:17">
      <c r="A104">
        <f>'AARnetCBR-CamDTN1_tcpmon_ts_11'!A104</f>
        <v>184</v>
      </c>
      <c r="B104">
        <f t="shared" si="0"/>
        <v>104</v>
      </c>
      <c r="C104" cm="1">
        <f t="array" aca="1" ref="C104" ca="1">INDIRECT(ADDRESS($B104,Plots!$H$3,,,Plots!$A$47))</f>
        <v>25.85</v>
      </c>
      <c r="D104" cm="1">
        <f t="array" aca="1" ref="D104" ca="1">INDIRECT(ADDRESS($B104,Plots!$H$3,,,Plots!$A$48))+INDIRECT(ADDRESS($B104,Plots!$H$3,,,Plots!$A$49))</f>
        <v>57.72</v>
      </c>
      <c r="E104" cm="1">
        <f t="array" aca="1" ref="E104" ca="1">INDIRECT(ADDRESS($B104,Plots!$H$3,,,Plots!$A$50))+INDIRECT(ADDRESS($B104,Plots!$H$3,,,Plots!$A$51))+INDIRECT(ADDRESS($B104,Plots!$H$3,,,Plots!$A$52))</f>
        <v>74.819999999999993</v>
      </c>
      <c r="F104" cm="1">
        <f t="array" aca="1" ref="F104" ca="1">INDIRECT(ADDRESS($B104,Plots!$H$3,,,Plots!$A$53))+INDIRECT(ADDRESS($B104,Plots!$H$3,,,Plots!$A$54))+INDIRECT(ADDRESS($B104,Plots!$H$3,,,Plots!$A$55))+INDIRECT(ADDRESS($B104,Plots!$H$3,,,Plots!$A$56))</f>
        <v>88.689999999999984</v>
      </c>
      <c r="G104" cm="1">
        <f t="array" aca="1" ref="G104" ca="1">INDIRECT(ADDRESS($B104,Plots!$H$3,,,Plots!$A$57))+INDIRECT(ADDRESS($B104,Plots!$H$3,,,Plots!$A$58))+INDIRECT(ADDRESS($B104,Plots!$H$3,,,Plots!$A$59))+INDIRECT(ADDRESS($B104,Plots!$H$3,,,Plots!$A$60))+INDIRECT(ADDRESS($B104,Plots!$H$3,,,Plots!$A$61))</f>
        <v>0</v>
      </c>
      <c r="H104" cm="1">
        <f t="array" aca="1" ref="H104" ca="1">INDIRECT(ADDRESS($B104,Plots!$H$3,,,Plots!$A$62))+INDIRECT(ADDRESS($B104,Plots!$H$3,,,Plots!$A$63))+INDIRECT(ADDRESS($B104,Plots!$H$3,,,Plots!$A$64))+INDIRECT(ADDRESS($B104,Plots!$H$3,,,Plots!$A$65))+INDIRECT(ADDRESS($B104,Plots!$H$3,,,Plots!$A$66))+INDIRECT(ADDRESS($B104,Plots!$H$3,,,Plots!$A$67))</f>
        <v>0</v>
      </c>
      <c r="I104">
        <f>'AARnetCBR-CamDTN1_tcpmon_ts_81'!H108+'AARnetCBR-CamDTN1_tcpmon_ts_82'!H108+'AARnetCBR-CamDTN1_tcpmon_ts_83'!H108+'AARnetCBR-CamDTN1_tcpmon_ts_84'!H108+'AARnetCBR-CamDTN1_tcpmon_ts_85'!H108+'AARnetCBR-CamDTN1_tcpmon_ts_86'!H108+'AARnetCBR-CamDTN1_tcpmon_ts_87'!H108+'AARnetCBR-CamDTN1_tcpmon_ts_88'!H108</f>
        <v>0</v>
      </c>
      <c r="L104" cm="1">
        <f t="array" aca="1" ref="L104" ca="1">INDIRECT(ADDRESS($B104,Plots!$H$4,,,Plots!$A$47))</f>
        <v>0</v>
      </c>
      <c r="M104" cm="1">
        <f t="array" aca="1" ref="M104" ca="1">INDIRECT(ADDRESS($B104,Plots!$H$4,,,Plots!$A$48))+INDIRECT(ADDRESS($B104,Plots!$H$4,,,Plots!$A$49))</f>
        <v>0</v>
      </c>
      <c r="N104" cm="1">
        <f t="array" aca="1" ref="N104" ca="1">INDIRECT(ADDRESS($B104,Plots!$H$4,,,Plots!$A$50))+INDIRECT(ADDRESS($B104,Plots!$H$4,,,Plots!$A$51))+INDIRECT(ADDRESS($B104,Plots!$H$4,,,Plots!$A$52))</f>
        <v>0</v>
      </c>
      <c r="O104" cm="1">
        <f t="array" aca="1" ref="O104" ca="1">INDIRECT(ADDRESS($B104,Plots!$H$4,,,Plots!$A$53))+INDIRECT(ADDRESS($B104,Plots!$H$4,,,Plots!$A$54))+INDIRECT(ADDRESS($B104,Plots!$H$4,,,Plots!$A$55))+INDIRECT(ADDRESS($B104,Plots!$H$4,,,Plots!$A$56))</f>
        <v>0</v>
      </c>
      <c r="P104" cm="1">
        <f t="array" aca="1" ref="P104" ca="1">INDIRECT(ADDRESS($B104,Plots!$H$4,,,Plots!$A$57))+INDIRECT(ADDRESS($B104,Plots!$H$4,,,Plots!$A$58))+INDIRECT(ADDRESS($B104,Plots!$H$4,,,Plots!$A$59))+INDIRECT(ADDRESS($B104,Plots!$H$4,,,Plots!$A$60))+INDIRECT(ADDRESS($B104,Plots!$H$4,,,Plots!$A$61))</f>
        <v>0</v>
      </c>
      <c r="Q104" cm="1">
        <f t="array" aca="1" ref="Q104" ca="1">INDIRECT(ADDRESS($B104,Plots!$H$4,,,Plots!$A$62))+INDIRECT(ADDRESS($B104,Plots!$H$4,,,Plots!$A$63))+INDIRECT(ADDRESS($B104,Plots!$H$4,,,Plots!$A$64))+INDIRECT(ADDRESS($B104,Plots!$H$4,,,Plots!$A$65))+INDIRECT(ADDRESS($B104,Plots!$H$4,,,Plots!$A$66))+INDIRECT(ADDRESS($B104,Plots!$H$4,,,Plots!$A$67))</f>
        <v>0</v>
      </c>
    </row>
    <row r="105" spans="1:17">
      <c r="A105">
        <f>'AARnetCBR-CamDTN1_tcpmon_ts_11'!A105</f>
        <v>186</v>
      </c>
      <c r="B105">
        <f t="shared" si="0"/>
        <v>105</v>
      </c>
      <c r="C105" cm="1">
        <f t="array" aca="1" ref="C105" ca="1">INDIRECT(ADDRESS($B105,Plots!$H$3,,,Plots!$A$47))</f>
        <v>26.61</v>
      </c>
      <c r="D105" cm="1">
        <f t="array" aca="1" ref="D105" ca="1">INDIRECT(ADDRESS($B105,Plots!$H$3,,,Plots!$A$48))+INDIRECT(ADDRESS($B105,Plots!$H$3,,,Plots!$A$49))</f>
        <v>61.39</v>
      </c>
      <c r="E105" cm="1">
        <f t="array" aca="1" ref="E105" ca="1">INDIRECT(ADDRESS($B105,Plots!$H$3,,,Plots!$A$50))+INDIRECT(ADDRESS($B105,Plots!$H$3,,,Plots!$A$51))+INDIRECT(ADDRESS($B105,Plots!$H$3,,,Plots!$A$52))</f>
        <v>60.11</v>
      </c>
      <c r="F105" cm="1">
        <f t="array" aca="1" ref="F105" ca="1">INDIRECT(ADDRESS($B105,Plots!$H$3,,,Plots!$A$53))+INDIRECT(ADDRESS($B105,Plots!$H$3,,,Plots!$A$54))+INDIRECT(ADDRESS($B105,Plots!$H$3,,,Plots!$A$55))+INDIRECT(ADDRESS($B105,Plots!$H$3,,,Plots!$A$56))</f>
        <v>82.16</v>
      </c>
      <c r="G105" cm="1">
        <f t="array" aca="1" ref="G105" ca="1">INDIRECT(ADDRESS($B105,Plots!$H$3,,,Plots!$A$57))+INDIRECT(ADDRESS($B105,Plots!$H$3,,,Plots!$A$58))+INDIRECT(ADDRESS($B105,Plots!$H$3,,,Plots!$A$59))+INDIRECT(ADDRESS($B105,Plots!$H$3,,,Plots!$A$60))+INDIRECT(ADDRESS($B105,Plots!$H$3,,,Plots!$A$61))</f>
        <v>0</v>
      </c>
      <c r="H105" cm="1">
        <f t="array" aca="1" ref="H105" ca="1">INDIRECT(ADDRESS($B105,Plots!$H$3,,,Plots!$A$62))+INDIRECT(ADDRESS($B105,Plots!$H$3,,,Plots!$A$63))+INDIRECT(ADDRESS($B105,Plots!$H$3,,,Plots!$A$64))+INDIRECT(ADDRESS($B105,Plots!$H$3,,,Plots!$A$65))+INDIRECT(ADDRESS($B105,Plots!$H$3,,,Plots!$A$66))+INDIRECT(ADDRESS($B105,Plots!$H$3,,,Plots!$A$67))</f>
        <v>0</v>
      </c>
      <c r="I105">
        <f>'AARnetCBR-CamDTN1_tcpmon_ts_81'!H109+'AARnetCBR-CamDTN1_tcpmon_ts_82'!H109+'AARnetCBR-CamDTN1_tcpmon_ts_83'!H109+'AARnetCBR-CamDTN1_tcpmon_ts_84'!H109+'AARnetCBR-CamDTN1_tcpmon_ts_85'!H109+'AARnetCBR-CamDTN1_tcpmon_ts_86'!H109+'AARnetCBR-CamDTN1_tcpmon_ts_87'!H109+'AARnetCBR-CamDTN1_tcpmon_ts_88'!H109</f>
        <v>0</v>
      </c>
      <c r="L105" cm="1">
        <f t="array" aca="1" ref="L105" ca="1">INDIRECT(ADDRESS($B105,Plots!$H$4,,,Plots!$A$47))</f>
        <v>0</v>
      </c>
      <c r="M105" cm="1">
        <f t="array" aca="1" ref="M105" ca="1">INDIRECT(ADDRESS($B105,Plots!$H$4,,,Plots!$A$48))+INDIRECT(ADDRESS($B105,Plots!$H$4,,,Plots!$A$49))</f>
        <v>0</v>
      </c>
      <c r="N105" cm="1">
        <f t="array" aca="1" ref="N105" ca="1">INDIRECT(ADDRESS($B105,Plots!$H$4,,,Plots!$A$50))+INDIRECT(ADDRESS($B105,Plots!$H$4,,,Plots!$A$51))+INDIRECT(ADDRESS($B105,Plots!$H$4,,,Plots!$A$52))</f>
        <v>0</v>
      </c>
      <c r="O105" cm="1">
        <f t="array" aca="1" ref="O105" ca="1">INDIRECT(ADDRESS($B105,Plots!$H$4,,,Plots!$A$53))+INDIRECT(ADDRESS($B105,Plots!$H$4,,,Plots!$A$54))+INDIRECT(ADDRESS($B105,Plots!$H$4,,,Plots!$A$55))+INDIRECT(ADDRESS($B105,Plots!$H$4,,,Plots!$A$56))</f>
        <v>0</v>
      </c>
      <c r="P105" cm="1">
        <f t="array" aca="1" ref="P105" ca="1">INDIRECT(ADDRESS($B105,Plots!$H$4,,,Plots!$A$57))+INDIRECT(ADDRESS($B105,Plots!$H$4,,,Plots!$A$58))+INDIRECT(ADDRESS($B105,Plots!$H$4,,,Plots!$A$59))+INDIRECT(ADDRESS($B105,Plots!$H$4,,,Plots!$A$60))+INDIRECT(ADDRESS($B105,Plots!$H$4,,,Plots!$A$61))</f>
        <v>0</v>
      </c>
      <c r="Q105" cm="1">
        <f t="array" aca="1" ref="Q105" ca="1">INDIRECT(ADDRESS($B105,Plots!$H$4,,,Plots!$A$62))+INDIRECT(ADDRESS($B105,Plots!$H$4,,,Plots!$A$63))+INDIRECT(ADDRESS($B105,Plots!$H$4,,,Plots!$A$64))+INDIRECT(ADDRESS($B105,Plots!$H$4,,,Plots!$A$65))+INDIRECT(ADDRESS($B105,Plots!$H$4,,,Plots!$A$66))+INDIRECT(ADDRESS($B105,Plots!$H$4,,,Plots!$A$67))</f>
        <v>0</v>
      </c>
    </row>
    <row r="106" spans="1:17">
      <c r="A106">
        <f>'AARnetCBR-CamDTN1_tcpmon_ts_11'!A106</f>
        <v>188</v>
      </c>
      <c r="B106">
        <f t="shared" si="0"/>
        <v>106</v>
      </c>
      <c r="C106" cm="1">
        <f t="array" aca="1" ref="C106" ca="1">INDIRECT(ADDRESS($B106,Plots!$H$3,,,Plots!$A$47))</f>
        <v>26.18</v>
      </c>
      <c r="D106" cm="1">
        <f t="array" aca="1" ref="D106" ca="1">INDIRECT(ADDRESS($B106,Plots!$H$3,,,Plots!$A$48))+INDIRECT(ADDRESS($B106,Plots!$H$3,,,Plots!$A$49))</f>
        <v>54.64</v>
      </c>
      <c r="E106" cm="1">
        <f t="array" aca="1" ref="E106" ca="1">INDIRECT(ADDRESS($B106,Plots!$H$3,,,Plots!$A$50))+INDIRECT(ADDRESS($B106,Plots!$H$3,,,Plots!$A$51))+INDIRECT(ADDRESS($B106,Plots!$H$3,,,Plots!$A$52))</f>
        <v>72.539999999999992</v>
      </c>
      <c r="F106" cm="1">
        <f t="array" aca="1" ref="F106" ca="1">INDIRECT(ADDRESS($B106,Plots!$H$3,,,Plots!$A$53))+INDIRECT(ADDRESS($B106,Plots!$H$3,,,Plots!$A$54))+INDIRECT(ADDRESS($B106,Plots!$H$3,,,Plots!$A$55))+INDIRECT(ADDRESS($B106,Plots!$H$3,,,Plots!$A$56))</f>
        <v>85.95</v>
      </c>
      <c r="G106" cm="1">
        <f t="array" aca="1" ref="G106" ca="1">INDIRECT(ADDRESS($B106,Plots!$H$3,,,Plots!$A$57))+INDIRECT(ADDRESS($B106,Plots!$H$3,,,Plots!$A$58))+INDIRECT(ADDRESS($B106,Plots!$H$3,,,Plots!$A$59))+INDIRECT(ADDRESS($B106,Plots!$H$3,,,Plots!$A$60))+INDIRECT(ADDRESS($B106,Plots!$H$3,,,Plots!$A$61))</f>
        <v>0</v>
      </c>
      <c r="H106" cm="1">
        <f t="array" aca="1" ref="H106" ca="1">INDIRECT(ADDRESS($B106,Plots!$H$3,,,Plots!$A$62))+INDIRECT(ADDRESS($B106,Plots!$H$3,,,Plots!$A$63))+INDIRECT(ADDRESS($B106,Plots!$H$3,,,Plots!$A$64))+INDIRECT(ADDRESS($B106,Plots!$H$3,,,Plots!$A$65))+INDIRECT(ADDRESS($B106,Plots!$H$3,,,Plots!$A$66))+INDIRECT(ADDRESS($B106,Plots!$H$3,,,Plots!$A$67))</f>
        <v>0</v>
      </c>
      <c r="I106">
        <f>'AARnetCBR-CamDTN1_tcpmon_ts_81'!H110+'AARnetCBR-CamDTN1_tcpmon_ts_82'!H110+'AARnetCBR-CamDTN1_tcpmon_ts_83'!H110+'AARnetCBR-CamDTN1_tcpmon_ts_84'!H110+'AARnetCBR-CamDTN1_tcpmon_ts_85'!H110+'AARnetCBR-CamDTN1_tcpmon_ts_86'!H110+'AARnetCBR-CamDTN1_tcpmon_ts_87'!H110+'AARnetCBR-CamDTN1_tcpmon_ts_88'!H110</f>
        <v>0</v>
      </c>
      <c r="L106" cm="1">
        <f t="array" aca="1" ref="L106" ca="1">INDIRECT(ADDRESS($B106,Plots!$H$4,,,Plots!$A$47))</f>
        <v>0</v>
      </c>
      <c r="M106" cm="1">
        <f t="array" aca="1" ref="M106" ca="1">INDIRECT(ADDRESS($B106,Plots!$H$4,,,Plots!$A$48))+INDIRECT(ADDRESS($B106,Plots!$H$4,,,Plots!$A$49))</f>
        <v>0</v>
      </c>
      <c r="N106" cm="1">
        <f t="array" aca="1" ref="N106" ca="1">INDIRECT(ADDRESS($B106,Plots!$H$4,,,Plots!$A$50))+INDIRECT(ADDRESS($B106,Plots!$H$4,,,Plots!$A$51))+INDIRECT(ADDRESS($B106,Plots!$H$4,,,Plots!$A$52))</f>
        <v>0</v>
      </c>
      <c r="O106" cm="1">
        <f t="array" aca="1" ref="O106" ca="1">INDIRECT(ADDRESS($B106,Plots!$H$4,,,Plots!$A$53))+INDIRECT(ADDRESS($B106,Plots!$H$4,,,Plots!$A$54))+INDIRECT(ADDRESS($B106,Plots!$H$4,,,Plots!$A$55))+INDIRECT(ADDRESS($B106,Plots!$H$4,,,Plots!$A$56))</f>
        <v>0</v>
      </c>
      <c r="P106" cm="1">
        <f t="array" aca="1" ref="P106" ca="1">INDIRECT(ADDRESS($B106,Plots!$H$4,,,Plots!$A$57))+INDIRECT(ADDRESS($B106,Plots!$H$4,,,Plots!$A$58))+INDIRECT(ADDRESS($B106,Plots!$H$4,,,Plots!$A$59))+INDIRECT(ADDRESS($B106,Plots!$H$4,,,Plots!$A$60))+INDIRECT(ADDRESS($B106,Plots!$H$4,,,Plots!$A$61))</f>
        <v>0</v>
      </c>
      <c r="Q106" cm="1">
        <f t="array" aca="1" ref="Q106" ca="1">INDIRECT(ADDRESS($B106,Plots!$H$4,,,Plots!$A$62))+INDIRECT(ADDRESS($B106,Plots!$H$4,,,Plots!$A$63))+INDIRECT(ADDRESS($B106,Plots!$H$4,,,Plots!$A$64))+INDIRECT(ADDRESS($B106,Plots!$H$4,,,Plots!$A$65))+INDIRECT(ADDRESS($B106,Plots!$H$4,,,Plots!$A$66))+INDIRECT(ADDRESS($B106,Plots!$H$4,,,Plots!$A$67))</f>
        <v>0</v>
      </c>
    </row>
    <row r="107" spans="1:17">
      <c r="A107">
        <f>'AARnetCBR-CamDTN1_tcpmon_ts_11'!A107</f>
        <v>190</v>
      </c>
      <c r="B107">
        <f t="shared" si="0"/>
        <v>107</v>
      </c>
      <c r="C107" cm="1">
        <f t="array" aca="1" ref="C107" ca="1">INDIRECT(ADDRESS($B107,Plots!$H$3,,,Plots!$A$47))</f>
        <v>25.14</v>
      </c>
      <c r="D107" cm="1">
        <f t="array" aca="1" ref="D107" ca="1">INDIRECT(ADDRESS($B107,Plots!$H$3,,,Plots!$A$48))+INDIRECT(ADDRESS($B107,Plots!$H$3,,,Plots!$A$49))</f>
        <v>58.59</v>
      </c>
      <c r="E107" cm="1">
        <f t="array" aca="1" ref="E107" ca="1">INDIRECT(ADDRESS($B107,Plots!$H$3,,,Plots!$A$50))+INDIRECT(ADDRESS($B107,Plots!$H$3,,,Plots!$A$51))+INDIRECT(ADDRESS($B107,Plots!$H$3,,,Plots!$A$52))</f>
        <v>63.879999999999995</v>
      </c>
      <c r="F107" cm="1">
        <f t="array" aca="1" ref="F107" ca="1">INDIRECT(ADDRESS($B107,Plots!$H$3,,,Plots!$A$53))+INDIRECT(ADDRESS($B107,Plots!$H$3,,,Plots!$A$54))+INDIRECT(ADDRESS($B107,Plots!$H$3,,,Plots!$A$55))+INDIRECT(ADDRESS($B107,Plots!$H$3,,,Plots!$A$56))</f>
        <v>86.97999999999999</v>
      </c>
      <c r="G107" cm="1">
        <f t="array" aca="1" ref="G107" ca="1">INDIRECT(ADDRESS($B107,Plots!$H$3,,,Plots!$A$57))+INDIRECT(ADDRESS($B107,Plots!$H$3,,,Plots!$A$58))+INDIRECT(ADDRESS($B107,Plots!$H$3,,,Plots!$A$59))+INDIRECT(ADDRESS($B107,Plots!$H$3,,,Plots!$A$60))+INDIRECT(ADDRESS($B107,Plots!$H$3,,,Plots!$A$61))</f>
        <v>0</v>
      </c>
      <c r="H107" cm="1">
        <f t="array" aca="1" ref="H107" ca="1">INDIRECT(ADDRESS($B107,Plots!$H$3,,,Plots!$A$62))+INDIRECT(ADDRESS($B107,Plots!$H$3,,,Plots!$A$63))+INDIRECT(ADDRESS($B107,Plots!$H$3,,,Plots!$A$64))+INDIRECT(ADDRESS($B107,Plots!$H$3,,,Plots!$A$65))+INDIRECT(ADDRESS($B107,Plots!$H$3,,,Plots!$A$66))+INDIRECT(ADDRESS($B107,Plots!$H$3,,,Plots!$A$67))</f>
        <v>0</v>
      </c>
      <c r="I107">
        <f>'AARnetCBR-CamDTN1_tcpmon_ts_81'!H111+'AARnetCBR-CamDTN1_tcpmon_ts_82'!H111+'AARnetCBR-CamDTN1_tcpmon_ts_83'!H111+'AARnetCBR-CamDTN1_tcpmon_ts_84'!H111+'AARnetCBR-CamDTN1_tcpmon_ts_85'!H111+'AARnetCBR-CamDTN1_tcpmon_ts_86'!H111+'AARnetCBR-CamDTN1_tcpmon_ts_87'!H111+'AARnetCBR-CamDTN1_tcpmon_ts_88'!H111</f>
        <v>0</v>
      </c>
      <c r="L107" cm="1">
        <f t="array" aca="1" ref="L107" ca="1">INDIRECT(ADDRESS($B107,Plots!$H$4,,,Plots!$A$47))</f>
        <v>0</v>
      </c>
      <c r="M107" cm="1">
        <f t="array" aca="1" ref="M107" ca="1">INDIRECT(ADDRESS($B107,Plots!$H$4,,,Plots!$A$48))+INDIRECT(ADDRESS($B107,Plots!$H$4,,,Plots!$A$49))</f>
        <v>0</v>
      </c>
      <c r="N107" cm="1">
        <f t="array" aca="1" ref="N107" ca="1">INDIRECT(ADDRESS($B107,Plots!$H$4,,,Plots!$A$50))+INDIRECT(ADDRESS($B107,Plots!$H$4,,,Plots!$A$51))+INDIRECT(ADDRESS($B107,Plots!$H$4,,,Plots!$A$52))</f>
        <v>0</v>
      </c>
      <c r="O107" cm="1">
        <f t="array" aca="1" ref="O107" ca="1">INDIRECT(ADDRESS($B107,Plots!$H$4,,,Plots!$A$53))+INDIRECT(ADDRESS($B107,Plots!$H$4,,,Plots!$A$54))+INDIRECT(ADDRESS($B107,Plots!$H$4,,,Plots!$A$55))+INDIRECT(ADDRESS($B107,Plots!$H$4,,,Plots!$A$56))</f>
        <v>0</v>
      </c>
      <c r="P107" cm="1">
        <f t="array" aca="1" ref="P107" ca="1">INDIRECT(ADDRESS($B107,Plots!$H$4,,,Plots!$A$57))+INDIRECT(ADDRESS($B107,Plots!$H$4,,,Plots!$A$58))+INDIRECT(ADDRESS($B107,Plots!$H$4,,,Plots!$A$59))+INDIRECT(ADDRESS($B107,Plots!$H$4,,,Plots!$A$60))+INDIRECT(ADDRESS($B107,Plots!$H$4,,,Plots!$A$61))</f>
        <v>0</v>
      </c>
      <c r="Q107" cm="1">
        <f t="array" aca="1" ref="Q107" ca="1">INDIRECT(ADDRESS($B107,Plots!$H$4,,,Plots!$A$62))+INDIRECT(ADDRESS($B107,Plots!$H$4,,,Plots!$A$63))+INDIRECT(ADDRESS($B107,Plots!$H$4,,,Plots!$A$64))+INDIRECT(ADDRESS($B107,Plots!$H$4,,,Plots!$A$65))+INDIRECT(ADDRESS($B107,Plots!$H$4,,,Plots!$A$66))+INDIRECT(ADDRESS($B107,Plots!$H$4,,,Plots!$A$67))</f>
        <v>0</v>
      </c>
    </row>
    <row r="108" spans="1:17">
      <c r="A108">
        <f>'AARnetCBR-CamDTN1_tcpmon_ts_11'!A108</f>
        <v>192</v>
      </c>
      <c r="B108">
        <f t="shared" si="0"/>
        <v>108</v>
      </c>
      <c r="C108" cm="1">
        <f t="array" aca="1" ref="C108" ca="1">INDIRECT(ADDRESS($B108,Plots!$H$3,,,Plots!$A$47))</f>
        <v>26.3</v>
      </c>
      <c r="D108" cm="1">
        <f t="array" aca="1" ref="D108" ca="1">INDIRECT(ADDRESS($B108,Plots!$H$3,,,Plots!$A$48))+INDIRECT(ADDRESS($B108,Plots!$H$3,,,Plots!$A$49))</f>
        <v>53.980000000000004</v>
      </c>
      <c r="E108" cm="1">
        <f t="array" aca="1" ref="E108" ca="1">INDIRECT(ADDRESS($B108,Plots!$H$3,,,Plots!$A$50))+INDIRECT(ADDRESS($B108,Plots!$H$3,,,Plots!$A$51))+INDIRECT(ADDRESS($B108,Plots!$H$3,,,Plots!$A$52))</f>
        <v>73.56</v>
      </c>
      <c r="F108" cm="1">
        <f t="array" aca="1" ref="F108" ca="1">INDIRECT(ADDRESS($B108,Plots!$H$3,,,Plots!$A$53))+INDIRECT(ADDRESS($B108,Plots!$H$3,,,Plots!$A$54))+INDIRECT(ADDRESS($B108,Plots!$H$3,,,Plots!$A$55))+INDIRECT(ADDRESS($B108,Plots!$H$3,,,Plots!$A$56))</f>
        <v>83.4</v>
      </c>
      <c r="G108" cm="1">
        <f t="array" aca="1" ref="G108" ca="1">INDIRECT(ADDRESS($B108,Plots!$H$3,,,Plots!$A$57))+INDIRECT(ADDRESS($B108,Plots!$H$3,,,Plots!$A$58))+INDIRECT(ADDRESS($B108,Plots!$H$3,,,Plots!$A$59))+INDIRECT(ADDRESS($B108,Plots!$H$3,,,Plots!$A$60))+INDIRECT(ADDRESS($B108,Plots!$H$3,,,Plots!$A$61))</f>
        <v>0</v>
      </c>
      <c r="H108" cm="1">
        <f t="array" aca="1" ref="H108" ca="1">INDIRECT(ADDRESS($B108,Plots!$H$3,,,Plots!$A$62))+INDIRECT(ADDRESS($B108,Plots!$H$3,,,Plots!$A$63))+INDIRECT(ADDRESS($B108,Plots!$H$3,,,Plots!$A$64))+INDIRECT(ADDRESS($B108,Plots!$H$3,,,Plots!$A$65))+INDIRECT(ADDRESS($B108,Plots!$H$3,,,Plots!$A$66))+INDIRECT(ADDRESS($B108,Plots!$H$3,,,Plots!$A$67))</f>
        <v>0</v>
      </c>
      <c r="I108">
        <f>'AARnetCBR-CamDTN1_tcpmon_ts_81'!H112+'AARnetCBR-CamDTN1_tcpmon_ts_82'!H112+'AARnetCBR-CamDTN1_tcpmon_ts_83'!H112+'AARnetCBR-CamDTN1_tcpmon_ts_84'!H112+'AARnetCBR-CamDTN1_tcpmon_ts_85'!H112+'AARnetCBR-CamDTN1_tcpmon_ts_86'!H112+'AARnetCBR-CamDTN1_tcpmon_ts_87'!H112+'AARnetCBR-CamDTN1_tcpmon_ts_88'!H112</f>
        <v>0</v>
      </c>
      <c r="L108" cm="1">
        <f t="array" aca="1" ref="L108" ca="1">INDIRECT(ADDRESS($B108,Plots!$H$4,,,Plots!$A$47))</f>
        <v>0</v>
      </c>
      <c r="M108" cm="1">
        <f t="array" aca="1" ref="M108" ca="1">INDIRECT(ADDRESS($B108,Plots!$H$4,,,Plots!$A$48))+INDIRECT(ADDRESS($B108,Plots!$H$4,,,Plots!$A$49))</f>
        <v>0</v>
      </c>
      <c r="N108" cm="1">
        <f t="array" aca="1" ref="N108" ca="1">INDIRECT(ADDRESS($B108,Plots!$H$4,,,Plots!$A$50))+INDIRECT(ADDRESS($B108,Plots!$H$4,,,Plots!$A$51))+INDIRECT(ADDRESS($B108,Plots!$H$4,,,Plots!$A$52))</f>
        <v>0</v>
      </c>
      <c r="O108" cm="1">
        <f t="array" aca="1" ref="O108" ca="1">INDIRECT(ADDRESS($B108,Plots!$H$4,,,Plots!$A$53))+INDIRECT(ADDRESS($B108,Plots!$H$4,,,Plots!$A$54))+INDIRECT(ADDRESS($B108,Plots!$H$4,,,Plots!$A$55))+INDIRECT(ADDRESS($B108,Plots!$H$4,,,Plots!$A$56))</f>
        <v>0</v>
      </c>
      <c r="P108" cm="1">
        <f t="array" aca="1" ref="P108" ca="1">INDIRECT(ADDRESS($B108,Plots!$H$4,,,Plots!$A$57))+INDIRECT(ADDRESS($B108,Plots!$H$4,,,Plots!$A$58))+INDIRECT(ADDRESS($B108,Plots!$H$4,,,Plots!$A$59))+INDIRECT(ADDRESS($B108,Plots!$H$4,,,Plots!$A$60))+INDIRECT(ADDRESS($B108,Plots!$H$4,,,Plots!$A$61))</f>
        <v>0</v>
      </c>
      <c r="Q108" cm="1">
        <f t="array" aca="1" ref="Q108" ca="1">INDIRECT(ADDRESS($B108,Plots!$H$4,,,Plots!$A$62))+INDIRECT(ADDRESS($B108,Plots!$H$4,,,Plots!$A$63))+INDIRECT(ADDRESS($B108,Plots!$H$4,,,Plots!$A$64))+INDIRECT(ADDRESS($B108,Plots!$H$4,,,Plots!$A$65))+INDIRECT(ADDRESS($B108,Plots!$H$4,,,Plots!$A$66))+INDIRECT(ADDRESS($B108,Plots!$H$4,,,Plots!$A$67))</f>
        <v>0</v>
      </c>
    </row>
    <row r="109" spans="1:17">
      <c r="A109">
        <f>'AARnetCBR-CamDTN1_tcpmon_ts_11'!A109</f>
        <v>194</v>
      </c>
      <c r="B109">
        <f t="shared" si="0"/>
        <v>109</v>
      </c>
      <c r="C109" cm="1">
        <f t="array" aca="1" ref="C109" ca="1">INDIRECT(ADDRESS($B109,Plots!$H$3,,,Plots!$A$47))</f>
        <v>26.54</v>
      </c>
      <c r="D109" cm="1">
        <f t="array" aca="1" ref="D109" ca="1">INDIRECT(ADDRESS($B109,Plots!$H$3,,,Plots!$A$48))+INDIRECT(ADDRESS($B109,Plots!$H$3,,,Plots!$A$49))</f>
        <v>57.97</v>
      </c>
      <c r="E109" cm="1">
        <f t="array" aca="1" ref="E109" ca="1">INDIRECT(ADDRESS($B109,Plots!$H$3,,,Plots!$A$50))+INDIRECT(ADDRESS($B109,Plots!$H$3,,,Plots!$A$51))+INDIRECT(ADDRESS($B109,Plots!$H$3,,,Plots!$A$52))</f>
        <v>60.230000000000004</v>
      </c>
      <c r="F109" cm="1">
        <f t="array" aca="1" ref="F109" ca="1">INDIRECT(ADDRESS($B109,Plots!$H$3,,,Plots!$A$53))+INDIRECT(ADDRESS($B109,Plots!$H$3,,,Plots!$A$54))+INDIRECT(ADDRESS($B109,Plots!$H$3,,,Plots!$A$55))+INDIRECT(ADDRESS($B109,Plots!$H$3,,,Plots!$A$56))</f>
        <v>87.320000000000007</v>
      </c>
      <c r="G109" cm="1">
        <f t="array" aca="1" ref="G109" ca="1">INDIRECT(ADDRESS($B109,Plots!$H$3,,,Plots!$A$57))+INDIRECT(ADDRESS($B109,Plots!$H$3,,,Plots!$A$58))+INDIRECT(ADDRESS($B109,Plots!$H$3,,,Plots!$A$59))+INDIRECT(ADDRESS($B109,Plots!$H$3,,,Plots!$A$60))+INDIRECT(ADDRESS($B109,Plots!$H$3,,,Plots!$A$61))</f>
        <v>0</v>
      </c>
      <c r="H109" cm="1">
        <f t="array" aca="1" ref="H109" ca="1">INDIRECT(ADDRESS($B109,Plots!$H$3,,,Plots!$A$62))+INDIRECT(ADDRESS($B109,Plots!$H$3,,,Plots!$A$63))+INDIRECT(ADDRESS($B109,Plots!$H$3,,,Plots!$A$64))+INDIRECT(ADDRESS($B109,Plots!$H$3,,,Plots!$A$65))+INDIRECT(ADDRESS($B109,Plots!$H$3,,,Plots!$A$66))+INDIRECT(ADDRESS($B109,Plots!$H$3,,,Plots!$A$67))</f>
        <v>0</v>
      </c>
      <c r="I109">
        <f>'AARnetCBR-CamDTN1_tcpmon_ts_81'!H113+'AARnetCBR-CamDTN1_tcpmon_ts_82'!H113+'AARnetCBR-CamDTN1_tcpmon_ts_83'!H113+'AARnetCBR-CamDTN1_tcpmon_ts_84'!H113+'AARnetCBR-CamDTN1_tcpmon_ts_85'!H113+'AARnetCBR-CamDTN1_tcpmon_ts_86'!H113+'AARnetCBR-CamDTN1_tcpmon_ts_87'!H113+'AARnetCBR-CamDTN1_tcpmon_ts_88'!H113</f>
        <v>0</v>
      </c>
      <c r="L109" cm="1">
        <f t="array" aca="1" ref="L109" ca="1">INDIRECT(ADDRESS($B109,Plots!$H$4,,,Plots!$A$47))</f>
        <v>0</v>
      </c>
      <c r="M109" cm="1">
        <f t="array" aca="1" ref="M109" ca="1">INDIRECT(ADDRESS($B109,Plots!$H$4,,,Plots!$A$48))+INDIRECT(ADDRESS($B109,Plots!$H$4,,,Plots!$A$49))</f>
        <v>0</v>
      </c>
      <c r="N109" cm="1">
        <f t="array" aca="1" ref="N109" ca="1">INDIRECT(ADDRESS($B109,Plots!$H$4,,,Plots!$A$50))+INDIRECT(ADDRESS($B109,Plots!$H$4,,,Plots!$A$51))+INDIRECT(ADDRESS($B109,Plots!$H$4,,,Plots!$A$52))</f>
        <v>0</v>
      </c>
      <c r="O109" cm="1">
        <f t="array" aca="1" ref="O109" ca="1">INDIRECT(ADDRESS($B109,Plots!$H$4,,,Plots!$A$53))+INDIRECT(ADDRESS($B109,Plots!$H$4,,,Plots!$A$54))+INDIRECT(ADDRESS($B109,Plots!$H$4,,,Plots!$A$55))+INDIRECT(ADDRESS($B109,Plots!$H$4,,,Plots!$A$56))</f>
        <v>0</v>
      </c>
      <c r="P109" cm="1">
        <f t="array" aca="1" ref="P109" ca="1">INDIRECT(ADDRESS($B109,Plots!$H$4,,,Plots!$A$57))+INDIRECT(ADDRESS($B109,Plots!$H$4,,,Plots!$A$58))+INDIRECT(ADDRESS($B109,Plots!$H$4,,,Plots!$A$59))+INDIRECT(ADDRESS($B109,Plots!$H$4,,,Plots!$A$60))+INDIRECT(ADDRESS($B109,Plots!$H$4,,,Plots!$A$61))</f>
        <v>0</v>
      </c>
      <c r="Q109" cm="1">
        <f t="array" aca="1" ref="Q109" ca="1">INDIRECT(ADDRESS($B109,Plots!$H$4,,,Plots!$A$62))+INDIRECT(ADDRESS($B109,Plots!$H$4,,,Plots!$A$63))+INDIRECT(ADDRESS($B109,Plots!$H$4,,,Plots!$A$64))+INDIRECT(ADDRESS($B109,Plots!$H$4,,,Plots!$A$65))+INDIRECT(ADDRESS($B109,Plots!$H$4,,,Plots!$A$66))+INDIRECT(ADDRESS($B109,Plots!$H$4,,,Plots!$A$67))</f>
        <v>0</v>
      </c>
    </row>
    <row r="110" spans="1:17">
      <c r="A110">
        <f>'AARnetCBR-CamDTN1_tcpmon_ts_11'!A110</f>
        <v>196</v>
      </c>
      <c r="B110">
        <f t="shared" si="0"/>
        <v>110</v>
      </c>
      <c r="C110" cm="1">
        <f t="array" aca="1" ref="C110" ca="1">INDIRECT(ADDRESS($B110,Plots!$H$3,,,Plots!$A$47))</f>
        <v>25.91</v>
      </c>
      <c r="D110" cm="1">
        <f t="array" aca="1" ref="D110" ca="1">INDIRECT(ADDRESS($B110,Plots!$H$3,,,Plots!$A$48))+INDIRECT(ADDRESS($B110,Plots!$H$3,,,Plots!$A$49))</f>
        <v>62.120000000000005</v>
      </c>
      <c r="E110" cm="1">
        <f t="array" aca="1" ref="E110" ca="1">INDIRECT(ADDRESS($B110,Plots!$H$3,,,Plots!$A$50))+INDIRECT(ADDRESS($B110,Plots!$H$3,,,Plots!$A$51))+INDIRECT(ADDRESS($B110,Plots!$H$3,,,Plots!$A$52))</f>
        <v>74.12</v>
      </c>
      <c r="F110" cm="1">
        <f t="array" aca="1" ref="F110" ca="1">INDIRECT(ADDRESS($B110,Plots!$H$3,,,Plots!$A$53))+INDIRECT(ADDRESS($B110,Plots!$H$3,,,Plots!$A$54))+INDIRECT(ADDRESS($B110,Plots!$H$3,,,Plots!$A$55))+INDIRECT(ADDRESS($B110,Plots!$H$3,,,Plots!$A$56))</f>
        <v>83.669999999999987</v>
      </c>
      <c r="G110" cm="1">
        <f t="array" aca="1" ref="G110" ca="1">INDIRECT(ADDRESS($B110,Plots!$H$3,,,Plots!$A$57))+INDIRECT(ADDRESS($B110,Plots!$H$3,,,Plots!$A$58))+INDIRECT(ADDRESS($B110,Plots!$H$3,,,Plots!$A$59))+INDIRECT(ADDRESS($B110,Plots!$H$3,,,Plots!$A$60))+INDIRECT(ADDRESS($B110,Plots!$H$3,,,Plots!$A$61))</f>
        <v>0</v>
      </c>
      <c r="H110" cm="1">
        <f t="array" aca="1" ref="H110" ca="1">INDIRECT(ADDRESS($B110,Plots!$H$3,,,Plots!$A$62))+INDIRECT(ADDRESS($B110,Plots!$H$3,,,Plots!$A$63))+INDIRECT(ADDRESS($B110,Plots!$H$3,,,Plots!$A$64))+INDIRECT(ADDRESS($B110,Plots!$H$3,,,Plots!$A$65))+INDIRECT(ADDRESS($B110,Plots!$H$3,,,Plots!$A$66))+INDIRECT(ADDRESS($B110,Plots!$H$3,,,Plots!$A$67))</f>
        <v>0</v>
      </c>
      <c r="I110">
        <f>'AARnetCBR-CamDTN1_tcpmon_ts_81'!H114+'AARnetCBR-CamDTN1_tcpmon_ts_82'!H114+'AARnetCBR-CamDTN1_tcpmon_ts_83'!H114+'AARnetCBR-CamDTN1_tcpmon_ts_84'!H114+'AARnetCBR-CamDTN1_tcpmon_ts_85'!H114+'AARnetCBR-CamDTN1_tcpmon_ts_86'!H114+'AARnetCBR-CamDTN1_tcpmon_ts_87'!H114+'AARnetCBR-CamDTN1_tcpmon_ts_88'!H114</f>
        <v>0</v>
      </c>
      <c r="L110" cm="1">
        <f t="array" aca="1" ref="L110" ca="1">INDIRECT(ADDRESS($B110,Plots!$H$4,,,Plots!$A$47))</f>
        <v>0</v>
      </c>
      <c r="M110" cm="1">
        <f t="array" aca="1" ref="M110" ca="1">INDIRECT(ADDRESS($B110,Plots!$H$4,,,Plots!$A$48))+INDIRECT(ADDRESS($B110,Plots!$H$4,,,Plots!$A$49))</f>
        <v>0</v>
      </c>
      <c r="N110" cm="1">
        <f t="array" aca="1" ref="N110" ca="1">INDIRECT(ADDRESS($B110,Plots!$H$4,,,Plots!$A$50))+INDIRECT(ADDRESS($B110,Plots!$H$4,,,Plots!$A$51))+INDIRECT(ADDRESS($B110,Plots!$H$4,,,Plots!$A$52))</f>
        <v>0</v>
      </c>
      <c r="O110" cm="1">
        <f t="array" aca="1" ref="O110" ca="1">INDIRECT(ADDRESS($B110,Plots!$H$4,,,Plots!$A$53))+INDIRECT(ADDRESS($B110,Plots!$H$4,,,Plots!$A$54))+INDIRECT(ADDRESS($B110,Plots!$H$4,,,Plots!$A$55))+INDIRECT(ADDRESS($B110,Plots!$H$4,,,Plots!$A$56))</f>
        <v>0</v>
      </c>
      <c r="P110" cm="1">
        <f t="array" aca="1" ref="P110" ca="1">INDIRECT(ADDRESS($B110,Plots!$H$4,,,Plots!$A$57))+INDIRECT(ADDRESS($B110,Plots!$H$4,,,Plots!$A$58))+INDIRECT(ADDRESS($B110,Plots!$H$4,,,Plots!$A$59))+INDIRECT(ADDRESS($B110,Plots!$H$4,,,Plots!$A$60))+INDIRECT(ADDRESS($B110,Plots!$H$4,,,Plots!$A$61))</f>
        <v>0</v>
      </c>
      <c r="Q110" cm="1">
        <f t="array" aca="1" ref="Q110" ca="1">INDIRECT(ADDRESS($B110,Plots!$H$4,,,Plots!$A$62))+INDIRECT(ADDRESS($B110,Plots!$H$4,,,Plots!$A$63))+INDIRECT(ADDRESS($B110,Plots!$H$4,,,Plots!$A$64))+INDIRECT(ADDRESS($B110,Plots!$H$4,,,Plots!$A$65))+INDIRECT(ADDRESS($B110,Plots!$H$4,,,Plots!$A$66))+INDIRECT(ADDRESS($B110,Plots!$H$4,,,Plots!$A$67))</f>
        <v>0</v>
      </c>
    </row>
    <row r="111" spans="1:17">
      <c r="A111">
        <f>'AARnetCBR-CamDTN1_tcpmon_ts_11'!A111</f>
        <v>198</v>
      </c>
      <c r="B111">
        <f t="shared" si="0"/>
        <v>111</v>
      </c>
      <c r="C111" cm="1">
        <f t="array" aca="1" ref="C111" ca="1">INDIRECT(ADDRESS($B111,Plots!$H$3,,,Plots!$A$47))</f>
        <v>26.04</v>
      </c>
      <c r="D111" cm="1">
        <f t="array" aca="1" ref="D111" ca="1">INDIRECT(ADDRESS($B111,Plots!$H$3,,,Plots!$A$48))+INDIRECT(ADDRESS($B111,Plots!$H$3,,,Plots!$A$49))</f>
        <v>54.52</v>
      </c>
      <c r="E111" cm="1">
        <f t="array" aca="1" ref="E111" ca="1">INDIRECT(ADDRESS($B111,Plots!$H$3,,,Plots!$A$50))+INDIRECT(ADDRESS($B111,Plots!$H$3,,,Plots!$A$51))+INDIRECT(ADDRESS($B111,Plots!$H$3,,,Plots!$A$52))</f>
        <v>60.930000000000007</v>
      </c>
      <c r="F111" cm="1">
        <f t="array" aca="1" ref="F111" ca="1">INDIRECT(ADDRESS($B111,Plots!$H$3,,,Plots!$A$53))+INDIRECT(ADDRESS($B111,Plots!$H$3,,,Plots!$A$54))+INDIRECT(ADDRESS($B111,Plots!$H$3,,,Plots!$A$55))+INDIRECT(ADDRESS($B111,Plots!$H$3,,,Plots!$A$56))</f>
        <v>89.12</v>
      </c>
      <c r="G111" cm="1">
        <f t="array" aca="1" ref="G111" ca="1">INDIRECT(ADDRESS($B111,Plots!$H$3,,,Plots!$A$57))+INDIRECT(ADDRESS($B111,Plots!$H$3,,,Plots!$A$58))+INDIRECT(ADDRESS($B111,Plots!$H$3,,,Plots!$A$59))+INDIRECT(ADDRESS($B111,Plots!$H$3,,,Plots!$A$60))+INDIRECT(ADDRESS($B111,Plots!$H$3,,,Plots!$A$61))</f>
        <v>0</v>
      </c>
      <c r="H111" cm="1">
        <f t="array" aca="1" ref="H111" ca="1">INDIRECT(ADDRESS($B111,Plots!$H$3,,,Plots!$A$62))+INDIRECT(ADDRESS($B111,Plots!$H$3,,,Plots!$A$63))+INDIRECT(ADDRESS($B111,Plots!$H$3,,,Plots!$A$64))+INDIRECT(ADDRESS($B111,Plots!$H$3,,,Plots!$A$65))+INDIRECT(ADDRESS($B111,Plots!$H$3,,,Plots!$A$66))+INDIRECT(ADDRESS($B111,Plots!$H$3,,,Plots!$A$67))</f>
        <v>0</v>
      </c>
      <c r="I111">
        <f>'AARnetCBR-CamDTN1_tcpmon_ts_81'!H115+'AARnetCBR-CamDTN1_tcpmon_ts_82'!H115+'AARnetCBR-CamDTN1_tcpmon_ts_83'!H115+'AARnetCBR-CamDTN1_tcpmon_ts_84'!H115+'AARnetCBR-CamDTN1_tcpmon_ts_85'!H115+'AARnetCBR-CamDTN1_tcpmon_ts_86'!H115+'AARnetCBR-CamDTN1_tcpmon_ts_87'!H115+'AARnetCBR-CamDTN1_tcpmon_ts_88'!H115</f>
        <v>0</v>
      </c>
      <c r="L111" cm="1">
        <f t="array" aca="1" ref="L111" ca="1">INDIRECT(ADDRESS($B111,Plots!$H$4,,,Plots!$A$47))</f>
        <v>0</v>
      </c>
      <c r="M111" cm="1">
        <f t="array" aca="1" ref="M111" ca="1">INDIRECT(ADDRESS($B111,Plots!$H$4,,,Plots!$A$48))+INDIRECT(ADDRESS($B111,Plots!$H$4,,,Plots!$A$49))</f>
        <v>0</v>
      </c>
      <c r="N111" cm="1">
        <f t="array" aca="1" ref="N111" ca="1">INDIRECT(ADDRESS($B111,Plots!$H$4,,,Plots!$A$50))+INDIRECT(ADDRESS($B111,Plots!$H$4,,,Plots!$A$51))+INDIRECT(ADDRESS($B111,Plots!$H$4,,,Plots!$A$52))</f>
        <v>0</v>
      </c>
      <c r="O111" cm="1">
        <f t="array" aca="1" ref="O111" ca="1">INDIRECT(ADDRESS($B111,Plots!$H$4,,,Plots!$A$53))+INDIRECT(ADDRESS($B111,Plots!$H$4,,,Plots!$A$54))+INDIRECT(ADDRESS($B111,Plots!$H$4,,,Plots!$A$55))+INDIRECT(ADDRESS($B111,Plots!$H$4,,,Plots!$A$56))</f>
        <v>0</v>
      </c>
      <c r="P111" cm="1">
        <f t="array" aca="1" ref="P111" ca="1">INDIRECT(ADDRESS($B111,Plots!$H$4,,,Plots!$A$57))+INDIRECT(ADDRESS($B111,Plots!$H$4,,,Plots!$A$58))+INDIRECT(ADDRESS($B111,Plots!$H$4,,,Plots!$A$59))+INDIRECT(ADDRESS($B111,Plots!$H$4,,,Plots!$A$60))+INDIRECT(ADDRESS($B111,Plots!$H$4,,,Plots!$A$61))</f>
        <v>0</v>
      </c>
      <c r="Q111" cm="1">
        <f t="array" aca="1" ref="Q111" ca="1">INDIRECT(ADDRESS($B111,Plots!$H$4,,,Plots!$A$62))+INDIRECT(ADDRESS($B111,Plots!$H$4,,,Plots!$A$63))+INDIRECT(ADDRESS($B111,Plots!$H$4,,,Plots!$A$64))+INDIRECT(ADDRESS($B111,Plots!$H$4,,,Plots!$A$65))+INDIRECT(ADDRESS($B111,Plots!$H$4,,,Plots!$A$66))+INDIRECT(ADDRESS($B111,Plots!$H$4,,,Plots!$A$67))</f>
        <v>0</v>
      </c>
    </row>
    <row r="112" spans="1:17">
      <c r="A112">
        <f>'AARnetCBR-CamDTN1_tcpmon_ts_11'!A112</f>
        <v>200</v>
      </c>
      <c r="B112">
        <f t="shared" si="0"/>
        <v>112</v>
      </c>
      <c r="C112" cm="1">
        <f t="array" aca="1" ref="C112" ca="1">INDIRECT(ADDRESS($B112,Plots!$H$3,,,Plots!$A$47))</f>
        <v>25.2</v>
      </c>
      <c r="D112" cm="1">
        <f t="array" aca="1" ref="D112" ca="1">INDIRECT(ADDRESS($B112,Plots!$H$3,,,Plots!$A$48))+INDIRECT(ADDRESS($B112,Plots!$H$3,,,Plots!$A$49))</f>
        <v>56.68</v>
      </c>
      <c r="E112" cm="1">
        <f t="array" aca="1" ref="E112" ca="1">INDIRECT(ADDRESS($B112,Plots!$H$3,,,Plots!$A$50))+INDIRECT(ADDRESS($B112,Plots!$H$3,,,Plots!$A$51))+INDIRECT(ADDRESS($B112,Plots!$H$3,,,Plots!$A$52))</f>
        <v>74.600000000000009</v>
      </c>
      <c r="F112" cm="1">
        <f t="array" aca="1" ref="F112" ca="1">INDIRECT(ADDRESS($B112,Plots!$H$3,,,Plots!$A$53))+INDIRECT(ADDRESS($B112,Plots!$H$3,,,Plots!$A$54))+INDIRECT(ADDRESS($B112,Plots!$H$3,,,Plots!$A$55))+INDIRECT(ADDRESS($B112,Plots!$H$3,,,Plots!$A$56))</f>
        <v>84.199999999999989</v>
      </c>
      <c r="G112" cm="1">
        <f t="array" aca="1" ref="G112" ca="1">INDIRECT(ADDRESS($B112,Plots!$H$3,,,Plots!$A$57))+INDIRECT(ADDRESS($B112,Plots!$H$3,,,Plots!$A$58))+INDIRECT(ADDRESS($B112,Plots!$H$3,,,Plots!$A$59))+INDIRECT(ADDRESS($B112,Plots!$H$3,,,Plots!$A$60))+INDIRECT(ADDRESS($B112,Plots!$H$3,,,Plots!$A$61))</f>
        <v>0</v>
      </c>
      <c r="H112" cm="1">
        <f t="array" aca="1" ref="H112" ca="1">INDIRECT(ADDRESS($B112,Plots!$H$3,,,Plots!$A$62))+INDIRECT(ADDRESS($B112,Plots!$H$3,,,Plots!$A$63))+INDIRECT(ADDRESS($B112,Plots!$H$3,,,Plots!$A$64))+INDIRECT(ADDRESS($B112,Plots!$H$3,,,Plots!$A$65))+INDIRECT(ADDRESS($B112,Plots!$H$3,,,Plots!$A$66))+INDIRECT(ADDRESS($B112,Plots!$H$3,,,Plots!$A$67))</f>
        <v>0</v>
      </c>
      <c r="I112">
        <f>'AARnetCBR-CamDTN1_tcpmon_ts_81'!H116+'AARnetCBR-CamDTN1_tcpmon_ts_82'!H116+'AARnetCBR-CamDTN1_tcpmon_ts_83'!H116+'AARnetCBR-CamDTN1_tcpmon_ts_84'!H116+'AARnetCBR-CamDTN1_tcpmon_ts_85'!H116+'AARnetCBR-CamDTN1_tcpmon_ts_86'!H116+'AARnetCBR-CamDTN1_tcpmon_ts_87'!H116+'AARnetCBR-CamDTN1_tcpmon_ts_88'!H116</f>
        <v>0</v>
      </c>
      <c r="L112" cm="1">
        <f t="array" aca="1" ref="L112" ca="1">INDIRECT(ADDRESS($B112,Plots!$H$4,,,Plots!$A$47))</f>
        <v>0</v>
      </c>
      <c r="M112" cm="1">
        <f t="array" aca="1" ref="M112" ca="1">INDIRECT(ADDRESS($B112,Plots!$H$4,,,Plots!$A$48))+INDIRECT(ADDRESS($B112,Plots!$H$4,,,Plots!$A$49))</f>
        <v>0</v>
      </c>
      <c r="N112" cm="1">
        <f t="array" aca="1" ref="N112" ca="1">INDIRECT(ADDRESS($B112,Plots!$H$4,,,Plots!$A$50))+INDIRECT(ADDRESS($B112,Plots!$H$4,,,Plots!$A$51))+INDIRECT(ADDRESS($B112,Plots!$H$4,,,Plots!$A$52))</f>
        <v>0</v>
      </c>
      <c r="O112" cm="1">
        <f t="array" aca="1" ref="O112" ca="1">INDIRECT(ADDRESS($B112,Plots!$H$4,,,Plots!$A$53))+INDIRECT(ADDRESS($B112,Plots!$H$4,,,Plots!$A$54))+INDIRECT(ADDRESS($B112,Plots!$H$4,,,Plots!$A$55))+INDIRECT(ADDRESS($B112,Plots!$H$4,,,Plots!$A$56))</f>
        <v>0</v>
      </c>
      <c r="P112" cm="1">
        <f t="array" aca="1" ref="P112" ca="1">INDIRECT(ADDRESS($B112,Plots!$H$4,,,Plots!$A$57))+INDIRECT(ADDRESS($B112,Plots!$H$4,,,Plots!$A$58))+INDIRECT(ADDRESS($B112,Plots!$H$4,,,Plots!$A$59))+INDIRECT(ADDRESS($B112,Plots!$H$4,,,Plots!$A$60))+INDIRECT(ADDRESS($B112,Plots!$H$4,,,Plots!$A$61))</f>
        <v>0</v>
      </c>
      <c r="Q112" cm="1">
        <f t="array" aca="1" ref="Q112" ca="1">INDIRECT(ADDRESS($B112,Plots!$H$4,,,Plots!$A$62))+INDIRECT(ADDRESS($B112,Plots!$H$4,,,Plots!$A$63))+INDIRECT(ADDRESS($B112,Plots!$H$4,,,Plots!$A$64))+INDIRECT(ADDRESS($B112,Plots!$H$4,,,Plots!$A$65))+INDIRECT(ADDRESS($B112,Plots!$H$4,,,Plots!$A$66))+INDIRECT(ADDRESS($B112,Plots!$H$4,,,Plots!$A$67))</f>
        <v>0</v>
      </c>
    </row>
    <row r="113" spans="1:17">
      <c r="A113">
        <f>'AARnetCBR-CamDTN1_tcpmon_ts_11'!A113</f>
        <v>202</v>
      </c>
      <c r="B113">
        <f t="shared" si="0"/>
        <v>113</v>
      </c>
      <c r="C113" cm="1">
        <f t="array" aca="1" ref="C113" ca="1">INDIRECT(ADDRESS($B113,Plots!$H$3,,,Plots!$A$47))</f>
        <v>24.84</v>
      </c>
      <c r="D113" cm="1">
        <f t="array" aca="1" ref="D113" ca="1">INDIRECT(ADDRESS($B113,Plots!$H$3,,,Plots!$A$48))+INDIRECT(ADDRESS($B113,Plots!$H$3,,,Plots!$A$49))</f>
        <v>57.7</v>
      </c>
      <c r="E113" cm="1">
        <f t="array" aca="1" ref="E113" ca="1">INDIRECT(ADDRESS($B113,Plots!$H$3,,,Plots!$A$50))+INDIRECT(ADDRESS($B113,Plots!$H$3,,,Plots!$A$51))+INDIRECT(ADDRESS($B113,Plots!$H$3,,,Plots!$A$52))</f>
        <v>60.33</v>
      </c>
      <c r="F113" cm="1">
        <f t="array" aca="1" ref="F113" ca="1">INDIRECT(ADDRESS($B113,Plots!$H$3,,,Plots!$A$53))+INDIRECT(ADDRESS($B113,Plots!$H$3,,,Plots!$A$54))+INDIRECT(ADDRESS($B113,Plots!$H$3,,,Plots!$A$55))+INDIRECT(ADDRESS($B113,Plots!$H$3,,,Plots!$A$56))</f>
        <v>85.830000000000013</v>
      </c>
      <c r="G113" cm="1">
        <f t="array" aca="1" ref="G113" ca="1">INDIRECT(ADDRESS($B113,Plots!$H$3,,,Plots!$A$57))+INDIRECT(ADDRESS($B113,Plots!$H$3,,,Plots!$A$58))+INDIRECT(ADDRESS($B113,Plots!$H$3,,,Plots!$A$59))+INDIRECT(ADDRESS($B113,Plots!$H$3,,,Plots!$A$60))+INDIRECT(ADDRESS($B113,Plots!$H$3,,,Plots!$A$61))</f>
        <v>0</v>
      </c>
      <c r="H113" cm="1">
        <f t="array" aca="1" ref="H113" ca="1">INDIRECT(ADDRESS($B113,Plots!$H$3,,,Plots!$A$62))+INDIRECT(ADDRESS($B113,Plots!$H$3,,,Plots!$A$63))+INDIRECT(ADDRESS($B113,Plots!$H$3,,,Plots!$A$64))+INDIRECT(ADDRESS($B113,Plots!$H$3,,,Plots!$A$65))+INDIRECT(ADDRESS($B113,Plots!$H$3,,,Plots!$A$66))+INDIRECT(ADDRESS($B113,Plots!$H$3,,,Plots!$A$67))</f>
        <v>0</v>
      </c>
      <c r="I113">
        <f>'AARnetCBR-CamDTN1_tcpmon_ts_81'!H117+'AARnetCBR-CamDTN1_tcpmon_ts_82'!H117+'AARnetCBR-CamDTN1_tcpmon_ts_83'!H117+'AARnetCBR-CamDTN1_tcpmon_ts_84'!H117+'AARnetCBR-CamDTN1_tcpmon_ts_85'!H117+'AARnetCBR-CamDTN1_tcpmon_ts_86'!H117+'AARnetCBR-CamDTN1_tcpmon_ts_87'!H117+'AARnetCBR-CamDTN1_tcpmon_ts_88'!H117</f>
        <v>0</v>
      </c>
      <c r="L113" cm="1">
        <f t="array" aca="1" ref="L113" ca="1">INDIRECT(ADDRESS($B113,Plots!$H$4,,,Plots!$A$47))</f>
        <v>0</v>
      </c>
      <c r="M113" cm="1">
        <f t="array" aca="1" ref="M113" ca="1">INDIRECT(ADDRESS($B113,Plots!$H$4,,,Plots!$A$48))+INDIRECT(ADDRESS($B113,Plots!$H$4,,,Plots!$A$49))</f>
        <v>0</v>
      </c>
      <c r="N113" cm="1">
        <f t="array" aca="1" ref="N113" ca="1">INDIRECT(ADDRESS($B113,Plots!$H$4,,,Plots!$A$50))+INDIRECT(ADDRESS($B113,Plots!$H$4,,,Plots!$A$51))+INDIRECT(ADDRESS($B113,Plots!$H$4,,,Plots!$A$52))</f>
        <v>0</v>
      </c>
      <c r="O113" cm="1">
        <f t="array" aca="1" ref="O113" ca="1">INDIRECT(ADDRESS($B113,Plots!$H$4,,,Plots!$A$53))+INDIRECT(ADDRESS($B113,Plots!$H$4,,,Plots!$A$54))+INDIRECT(ADDRESS($B113,Plots!$H$4,,,Plots!$A$55))+INDIRECT(ADDRESS($B113,Plots!$H$4,,,Plots!$A$56))</f>
        <v>0</v>
      </c>
      <c r="P113" cm="1">
        <f t="array" aca="1" ref="P113" ca="1">INDIRECT(ADDRESS($B113,Plots!$H$4,,,Plots!$A$57))+INDIRECT(ADDRESS($B113,Plots!$H$4,,,Plots!$A$58))+INDIRECT(ADDRESS($B113,Plots!$H$4,,,Plots!$A$59))+INDIRECT(ADDRESS($B113,Plots!$H$4,,,Plots!$A$60))+INDIRECT(ADDRESS($B113,Plots!$H$4,,,Plots!$A$61))</f>
        <v>0</v>
      </c>
      <c r="Q113" cm="1">
        <f t="array" aca="1" ref="Q113" ca="1">INDIRECT(ADDRESS($B113,Plots!$H$4,,,Plots!$A$62))+INDIRECT(ADDRESS($B113,Plots!$H$4,,,Plots!$A$63))+INDIRECT(ADDRESS($B113,Plots!$H$4,,,Plots!$A$64))+INDIRECT(ADDRESS($B113,Plots!$H$4,,,Plots!$A$65))+INDIRECT(ADDRESS($B113,Plots!$H$4,,,Plots!$A$66))+INDIRECT(ADDRESS($B113,Plots!$H$4,,,Plots!$A$67))</f>
        <v>0</v>
      </c>
    </row>
    <row r="114" spans="1:17">
      <c r="A114">
        <f>'AARnetCBR-CamDTN1_tcpmon_ts_11'!A114</f>
        <v>204</v>
      </c>
      <c r="B114">
        <f t="shared" si="0"/>
        <v>114</v>
      </c>
      <c r="C114" cm="1">
        <f t="array" aca="1" ref="C114" ca="1">INDIRECT(ADDRESS($B114,Plots!$H$3,,,Plots!$A$47))</f>
        <v>25.91</v>
      </c>
      <c r="D114" cm="1">
        <f t="array" aca="1" ref="D114" ca="1">INDIRECT(ADDRESS($B114,Plots!$H$3,,,Plots!$A$48))+INDIRECT(ADDRESS($B114,Plots!$H$3,,,Plots!$A$49))</f>
        <v>56.21</v>
      </c>
      <c r="E114" cm="1">
        <f t="array" aca="1" ref="E114" ca="1">INDIRECT(ADDRESS($B114,Plots!$H$3,,,Plots!$A$50))+INDIRECT(ADDRESS($B114,Plots!$H$3,,,Plots!$A$51))+INDIRECT(ADDRESS($B114,Plots!$H$3,,,Plots!$A$52))</f>
        <v>72.89</v>
      </c>
      <c r="F114" cm="1">
        <f t="array" aca="1" ref="F114" ca="1">INDIRECT(ADDRESS($B114,Plots!$H$3,,,Plots!$A$53))+INDIRECT(ADDRESS($B114,Plots!$H$3,,,Plots!$A$54))+INDIRECT(ADDRESS($B114,Plots!$H$3,,,Plots!$A$55))+INDIRECT(ADDRESS($B114,Plots!$H$3,,,Plots!$A$56))</f>
        <v>88.78</v>
      </c>
      <c r="G114" cm="1">
        <f t="array" aca="1" ref="G114" ca="1">INDIRECT(ADDRESS($B114,Plots!$H$3,,,Plots!$A$57))+INDIRECT(ADDRESS($B114,Plots!$H$3,,,Plots!$A$58))+INDIRECT(ADDRESS($B114,Plots!$H$3,,,Plots!$A$59))+INDIRECT(ADDRESS($B114,Plots!$H$3,,,Plots!$A$60))+INDIRECT(ADDRESS($B114,Plots!$H$3,,,Plots!$A$61))</f>
        <v>0</v>
      </c>
      <c r="H114" cm="1">
        <f t="array" aca="1" ref="H114" ca="1">INDIRECT(ADDRESS($B114,Plots!$H$3,,,Plots!$A$62))+INDIRECT(ADDRESS($B114,Plots!$H$3,,,Plots!$A$63))+INDIRECT(ADDRESS($B114,Plots!$H$3,,,Plots!$A$64))+INDIRECT(ADDRESS($B114,Plots!$H$3,,,Plots!$A$65))+INDIRECT(ADDRESS($B114,Plots!$H$3,,,Plots!$A$66))+INDIRECT(ADDRESS($B114,Plots!$H$3,,,Plots!$A$67))</f>
        <v>0</v>
      </c>
      <c r="I114">
        <f>'AARnetCBR-CamDTN1_tcpmon_ts_81'!H118+'AARnetCBR-CamDTN1_tcpmon_ts_82'!H118+'AARnetCBR-CamDTN1_tcpmon_ts_83'!H118+'AARnetCBR-CamDTN1_tcpmon_ts_84'!H118+'AARnetCBR-CamDTN1_tcpmon_ts_85'!H118+'AARnetCBR-CamDTN1_tcpmon_ts_86'!H118+'AARnetCBR-CamDTN1_tcpmon_ts_87'!H118+'AARnetCBR-CamDTN1_tcpmon_ts_88'!H118</f>
        <v>0</v>
      </c>
      <c r="L114" cm="1">
        <f t="array" aca="1" ref="L114" ca="1">INDIRECT(ADDRESS($B114,Plots!$H$4,,,Plots!$A$47))</f>
        <v>0</v>
      </c>
      <c r="M114" cm="1">
        <f t="array" aca="1" ref="M114" ca="1">INDIRECT(ADDRESS($B114,Plots!$H$4,,,Plots!$A$48))+INDIRECT(ADDRESS($B114,Plots!$H$4,,,Plots!$A$49))</f>
        <v>0</v>
      </c>
      <c r="N114" cm="1">
        <f t="array" aca="1" ref="N114" ca="1">INDIRECT(ADDRESS($B114,Plots!$H$4,,,Plots!$A$50))+INDIRECT(ADDRESS($B114,Plots!$H$4,,,Plots!$A$51))+INDIRECT(ADDRESS($B114,Plots!$H$4,,,Plots!$A$52))</f>
        <v>0</v>
      </c>
      <c r="O114" cm="1">
        <f t="array" aca="1" ref="O114" ca="1">INDIRECT(ADDRESS($B114,Plots!$H$4,,,Plots!$A$53))+INDIRECT(ADDRESS($B114,Plots!$H$4,,,Plots!$A$54))+INDIRECT(ADDRESS($B114,Plots!$H$4,,,Plots!$A$55))+INDIRECT(ADDRESS($B114,Plots!$H$4,,,Plots!$A$56))</f>
        <v>0</v>
      </c>
      <c r="P114" cm="1">
        <f t="array" aca="1" ref="P114" ca="1">INDIRECT(ADDRESS($B114,Plots!$H$4,,,Plots!$A$57))+INDIRECT(ADDRESS($B114,Plots!$H$4,,,Plots!$A$58))+INDIRECT(ADDRESS($B114,Plots!$H$4,,,Plots!$A$59))+INDIRECT(ADDRESS($B114,Plots!$H$4,,,Plots!$A$60))+INDIRECT(ADDRESS($B114,Plots!$H$4,,,Plots!$A$61))</f>
        <v>0</v>
      </c>
      <c r="Q114" cm="1">
        <f t="array" aca="1" ref="Q114" ca="1">INDIRECT(ADDRESS($B114,Plots!$H$4,,,Plots!$A$62))+INDIRECT(ADDRESS($B114,Plots!$H$4,,,Plots!$A$63))+INDIRECT(ADDRESS($B114,Plots!$H$4,,,Plots!$A$64))+INDIRECT(ADDRESS($B114,Plots!$H$4,,,Plots!$A$65))+INDIRECT(ADDRESS($B114,Plots!$H$4,,,Plots!$A$66))+INDIRECT(ADDRESS($B114,Plots!$H$4,,,Plots!$A$67))</f>
        <v>0</v>
      </c>
    </row>
    <row r="115" spans="1:17">
      <c r="A115">
        <f>'AARnetCBR-CamDTN1_tcpmon_ts_11'!A115</f>
        <v>206</v>
      </c>
      <c r="B115">
        <f t="shared" si="0"/>
        <v>115</v>
      </c>
      <c r="C115" cm="1">
        <f t="array" aca="1" ref="C115" ca="1">INDIRECT(ADDRESS($B115,Plots!$H$3,,,Plots!$A$47))</f>
        <v>26.29</v>
      </c>
      <c r="D115" cm="1">
        <f t="array" aca="1" ref="D115" ca="1">INDIRECT(ADDRESS($B115,Plots!$H$3,,,Plots!$A$48))+INDIRECT(ADDRESS($B115,Plots!$H$3,,,Plots!$A$49))</f>
        <v>58.46</v>
      </c>
      <c r="E115" cm="1">
        <f t="array" aca="1" ref="E115" ca="1">INDIRECT(ADDRESS($B115,Plots!$H$3,,,Plots!$A$50))+INDIRECT(ADDRESS($B115,Plots!$H$3,,,Plots!$A$51))+INDIRECT(ADDRESS($B115,Plots!$H$3,,,Plots!$A$52))</f>
        <v>62.31</v>
      </c>
      <c r="F115" cm="1">
        <f t="array" aca="1" ref="F115" ca="1">INDIRECT(ADDRESS($B115,Plots!$H$3,,,Plots!$A$53))+INDIRECT(ADDRESS($B115,Plots!$H$3,,,Plots!$A$54))+INDIRECT(ADDRESS($B115,Plots!$H$3,,,Plots!$A$55))+INDIRECT(ADDRESS($B115,Plots!$H$3,,,Plots!$A$56))</f>
        <v>85.58</v>
      </c>
      <c r="G115" cm="1">
        <f t="array" aca="1" ref="G115" ca="1">INDIRECT(ADDRESS($B115,Plots!$H$3,,,Plots!$A$57))+INDIRECT(ADDRESS($B115,Plots!$H$3,,,Plots!$A$58))+INDIRECT(ADDRESS($B115,Plots!$H$3,,,Plots!$A$59))+INDIRECT(ADDRESS($B115,Plots!$H$3,,,Plots!$A$60))+INDIRECT(ADDRESS($B115,Plots!$H$3,,,Plots!$A$61))</f>
        <v>0</v>
      </c>
      <c r="H115" cm="1">
        <f t="array" aca="1" ref="H115" ca="1">INDIRECT(ADDRESS($B115,Plots!$H$3,,,Plots!$A$62))+INDIRECT(ADDRESS($B115,Plots!$H$3,,,Plots!$A$63))+INDIRECT(ADDRESS($B115,Plots!$H$3,,,Plots!$A$64))+INDIRECT(ADDRESS($B115,Plots!$H$3,,,Plots!$A$65))+INDIRECT(ADDRESS($B115,Plots!$H$3,,,Plots!$A$66))+INDIRECT(ADDRESS($B115,Plots!$H$3,,,Plots!$A$67))</f>
        <v>0</v>
      </c>
      <c r="I115">
        <f>'AARnetCBR-CamDTN1_tcpmon_ts_81'!H119+'AARnetCBR-CamDTN1_tcpmon_ts_82'!H119+'AARnetCBR-CamDTN1_tcpmon_ts_83'!H119+'AARnetCBR-CamDTN1_tcpmon_ts_84'!H119+'AARnetCBR-CamDTN1_tcpmon_ts_85'!H119+'AARnetCBR-CamDTN1_tcpmon_ts_86'!H119+'AARnetCBR-CamDTN1_tcpmon_ts_87'!H119+'AARnetCBR-CamDTN1_tcpmon_ts_88'!H119</f>
        <v>0</v>
      </c>
      <c r="L115" cm="1">
        <f t="array" aca="1" ref="L115" ca="1">INDIRECT(ADDRESS($B115,Plots!$H$4,,,Plots!$A$47))</f>
        <v>0</v>
      </c>
      <c r="M115" cm="1">
        <f t="array" aca="1" ref="M115" ca="1">INDIRECT(ADDRESS($B115,Plots!$H$4,,,Plots!$A$48))+INDIRECT(ADDRESS($B115,Plots!$H$4,,,Plots!$A$49))</f>
        <v>0</v>
      </c>
      <c r="N115" cm="1">
        <f t="array" aca="1" ref="N115" ca="1">INDIRECT(ADDRESS($B115,Plots!$H$4,,,Plots!$A$50))+INDIRECT(ADDRESS($B115,Plots!$H$4,,,Plots!$A$51))+INDIRECT(ADDRESS($B115,Plots!$H$4,,,Plots!$A$52))</f>
        <v>0</v>
      </c>
      <c r="O115" cm="1">
        <f t="array" aca="1" ref="O115" ca="1">INDIRECT(ADDRESS($B115,Plots!$H$4,,,Plots!$A$53))+INDIRECT(ADDRESS($B115,Plots!$H$4,,,Plots!$A$54))+INDIRECT(ADDRESS($B115,Plots!$H$4,,,Plots!$A$55))+INDIRECT(ADDRESS($B115,Plots!$H$4,,,Plots!$A$56))</f>
        <v>0</v>
      </c>
      <c r="P115" cm="1">
        <f t="array" aca="1" ref="P115" ca="1">INDIRECT(ADDRESS($B115,Plots!$H$4,,,Plots!$A$57))+INDIRECT(ADDRESS($B115,Plots!$H$4,,,Plots!$A$58))+INDIRECT(ADDRESS($B115,Plots!$H$4,,,Plots!$A$59))+INDIRECT(ADDRESS($B115,Plots!$H$4,,,Plots!$A$60))+INDIRECT(ADDRESS($B115,Plots!$H$4,,,Plots!$A$61))</f>
        <v>0</v>
      </c>
      <c r="Q115" cm="1">
        <f t="array" aca="1" ref="Q115" ca="1">INDIRECT(ADDRESS($B115,Plots!$H$4,,,Plots!$A$62))+INDIRECT(ADDRESS($B115,Plots!$H$4,,,Plots!$A$63))+INDIRECT(ADDRESS($B115,Plots!$H$4,,,Plots!$A$64))+INDIRECT(ADDRESS($B115,Plots!$H$4,,,Plots!$A$65))+INDIRECT(ADDRESS($B115,Plots!$H$4,,,Plots!$A$66))+INDIRECT(ADDRESS($B115,Plots!$H$4,,,Plots!$A$67))</f>
        <v>0</v>
      </c>
    </row>
    <row r="116" spans="1:17">
      <c r="A116">
        <f>'AARnetCBR-CamDTN1_tcpmon_ts_11'!A116</f>
        <v>208</v>
      </c>
      <c r="B116">
        <f t="shared" si="0"/>
        <v>116</v>
      </c>
      <c r="C116" cm="1">
        <f t="array" aca="1" ref="C116" ca="1">INDIRECT(ADDRESS($B116,Plots!$H$3,,,Plots!$A$47))</f>
        <v>26.75</v>
      </c>
      <c r="D116" cm="1">
        <f t="array" aca="1" ref="D116" ca="1">INDIRECT(ADDRESS($B116,Plots!$H$3,,,Plots!$A$48))+INDIRECT(ADDRESS($B116,Plots!$H$3,,,Plots!$A$49))</f>
        <v>54.58</v>
      </c>
      <c r="E116" cm="1">
        <f t="array" aca="1" ref="E116" ca="1">INDIRECT(ADDRESS($B116,Plots!$H$3,,,Plots!$A$50))+INDIRECT(ADDRESS($B116,Plots!$H$3,,,Plots!$A$51))+INDIRECT(ADDRESS($B116,Plots!$H$3,,,Plots!$A$52))</f>
        <v>74.22</v>
      </c>
      <c r="F116" cm="1">
        <f t="array" aca="1" ref="F116" ca="1">INDIRECT(ADDRESS($B116,Plots!$H$3,,,Plots!$A$53))+INDIRECT(ADDRESS($B116,Plots!$H$3,,,Plots!$A$54))+INDIRECT(ADDRESS($B116,Plots!$H$3,,,Plots!$A$55))+INDIRECT(ADDRESS($B116,Plots!$H$3,,,Plots!$A$56))</f>
        <v>83.24</v>
      </c>
      <c r="G116" cm="1">
        <f t="array" aca="1" ref="G116" ca="1">INDIRECT(ADDRESS($B116,Plots!$H$3,,,Plots!$A$57))+INDIRECT(ADDRESS($B116,Plots!$H$3,,,Plots!$A$58))+INDIRECT(ADDRESS($B116,Plots!$H$3,,,Plots!$A$59))+INDIRECT(ADDRESS($B116,Plots!$H$3,,,Plots!$A$60))+INDIRECT(ADDRESS($B116,Plots!$H$3,,,Plots!$A$61))</f>
        <v>0</v>
      </c>
      <c r="H116" cm="1">
        <f t="array" aca="1" ref="H116" ca="1">INDIRECT(ADDRESS($B116,Plots!$H$3,,,Plots!$A$62))+INDIRECT(ADDRESS($B116,Plots!$H$3,,,Plots!$A$63))+INDIRECT(ADDRESS($B116,Plots!$H$3,,,Plots!$A$64))+INDIRECT(ADDRESS($B116,Plots!$H$3,,,Plots!$A$65))+INDIRECT(ADDRESS($B116,Plots!$H$3,,,Plots!$A$66))+INDIRECT(ADDRESS($B116,Plots!$H$3,,,Plots!$A$67))</f>
        <v>0</v>
      </c>
      <c r="I116">
        <f>'AARnetCBR-CamDTN1_tcpmon_ts_81'!H120+'AARnetCBR-CamDTN1_tcpmon_ts_82'!H120+'AARnetCBR-CamDTN1_tcpmon_ts_83'!H120+'AARnetCBR-CamDTN1_tcpmon_ts_84'!H120+'AARnetCBR-CamDTN1_tcpmon_ts_85'!H120+'AARnetCBR-CamDTN1_tcpmon_ts_86'!H120+'AARnetCBR-CamDTN1_tcpmon_ts_87'!H120+'AARnetCBR-CamDTN1_tcpmon_ts_88'!H120</f>
        <v>0</v>
      </c>
      <c r="L116" cm="1">
        <f t="array" aca="1" ref="L116" ca="1">INDIRECT(ADDRESS($B116,Plots!$H$4,,,Plots!$A$47))</f>
        <v>0</v>
      </c>
      <c r="M116" cm="1">
        <f t="array" aca="1" ref="M116" ca="1">INDIRECT(ADDRESS($B116,Plots!$H$4,,,Plots!$A$48))+INDIRECT(ADDRESS($B116,Plots!$H$4,,,Plots!$A$49))</f>
        <v>0</v>
      </c>
      <c r="N116" cm="1">
        <f t="array" aca="1" ref="N116" ca="1">INDIRECT(ADDRESS($B116,Plots!$H$4,,,Plots!$A$50))+INDIRECT(ADDRESS($B116,Plots!$H$4,,,Plots!$A$51))+INDIRECT(ADDRESS($B116,Plots!$H$4,,,Plots!$A$52))</f>
        <v>0</v>
      </c>
      <c r="O116" cm="1">
        <f t="array" aca="1" ref="O116" ca="1">INDIRECT(ADDRESS($B116,Plots!$H$4,,,Plots!$A$53))+INDIRECT(ADDRESS($B116,Plots!$H$4,,,Plots!$A$54))+INDIRECT(ADDRESS($B116,Plots!$H$4,,,Plots!$A$55))+INDIRECT(ADDRESS($B116,Plots!$H$4,,,Plots!$A$56))</f>
        <v>0</v>
      </c>
      <c r="P116" cm="1">
        <f t="array" aca="1" ref="P116" ca="1">INDIRECT(ADDRESS($B116,Plots!$H$4,,,Plots!$A$57))+INDIRECT(ADDRESS($B116,Plots!$H$4,,,Plots!$A$58))+INDIRECT(ADDRESS($B116,Plots!$H$4,,,Plots!$A$59))+INDIRECT(ADDRESS($B116,Plots!$H$4,,,Plots!$A$60))+INDIRECT(ADDRESS($B116,Plots!$H$4,,,Plots!$A$61))</f>
        <v>0</v>
      </c>
      <c r="Q116" cm="1">
        <f t="array" aca="1" ref="Q116" ca="1">INDIRECT(ADDRESS($B116,Plots!$H$4,,,Plots!$A$62))+INDIRECT(ADDRESS($B116,Plots!$H$4,,,Plots!$A$63))+INDIRECT(ADDRESS($B116,Plots!$H$4,,,Plots!$A$64))+INDIRECT(ADDRESS($B116,Plots!$H$4,,,Plots!$A$65))+INDIRECT(ADDRESS($B116,Plots!$H$4,,,Plots!$A$66))+INDIRECT(ADDRESS($B116,Plots!$H$4,,,Plots!$A$67))</f>
        <v>0</v>
      </c>
    </row>
    <row r="117" spans="1:17">
      <c r="A117">
        <f>'AARnetCBR-CamDTN1_tcpmon_ts_11'!A117</f>
        <v>210</v>
      </c>
      <c r="B117">
        <f t="shared" si="0"/>
        <v>117</v>
      </c>
      <c r="C117" cm="1">
        <f t="array" aca="1" ref="C117" ca="1">INDIRECT(ADDRESS($B117,Plots!$H$3,,,Plots!$A$47))</f>
        <v>25.81</v>
      </c>
      <c r="D117" cm="1">
        <f t="array" aca="1" ref="D117" ca="1">INDIRECT(ADDRESS($B117,Plots!$H$3,,,Plots!$A$48))+INDIRECT(ADDRESS($B117,Plots!$H$3,,,Plots!$A$49))</f>
        <v>56.34</v>
      </c>
      <c r="E117" cm="1">
        <f t="array" aca="1" ref="E117" ca="1">INDIRECT(ADDRESS($B117,Plots!$H$3,,,Plots!$A$50))+INDIRECT(ADDRESS($B117,Plots!$H$3,,,Plots!$A$51))+INDIRECT(ADDRESS($B117,Plots!$H$3,,,Plots!$A$52))</f>
        <v>60.349999999999994</v>
      </c>
      <c r="F117" cm="1">
        <f t="array" aca="1" ref="F117" ca="1">INDIRECT(ADDRESS($B117,Plots!$H$3,,,Plots!$A$53))+INDIRECT(ADDRESS($B117,Plots!$H$3,,,Plots!$A$54))+INDIRECT(ADDRESS($B117,Plots!$H$3,,,Plots!$A$55))+INDIRECT(ADDRESS($B117,Plots!$H$3,,,Plots!$A$56))</f>
        <v>90.67</v>
      </c>
      <c r="G117" cm="1">
        <f t="array" aca="1" ref="G117" ca="1">INDIRECT(ADDRESS($B117,Plots!$H$3,,,Plots!$A$57))+INDIRECT(ADDRESS($B117,Plots!$H$3,,,Plots!$A$58))+INDIRECT(ADDRESS($B117,Plots!$H$3,,,Plots!$A$59))+INDIRECT(ADDRESS($B117,Plots!$H$3,,,Plots!$A$60))+INDIRECT(ADDRESS($B117,Plots!$H$3,,,Plots!$A$61))</f>
        <v>0</v>
      </c>
      <c r="H117" cm="1">
        <f t="array" aca="1" ref="H117" ca="1">INDIRECT(ADDRESS($B117,Plots!$H$3,,,Plots!$A$62))+INDIRECT(ADDRESS($B117,Plots!$H$3,,,Plots!$A$63))+INDIRECT(ADDRESS($B117,Plots!$H$3,,,Plots!$A$64))+INDIRECT(ADDRESS($B117,Plots!$H$3,,,Plots!$A$65))+INDIRECT(ADDRESS($B117,Plots!$H$3,,,Plots!$A$66))+INDIRECT(ADDRESS($B117,Plots!$H$3,,,Plots!$A$67))</f>
        <v>0</v>
      </c>
      <c r="I117">
        <f>'AARnetCBR-CamDTN1_tcpmon_ts_81'!H121+'AARnetCBR-CamDTN1_tcpmon_ts_82'!H121+'AARnetCBR-CamDTN1_tcpmon_ts_83'!H121+'AARnetCBR-CamDTN1_tcpmon_ts_84'!H121+'AARnetCBR-CamDTN1_tcpmon_ts_85'!H121+'AARnetCBR-CamDTN1_tcpmon_ts_86'!H121+'AARnetCBR-CamDTN1_tcpmon_ts_87'!H121+'AARnetCBR-CamDTN1_tcpmon_ts_88'!H121</f>
        <v>0</v>
      </c>
      <c r="L117" cm="1">
        <f t="array" aca="1" ref="L117" ca="1">INDIRECT(ADDRESS($B117,Plots!$H$4,,,Plots!$A$47))</f>
        <v>0</v>
      </c>
      <c r="M117" cm="1">
        <f t="array" aca="1" ref="M117" ca="1">INDIRECT(ADDRESS($B117,Plots!$H$4,,,Plots!$A$48))+INDIRECT(ADDRESS($B117,Plots!$H$4,,,Plots!$A$49))</f>
        <v>0</v>
      </c>
      <c r="N117" cm="1">
        <f t="array" aca="1" ref="N117" ca="1">INDIRECT(ADDRESS($B117,Plots!$H$4,,,Plots!$A$50))+INDIRECT(ADDRESS($B117,Plots!$H$4,,,Plots!$A$51))+INDIRECT(ADDRESS($B117,Plots!$H$4,,,Plots!$A$52))</f>
        <v>0</v>
      </c>
      <c r="O117" cm="1">
        <f t="array" aca="1" ref="O117" ca="1">INDIRECT(ADDRESS($B117,Plots!$H$4,,,Plots!$A$53))+INDIRECT(ADDRESS($B117,Plots!$H$4,,,Plots!$A$54))+INDIRECT(ADDRESS($B117,Plots!$H$4,,,Plots!$A$55))+INDIRECT(ADDRESS($B117,Plots!$H$4,,,Plots!$A$56))</f>
        <v>0</v>
      </c>
      <c r="P117" cm="1">
        <f t="array" aca="1" ref="P117" ca="1">INDIRECT(ADDRESS($B117,Plots!$H$4,,,Plots!$A$57))+INDIRECT(ADDRESS($B117,Plots!$H$4,,,Plots!$A$58))+INDIRECT(ADDRESS($B117,Plots!$H$4,,,Plots!$A$59))+INDIRECT(ADDRESS($B117,Plots!$H$4,,,Plots!$A$60))+INDIRECT(ADDRESS($B117,Plots!$H$4,,,Plots!$A$61))</f>
        <v>0</v>
      </c>
      <c r="Q117" cm="1">
        <f t="array" aca="1" ref="Q117" ca="1">INDIRECT(ADDRESS($B117,Plots!$H$4,,,Plots!$A$62))+INDIRECT(ADDRESS($B117,Plots!$H$4,,,Plots!$A$63))+INDIRECT(ADDRESS($B117,Plots!$H$4,,,Plots!$A$64))+INDIRECT(ADDRESS($B117,Plots!$H$4,,,Plots!$A$65))+INDIRECT(ADDRESS($B117,Plots!$H$4,,,Plots!$A$66))+INDIRECT(ADDRESS($B117,Plots!$H$4,,,Plots!$A$67))</f>
        <v>0</v>
      </c>
    </row>
    <row r="118" spans="1:17">
      <c r="A118">
        <f>'AARnetCBR-CamDTN1_tcpmon_ts_11'!A118</f>
        <v>212</v>
      </c>
      <c r="B118">
        <f t="shared" si="0"/>
        <v>118</v>
      </c>
      <c r="C118" cm="1">
        <f t="array" aca="1" ref="C118" ca="1">INDIRECT(ADDRESS($B118,Plots!$H$3,,,Plots!$A$47))</f>
        <v>26.57</v>
      </c>
      <c r="D118" cm="1">
        <f t="array" aca="1" ref="D118" ca="1">INDIRECT(ADDRESS($B118,Plots!$H$3,,,Plots!$A$48))+INDIRECT(ADDRESS($B118,Plots!$H$3,,,Plots!$A$49))</f>
        <v>60.16</v>
      </c>
      <c r="E118" cm="1">
        <f t="array" aca="1" ref="E118" ca="1">INDIRECT(ADDRESS($B118,Plots!$H$3,,,Plots!$A$50))+INDIRECT(ADDRESS($B118,Plots!$H$3,,,Plots!$A$51))+INDIRECT(ADDRESS($B118,Plots!$H$3,,,Plots!$A$52))</f>
        <v>74.14</v>
      </c>
      <c r="F118" cm="1">
        <f t="array" aca="1" ref="F118" ca="1">INDIRECT(ADDRESS($B118,Plots!$H$3,,,Plots!$A$53))+INDIRECT(ADDRESS($B118,Plots!$H$3,,,Plots!$A$54))+INDIRECT(ADDRESS($B118,Plots!$H$3,,,Plots!$A$55))+INDIRECT(ADDRESS($B118,Plots!$H$3,,,Plots!$A$56))</f>
        <v>83.03</v>
      </c>
      <c r="G118" cm="1">
        <f t="array" aca="1" ref="G118" ca="1">INDIRECT(ADDRESS($B118,Plots!$H$3,,,Plots!$A$57))+INDIRECT(ADDRESS($B118,Plots!$H$3,,,Plots!$A$58))+INDIRECT(ADDRESS($B118,Plots!$H$3,,,Plots!$A$59))+INDIRECT(ADDRESS($B118,Plots!$H$3,,,Plots!$A$60))+INDIRECT(ADDRESS($B118,Plots!$H$3,,,Plots!$A$61))</f>
        <v>0</v>
      </c>
      <c r="H118" cm="1">
        <f t="array" aca="1" ref="H118" ca="1">INDIRECT(ADDRESS($B118,Plots!$H$3,,,Plots!$A$62))+INDIRECT(ADDRESS($B118,Plots!$H$3,,,Plots!$A$63))+INDIRECT(ADDRESS($B118,Plots!$H$3,,,Plots!$A$64))+INDIRECT(ADDRESS($B118,Plots!$H$3,,,Plots!$A$65))+INDIRECT(ADDRESS($B118,Plots!$H$3,,,Plots!$A$66))+INDIRECT(ADDRESS($B118,Plots!$H$3,,,Plots!$A$67))</f>
        <v>0</v>
      </c>
      <c r="I118">
        <f>'AARnetCBR-CamDTN1_tcpmon_ts_81'!H122+'AARnetCBR-CamDTN1_tcpmon_ts_82'!H122+'AARnetCBR-CamDTN1_tcpmon_ts_83'!H122+'AARnetCBR-CamDTN1_tcpmon_ts_84'!H122+'AARnetCBR-CamDTN1_tcpmon_ts_85'!H122+'AARnetCBR-CamDTN1_tcpmon_ts_86'!H122+'AARnetCBR-CamDTN1_tcpmon_ts_87'!H122+'AARnetCBR-CamDTN1_tcpmon_ts_88'!H122</f>
        <v>0</v>
      </c>
      <c r="L118" cm="1">
        <f t="array" aca="1" ref="L118" ca="1">INDIRECT(ADDRESS($B118,Plots!$H$4,,,Plots!$A$47))</f>
        <v>0</v>
      </c>
      <c r="M118" cm="1">
        <f t="array" aca="1" ref="M118" ca="1">INDIRECT(ADDRESS($B118,Plots!$H$4,,,Plots!$A$48))+INDIRECT(ADDRESS($B118,Plots!$H$4,,,Plots!$A$49))</f>
        <v>0</v>
      </c>
      <c r="N118" cm="1">
        <f t="array" aca="1" ref="N118" ca="1">INDIRECT(ADDRESS($B118,Plots!$H$4,,,Plots!$A$50))+INDIRECT(ADDRESS($B118,Plots!$H$4,,,Plots!$A$51))+INDIRECT(ADDRESS($B118,Plots!$H$4,,,Plots!$A$52))</f>
        <v>0</v>
      </c>
      <c r="O118" cm="1">
        <f t="array" aca="1" ref="O118" ca="1">INDIRECT(ADDRESS($B118,Plots!$H$4,,,Plots!$A$53))+INDIRECT(ADDRESS($B118,Plots!$H$4,,,Plots!$A$54))+INDIRECT(ADDRESS($B118,Plots!$H$4,,,Plots!$A$55))+INDIRECT(ADDRESS($B118,Plots!$H$4,,,Plots!$A$56))</f>
        <v>0</v>
      </c>
      <c r="P118" cm="1">
        <f t="array" aca="1" ref="P118" ca="1">INDIRECT(ADDRESS($B118,Plots!$H$4,,,Plots!$A$57))+INDIRECT(ADDRESS($B118,Plots!$H$4,,,Plots!$A$58))+INDIRECT(ADDRESS($B118,Plots!$H$4,,,Plots!$A$59))+INDIRECT(ADDRESS($B118,Plots!$H$4,,,Plots!$A$60))+INDIRECT(ADDRESS($B118,Plots!$H$4,,,Plots!$A$61))</f>
        <v>0</v>
      </c>
      <c r="Q118" cm="1">
        <f t="array" aca="1" ref="Q118" ca="1">INDIRECT(ADDRESS($B118,Plots!$H$4,,,Plots!$A$62))+INDIRECT(ADDRESS($B118,Plots!$H$4,,,Plots!$A$63))+INDIRECT(ADDRESS($B118,Plots!$H$4,,,Plots!$A$64))+INDIRECT(ADDRESS($B118,Plots!$H$4,,,Plots!$A$65))+INDIRECT(ADDRESS($B118,Plots!$H$4,,,Plots!$A$66))+INDIRECT(ADDRESS($B118,Plots!$H$4,,,Plots!$A$67))</f>
        <v>0</v>
      </c>
    </row>
    <row r="119" spans="1:17">
      <c r="A119">
        <f>'AARnetCBR-CamDTN1_tcpmon_ts_11'!A119</f>
        <v>214</v>
      </c>
      <c r="B119">
        <f t="shared" si="0"/>
        <v>119</v>
      </c>
      <c r="C119" cm="1">
        <f t="array" aca="1" ref="C119" ca="1">INDIRECT(ADDRESS($B119,Plots!$H$3,,,Plots!$A$47))</f>
        <v>26.24</v>
      </c>
      <c r="D119" cm="1">
        <f t="array" aca="1" ref="D119" ca="1">INDIRECT(ADDRESS($B119,Plots!$H$3,,,Plots!$A$48))+INDIRECT(ADDRESS($B119,Plots!$H$3,,,Plots!$A$49))</f>
        <v>57.849999999999994</v>
      </c>
      <c r="E119" cm="1">
        <f t="array" aca="1" ref="E119" ca="1">INDIRECT(ADDRESS($B119,Plots!$H$3,,,Plots!$A$50))+INDIRECT(ADDRESS($B119,Plots!$H$3,,,Plots!$A$51))+INDIRECT(ADDRESS($B119,Plots!$H$3,,,Plots!$A$52))</f>
        <v>61.76</v>
      </c>
      <c r="F119" cm="1">
        <f t="array" aca="1" ref="F119" ca="1">INDIRECT(ADDRESS($B119,Plots!$H$3,,,Plots!$A$53))+INDIRECT(ADDRESS($B119,Plots!$H$3,,,Plots!$A$54))+INDIRECT(ADDRESS($B119,Plots!$H$3,,,Plots!$A$55))+INDIRECT(ADDRESS($B119,Plots!$H$3,,,Plots!$A$56))</f>
        <v>89</v>
      </c>
      <c r="G119" cm="1">
        <f t="array" aca="1" ref="G119" ca="1">INDIRECT(ADDRESS($B119,Plots!$H$3,,,Plots!$A$57))+INDIRECT(ADDRESS($B119,Plots!$H$3,,,Plots!$A$58))+INDIRECT(ADDRESS($B119,Plots!$H$3,,,Plots!$A$59))+INDIRECT(ADDRESS($B119,Plots!$H$3,,,Plots!$A$60))+INDIRECT(ADDRESS($B119,Plots!$H$3,,,Plots!$A$61))</f>
        <v>0</v>
      </c>
      <c r="H119" cm="1">
        <f t="array" aca="1" ref="H119" ca="1">INDIRECT(ADDRESS($B119,Plots!$H$3,,,Plots!$A$62))+INDIRECT(ADDRESS($B119,Plots!$H$3,,,Plots!$A$63))+INDIRECT(ADDRESS($B119,Plots!$H$3,,,Plots!$A$64))+INDIRECT(ADDRESS($B119,Plots!$H$3,,,Plots!$A$65))+INDIRECT(ADDRESS($B119,Plots!$H$3,,,Plots!$A$66))+INDIRECT(ADDRESS($B119,Plots!$H$3,,,Plots!$A$67))</f>
        <v>0</v>
      </c>
      <c r="I119">
        <f>'AARnetCBR-CamDTN1_tcpmon_ts_81'!H123+'AARnetCBR-CamDTN1_tcpmon_ts_82'!H123+'AARnetCBR-CamDTN1_tcpmon_ts_83'!H123+'AARnetCBR-CamDTN1_tcpmon_ts_84'!H123+'AARnetCBR-CamDTN1_tcpmon_ts_85'!H123+'AARnetCBR-CamDTN1_tcpmon_ts_86'!H123+'AARnetCBR-CamDTN1_tcpmon_ts_87'!H123+'AARnetCBR-CamDTN1_tcpmon_ts_88'!H123</f>
        <v>0</v>
      </c>
      <c r="L119" cm="1">
        <f t="array" aca="1" ref="L119" ca="1">INDIRECT(ADDRESS($B119,Plots!$H$4,,,Plots!$A$47))</f>
        <v>0</v>
      </c>
      <c r="M119" cm="1">
        <f t="array" aca="1" ref="M119" ca="1">INDIRECT(ADDRESS($B119,Plots!$H$4,,,Plots!$A$48))+INDIRECT(ADDRESS($B119,Plots!$H$4,,,Plots!$A$49))</f>
        <v>0</v>
      </c>
      <c r="N119" cm="1">
        <f t="array" aca="1" ref="N119" ca="1">INDIRECT(ADDRESS($B119,Plots!$H$4,,,Plots!$A$50))+INDIRECT(ADDRESS($B119,Plots!$H$4,,,Plots!$A$51))+INDIRECT(ADDRESS($B119,Plots!$H$4,,,Plots!$A$52))</f>
        <v>0</v>
      </c>
      <c r="O119" cm="1">
        <f t="array" aca="1" ref="O119" ca="1">INDIRECT(ADDRESS($B119,Plots!$H$4,,,Plots!$A$53))+INDIRECT(ADDRESS($B119,Plots!$H$4,,,Plots!$A$54))+INDIRECT(ADDRESS($B119,Plots!$H$4,,,Plots!$A$55))+INDIRECT(ADDRESS($B119,Plots!$H$4,,,Plots!$A$56))</f>
        <v>0</v>
      </c>
      <c r="P119" cm="1">
        <f t="array" aca="1" ref="P119" ca="1">INDIRECT(ADDRESS($B119,Plots!$H$4,,,Plots!$A$57))+INDIRECT(ADDRESS($B119,Plots!$H$4,,,Plots!$A$58))+INDIRECT(ADDRESS($B119,Plots!$H$4,,,Plots!$A$59))+INDIRECT(ADDRESS($B119,Plots!$H$4,,,Plots!$A$60))+INDIRECT(ADDRESS($B119,Plots!$H$4,,,Plots!$A$61))</f>
        <v>0</v>
      </c>
      <c r="Q119" cm="1">
        <f t="array" aca="1" ref="Q119" ca="1">INDIRECT(ADDRESS($B119,Plots!$H$4,,,Plots!$A$62))+INDIRECT(ADDRESS($B119,Plots!$H$4,,,Plots!$A$63))+INDIRECT(ADDRESS($B119,Plots!$H$4,,,Plots!$A$64))+INDIRECT(ADDRESS($B119,Plots!$H$4,,,Plots!$A$65))+INDIRECT(ADDRESS($B119,Plots!$H$4,,,Plots!$A$66))+INDIRECT(ADDRESS($B119,Plots!$H$4,,,Plots!$A$67))</f>
        <v>0</v>
      </c>
    </row>
    <row r="120" spans="1:17">
      <c r="A120">
        <f>'AARnetCBR-CamDTN1_tcpmon_ts_11'!A120</f>
        <v>216</v>
      </c>
      <c r="B120">
        <f t="shared" si="0"/>
        <v>120</v>
      </c>
      <c r="C120" cm="1">
        <f t="array" aca="1" ref="C120" ca="1">INDIRECT(ADDRESS($B120,Plots!$H$3,,,Plots!$A$47))</f>
        <v>26.23</v>
      </c>
      <c r="D120" cm="1">
        <f t="array" aca="1" ref="D120" ca="1">INDIRECT(ADDRESS($B120,Plots!$H$3,,,Plots!$A$48))+INDIRECT(ADDRESS($B120,Plots!$H$3,,,Plots!$A$49))</f>
        <v>54.28</v>
      </c>
      <c r="E120" cm="1">
        <f t="array" aca="1" ref="E120" ca="1">INDIRECT(ADDRESS($B120,Plots!$H$3,,,Plots!$A$50))+INDIRECT(ADDRESS($B120,Plots!$H$3,,,Plots!$A$51))+INDIRECT(ADDRESS($B120,Plots!$H$3,,,Plots!$A$52))</f>
        <v>73.72</v>
      </c>
      <c r="F120" cm="1">
        <f t="array" aca="1" ref="F120" ca="1">INDIRECT(ADDRESS($B120,Plots!$H$3,,,Plots!$A$53))+INDIRECT(ADDRESS($B120,Plots!$H$3,,,Plots!$A$54))+INDIRECT(ADDRESS($B120,Plots!$H$3,,,Plots!$A$55))+INDIRECT(ADDRESS($B120,Plots!$H$3,,,Plots!$A$56))</f>
        <v>82.59</v>
      </c>
      <c r="G120" cm="1">
        <f t="array" aca="1" ref="G120" ca="1">INDIRECT(ADDRESS($B120,Plots!$H$3,,,Plots!$A$57))+INDIRECT(ADDRESS($B120,Plots!$H$3,,,Plots!$A$58))+INDIRECT(ADDRESS($B120,Plots!$H$3,,,Plots!$A$59))+INDIRECT(ADDRESS($B120,Plots!$H$3,,,Plots!$A$60))+INDIRECT(ADDRESS($B120,Plots!$H$3,,,Plots!$A$61))</f>
        <v>0</v>
      </c>
      <c r="H120" cm="1">
        <f t="array" aca="1" ref="H120" ca="1">INDIRECT(ADDRESS($B120,Plots!$H$3,,,Plots!$A$62))+INDIRECT(ADDRESS($B120,Plots!$H$3,,,Plots!$A$63))+INDIRECT(ADDRESS($B120,Plots!$H$3,,,Plots!$A$64))+INDIRECT(ADDRESS($B120,Plots!$H$3,,,Plots!$A$65))+INDIRECT(ADDRESS($B120,Plots!$H$3,,,Plots!$A$66))+INDIRECT(ADDRESS($B120,Plots!$H$3,,,Plots!$A$67))</f>
        <v>0</v>
      </c>
      <c r="I120">
        <f>'AARnetCBR-CamDTN1_tcpmon_ts_81'!H124+'AARnetCBR-CamDTN1_tcpmon_ts_82'!H124+'AARnetCBR-CamDTN1_tcpmon_ts_83'!H124+'AARnetCBR-CamDTN1_tcpmon_ts_84'!H124+'AARnetCBR-CamDTN1_tcpmon_ts_85'!H124+'AARnetCBR-CamDTN1_tcpmon_ts_86'!H124+'AARnetCBR-CamDTN1_tcpmon_ts_87'!H124+'AARnetCBR-CamDTN1_tcpmon_ts_88'!H124</f>
        <v>0</v>
      </c>
      <c r="L120" cm="1">
        <f t="array" aca="1" ref="L120" ca="1">INDIRECT(ADDRESS($B120,Plots!$H$4,,,Plots!$A$47))</f>
        <v>0</v>
      </c>
      <c r="M120" cm="1">
        <f t="array" aca="1" ref="M120" ca="1">INDIRECT(ADDRESS($B120,Plots!$H$4,,,Plots!$A$48))+INDIRECT(ADDRESS($B120,Plots!$H$4,,,Plots!$A$49))</f>
        <v>0</v>
      </c>
      <c r="N120" cm="1">
        <f t="array" aca="1" ref="N120" ca="1">INDIRECT(ADDRESS($B120,Plots!$H$4,,,Plots!$A$50))+INDIRECT(ADDRESS($B120,Plots!$H$4,,,Plots!$A$51))+INDIRECT(ADDRESS($B120,Plots!$H$4,,,Plots!$A$52))</f>
        <v>0</v>
      </c>
      <c r="O120" cm="1">
        <f t="array" aca="1" ref="O120" ca="1">INDIRECT(ADDRESS($B120,Plots!$H$4,,,Plots!$A$53))+INDIRECT(ADDRESS($B120,Plots!$H$4,,,Plots!$A$54))+INDIRECT(ADDRESS($B120,Plots!$H$4,,,Plots!$A$55))+INDIRECT(ADDRESS($B120,Plots!$H$4,,,Plots!$A$56))</f>
        <v>0</v>
      </c>
      <c r="P120" cm="1">
        <f t="array" aca="1" ref="P120" ca="1">INDIRECT(ADDRESS($B120,Plots!$H$4,,,Plots!$A$57))+INDIRECT(ADDRESS($B120,Plots!$H$4,,,Plots!$A$58))+INDIRECT(ADDRESS($B120,Plots!$H$4,,,Plots!$A$59))+INDIRECT(ADDRESS($B120,Plots!$H$4,,,Plots!$A$60))+INDIRECT(ADDRESS($B120,Plots!$H$4,,,Plots!$A$61))</f>
        <v>0</v>
      </c>
      <c r="Q120" cm="1">
        <f t="array" aca="1" ref="Q120" ca="1">INDIRECT(ADDRESS($B120,Plots!$H$4,,,Plots!$A$62))+INDIRECT(ADDRESS($B120,Plots!$H$4,,,Plots!$A$63))+INDIRECT(ADDRESS($B120,Plots!$H$4,,,Plots!$A$64))+INDIRECT(ADDRESS($B120,Plots!$H$4,,,Plots!$A$65))+INDIRECT(ADDRESS($B120,Plots!$H$4,,,Plots!$A$66))+INDIRECT(ADDRESS($B120,Plots!$H$4,,,Plots!$A$67))</f>
        <v>0</v>
      </c>
    </row>
    <row r="121" spans="1:17">
      <c r="A121">
        <f>'AARnetCBR-CamDTN1_tcpmon_ts_11'!A121</f>
        <v>218</v>
      </c>
      <c r="B121">
        <f t="shared" si="0"/>
        <v>121</v>
      </c>
      <c r="C121" cm="1">
        <f t="array" aca="1" ref="C121" ca="1">INDIRECT(ADDRESS($B121,Plots!$H$3,,,Plots!$A$47))</f>
        <v>26.12</v>
      </c>
      <c r="D121" cm="1">
        <f t="array" aca="1" ref="D121" ca="1">INDIRECT(ADDRESS($B121,Plots!$H$3,,,Plots!$A$48))+INDIRECT(ADDRESS($B121,Plots!$H$3,,,Plots!$A$49))</f>
        <v>61.83</v>
      </c>
      <c r="E121" cm="1">
        <f t="array" aca="1" ref="E121" ca="1">INDIRECT(ADDRESS($B121,Plots!$H$3,,,Plots!$A$50))+INDIRECT(ADDRESS($B121,Plots!$H$3,,,Plots!$A$51))+INDIRECT(ADDRESS($B121,Plots!$H$3,,,Plots!$A$52))</f>
        <v>60.320000000000007</v>
      </c>
      <c r="F121" cm="1">
        <f t="array" aca="1" ref="F121" ca="1">INDIRECT(ADDRESS($B121,Plots!$H$3,,,Plots!$A$53))+INDIRECT(ADDRESS($B121,Plots!$H$3,,,Plots!$A$54))+INDIRECT(ADDRESS($B121,Plots!$H$3,,,Plots!$A$55))+INDIRECT(ADDRESS($B121,Plots!$H$3,,,Plots!$A$56))</f>
        <v>89.71</v>
      </c>
      <c r="G121" cm="1">
        <f t="array" aca="1" ref="G121" ca="1">INDIRECT(ADDRESS($B121,Plots!$H$3,,,Plots!$A$57))+INDIRECT(ADDRESS($B121,Plots!$H$3,,,Plots!$A$58))+INDIRECT(ADDRESS($B121,Plots!$H$3,,,Plots!$A$59))+INDIRECT(ADDRESS($B121,Plots!$H$3,,,Plots!$A$60))+INDIRECT(ADDRESS($B121,Plots!$H$3,,,Plots!$A$61))</f>
        <v>0</v>
      </c>
      <c r="H121" cm="1">
        <f t="array" aca="1" ref="H121" ca="1">INDIRECT(ADDRESS($B121,Plots!$H$3,,,Plots!$A$62))+INDIRECT(ADDRESS($B121,Plots!$H$3,,,Plots!$A$63))+INDIRECT(ADDRESS($B121,Plots!$H$3,,,Plots!$A$64))+INDIRECT(ADDRESS($B121,Plots!$H$3,,,Plots!$A$65))+INDIRECT(ADDRESS($B121,Plots!$H$3,,,Plots!$A$66))+INDIRECT(ADDRESS($B121,Plots!$H$3,,,Plots!$A$67))</f>
        <v>0</v>
      </c>
      <c r="I121">
        <f>'AARnetCBR-CamDTN1_tcpmon_ts_81'!H125+'AARnetCBR-CamDTN1_tcpmon_ts_82'!H125+'AARnetCBR-CamDTN1_tcpmon_ts_83'!H125+'AARnetCBR-CamDTN1_tcpmon_ts_84'!H125+'AARnetCBR-CamDTN1_tcpmon_ts_85'!H125+'AARnetCBR-CamDTN1_tcpmon_ts_86'!H125+'AARnetCBR-CamDTN1_tcpmon_ts_87'!H125+'AARnetCBR-CamDTN1_tcpmon_ts_88'!H125</f>
        <v>0</v>
      </c>
      <c r="L121" cm="1">
        <f t="array" aca="1" ref="L121" ca="1">INDIRECT(ADDRESS($B121,Plots!$H$4,,,Plots!$A$47))</f>
        <v>0</v>
      </c>
      <c r="M121" cm="1">
        <f t="array" aca="1" ref="M121" ca="1">INDIRECT(ADDRESS($B121,Plots!$H$4,,,Plots!$A$48))+INDIRECT(ADDRESS($B121,Plots!$H$4,,,Plots!$A$49))</f>
        <v>0</v>
      </c>
      <c r="N121" cm="1">
        <f t="array" aca="1" ref="N121" ca="1">INDIRECT(ADDRESS($B121,Plots!$H$4,,,Plots!$A$50))+INDIRECT(ADDRESS($B121,Plots!$H$4,,,Plots!$A$51))+INDIRECT(ADDRESS($B121,Plots!$H$4,,,Plots!$A$52))</f>
        <v>0</v>
      </c>
      <c r="O121" cm="1">
        <f t="array" aca="1" ref="O121" ca="1">INDIRECT(ADDRESS($B121,Plots!$H$4,,,Plots!$A$53))+INDIRECT(ADDRESS($B121,Plots!$H$4,,,Plots!$A$54))+INDIRECT(ADDRESS($B121,Plots!$H$4,,,Plots!$A$55))+INDIRECT(ADDRESS($B121,Plots!$H$4,,,Plots!$A$56))</f>
        <v>0</v>
      </c>
      <c r="P121" cm="1">
        <f t="array" aca="1" ref="P121" ca="1">INDIRECT(ADDRESS($B121,Plots!$H$4,,,Plots!$A$57))+INDIRECT(ADDRESS($B121,Plots!$H$4,,,Plots!$A$58))+INDIRECT(ADDRESS($B121,Plots!$H$4,,,Plots!$A$59))+INDIRECT(ADDRESS($B121,Plots!$H$4,,,Plots!$A$60))+INDIRECT(ADDRESS($B121,Plots!$H$4,,,Plots!$A$61))</f>
        <v>0</v>
      </c>
      <c r="Q121" cm="1">
        <f t="array" aca="1" ref="Q121" ca="1">INDIRECT(ADDRESS($B121,Plots!$H$4,,,Plots!$A$62))+INDIRECT(ADDRESS($B121,Plots!$H$4,,,Plots!$A$63))+INDIRECT(ADDRESS($B121,Plots!$H$4,,,Plots!$A$64))+INDIRECT(ADDRESS($B121,Plots!$H$4,,,Plots!$A$65))+INDIRECT(ADDRESS($B121,Plots!$H$4,,,Plots!$A$66))+INDIRECT(ADDRESS($B121,Plots!$H$4,,,Plots!$A$67))</f>
        <v>0</v>
      </c>
    </row>
    <row r="122" spans="1:17">
      <c r="A122">
        <f>'AARnetCBR-CamDTN1_tcpmon_ts_11'!A122</f>
        <v>220</v>
      </c>
      <c r="B122">
        <f t="shared" si="0"/>
        <v>122</v>
      </c>
      <c r="C122" cm="1">
        <f t="array" aca="1" ref="C122" ca="1">INDIRECT(ADDRESS($B122,Plots!$H$3,,,Plots!$A$47))</f>
        <v>26.02</v>
      </c>
      <c r="D122" cm="1">
        <f t="array" aca="1" ref="D122" ca="1">INDIRECT(ADDRESS($B122,Plots!$H$3,,,Plots!$A$48))+INDIRECT(ADDRESS($B122,Plots!$H$3,,,Plots!$A$49))</f>
        <v>54.18</v>
      </c>
      <c r="E122" cm="1">
        <f t="array" aca="1" ref="E122" ca="1">INDIRECT(ADDRESS($B122,Plots!$H$3,,,Plots!$A$50))+INDIRECT(ADDRESS($B122,Plots!$H$3,,,Plots!$A$51))+INDIRECT(ADDRESS($B122,Plots!$H$3,,,Plots!$A$52))</f>
        <v>73.180000000000007</v>
      </c>
      <c r="F122" cm="1">
        <f t="array" aca="1" ref="F122" ca="1">INDIRECT(ADDRESS($B122,Plots!$H$3,,,Plots!$A$53))+INDIRECT(ADDRESS($B122,Plots!$H$3,,,Plots!$A$54))+INDIRECT(ADDRESS($B122,Plots!$H$3,,,Plots!$A$55))+INDIRECT(ADDRESS($B122,Plots!$H$3,,,Plots!$A$56))</f>
        <v>92.28</v>
      </c>
      <c r="G122" cm="1">
        <f t="array" aca="1" ref="G122" ca="1">INDIRECT(ADDRESS($B122,Plots!$H$3,,,Plots!$A$57))+INDIRECT(ADDRESS($B122,Plots!$H$3,,,Plots!$A$58))+INDIRECT(ADDRESS($B122,Plots!$H$3,,,Plots!$A$59))+INDIRECT(ADDRESS($B122,Plots!$H$3,,,Plots!$A$60))+INDIRECT(ADDRESS($B122,Plots!$H$3,,,Plots!$A$61))</f>
        <v>0</v>
      </c>
      <c r="H122" cm="1">
        <f t="array" aca="1" ref="H122" ca="1">INDIRECT(ADDRESS($B122,Plots!$H$3,,,Plots!$A$62))+INDIRECT(ADDRESS($B122,Plots!$H$3,,,Plots!$A$63))+INDIRECT(ADDRESS($B122,Plots!$H$3,,,Plots!$A$64))+INDIRECT(ADDRESS($B122,Plots!$H$3,,,Plots!$A$65))+INDIRECT(ADDRESS($B122,Plots!$H$3,,,Plots!$A$66))+INDIRECT(ADDRESS($B122,Plots!$H$3,,,Plots!$A$67))</f>
        <v>0</v>
      </c>
      <c r="I122">
        <f>'AARnetCBR-CamDTN1_tcpmon_ts_81'!H126+'AARnetCBR-CamDTN1_tcpmon_ts_82'!H126+'AARnetCBR-CamDTN1_tcpmon_ts_83'!H126+'AARnetCBR-CamDTN1_tcpmon_ts_84'!H126+'AARnetCBR-CamDTN1_tcpmon_ts_85'!H126+'AARnetCBR-CamDTN1_tcpmon_ts_86'!H126+'AARnetCBR-CamDTN1_tcpmon_ts_87'!H126+'AARnetCBR-CamDTN1_tcpmon_ts_88'!H126</f>
        <v>0</v>
      </c>
      <c r="L122" cm="1">
        <f t="array" aca="1" ref="L122" ca="1">INDIRECT(ADDRESS($B122,Plots!$H$4,,,Plots!$A$47))</f>
        <v>0</v>
      </c>
      <c r="M122" cm="1">
        <f t="array" aca="1" ref="M122" ca="1">INDIRECT(ADDRESS($B122,Plots!$H$4,,,Plots!$A$48))+INDIRECT(ADDRESS($B122,Plots!$H$4,,,Plots!$A$49))</f>
        <v>0</v>
      </c>
      <c r="N122" cm="1">
        <f t="array" aca="1" ref="N122" ca="1">INDIRECT(ADDRESS($B122,Plots!$H$4,,,Plots!$A$50))+INDIRECT(ADDRESS($B122,Plots!$H$4,,,Plots!$A$51))+INDIRECT(ADDRESS($B122,Plots!$H$4,,,Plots!$A$52))</f>
        <v>0</v>
      </c>
      <c r="O122" cm="1">
        <f t="array" aca="1" ref="O122" ca="1">INDIRECT(ADDRESS($B122,Plots!$H$4,,,Plots!$A$53))+INDIRECT(ADDRESS($B122,Plots!$H$4,,,Plots!$A$54))+INDIRECT(ADDRESS($B122,Plots!$H$4,,,Plots!$A$55))+INDIRECT(ADDRESS($B122,Plots!$H$4,,,Plots!$A$56))</f>
        <v>0</v>
      </c>
      <c r="P122" cm="1">
        <f t="array" aca="1" ref="P122" ca="1">INDIRECT(ADDRESS($B122,Plots!$H$4,,,Plots!$A$57))+INDIRECT(ADDRESS($B122,Plots!$H$4,,,Plots!$A$58))+INDIRECT(ADDRESS($B122,Plots!$H$4,,,Plots!$A$59))+INDIRECT(ADDRESS($B122,Plots!$H$4,,,Plots!$A$60))+INDIRECT(ADDRESS($B122,Plots!$H$4,,,Plots!$A$61))</f>
        <v>0</v>
      </c>
      <c r="Q122" cm="1">
        <f t="array" aca="1" ref="Q122" ca="1">INDIRECT(ADDRESS($B122,Plots!$H$4,,,Plots!$A$62))+INDIRECT(ADDRESS($B122,Plots!$H$4,,,Plots!$A$63))+INDIRECT(ADDRESS($B122,Plots!$H$4,,,Plots!$A$64))+INDIRECT(ADDRESS($B122,Plots!$H$4,,,Plots!$A$65))+INDIRECT(ADDRESS($B122,Plots!$H$4,,,Plots!$A$66))+INDIRECT(ADDRESS($B122,Plots!$H$4,,,Plots!$A$67))</f>
        <v>0</v>
      </c>
    </row>
    <row r="123" spans="1:17">
      <c r="A123">
        <f>'AARnetCBR-CamDTN1_tcpmon_ts_11'!A123</f>
        <v>222</v>
      </c>
      <c r="B123">
        <f t="shared" si="0"/>
        <v>123</v>
      </c>
      <c r="C123" cm="1">
        <f t="array" aca="1" ref="C123" ca="1">INDIRECT(ADDRESS($B123,Plots!$H$3,,,Plots!$A$47))</f>
        <v>26.11</v>
      </c>
      <c r="D123" cm="1">
        <f t="array" aca="1" ref="D123" ca="1">INDIRECT(ADDRESS($B123,Plots!$H$3,,,Plots!$A$48))+INDIRECT(ADDRESS($B123,Plots!$H$3,,,Plots!$A$49))</f>
        <v>57.91</v>
      </c>
      <c r="E123" cm="1">
        <f t="array" aca="1" ref="E123" ca="1">INDIRECT(ADDRESS($B123,Plots!$H$3,,,Plots!$A$50))+INDIRECT(ADDRESS($B123,Plots!$H$3,,,Plots!$A$51))+INDIRECT(ADDRESS($B123,Plots!$H$3,,,Plots!$A$52))</f>
        <v>62.2</v>
      </c>
      <c r="F123" cm="1">
        <f t="array" aca="1" ref="F123" ca="1">INDIRECT(ADDRESS($B123,Plots!$H$3,,,Plots!$A$53))+INDIRECT(ADDRESS($B123,Plots!$H$3,,,Plots!$A$54))+INDIRECT(ADDRESS($B123,Plots!$H$3,,,Plots!$A$55))+INDIRECT(ADDRESS($B123,Plots!$H$3,,,Plots!$A$56))</f>
        <v>86.02</v>
      </c>
      <c r="G123" cm="1">
        <f t="array" aca="1" ref="G123" ca="1">INDIRECT(ADDRESS($B123,Plots!$H$3,,,Plots!$A$57))+INDIRECT(ADDRESS($B123,Plots!$H$3,,,Plots!$A$58))+INDIRECT(ADDRESS($B123,Plots!$H$3,,,Plots!$A$59))+INDIRECT(ADDRESS($B123,Plots!$H$3,,,Plots!$A$60))+INDIRECT(ADDRESS($B123,Plots!$H$3,,,Plots!$A$61))</f>
        <v>0</v>
      </c>
      <c r="H123" cm="1">
        <f t="array" aca="1" ref="H123" ca="1">INDIRECT(ADDRESS($B123,Plots!$H$3,,,Plots!$A$62))+INDIRECT(ADDRESS($B123,Plots!$H$3,,,Plots!$A$63))+INDIRECT(ADDRESS($B123,Plots!$H$3,,,Plots!$A$64))+INDIRECT(ADDRESS($B123,Plots!$H$3,,,Plots!$A$65))+INDIRECT(ADDRESS($B123,Plots!$H$3,,,Plots!$A$66))+INDIRECT(ADDRESS($B123,Plots!$H$3,,,Plots!$A$67))</f>
        <v>0</v>
      </c>
      <c r="I123">
        <f>'AARnetCBR-CamDTN1_tcpmon_ts_81'!H127+'AARnetCBR-CamDTN1_tcpmon_ts_82'!H127+'AARnetCBR-CamDTN1_tcpmon_ts_83'!H127+'AARnetCBR-CamDTN1_tcpmon_ts_84'!H127+'AARnetCBR-CamDTN1_tcpmon_ts_85'!H127+'AARnetCBR-CamDTN1_tcpmon_ts_86'!H127+'AARnetCBR-CamDTN1_tcpmon_ts_87'!H127+'AARnetCBR-CamDTN1_tcpmon_ts_88'!H127</f>
        <v>0</v>
      </c>
      <c r="L123" cm="1">
        <f t="array" aca="1" ref="L123" ca="1">INDIRECT(ADDRESS($B123,Plots!$H$4,,,Plots!$A$47))</f>
        <v>0</v>
      </c>
      <c r="M123" cm="1">
        <f t="array" aca="1" ref="M123" ca="1">INDIRECT(ADDRESS($B123,Plots!$H$4,,,Plots!$A$48))+INDIRECT(ADDRESS($B123,Plots!$H$4,,,Plots!$A$49))</f>
        <v>0</v>
      </c>
      <c r="N123" cm="1">
        <f t="array" aca="1" ref="N123" ca="1">INDIRECT(ADDRESS($B123,Plots!$H$4,,,Plots!$A$50))+INDIRECT(ADDRESS($B123,Plots!$H$4,,,Plots!$A$51))+INDIRECT(ADDRESS($B123,Plots!$H$4,,,Plots!$A$52))</f>
        <v>0</v>
      </c>
      <c r="O123" cm="1">
        <f t="array" aca="1" ref="O123" ca="1">INDIRECT(ADDRESS($B123,Plots!$H$4,,,Plots!$A$53))+INDIRECT(ADDRESS($B123,Plots!$H$4,,,Plots!$A$54))+INDIRECT(ADDRESS($B123,Plots!$H$4,,,Plots!$A$55))+INDIRECT(ADDRESS($B123,Plots!$H$4,,,Plots!$A$56))</f>
        <v>0</v>
      </c>
      <c r="P123" cm="1">
        <f t="array" aca="1" ref="P123" ca="1">INDIRECT(ADDRESS($B123,Plots!$H$4,,,Plots!$A$57))+INDIRECT(ADDRESS($B123,Plots!$H$4,,,Plots!$A$58))+INDIRECT(ADDRESS($B123,Plots!$H$4,,,Plots!$A$59))+INDIRECT(ADDRESS($B123,Plots!$H$4,,,Plots!$A$60))+INDIRECT(ADDRESS($B123,Plots!$H$4,,,Plots!$A$61))</f>
        <v>0</v>
      </c>
      <c r="Q123" cm="1">
        <f t="array" aca="1" ref="Q123" ca="1">INDIRECT(ADDRESS($B123,Plots!$H$4,,,Plots!$A$62))+INDIRECT(ADDRESS($B123,Plots!$H$4,,,Plots!$A$63))+INDIRECT(ADDRESS($B123,Plots!$H$4,,,Plots!$A$64))+INDIRECT(ADDRESS($B123,Plots!$H$4,,,Plots!$A$65))+INDIRECT(ADDRESS($B123,Plots!$H$4,,,Plots!$A$66))+INDIRECT(ADDRESS($B123,Plots!$H$4,,,Plots!$A$67))</f>
        <v>0</v>
      </c>
    </row>
    <row r="124" spans="1:17">
      <c r="A124">
        <f>'AARnetCBR-CamDTN1_tcpmon_ts_11'!A124</f>
        <v>224</v>
      </c>
      <c r="B124">
        <f t="shared" si="0"/>
        <v>124</v>
      </c>
      <c r="C124" cm="1">
        <f t="array" aca="1" ref="C124" ca="1">INDIRECT(ADDRESS($B124,Plots!$H$3,,,Plots!$A$47))</f>
        <v>25.77</v>
      </c>
      <c r="D124" cm="1">
        <f t="array" aca="1" ref="D124" ca="1">INDIRECT(ADDRESS($B124,Plots!$H$3,,,Plots!$A$48))+INDIRECT(ADDRESS($B124,Plots!$H$3,,,Plots!$A$49))</f>
        <v>57.46</v>
      </c>
      <c r="E124" cm="1">
        <f t="array" aca="1" ref="E124" ca="1">INDIRECT(ADDRESS($B124,Plots!$H$3,,,Plots!$A$50))+INDIRECT(ADDRESS($B124,Plots!$H$3,,,Plots!$A$51))+INDIRECT(ADDRESS($B124,Plots!$H$3,,,Plots!$A$52))</f>
        <v>71.099999999999994</v>
      </c>
      <c r="F124" cm="1">
        <f t="array" aca="1" ref="F124" ca="1">INDIRECT(ADDRESS($B124,Plots!$H$3,,,Plots!$A$53))+INDIRECT(ADDRESS($B124,Plots!$H$3,,,Plots!$A$54))+INDIRECT(ADDRESS($B124,Plots!$H$3,,,Plots!$A$55))+INDIRECT(ADDRESS($B124,Plots!$H$3,,,Plots!$A$56))</f>
        <v>92.850000000000009</v>
      </c>
      <c r="G124" cm="1">
        <f t="array" aca="1" ref="G124" ca="1">INDIRECT(ADDRESS($B124,Plots!$H$3,,,Plots!$A$57))+INDIRECT(ADDRESS($B124,Plots!$H$3,,,Plots!$A$58))+INDIRECT(ADDRESS($B124,Plots!$H$3,,,Plots!$A$59))+INDIRECT(ADDRESS($B124,Plots!$H$3,,,Plots!$A$60))+INDIRECT(ADDRESS($B124,Plots!$H$3,,,Plots!$A$61))</f>
        <v>0</v>
      </c>
      <c r="H124" cm="1">
        <f t="array" aca="1" ref="H124" ca="1">INDIRECT(ADDRESS($B124,Plots!$H$3,,,Plots!$A$62))+INDIRECT(ADDRESS($B124,Plots!$H$3,,,Plots!$A$63))+INDIRECT(ADDRESS($B124,Plots!$H$3,,,Plots!$A$64))+INDIRECT(ADDRESS($B124,Plots!$H$3,,,Plots!$A$65))+INDIRECT(ADDRESS($B124,Plots!$H$3,,,Plots!$A$66))+INDIRECT(ADDRESS($B124,Plots!$H$3,,,Plots!$A$67))</f>
        <v>0</v>
      </c>
      <c r="I124">
        <f>'AARnetCBR-CamDTN1_tcpmon_ts_81'!H128+'AARnetCBR-CamDTN1_tcpmon_ts_82'!H128+'AARnetCBR-CamDTN1_tcpmon_ts_83'!H128+'AARnetCBR-CamDTN1_tcpmon_ts_84'!H128+'AARnetCBR-CamDTN1_tcpmon_ts_85'!H128+'AARnetCBR-CamDTN1_tcpmon_ts_86'!H128+'AARnetCBR-CamDTN1_tcpmon_ts_87'!H128+'AARnetCBR-CamDTN1_tcpmon_ts_88'!H128</f>
        <v>0</v>
      </c>
      <c r="L124" cm="1">
        <f t="array" aca="1" ref="L124" ca="1">INDIRECT(ADDRESS($B124,Plots!$H$4,,,Plots!$A$47))</f>
        <v>0</v>
      </c>
      <c r="M124" cm="1">
        <f t="array" aca="1" ref="M124" ca="1">INDIRECT(ADDRESS($B124,Plots!$H$4,,,Plots!$A$48))+INDIRECT(ADDRESS($B124,Plots!$H$4,,,Plots!$A$49))</f>
        <v>0</v>
      </c>
      <c r="N124" cm="1">
        <f t="array" aca="1" ref="N124" ca="1">INDIRECT(ADDRESS($B124,Plots!$H$4,,,Plots!$A$50))+INDIRECT(ADDRESS($B124,Plots!$H$4,,,Plots!$A$51))+INDIRECT(ADDRESS($B124,Plots!$H$4,,,Plots!$A$52))</f>
        <v>0</v>
      </c>
      <c r="O124" cm="1">
        <f t="array" aca="1" ref="O124" ca="1">INDIRECT(ADDRESS($B124,Plots!$H$4,,,Plots!$A$53))+INDIRECT(ADDRESS($B124,Plots!$H$4,,,Plots!$A$54))+INDIRECT(ADDRESS($B124,Plots!$H$4,,,Plots!$A$55))+INDIRECT(ADDRESS($B124,Plots!$H$4,,,Plots!$A$56))</f>
        <v>0</v>
      </c>
      <c r="P124" cm="1">
        <f t="array" aca="1" ref="P124" ca="1">INDIRECT(ADDRESS($B124,Plots!$H$4,,,Plots!$A$57))+INDIRECT(ADDRESS($B124,Plots!$H$4,,,Plots!$A$58))+INDIRECT(ADDRESS($B124,Plots!$H$4,,,Plots!$A$59))+INDIRECT(ADDRESS($B124,Plots!$H$4,,,Plots!$A$60))+INDIRECT(ADDRESS($B124,Plots!$H$4,,,Plots!$A$61))</f>
        <v>0</v>
      </c>
      <c r="Q124" cm="1">
        <f t="array" aca="1" ref="Q124" ca="1">INDIRECT(ADDRESS($B124,Plots!$H$4,,,Plots!$A$62))+INDIRECT(ADDRESS($B124,Plots!$H$4,,,Plots!$A$63))+INDIRECT(ADDRESS($B124,Plots!$H$4,,,Plots!$A$64))+INDIRECT(ADDRESS($B124,Plots!$H$4,,,Plots!$A$65))+INDIRECT(ADDRESS($B124,Plots!$H$4,,,Plots!$A$66))+INDIRECT(ADDRESS($B124,Plots!$H$4,,,Plots!$A$67))</f>
        <v>0</v>
      </c>
    </row>
    <row r="125" spans="1:17">
      <c r="A125">
        <f>'AARnetCBR-CamDTN1_tcpmon_ts_11'!A125</f>
        <v>226</v>
      </c>
      <c r="B125">
        <f t="shared" si="0"/>
        <v>125</v>
      </c>
      <c r="C125" cm="1">
        <f t="array" aca="1" ref="C125" ca="1">INDIRECT(ADDRESS($B125,Plots!$H$3,,,Plots!$A$47))</f>
        <v>26.21</v>
      </c>
      <c r="D125" cm="1">
        <f t="array" aca="1" ref="D125" ca="1">INDIRECT(ADDRESS($B125,Plots!$H$3,,,Plots!$A$48))+INDIRECT(ADDRESS($B125,Plots!$H$3,,,Plots!$A$49))</f>
        <v>56.230000000000004</v>
      </c>
      <c r="E125" cm="1">
        <f t="array" aca="1" ref="E125" ca="1">INDIRECT(ADDRESS($B125,Plots!$H$3,,,Plots!$A$50))+INDIRECT(ADDRESS($B125,Plots!$H$3,,,Plots!$A$51))+INDIRECT(ADDRESS($B125,Plots!$H$3,,,Plots!$A$52))</f>
        <v>64.28</v>
      </c>
      <c r="F125" cm="1">
        <f t="array" aca="1" ref="F125" ca="1">INDIRECT(ADDRESS($B125,Plots!$H$3,,,Plots!$A$53))+INDIRECT(ADDRESS($B125,Plots!$H$3,,,Plots!$A$54))+INDIRECT(ADDRESS($B125,Plots!$H$3,,,Plots!$A$55))+INDIRECT(ADDRESS($B125,Plots!$H$3,,,Plots!$A$56))</f>
        <v>90.91</v>
      </c>
      <c r="G125" cm="1">
        <f t="array" aca="1" ref="G125" ca="1">INDIRECT(ADDRESS($B125,Plots!$H$3,,,Plots!$A$57))+INDIRECT(ADDRESS($B125,Plots!$H$3,,,Plots!$A$58))+INDIRECT(ADDRESS($B125,Plots!$H$3,,,Plots!$A$59))+INDIRECT(ADDRESS($B125,Plots!$H$3,,,Plots!$A$60))+INDIRECT(ADDRESS($B125,Plots!$H$3,,,Plots!$A$61))</f>
        <v>0</v>
      </c>
      <c r="H125" cm="1">
        <f t="array" aca="1" ref="H125" ca="1">INDIRECT(ADDRESS($B125,Plots!$H$3,,,Plots!$A$62))+INDIRECT(ADDRESS($B125,Plots!$H$3,,,Plots!$A$63))+INDIRECT(ADDRESS($B125,Plots!$H$3,,,Plots!$A$64))+INDIRECT(ADDRESS($B125,Plots!$H$3,,,Plots!$A$65))+INDIRECT(ADDRESS($B125,Plots!$H$3,,,Plots!$A$66))+INDIRECT(ADDRESS($B125,Plots!$H$3,,,Plots!$A$67))</f>
        <v>0</v>
      </c>
      <c r="I125">
        <f>'AARnetCBR-CamDTN1_tcpmon_ts_81'!H129+'AARnetCBR-CamDTN1_tcpmon_ts_82'!H129+'AARnetCBR-CamDTN1_tcpmon_ts_83'!H129+'AARnetCBR-CamDTN1_tcpmon_ts_84'!H129+'AARnetCBR-CamDTN1_tcpmon_ts_85'!H129+'AARnetCBR-CamDTN1_tcpmon_ts_86'!H129+'AARnetCBR-CamDTN1_tcpmon_ts_87'!H129+'AARnetCBR-CamDTN1_tcpmon_ts_88'!H129</f>
        <v>0</v>
      </c>
      <c r="L125" cm="1">
        <f t="array" aca="1" ref="L125" ca="1">INDIRECT(ADDRESS($B125,Plots!$H$4,,,Plots!$A$47))</f>
        <v>0</v>
      </c>
      <c r="M125" cm="1">
        <f t="array" aca="1" ref="M125" ca="1">INDIRECT(ADDRESS($B125,Plots!$H$4,,,Plots!$A$48))+INDIRECT(ADDRESS($B125,Plots!$H$4,,,Plots!$A$49))</f>
        <v>0</v>
      </c>
      <c r="N125" cm="1">
        <f t="array" aca="1" ref="N125" ca="1">INDIRECT(ADDRESS($B125,Plots!$H$4,,,Plots!$A$50))+INDIRECT(ADDRESS($B125,Plots!$H$4,,,Plots!$A$51))+INDIRECT(ADDRESS($B125,Plots!$H$4,,,Plots!$A$52))</f>
        <v>0</v>
      </c>
      <c r="O125" cm="1">
        <f t="array" aca="1" ref="O125" ca="1">INDIRECT(ADDRESS($B125,Plots!$H$4,,,Plots!$A$53))+INDIRECT(ADDRESS($B125,Plots!$H$4,,,Plots!$A$54))+INDIRECT(ADDRESS($B125,Plots!$H$4,,,Plots!$A$55))+INDIRECT(ADDRESS($B125,Plots!$H$4,,,Plots!$A$56))</f>
        <v>0</v>
      </c>
      <c r="P125" cm="1">
        <f t="array" aca="1" ref="P125" ca="1">INDIRECT(ADDRESS($B125,Plots!$H$4,,,Plots!$A$57))+INDIRECT(ADDRESS($B125,Plots!$H$4,,,Plots!$A$58))+INDIRECT(ADDRESS($B125,Plots!$H$4,,,Plots!$A$59))+INDIRECT(ADDRESS($B125,Plots!$H$4,,,Plots!$A$60))+INDIRECT(ADDRESS($B125,Plots!$H$4,,,Plots!$A$61))</f>
        <v>0</v>
      </c>
      <c r="Q125" cm="1">
        <f t="array" aca="1" ref="Q125" ca="1">INDIRECT(ADDRESS($B125,Plots!$H$4,,,Plots!$A$62))+INDIRECT(ADDRESS($B125,Plots!$H$4,,,Plots!$A$63))+INDIRECT(ADDRESS($B125,Plots!$H$4,,,Plots!$A$64))+INDIRECT(ADDRESS($B125,Plots!$H$4,,,Plots!$A$65))+INDIRECT(ADDRESS($B125,Plots!$H$4,,,Plots!$A$66))+INDIRECT(ADDRESS($B125,Plots!$H$4,,,Plots!$A$67))</f>
        <v>0</v>
      </c>
    </row>
    <row r="126" spans="1:17">
      <c r="A126">
        <f>'AARnetCBR-CamDTN1_tcpmon_ts_11'!A126</f>
        <v>228</v>
      </c>
      <c r="B126">
        <f t="shared" si="0"/>
        <v>126</v>
      </c>
      <c r="C126" cm="1">
        <f t="array" aca="1" ref="C126" ca="1">INDIRECT(ADDRESS($B126,Plots!$H$3,,,Plots!$A$47))</f>
        <v>25.03</v>
      </c>
      <c r="D126" cm="1">
        <f t="array" aca="1" ref="D126" ca="1">INDIRECT(ADDRESS($B126,Plots!$H$3,,,Plots!$A$48))+INDIRECT(ADDRESS($B126,Plots!$H$3,,,Plots!$A$49))</f>
        <v>58.1</v>
      </c>
      <c r="E126" cm="1">
        <f t="array" aca="1" ref="E126" ca="1">INDIRECT(ADDRESS($B126,Plots!$H$3,,,Plots!$A$50))+INDIRECT(ADDRESS($B126,Plots!$H$3,,,Plots!$A$51))+INDIRECT(ADDRESS($B126,Plots!$H$3,,,Plots!$A$52))</f>
        <v>71.3</v>
      </c>
      <c r="F126" cm="1">
        <f t="array" aca="1" ref="F126" ca="1">INDIRECT(ADDRESS($B126,Plots!$H$3,,,Plots!$A$53))+INDIRECT(ADDRESS($B126,Plots!$H$3,,,Plots!$A$54))+INDIRECT(ADDRESS($B126,Plots!$H$3,,,Plots!$A$55))+INDIRECT(ADDRESS($B126,Plots!$H$3,,,Plots!$A$56))</f>
        <v>91.990000000000009</v>
      </c>
      <c r="G126" cm="1">
        <f t="array" aca="1" ref="G126" ca="1">INDIRECT(ADDRESS($B126,Plots!$H$3,,,Plots!$A$57))+INDIRECT(ADDRESS($B126,Plots!$H$3,,,Plots!$A$58))+INDIRECT(ADDRESS($B126,Plots!$H$3,,,Plots!$A$59))+INDIRECT(ADDRESS($B126,Plots!$H$3,,,Plots!$A$60))+INDIRECT(ADDRESS($B126,Plots!$H$3,,,Plots!$A$61))</f>
        <v>0</v>
      </c>
      <c r="H126" cm="1">
        <f t="array" aca="1" ref="H126" ca="1">INDIRECT(ADDRESS($B126,Plots!$H$3,,,Plots!$A$62))+INDIRECT(ADDRESS($B126,Plots!$H$3,,,Plots!$A$63))+INDIRECT(ADDRESS($B126,Plots!$H$3,,,Plots!$A$64))+INDIRECT(ADDRESS($B126,Plots!$H$3,,,Plots!$A$65))+INDIRECT(ADDRESS($B126,Plots!$H$3,,,Plots!$A$66))+INDIRECT(ADDRESS($B126,Plots!$H$3,,,Plots!$A$67))</f>
        <v>0</v>
      </c>
      <c r="I126">
        <f>'AARnetCBR-CamDTN1_tcpmon_ts_81'!H130+'AARnetCBR-CamDTN1_tcpmon_ts_82'!H130+'AARnetCBR-CamDTN1_tcpmon_ts_83'!H130+'AARnetCBR-CamDTN1_tcpmon_ts_84'!H130+'AARnetCBR-CamDTN1_tcpmon_ts_85'!H130+'AARnetCBR-CamDTN1_tcpmon_ts_86'!H130+'AARnetCBR-CamDTN1_tcpmon_ts_87'!H130+'AARnetCBR-CamDTN1_tcpmon_ts_88'!H130</f>
        <v>0</v>
      </c>
      <c r="L126" cm="1">
        <f t="array" aca="1" ref="L126" ca="1">INDIRECT(ADDRESS($B126,Plots!$H$4,,,Plots!$A$47))</f>
        <v>0</v>
      </c>
      <c r="M126" cm="1">
        <f t="array" aca="1" ref="M126" ca="1">INDIRECT(ADDRESS($B126,Plots!$H$4,,,Plots!$A$48))+INDIRECT(ADDRESS($B126,Plots!$H$4,,,Plots!$A$49))</f>
        <v>0</v>
      </c>
      <c r="N126" cm="1">
        <f t="array" aca="1" ref="N126" ca="1">INDIRECT(ADDRESS($B126,Plots!$H$4,,,Plots!$A$50))+INDIRECT(ADDRESS($B126,Plots!$H$4,,,Plots!$A$51))+INDIRECT(ADDRESS($B126,Plots!$H$4,,,Plots!$A$52))</f>
        <v>0</v>
      </c>
      <c r="O126" cm="1">
        <f t="array" aca="1" ref="O126" ca="1">INDIRECT(ADDRESS($B126,Plots!$H$4,,,Plots!$A$53))+INDIRECT(ADDRESS($B126,Plots!$H$4,,,Plots!$A$54))+INDIRECT(ADDRESS($B126,Plots!$H$4,,,Plots!$A$55))+INDIRECT(ADDRESS($B126,Plots!$H$4,,,Plots!$A$56))</f>
        <v>0</v>
      </c>
      <c r="P126" cm="1">
        <f t="array" aca="1" ref="P126" ca="1">INDIRECT(ADDRESS($B126,Plots!$H$4,,,Plots!$A$57))+INDIRECT(ADDRESS($B126,Plots!$H$4,,,Plots!$A$58))+INDIRECT(ADDRESS($B126,Plots!$H$4,,,Plots!$A$59))+INDIRECT(ADDRESS($B126,Plots!$H$4,,,Plots!$A$60))+INDIRECT(ADDRESS($B126,Plots!$H$4,,,Plots!$A$61))</f>
        <v>0</v>
      </c>
      <c r="Q126" cm="1">
        <f t="array" aca="1" ref="Q126" ca="1">INDIRECT(ADDRESS($B126,Plots!$H$4,,,Plots!$A$62))+INDIRECT(ADDRESS($B126,Plots!$H$4,,,Plots!$A$63))+INDIRECT(ADDRESS($B126,Plots!$H$4,,,Plots!$A$64))+INDIRECT(ADDRESS($B126,Plots!$H$4,,,Plots!$A$65))+INDIRECT(ADDRESS($B126,Plots!$H$4,,,Plots!$A$66))+INDIRECT(ADDRESS($B126,Plots!$H$4,,,Plots!$A$67))</f>
        <v>0</v>
      </c>
    </row>
    <row r="127" spans="1:17">
      <c r="A127">
        <f>'AARnetCBR-CamDTN1_tcpmon_ts_11'!A127</f>
        <v>230</v>
      </c>
      <c r="B127">
        <f t="shared" si="0"/>
        <v>127</v>
      </c>
      <c r="C127" cm="1">
        <f t="array" aca="1" ref="C127" ca="1">INDIRECT(ADDRESS($B127,Plots!$H$3,,,Plots!$A$47))</f>
        <v>25.39</v>
      </c>
      <c r="D127" cm="1">
        <f t="array" aca="1" ref="D127" ca="1">INDIRECT(ADDRESS($B127,Plots!$H$3,,,Plots!$A$48))+INDIRECT(ADDRESS($B127,Plots!$H$3,,,Plots!$A$49))</f>
        <v>54.99</v>
      </c>
      <c r="E127" cm="1">
        <f t="array" aca="1" ref="E127" ca="1">INDIRECT(ADDRESS($B127,Plots!$H$3,,,Plots!$A$50))+INDIRECT(ADDRESS($B127,Plots!$H$3,,,Plots!$A$51))+INDIRECT(ADDRESS($B127,Plots!$H$3,,,Plots!$A$52))</f>
        <v>65.3</v>
      </c>
      <c r="F127" cm="1">
        <f t="array" aca="1" ref="F127" ca="1">INDIRECT(ADDRESS($B127,Plots!$H$3,,,Plots!$A$53))+INDIRECT(ADDRESS($B127,Plots!$H$3,,,Plots!$A$54))+INDIRECT(ADDRESS($B127,Plots!$H$3,,,Plots!$A$55))+INDIRECT(ADDRESS($B127,Plots!$H$3,,,Plots!$A$56))</f>
        <v>92.4</v>
      </c>
      <c r="G127" cm="1">
        <f t="array" aca="1" ref="G127" ca="1">INDIRECT(ADDRESS($B127,Plots!$H$3,,,Plots!$A$57))+INDIRECT(ADDRESS($B127,Plots!$H$3,,,Plots!$A$58))+INDIRECT(ADDRESS($B127,Plots!$H$3,,,Plots!$A$59))+INDIRECT(ADDRESS($B127,Plots!$H$3,,,Plots!$A$60))+INDIRECT(ADDRESS($B127,Plots!$H$3,,,Plots!$A$61))</f>
        <v>0</v>
      </c>
      <c r="H127" cm="1">
        <f t="array" aca="1" ref="H127" ca="1">INDIRECT(ADDRESS($B127,Plots!$H$3,,,Plots!$A$62))+INDIRECT(ADDRESS($B127,Plots!$H$3,,,Plots!$A$63))+INDIRECT(ADDRESS($B127,Plots!$H$3,,,Plots!$A$64))+INDIRECT(ADDRESS($B127,Plots!$H$3,,,Plots!$A$65))+INDIRECT(ADDRESS($B127,Plots!$H$3,,,Plots!$A$66))+INDIRECT(ADDRESS($B127,Plots!$H$3,,,Plots!$A$67))</f>
        <v>0</v>
      </c>
      <c r="I127">
        <f>'AARnetCBR-CamDTN1_tcpmon_ts_81'!H131+'AARnetCBR-CamDTN1_tcpmon_ts_82'!H131+'AARnetCBR-CamDTN1_tcpmon_ts_83'!H131+'AARnetCBR-CamDTN1_tcpmon_ts_84'!H131+'AARnetCBR-CamDTN1_tcpmon_ts_85'!H131+'AARnetCBR-CamDTN1_tcpmon_ts_86'!H131+'AARnetCBR-CamDTN1_tcpmon_ts_87'!H131+'AARnetCBR-CamDTN1_tcpmon_ts_88'!H131</f>
        <v>0</v>
      </c>
      <c r="L127" cm="1">
        <f t="array" aca="1" ref="L127" ca="1">INDIRECT(ADDRESS($B127,Plots!$H$4,,,Plots!$A$47))</f>
        <v>0</v>
      </c>
      <c r="M127" cm="1">
        <f t="array" aca="1" ref="M127" ca="1">INDIRECT(ADDRESS($B127,Plots!$H$4,,,Plots!$A$48))+INDIRECT(ADDRESS($B127,Plots!$H$4,,,Plots!$A$49))</f>
        <v>0</v>
      </c>
      <c r="N127" cm="1">
        <f t="array" aca="1" ref="N127" ca="1">INDIRECT(ADDRESS($B127,Plots!$H$4,,,Plots!$A$50))+INDIRECT(ADDRESS($B127,Plots!$H$4,,,Plots!$A$51))+INDIRECT(ADDRESS($B127,Plots!$H$4,,,Plots!$A$52))</f>
        <v>0</v>
      </c>
      <c r="O127" cm="1">
        <f t="array" aca="1" ref="O127" ca="1">INDIRECT(ADDRESS($B127,Plots!$H$4,,,Plots!$A$53))+INDIRECT(ADDRESS($B127,Plots!$H$4,,,Plots!$A$54))+INDIRECT(ADDRESS($B127,Plots!$H$4,,,Plots!$A$55))+INDIRECT(ADDRESS($B127,Plots!$H$4,,,Plots!$A$56))</f>
        <v>0</v>
      </c>
      <c r="P127" cm="1">
        <f t="array" aca="1" ref="P127" ca="1">INDIRECT(ADDRESS($B127,Plots!$H$4,,,Plots!$A$57))+INDIRECT(ADDRESS($B127,Plots!$H$4,,,Plots!$A$58))+INDIRECT(ADDRESS($B127,Plots!$H$4,,,Plots!$A$59))+INDIRECT(ADDRESS($B127,Plots!$H$4,,,Plots!$A$60))+INDIRECT(ADDRESS($B127,Plots!$H$4,,,Plots!$A$61))</f>
        <v>0</v>
      </c>
      <c r="Q127" cm="1">
        <f t="array" aca="1" ref="Q127" ca="1">INDIRECT(ADDRESS($B127,Plots!$H$4,,,Plots!$A$62))+INDIRECT(ADDRESS($B127,Plots!$H$4,,,Plots!$A$63))+INDIRECT(ADDRESS($B127,Plots!$H$4,,,Plots!$A$64))+INDIRECT(ADDRESS($B127,Plots!$H$4,,,Plots!$A$65))+INDIRECT(ADDRESS($B127,Plots!$H$4,,,Plots!$A$66))+INDIRECT(ADDRESS($B127,Plots!$H$4,,,Plots!$A$67))</f>
        <v>0</v>
      </c>
    </row>
    <row r="128" spans="1:17">
      <c r="A128">
        <f>'AARnetCBR-CamDTN1_tcpmon_ts_11'!A128</f>
        <v>232</v>
      </c>
      <c r="B128">
        <f t="shared" si="0"/>
        <v>128</v>
      </c>
      <c r="C128" cm="1">
        <f t="array" aca="1" ref="C128" ca="1">INDIRECT(ADDRESS($B128,Plots!$H$3,,,Plots!$A$47))</f>
        <v>26.47</v>
      </c>
      <c r="D128" cm="1">
        <f t="array" aca="1" ref="D128" ca="1">INDIRECT(ADDRESS($B128,Plots!$H$3,,,Plots!$A$48))+INDIRECT(ADDRESS($B128,Plots!$H$3,,,Plots!$A$49))</f>
        <v>56.28</v>
      </c>
      <c r="E128" cm="1">
        <f t="array" aca="1" ref="E128" ca="1">INDIRECT(ADDRESS($B128,Plots!$H$3,,,Plots!$A$50))+INDIRECT(ADDRESS($B128,Plots!$H$3,,,Plots!$A$51))+INDIRECT(ADDRESS($B128,Plots!$H$3,,,Plots!$A$52))</f>
        <v>71.39</v>
      </c>
      <c r="F128" cm="1">
        <f t="array" aca="1" ref="F128" ca="1">INDIRECT(ADDRESS($B128,Plots!$H$3,,,Plots!$A$53))+INDIRECT(ADDRESS($B128,Plots!$H$3,,,Plots!$A$54))+INDIRECT(ADDRESS($B128,Plots!$H$3,,,Plots!$A$55))+INDIRECT(ADDRESS($B128,Plots!$H$3,,,Plots!$A$56))</f>
        <v>93.12</v>
      </c>
      <c r="G128" cm="1">
        <f t="array" aca="1" ref="G128" ca="1">INDIRECT(ADDRESS($B128,Plots!$H$3,,,Plots!$A$57))+INDIRECT(ADDRESS($B128,Plots!$H$3,,,Plots!$A$58))+INDIRECT(ADDRESS($B128,Plots!$H$3,,,Plots!$A$59))+INDIRECT(ADDRESS($B128,Plots!$H$3,,,Plots!$A$60))+INDIRECT(ADDRESS($B128,Plots!$H$3,,,Plots!$A$61))</f>
        <v>0</v>
      </c>
      <c r="H128" cm="1">
        <f t="array" aca="1" ref="H128" ca="1">INDIRECT(ADDRESS($B128,Plots!$H$3,,,Plots!$A$62))+INDIRECT(ADDRESS($B128,Plots!$H$3,,,Plots!$A$63))+INDIRECT(ADDRESS($B128,Plots!$H$3,,,Plots!$A$64))+INDIRECT(ADDRESS($B128,Plots!$H$3,,,Plots!$A$65))+INDIRECT(ADDRESS($B128,Plots!$H$3,,,Plots!$A$66))+INDIRECT(ADDRESS($B128,Plots!$H$3,,,Plots!$A$67))</f>
        <v>0</v>
      </c>
      <c r="I128">
        <f>'AARnetCBR-CamDTN1_tcpmon_ts_81'!H132+'AARnetCBR-CamDTN1_tcpmon_ts_82'!H132+'AARnetCBR-CamDTN1_tcpmon_ts_83'!H132+'AARnetCBR-CamDTN1_tcpmon_ts_84'!H132+'AARnetCBR-CamDTN1_tcpmon_ts_85'!H132+'AARnetCBR-CamDTN1_tcpmon_ts_86'!H132+'AARnetCBR-CamDTN1_tcpmon_ts_87'!H132+'AARnetCBR-CamDTN1_tcpmon_ts_88'!H132</f>
        <v>0</v>
      </c>
      <c r="L128" cm="1">
        <f t="array" aca="1" ref="L128" ca="1">INDIRECT(ADDRESS($B128,Plots!$H$4,,,Plots!$A$47))</f>
        <v>0</v>
      </c>
      <c r="M128" cm="1">
        <f t="array" aca="1" ref="M128" ca="1">INDIRECT(ADDRESS($B128,Plots!$H$4,,,Plots!$A$48))+INDIRECT(ADDRESS($B128,Plots!$H$4,,,Plots!$A$49))</f>
        <v>0</v>
      </c>
      <c r="N128" cm="1">
        <f t="array" aca="1" ref="N128" ca="1">INDIRECT(ADDRESS($B128,Plots!$H$4,,,Plots!$A$50))+INDIRECT(ADDRESS($B128,Plots!$H$4,,,Plots!$A$51))+INDIRECT(ADDRESS($B128,Plots!$H$4,,,Plots!$A$52))</f>
        <v>0</v>
      </c>
      <c r="O128" cm="1">
        <f t="array" aca="1" ref="O128" ca="1">INDIRECT(ADDRESS($B128,Plots!$H$4,,,Plots!$A$53))+INDIRECT(ADDRESS($B128,Plots!$H$4,,,Plots!$A$54))+INDIRECT(ADDRESS($B128,Plots!$H$4,,,Plots!$A$55))+INDIRECT(ADDRESS($B128,Plots!$H$4,,,Plots!$A$56))</f>
        <v>0</v>
      </c>
      <c r="P128" cm="1">
        <f t="array" aca="1" ref="P128" ca="1">INDIRECT(ADDRESS($B128,Plots!$H$4,,,Plots!$A$57))+INDIRECT(ADDRESS($B128,Plots!$H$4,,,Plots!$A$58))+INDIRECT(ADDRESS($B128,Plots!$H$4,,,Plots!$A$59))+INDIRECT(ADDRESS($B128,Plots!$H$4,,,Plots!$A$60))+INDIRECT(ADDRESS($B128,Plots!$H$4,,,Plots!$A$61))</f>
        <v>0</v>
      </c>
      <c r="Q128" cm="1">
        <f t="array" aca="1" ref="Q128" ca="1">INDIRECT(ADDRESS($B128,Plots!$H$4,,,Plots!$A$62))+INDIRECT(ADDRESS($B128,Plots!$H$4,,,Plots!$A$63))+INDIRECT(ADDRESS($B128,Plots!$H$4,,,Plots!$A$64))+INDIRECT(ADDRESS($B128,Plots!$H$4,,,Plots!$A$65))+INDIRECT(ADDRESS($B128,Plots!$H$4,,,Plots!$A$66))+INDIRECT(ADDRESS($B128,Plots!$H$4,,,Plots!$A$67))</f>
        <v>0</v>
      </c>
    </row>
    <row r="129" spans="1:17">
      <c r="A129">
        <f>'AARnetCBR-CamDTN1_tcpmon_ts_11'!A129</f>
        <v>234</v>
      </c>
      <c r="B129">
        <f t="shared" si="0"/>
        <v>129</v>
      </c>
      <c r="C129" cm="1">
        <f t="array" aca="1" ref="C129" ca="1">INDIRECT(ADDRESS($B129,Plots!$H$3,,,Plots!$A$47))</f>
        <v>26.35</v>
      </c>
      <c r="D129" cm="1">
        <f t="array" aca="1" ref="D129" ca="1">INDIRECT(ADDRESS($B129,Plots!$H$3,,,Plots!$A$48))+INDIRECT(ADDRESS($B129,Plots!$H$3,,,Plots!$A$49))</f>
        <v>57.44</v>
      </c>
      <c r="E129" cm="1">
        <f t="array" aca="1" ref="E129" ca="1">INDIRECT(ADDRESS($B129,Plots!$H$3,,,Plots!$A$50))+INDIRECT(ADDRESS($B129,Plots!$H$3,,,Plots!$A$51))+INDIRECT(ADDRESS($B129,Plots!$H$3,,,Plots!$A$52))</f>
        <v>60.96</v>
      </c>
      <c r="F129" cm="1">
        <f t="array" aca="1" ref="F129" ca="1">INDIRECT(ADDRESS($B129,Plots!$H$3,,,Plots!$A$53))+INDIRECT(ADDRESS($B129,Plots!$H$3,,,Plots!$A$54))+INDIRECT(ADDRESS($B129,Plots!$H$3,,,Plots!$A$55))+INDIRECT(ADDRESS($B129,Plots!$H$3,,,Plots!$A$56))</f>
        <v>91.04</v>
      </c>
      <c r="G129" cm="1">
        <f t="array" aca="1" ref="G129" ca="1">INDIRECT(ADDRESS($B129,Plots!$H$3,,,Plots!$A$57))+INDIRECT(ADDRESS($B129,Plots!$H$3,,,Plots!$A$58))+INDIRECT(ADDRESS($B129,Plots!$H$3,,,Plots!$A$59))+INDIRECT(ADDRESS($B129,Plots!$H$3,,,Plots!$A$60))+INDIRECT(ADDRESS($B129,Plots!$H$3,,,Plots!$A$61))</f>
        <v>0</v>
      </c>
      <c r="H129" cm="1">
        <f t="array" aca="1" ref="H129" ca="1">INDIRECT(ADDRESS($B129,Plots!$H$3,,,Plots!$A$62))+INDIRECT(ADDRESS($B129,Plots!$H$3,,,Plots!$A$63))+INDIRECT(ADDRESS($B129,Plots!$H$3,,,Plots!$A$64))+INDIRECT(ADDRESS($B129,Plots!$H$3,,,Plots!$A$65))+INDIRECT(ADDRESS($B129,Plots!$H$3,,,Plots!$A$66))+INDIRECT(ADDRESS($B129,Plots!$H$3,,,Plots!$A$67))</f>
        <v>0</v>
      </c>
      <c r="I129">
        <f>'AARnetCBR-CamDTN1_tcpmon_ts_81'!H133+'AARnetCBR-CamDTN1_tcpmon_ts_82'!H133+'AARnetCBR-CamDTN1_tcpmon_ts_83'!H133+'AARnetCBR-CamDTN1_tcpmon_ts_84'!H133+'AARnetCBR-CamDTN1_tcpmon_ts_85'!H133+'AARnetCBR-CamDTN1_tcpmon_ts_86'!H133+'AARnetCBR-CamDTN1_tcpmon_ts_87'!H133+'AARnetCBR-CamDTN1_tcpmon_ts_88'!H133</f>
        <v>0</v>
      </c>
      <c r="L129" cm="1">
        <f t="array" aca="1" ref="L129" ca="1">INDIRECT(ADDRESS($B129,Plots!$H$4,,,Plots!$A$47))</f>
        <v>0</v>
      </c>
      <c r="M129" cm="1">
        <f t="array" aca="1" ref="M129" ca="1">INDIRECT(ADDRESS($B129,Plots!$H$4,,,Plots!$A$48))+INDIRECT(ADDRESS($B129,Plots!$H$4,,,Plots!$A$49))</f>
        <v>0</v>
      </c>
      <c r="N129" cm="1">
        <f t="array" aca="1" ref="N129" ca="1">INDIRECT(ADDRESS($B129,Plots!$H$4,,,Plots!$A$50))+INDIRECT(ADDRESS($B129,Plots!$H$4,,,Plots!$A$51))+INDIRECT(ADDRESS($B129,Plots!$H$4,,,Plots!$A$52))</f>
        <v>0</v>
      </c>
      <c r="O129" cm="1">
        <f t="array" aca="1" ref="O129" ca="1">INDIRECT(ADDRESS($B129,Plots!$H$4,,,Plots!$A$53))+INDIRECT(ADDRESS($B129,Plots!$H$4,,,Plots!$A$54))+INDIRECT(ADDRESS($B129,Plots!$H$4,,,Plots!$A$55))+INDIRECT(ADDRESS($B129,Plots!$H$4,,,Plots!$A$56))</f>
        <v>0</v>
      </c>
      <c r="P129" cm="1">
        <f t="array" aca="1" ref="P129" ca="1">INDIRECT(ADDRESS($B129,Plots!$H$4,,,Plots!$A$57))+INDIRECT(ADDRESS($B129,Plots!$H$4,,,Plots!$A$58))+INDIRECT(ADDRESS($B129,Plots!$H$4,,,Plots!$A$59))+INDIRECT(ADDRESS($B129,Plots!$H$4,,,Plots!$A$60))+INDIRECT(ADDRESS($B129,Plots!$H$4,,,Plots!$A$61))</f>
        <v>0</v>
      </c>
      <c r="Q129" cm="1">
        <f t="array" aca="1" ref="Q129" ca="1">INDIRECT(ADDRESS($B129,Plots!$H$4,,,Plots!$A$62))+INDIRECT(ADDRESS($B129,Plots!$H$4,,,Plots!$A$63))+INDIRECT(ADDRESS($B129,Plots!$H$4,,,Plots!$A$64))+INDIRECT(ADDRESS($B129,Plots!$H$4,,,Plots!$A$65))+INDIRECT(ADDRESS($B129,Plots!$H$4,,,Plots!$A$66))+INDIRECT(ADDRESS($B129,Plots!$H$4,,,Plots!$A$67))</f>
        <v>0</v>
      </c>
    </row>
    <row r="130" spans="1:17">
      <c r="A130">
        <f>'AARnetCBR-CamDTN1_tcpmon_ts_11'!A130</f>
        <v>236</v>
      </c>
      <c r="B130">
        <f t="shared" si="0"/>
        <v>130</v>
      </c>
      <c r="C130" cm="1">
        <f t="array" aca="1" ref="C130" ca="1">INDIRECT(ADDRESS($B130,Plots!$H$3,,,Plots!$A$47))</f>
        <v>26.51</v>
      </c>
      <c r="D130" cm="1">
        <f t="array" aca="1" ref="D130" ca="1">INDIRECT(ADDRESS($B130,Plots!$H$3,,,Plots!$A$48))+INDIRECT(ADDRESS($B130,Plots!$H$3,,,Plots!$A$49))</f>
        <v>58.9</v>
      </c>
      <c r="E130" cm="1">
        <f t="array" aca="1" ref="E130" ca="1">INDIRECT(ADDRESS($B130,Plots!$H$3,,,Plots!$A$50))+INDIRECT(ADDRESS($B130,Plots!$H$3,,,Plots!$A$51))+INDIRECT(ADDRESS($B130,Plots!$H$3,,,Plots!$A$52))</f>
        <v>73.490000000000009</v>
      </c>
      <c r="F130" cm="1">
        <f t="array" aca="1" ref="F130" ca="1">INDIRECT(ADDRESS($B130,Plots!$H$3,,,Plots!$A$53))+INDIRECT(ADDRESS($B130,Plots!$H$3,,,Plots!$A$54))+INDIRECT(ADDRESS($B130,Plots!$H$3,,,Plots!$A$55))+INDIRECT(ADDRESS($B130,Plots!$H$3,,,Plots!$A$56))</f>
        <v>91.78</v>
      </c>
      <c r="G130" cm="1">
        <f t="array" aca="1" ref="G130" ca="1">INDIRECT(ADDRESS($B130,Plots!$H$3,,,Plots!$A$57))+INDIRECT(ADDRESS($B130,Plots!$H$3,,,Plots!$A$58))+INDIRECT(ADDRESS($B130,Plots!$H$3,,,Plots!$A$59))+INDIRECT(ADDRESS($B130,Plots!$H$3,,,Plots!$A$60))+INDIRECT(ADDRESS($B130,Plots!$H$3,,,Plots!$A$61))</f>
        <v>0</v>
      </c>
      <c r="H130" cm="1">
        <f t="array" aca="1" ref="H130" ca="1">INDIRECT(ADDRESS($B130,Plots!$H$3,,,Plots!$A$62))+INDIRECT(ADDRESS($B130,Plots!$H$3,,,Plots!$A$63))+INDIRECT(ADDRESS($B130,Plots!$H$3,,,Plots!$A$64))+INDIRECT(ADDRESS($B130,Plots!$H$3,,,Plots!$A$65))+INDIRECT(ADDRESS($B130,Plots!$H$3,,,Plots!$A$66))+INDIRECT(ADDRESS($B130,Plots!$H$3,,,Plots!$A$67))</f>
        <v>0</v>
      </c>
      <c r="I130">
        <f>'AARnetCBR-CamDTN1_tcpmon_ts_81'!H134+'AARnetCBR-CamDTN1_tcpmon_ts_82'!H134+'AARnetCBR-CamDTN1_tcpmon_ts_83'!H134+'AARnetCBR-CamDTN1_tcpmon_ts_84'!H134+'AARnetCBR-CamDTN1_tcpmon_ts_85'!H134+'AARnetCBR-CamDTN1_tcpmon_ts_86'!H134+'AARnetCBR-CamDTN1_tcpmon_ts_87'!H134+'AARnetCBR-CamDTN1_tcpmon_ts_88'!H134</f>
        <v>0</v>
      </c>
      <c r="L130" cm="1">
        <f t="array" aca="1" ref="L130" ca="1">INDIRECT(ADDRESS($B130,Plots!$H$4,,,Plots!$A$47))</f>
        <v>0</v>
      </c>
      <c r="M130" cm="1">
        <f t="array" aca="1" ref="M130" ca="1">INDIRECT(ADDRESS($B130,Plots!$H$4,,,Plots!$A$48))+INDIRECT(ADDRESS($B130,Plots!$H$4,,,Plots!$A$49))</f>
        <v>0</v>
      </c>
      <c r="N130" cm="1">
        <f t="array" aca="1" ref="N130" ca="1">INDIRECT(ADDRESS($B130,Plots!$H$4,,,Plots!$A$50))+INDIRECT(ADDRESS($B130,Plots!$H$4,,,Plots!$A$51))+INDIRECT(ADDRESS($B130,Plots!$H$4,,,Plots!$A$52))</f>
        <v>0</v>
      </c>
      <c r="O130" cm="1">
        <f t="array" aca="1" ref="O130" ca="1">INDIRECT(ADDRESS($B130,Plots!$H$4,,,Plots!$A$53))+INDIRECT(ADDRESS($B130,Plots!$H$4,,,Plots!$A$54))+INDIRECT(ADDRESS($B130,Plots!$H$4,,,Plots!$A$55))+INDIRECT(ADDRESS($B130,Plots!$H$4,,,Plots!$A$56))</f>
        <v>0</v>
      </c>
      <c r="P130" cm="1">
        <f t="array" aca="1" ref="P130" ca="1">INDIRECT(ADDRESS($B130,Plots!$H$4,,,Plots!$A$57))+INDIRECT(ADDRESS($B130,Plots!$H$4,,,Plots!$A$58))+INDIRECT(ADDRESS($B130,Plots!$H$4,,,Plots!$A$59))+INDIRECT(ADDRESS($B130,Plots!$H$4,,,Plots!$A$60))+INDIRECT(ADDRESS($B130,Plots!$H$4,,,Plots!$A$61))</f>
        <v>0</v>
      </c>
      <c r="Q130" cm="1">
        <f t="array" aca="1" ref="Q130" ca="1">INDIRECT(ADDRESS($B130,Plots!$H$4,,,Plots!$A$62))+INDIRECT(ADDRESS($B130,Plots!$H$4,,,Plots!$A$63))+INDIRECT(ADDRESS($B130,Plots!$H$4,,,Plots!$A$64))+INDIRECT(ADDRESS($B130,Plots!$H$4,,,Plots!$A$65))+INDIRECT(ADDRESS($B130,Plots!$H$4,,,Plots!$A$66))+INDIRECT(ADDRESS($B130,Plots!$H$4,,,Plots!$A$67))</f>
        <v>0</v>
      </c>
    </row>
    <row r="131" spans="1:17">
      <c r="A131">
        <f>'AARnetCBR-CamDTN1_tcpmon_ts_11'!A131</f>
        <v>238</v>
      </c>
      <c r="B131">
        <f t="shared" si="0"/>
        <v>131</v>
      </c>
      <c r="C131" cm="1">
        <f t="array" aca="1" ref="C131" ca="1">INDIRECT(ADDRESS($B131,Plots!$H$3,,,Plots!$A$47))</f>
        <v>26.13</v>
      </c>
      <c r="D131" cm="1">
        <f t="array" aca="1" ref="D131" ca="1">INDIRECT(ADDRESS($B131,Plots!$H$3,,,Plots!$A$48))+INDIRECT(ADDRESS($B131,Plots!$H$3,,,Plots!$A$49))</f>
        <v>59.3</v>
      </c>
      <c r="E131" cm="1">
        <f t="array" aca="1" ref="E131" ca="1">INDIRECT(ADDRESS($B131,Plots!$H$3,,,Plots!$A$50))+INDIRECT(ADDRESS($B131,Plots!$H$3,,,Plots!$A$51))+INDIRECT(ADDRESS($B131,Plots!$H$3,,,Plots!$A$52))</f>
        <v>61.9</v>
      </c>
      <c r="F131" cm="1">
        <f t="array" aca="1" ref="F131" ca="1">INDIRECT(ADDRESS($B131,Plots!$H$3,,,Plots!$A$53))+INDIRECT(ADDRESS($B131,Plots!$H$3,,,Plots!$A$54))+INDIRECT(ADDRESS($B131,Plots!$H$3,,,Plots!$A$55))+INDIRECT(ADDRESS($B131,Plots!$H$3,,,Plots!$A$56))</f>
        <v>93.86</v>
      </c>
      <c r="G131" cm="1">
        <f t="array" aca="1" ref="G131" ca="1">INDIRECT(ADDRESS($B131,Plots!$H$3,,,Plots!$A$57))+INDIRECT(ADDRESS($B131,Plots!$H$3,,,Plots!$A$58))+INDIRECT(ADDRESS($B131,Plots!$H$3,,,Plots!$A$59))+INDIRECT(ADDRESS($B131,Plots!$H$3,,,Plots!$A$60))+INDIRECT(ADDRESS($B131,Plots!$H$3,,,Plots!$A$61))</f>
        <v>0</v>
      </c>
      <c r="H131" cm="1">
        <f t="array" aca="1" ref="H131" ca="1">INDIRECT(ADDRESS($B131,Plots!$H$3,,,Plots!$A$62))+INDIRECT(ADDRESS($B131,Plots!$H$3,,,Plots!$A$63))+INDIRECT(ADDRESS($B131,Plots!$H$3,,,Plots!$A$64))+INDIRECT(ADDRESS($B131,Plots!$H$3,,,Plots!$A$65))+INDIRECT(ADDRESS($B131,Plots!$H$3,,,Plots!$A$66))+INDIRECT(ADDRESS($B131,Plots!$H$3,,,Plots!$A$67))</f>
        <v>0</v>
      </c>
      <c r="I131">
        <f>'AARnetCBR-CamDTN1_tcpmon_ts_81'!H135+'AARnetCBR-CamDTN1_tcpmon_ts_82'!H135+'AARnetCBR-CamDTN1_tcpmon_ts_83'!H135+'AARnetCBR-CamDTN1_tcpmon_ts_84'!H135+'AARnetCBR-CamDTN1_tcpmon_ts_85'!H135+'AARnetCBR-CamDTN1_tcpmon_ts_86'!H135+'AARnetCBR-CamDTN1_tcpmon_ts_87'!H135+'AARnetCBR-CamDTN1_tcpmon_ts_88'!H135</f>
        <v>0</v>
      </c>
      <c r="L131" cm="1">
        <f t="array" aca="1" ref="L131" ca="1">INDIRECT(ADDRESS($B131,Plots!$H$4,,,Plots!$A$47))</f>
        <v>0</v>
      </c>
      <c r="M131" cm="1">
        <f t="array" aca="1" ref="M131" ca="1">INDIRECT(ADDRESS($B131,Plots!$H$4,,,Plots!$A$48))+INDIRECT(ADDRESS($B131,Plots!$H$4,,,Plots!$A$49))</f>
        <v>0</v>
      </c>
      <c r="N131" cm="1">
        <f t="array" aca="1" ref="N131" ca="1">INDIRECT(ADDRESS($B131,Plots!$H$4,,,Plots!$A$50))+INDIRECT(ADDRESS($B131,Plots!$H$4,,,Plots!$A$51))+INDIRECT(ADDRESS($B131,Plots!$H$4,,,Plots!$A$52))</f>
        <v>0</v>
      </c>
      <c r="O131" cm="1">
        <f t="array" aca="1" ref="O131" ca="1">INDIRECT(ADDRESS($B131,Plots!$H$4,,,Plots!$A$53))+INDIRECT(ADDRESS($B131,Plots!$H$4,,,Plots!$A$54))+INDIRECT(ADDRESS($B131,Plots!$H$4,,,Plots!$A$55))+INDIRECT(ADDRESS($B131,Plots!$H$4,,,Plots!$A$56))</f>
        <v>0</v>
      </c>
      <c r="P131" cm="1">
        <f t="array" aca="1" ref="P131" ca="1">INDIRECT(ADDRESS($B131,Plots!$H$4,,,Plots!$A$57))+INDIRECT(ADDRESS($B131,Plots!$H$4,,,Plots!$A$58))+INDIRECT(ADDRESS($B131,Plots!$H$4,,,Plots!$A$59))+INDIRECT(ADDRESS($B131,Plots!$H$4,,,Plots!$A$60))+INDIRECT(ADDRESS($B131,Plots!$H$4,,,Plots!$A$61))</f>
        <v>0</v>
      </c>
      <c r="Q131" cm="1">
        <f t="array" aca="1" ref="Q131" ca="1">INDIRECT(ADDRESS($B131,Plots!$H$4,,,Plots!$A$62))+INDIRECT(ADDRESS($B131,Plots!$H$4,,,Plots!$A$63))+INDIRECT(ADDRESS($B131,Plots!$H$4,,,Plots!$A$64))+INDIRECT(ADDRESS($B131,Plots!$H$4,,,Plots!$A$65))+INDIRECT(ADDRESS($B131,Plots!$H$4,,,Plots!$A$66))+INDIRECT(ADDRESS($B131,Plots!$H$4,,,Plots!$A$67))</f>
        <v>0</v>
      </c>
    </row>
    <row r="132" spans="1:17">
      <c r="A132">
        <f>'AARnetCBR-CamDTN1_tcpmon_ts_11'!A132</f>
        <v>240</v>
      </c>
      <c r="B132">
        <f t="shared" si="0"/>
        <v>132</v>
      </c>
      <c r="C132" cm="1">
        <f t="array" aca="1" ref="C132" ca="1">INDIRECT(ADDRESS($B132,Plots!$H$3,,,Plots!$A$47))</f>
        <v>25.73</v>
      </c>
      <c r="D132" cm="1">
        <f t="array" aca="1" ref="D132" ca="1">INDIRECT(ADDRESS($B132,Plots!$H$3,,,Plots!$A$48))+INDIRECT(ADDRESS($B132,Plots!$H$3,,,Plots!$A$49))</f>
        <v>56.26</v>
      </c>
      <c r="E132" cm="1">
        <f t="array" aca="1" ref="E132" ca="1">INDIRECT(ADDRESS($B132,Plots!$H$3,,,Plots!$A$50))+INDIRECT(ADDRESS($B132,Plots!$H$3,,,Plots!$A$51))+INDIRECT(ADDRESS($B132,Plots!$H$3,,,Plots!$A$52))</f>
        <v>73.69</v>
      </c>
      <c r="F132" cm="1">
        <f t="array" aca="1" ref="F132" ca="1">INDIRECT(ADDRESS($B132,Plots!$H$3,,,Plots!$A$53))+INDIRECT(ADDRESS($B132,Plots!$H$3,,,Plots!$A$54))+INDIRECT(ADDRESS($B132,Plots!$H$3,,,Plots!$A$55))+INDIRECT(ADDRESS($B132,Plots!$H$3,,,Plots!$A$56))</f>
        <v>93.96</v>
      </c>
      <c r="G132" cm="1">
        <f t="array" aca="1" ref="G132" ca="1">INDIRECT(ADDRESS($B132,Plots!$H$3,,,Plots!$A$57))+INDIRECT(ADDRESS($B132,Plots!$H$3,,,Plots!$A$58))+INDIRECT(ADDRESS($B132,Plots!$H$3,,,Plots!$A$59))+INDIRECT(ADDRESS($B132,Plots!$H$3,,,Plots!$A$60))+INDIRECT(ADDRESS($B132,Plots!$H$3,,,Plots!$A$61))</f>
        <v>0</v>
      </c>
      <c r="H132" cm="1">
        <f t="array" aca="1" ref="H132" ca="1">INDIRECT(ADDRESS($B132,Plots!$H$3,,,Plots!$A$62))+INDIRECT(ADDRESS($B132,Plots!$H$3,,,Plots!$A$63))+INDIRECT(ADDRESS($B132,Plots!$H$3,,,Plots!$A$64))+INDIRECT(ADDRESS($B132,Plots!$H$3,,,Plots!$A$65))+INDIRECT(ADDRESS($B132,Plots!$H$3,,,Plots!$A$66))+INDIRECT(ADDRESS($B132,Plots!$H$3,,,Plots!$A$67))</f>
        <v>0</v>
      </c>
      <c r="I132">
        <f>'AARnetCBR-CamDTN1_tcpmon_ts_81'!H136+'AARnetCBR-CamDTN1_tcpmon_ts_82'!H136+'AARnetCBR-CamDTN1_tcpmon_ts_83'!H136+'AARnetCBR-CamDTN1_tcpmon_ts_84'!H136+'AARnetCBR-CamDTN1_tcpmon_ts_85'!H136+'AARnetCBR-CamDTN1_tcpmon_ts_86'!H136+'AARnetCBR-CamDTN1_tcpmon_ts_87'!H136+'AARnetCBR-CamDTN1_tcpmon_ts_88'!H136</f>
        <v>0</v>
      </c>
      <c r="L132" cm="1">
        <f t="array" aca="1" ref="L132" ca="1">INDIRECT(ADDRESS($B132,Plots!$H$4,,,Plots!$A$47))</f>
        <v>0</v>
      </c>
      <c r="M132" cm="1">
        <f t="array" aca="1" ref="M132" ca="1">INDIRECT(ADDRESS($B132,Plots!$H$4,,,Plots!$A$48))+INDIRECT(ADDRESS($B132,Plots!$H$4,,,Plots!$A$49))</f>
        <v>0</v>
      </c>
      <c r="N132" cm="1">
        <f t="array" aca="1" ref="N132" ca="1">INDIRECT(ADDRESS($B132,Plots!$H$4,,,Plots!$A$50))+INDIRECT(ADDRESS($B132,Plots!$H$4,,,Plots!$A$51))+INDIRECT(ADDRESS($B132,Plots!$H$4,,,Plots!$A$52))</f>
        <v>0</v>
      </c>
      <c r="O132" cm="1">
        <f t="array" aca="1" ref="O132" ca="1">INDIRECT(ADDRESS($B132,Plots!$H$4,,,Plots!$A$53))+INDIRECT(ADDRESS($B132,Plots!$H$4,,,Plots!$A$54))+INDIRECT(ADDRESS($B132,Plots!$H$4,,,Plots!$A$55))+INDIRECT(ADDRESS($B132,Plots!$H$4,,,Plots!$A$56))</f>
        <v>0</v>
      </c>
      <c r="P132" cm="1">
        <f t="array" aca="1" ref="P132" ca="1">INDIRECT(ADDRESS($B132,Plots!$H$4,,,Plots!$A$57))+INDIRECT(ADDRESS($B132,Plots!$H$4,,,Plots!$A$58))+INDIRECT(ADDRESS($B132,Plots!$H$4,,,Plots!$A$59))+INDIRECT(ADDRESS($B132,Plots!$H$4,,,Plots!$A$60))+INDIRECT(ADDRESS($B132,Plots!$H$4,,,Plots!$A$61))</f>
        <v>0</v>
      </c>
      <c r="Q132" cm="1">
        <f t="array" aca="1" ref="Q132" ca="1">INDIRECT(ADDRESS($B132,Plots!$H$4,,,Plots!$A$62))+INDIRECT(ADDRESS($B132,Plots!$H$4,,,Plots!$A$63))+INDIRECT(ADDRESS($B132,Plots!$H$4,,,Plots!$A$64))+INDIRECT(ADDRESS($B132,Plots!$H$4,,,Plots!$A$65))+INDIRECT(ADDRESS($B132,Plots!$H$4,,,Plots!$A$66))+INDIRECT(ADDRESS($B132,Plots!$H$4,,,Plots!$A$67))</f>
        <v>0</v>
      </c>
    </row>
    <row r="133" spans="1:17">
      <c r="A133">
        <f>'AARnetCBR-CamDTN1_tcpmon_ts_11'!A133</f>
        <v>242</v>
      </c>
      <c r="B133">
        <f t="shared" si="0"/>
        <v>133</v>
      </c>
      <c r="C133" cm="1">
        <f t="array" aca="1" ref="C133" ca="1">INDIRECT(ADDRESS($B133,Plots!$H$3,,,Plots!$A$47))</f>
        <v>25.66</v>
      </c>
      <c r="D133" cm="1">
        <f t="array" aca="1" ref="D133" ca="1">INDIRECT(ADDRESS($B133,Plots!$H$3,,,Plots!$A$48))+INDIRECT(ADDRESS($B133,Plots!$H$3,,,Plots!$A$49))</f>
        <v>56.099999999999994</v>
      </c>
      <c r="E133" cm="1">
        <f t="array" aca="1" ref="E133" ca="1">INDIRECT(ADDRESS($B133,Plots!$H$3,,,Plots!$A$50))+INDIRECT(ADDRESS($B133,Plots!$H$3,,,Plots!$A$51))+INDIRECT(ADDRESS($B133,Plots!$H$3,,,Plots!$A$52))</f>
        <v>60.96</v>
      </c>
      <c r="F133" cm="1">
        <f t="array" aca="1" ref="F133" ca="1">INDIRECT(ADDRESS($B133,Plots!$H$3,,,Plots!$A$53))+INDIRECT(ADDRESS($B133,Plots!$H$3,,,Plots!$A$54))+INDIRECT(ADDRESS($B133,Plots!$H$3,,,Plots!$A$55))+INDIRECT(ADDRESS($B133,Plots!$H$3,,,Plots!$A$56))</f>
        <v>90.47</v>
      </c>
      <c r="G133" cm="1">
        <f t="array" aca="1" ref="G133" ca="1">INDIRECT(ADDRESS($B133,Plots!$H$3,,,Plots!$A$57))+INDIRECT(ADDRESS($B133,Plots!$H$3,,,Plots!$A$58))+INDIRECT(ADDRESS($B133,Plots!$H$3,,,Plots!$A$59))+INDIRECT(ADDRESS($B133,Plots!$H$3,,,Plots!$A$60))+INDIRECT(ADDRESS($B133,Plots!$H$3,,,Plots!$A$61))</f>
        <v>0</v>
      </c>
      <c r="H133" cm="1">
        <f t="array" aca="1" ref="H133" ca="1">INDIRECT(ADDRESS($B133,Plots!$H$3,,,Plots!$A$62))+INDIRECT(ADDRESS($B133,Plots!$H$3,,,Plots!$A$63))+INDIRECT(ADDRESS($B133,Plots!$H$3,,,Plots!$A$64))+INDIRECT(ADDRESS($B133,Plots!$H$3,,,Plots!$A$65))+INDIRECT(ADDRESS($B133,Plots!$H$3,,,Plots!$A$66))+INDIRECT(ADDRESS($B133,Plots!$H$3,,,Plots!$A$67))</f>
        <v>0</v>
      </c>
      <c r="I133">
        <f>'AARnetCBR-CamDTN1_tcpmon_ts_81'!H137+'AARnetCBR-CamDTN1_tcpmon_ts_82'!H137+'AARnetCBR-CamDTN1_tcpmon_ts_83'!H137+'AARnetCBR-CamDTN1_tcpmon_ts_84'!H137+'AARnetCBR-CamDTN1_tcpmon_ts_85'!H137+'AARnetCBR-CamDTN1_tcpmon_ts_86'!H137+'AARnetCBR-CamDTN1_tcpmon_ts_87'!H137+'AARnetCBR-CamDTN1_tcpmon_ts_88'!H137</f>
        <v>0</v>
      </c>
      <c r="L133" cm="1">
        <f t="array" aca="1" ref="L133" ca="1">INDIRECT(ADDRESS($B133,Plots!$H$4,,,Plots!$A$47))</f>
        <v>0</v>
      </c>
      <c r="M133" cm="1">
        <f t="array" aca="1" ref="M133" ca="1">INDIRECT(ADDRESS($B133,Plots!$H$4,,,Plots!$A$48))+INDIRECT(ADDRESS($B133,Plots!$H$4,,,Plots!$A$49))</f>
        <v>0</v>
      </c>
      <c r="N133" cm="1">
        <f t="array" aca="1" ref="N133" ca="1">INDIRECT(ADDRESS($B133,Plots!$H$4,,,Plots!$A$50))+INDIRECT(ADDRESS($B133,Plots!$H$4,,,Plots!$A$51))+INDIRECT(ADDRESS($B133,Plots!$H$4,,,Plots!$A$52))</f>
        <v>0</v>
      </c>
      <c r="O133" cm="1">
        <f t="array" aca="1" ref="O133" ca="1">INDIRECT(ADDRESS($B133,Plots!$H$4,,,Plots!$A$53))+INDIRECT(ADDRESS($B133,Plots!$H$4,,,Plots!$A$54))+INDIRECT(ADDRESS($B133,Plots!$H$4,,,Plots!$A$55))+INDIRECT(ADDRESS($B133,Plots!$H$4,,,Plots!$A$56))</f>
        <v>0</v>
      </c>
      <c r="P133" cm="1">
        <f t="array" aca="1" ref="P133" ca="1">INDIRECT(ADDRESS($B133,Plots!$H$4,,,Plots!$A$57))+INDIRECT(ADDRESS($B133,Plots!$H$4,,,Plots!$A$58))+INDIRECT(ADDRESS($B133,Plots!$H$4,,,Plots!$A$59))+INDIRECT(ADDRESS($B133,Plots!$H$4,,,Plots!$A$60))+INDIRECT(ADDRESS($B133,Plots!$H$4,,,Plots!$A$61))</f>
        <v>0</v>
      </c>
      <c r="Q133" cm="1">
        <f t="array" aca="1" ref="Q133" ca="1">INDIRECT(ADDRESS($B133,Plots!$H$4,,,Plots!$A$62))+INDIRECT(ADDRESS($B133,Plots!$H$4,,,Plots!$A$63))+INDIRECT(ADDRESS($B133,Plots!$H$4,,,Plots!$A$64))+INDIRECT(ADDRESS($B133,Plots!$H$4,,,Plots!$A$65))+INDIRECT(ADDRESS($B133,Plots!$H$4,,,Plots!$A$66))+INDIRECT(ADDRESS($B133,Plots!$H$4,,,Plots!$A$67))</f>
        <v>0</v>
      </c>
    </row>
    <row r="134" spans="1:17">
      <c r="A134">
        <f>'AARnetCBR-CamDTN1_tcpmon_ts_11'!A134</f>
        <v>244</v>
      </c>
      <c r="B134">
        <f t="shared" si="0"/>
        <v>134</v>
      </c>
      <c r="C134" cm="1">
        <f t="array" aca="1" ref="C134" ca="1">INDIRECT(ADDRESS($B134,Plots!$H$3,,,Plots!$A$47))</f>
        <v>26.02</v>
      </c>
      <c r="D134" cm="1">
        <f t="array" aca="1" ref="D134" ca="1">INDIRECT(ADDRESS($B134,Plots!$H$3,,,Plots!$A$48))+INDIRECT(ADDRESS($B134,Plots!$H$3,,,Plots!$A$49))</f>
        <v>58.56</v>
      </c>
      <c r="E134" cm="1">
        <f t="array" aca="1" ref="E134" ca="1">INDIRECT(ADDRESS($B134,Plots!$H$3,,,Plots!$A$50))+INDIRECT(ADDRESS($B134,Plots!$H$3,,,Plots!$A$51))+INDIRECT(ADDRESS($B134,Plots!$H$3,,,Plots!$A$52))</f>
        <v>73.72</v>
      </c>
      <c r="F134" cm="1">
        <f t="array" aca="1" ref="F134" ca="1">INDIRECT(ADDRESS($B134,Plots!$H$3,,,Plots!$A$53))+INDIRECT(ADDRESS($B134,Plots!$H$3,,,Plots!$A$54))+INDIRECT(ADDRESS($B134,Plots!$H$3,,,Plots!$A$55))+INDIRECT(ADDRESS($B134,Plots!$H$3,,,Plots!$A$56))</f>
        <v>81.100000000000009</v>
      </c>
      <c r="G134" cm="1">
        <f t="array" aca="1" ref="G134" ca="1">INDIRECT(ADDRESS($B134,Plots!$H$3,,,Plots!$A$57))+INDIRECT(ADDRESS($B134,Plots!$H$3,,,Plots!$A$58))+INDIRECT(ADDRESS($B134,Plots!$H$3,,,Plots!$A$59))+INDIRECT(ADDRESS($B134,Plots!$H$3,,,Plots!$A$60))+INDIRECT(ADDRESS($B134,Plots!$H$3,,,Plots!$A$61))</f>
        <v>0</v>
      </c>
      <c r="H134" cm="1">
        <f t="array" aca="1" ref="H134" ca="1">INDIRECT(ADDRESS($B134,Plots!$H$3,,,Plots!$A$62))+INDIRECT(ADDRESS($B134,Plots!$H$3,,,Plots!$A$63))+INDIRECT(ADDRESS($B134,Plots!$H$3,,,Plots!$A$64))+INDIRECT(ADDRESS($B134,Plots!$H$3,,,Plots!$A$65))+INDIRECT(ADDRESS($B134,Plots!$H$3,,,Plots!$A$66))+INDIRECT(ADDRESS($B134,Plots!$H$3,,,Plots!$A$67))</f>
        <v>0</v>
      </c>
      <c r="I134">
        <f>'AARnetCBR-CamDTN1_tcpmon_ts_81'!H138+'AARnetCBR-CamDTN1_tcpmon_ts_82'!H138+'AARnetCBR-CamDTN1_tcpmon_ts_83'!H138+'AARnetCBR-CamDTN1_tcpmon_ts_84'!H138+'AARnetCBR-CamDTN1_tcpmon_ts_85'!H138+'AARnetCBR-CamDTN1_tcpmon_ts_86'!H138+'AARnetCBR-CamDTN1_tcpmon_ts_87'!H138+'AARnetCBR-CamDTN1_tcpmon_ts_88'!H138</f>
        <v>0</v>
      </c>
      <c r="L134" cm="1">
        <f t="array" aca="1" ref="L134" ca="1">INDIRECT(ADDRESS($B134,Plots!$H$4,,,Plots!$A$47))</f>
        <v>0</v>
      </c>
      <c r="M134" cm="1">
        <f t="array" aca="1" ref="M134" ca="1">INDIRECT(ADDRESS($B134,Plots!$H$4,,,Plots!$A$48))+INDIRECT(ADDRESS($B134,Plots!$H$4,,,Plots!$A$49))</f>
        <v>0</v>
      </c>
      <c r="N134" cm="1">
        <f t="array" aca="1" ref="N134" ca="1">INDIRECT(ADDRESS($B134,Plots!$H$4,,,Plots!$A$50))+INDIRECT(ADDRESS($B134,Plots!$H$4,,,Plots!$A$51))+INDIRECT(ADDRESS($B134,Plots!$H$4,,,Plots!$A$52))</f>
        <v>0</v>
      </c>
      <c r="O134" cm="1">
        <f t="array" aca="1" ref="O134" ca="1">INDIRECT(ADDRESS($B134,Plots!$H$4,,,Plots!$A$53))+INDIRECT(ADDRESS($B134,Plots!$H$4,,,Plots!$A$54))+INDIRECT(ADDRESS($B134,Plots!$H$4,,,Plots!$A$55))+INDIRECT(ADDRESS($B134,Plots!$H$4,,,Plots!$A$56))</f>
        <v>1429</v>
      </c>
      <c r="P134" cm="1">
        <f t="array" aca="1" ref="P134" ca="1">INDIRECT(ADDRESS($B134,Plots!$H$4,,,Plots!$A$57))+INDIRECT(ADDRESS($B134,Plots!$H$4,,,Plots!$A$58))+INDIRECT(ADDRESS($B134,Plots!$H$4,,,Plots!$A$59))+INDIRECT(ADDRESS($B134,Plots!$H$4,,,Plots!$A$60))+INDIRECT(ADDRESS($B134,Plots!$H$4,,,Plots!$A$61))</f>
        <v>0</v>
      </c>
      <c r="Q134" cm="1">
        <f t="array" aca="1" ref="Q134" ca="1">INDIRECT(ADDRESS($B134,Plots!$H$4,,,Plots!$A$62))+INDIRECT(ADDRESS($B134,Plots!$H$4,,,Plots!$A$63))+INDIRECT(ADDRESS($B134,Plots!$H$4,,,Plots!$A$64))+INDIRECT(ADDRESS($B134,Plots!$H$4,,,Plots!$A$65))+INDIRECT(ADDRESS($B134,Plots!$H$4,,,Plots!$A$66))+INDIRECT(ADDRESS($B134,Plots!$H$4,,,Plots!$A$67))</f>
        <v>0</v>
      </c>
    </row>
    <row r="135" spans="1:17">
      <c r="A135">
        <f>'AARnetCBR-CamDTN1_tcpmon_ts_11'!A135</f>
        <v>246</v>
      </c>
      <c r="B135">
        <f t="shared" si="0"/>
        <v>135</v>
      </c>
      <c r="C135" cm="1">
        <f t="array" aca="1" ref="C135" ca="1">INDIRECT(ADDRESS($B135,Plots!$H$3,,,Plots!$A$47))</f>
        <v>25.9</v>
      </c>
      <c r="D135" cm="1">
        <f t="array" aca="1" ref="D135" ca="1">INDIRECT(ADDRESS($B135,Plots!$H$3,,,Plots!$A$48))+INDIRECT(ADDRESS($B135,Plots!$H$3,,,Plots!$A$49))</f>
        <v>55.510000000000005</v>
      </c>
      <c r="E135" cm="1">
        <f t="array" aca="1" ref="E135" ca="1">INDIRECT(ADDRESS($B135,Plots!$H$3,,,Plots!$A$50))+INDIRECT(ADDRESS($B135,Plots!$H$3,,,Plots!$A$51))+INDIRECT(ADDRESS($B135,Plots!$H$3,,,Plots!$A$52))</f>
        <v>61.570000000000007</v>
      </c>
      <c r="F135" cm="1">
        <f t="array" aca="1" ref="F135" ca="1">INDIRECT(ADDRESS($B135,Plots!$H$3,,,Plots!$A$53))+INDIRECT(ADDRESS($B135,Plots!$H$3,,,Plots!$A$54))+INDIRECT(ADDRESS($B135,Plots!$H$3,,,Plots!$A$55))+INDIRECT(ADDRESS($B135,Plots!$H$3,,,Plots!$A$56))</f>
        <v>80.17</v>
      </c>
      <c r="G135" cm="1">
        <f t="array" aca="1" ref="G135" ca="1">INDIRECT(ADDRESS($B135,Plots!$H$3,,,Plots!$A$57))+INDIRECT(ADDRESS($B135,Plots!$H$3,,,Plots!$A$58))+INDIRECT(ADDRESS($B135,Plots!$H$3,,,Plots!$A$59))+INDIRECT(ADDRESS($B135,Plots!$H$3,,,Plots!$A$60))+INDIRECT(ADDRESS($B135,Plots!$H$3,,,Plots!$A$61))</f>
        <v>0</v>
      </c>
      <c r="H135" cm="1">
        <f t="array" aca="1" ref="H135" ca="1">INDIRECT(ADDRESS($B135,Plots!$H$3,,,Plots!$A$62))+INDIRECT(ADDRESS($B135,Plots!$H$3,,,Plots!$A$63))+INDIRECT(ADDRESS($B135,Plots!$H$3,,,Plots!$A$64))+INDIRECT(ADDRESS($B135,Plots!$H$3,,,Plots!$A$65))+INDIRECT(ADDRESS($B135,Plots!$H$3,,,Plots!$A$66))+INDIRECT(ADDRESS($B135,Plots!$H$3,,,Plots!$A$67))</f>
        <v>0</v>
      </c>
      <c r="I135">
        <f>'AARnetCBR-CamDTN1_tcpmon_ts_81'!H139+'AARnetCBR-CamDTN1_tcpmon_ts_82'!H139+'AARnetCBR-CamDTN1_tcpmon_ts_83'!H139+'AARnetCBR-CamDTN1_tcpmon_ts_84'!H139+'AARnetCBR-CamDTN1_tcpmon_ts_85'!H139+'AARnetCBR-CamDTN1_tcpmon_ts_86'!H139+'AARnetCBR-CamDTN1_tcpmon_ts_87'!H139+'AARnetCBR-CamDTN1_tcpmon_ts_88'!H139</f>
        <v>0</v>
      </c>
      <c r="L135" cm="1">
        <f t="array" aca="1" ref="L135" ca="1">INDIRECT(ADDRESS($B135,Plots!$H$4,,,Plots!$A$47))</f>
        <v>0</v>
      </c>
      <c r="M135" cm="1">
        <f t="array" aca="1" ref="M135" ca="1">INDIRECT(ADDRESS($B135,Plots!$H$4,,,Plots!$A$48))+INDIRECT(ADDRESS($B135,Plots!$H$4,,,Plots!$A$49))</f>
        <v>0</v>
      </c>
      <c r="N135" cm="1">
        <f t="array" aca="1" ref="N135" ca="1">INDIRECT(ADDRESS($B135,Plots!$H$4,,,Plots!$A$50))+INDIRECT(ADDRESS($B135,Plots!$H$4,,,Plots!$A$51))+INDIRECT(ADDRESS($B135,Plots!$H$4,,,Plots!$A$52))</f>
        <v>0</v>
      </c>
      <c r="O135" cm="1">
        <f t="array" aca="1" ref="O135" ca="1">INDIRECT(ADDRESS($B135,Plots!$H$4,,,Plots!$A$53))+INDIRECT(ADDRESS($B135,Plots!$H$4,,,Plots!$A$54))+INDIRECT(ADDRESS($B135,Plots!$H$4,,,Plots!$A$55))+INDIRECT(ADDRESS($B135,Plots!$H$4,,,Plots!$A$56))</f>
        <v>0</v>
      </c>
      <c r="P135" cm="1">
        <f t="array" aca="1" ref="P135" ca="1">INDIRECT(ADDRESS($B135,Plots!$H$4,,,Plots!$A$57))+INDIRECT(ADDRESS($B135,Plots!$H$4,,,Plots!$A$58))+INDIRECT(ADDRESS($B135,Plots!$H$4,,,Plots!$A$59))+INDIRECT(ADDRESS($B135,Plots!$H$4,,,Plots!$A$60))+INDIRECT(ADDRESS($B135,Plots!$H$4,,,Plots!$A$61))</f>
        <v>0</v>
      </c>
      <c r="Q135" cm="1">
        <f t="array" aca="1" ref="Q135" ca="1">INDIRECT(ADDRESS($B135,Plots!$H$4,,,Plots!$A$62))+INDIRECT(ADDRESS($B135,Plots!$H$4,,,Plots!$A$63))+INDIRECT(ADDRESS($B135,Plots!$H$4,,,Plots!$A$64))+INDIRECT(ADDRESS($B135,Plots!$H$4,,,Plots!$A$65))+INDIRECT(ADDRESS($B135,Plots!$H$4,,,Plots!$A$66))+INDIRECT(ADDRESS($B135,Plots!$H$4,,,Plots!$A$67))</f>
        <v>0</v>
      </c>
    </row>
    <row r="136" spans="1:17">
      <c r="A136">
        <f>'AARnetCBR-CamDTN1_tcpmon_ts_11'!A136</f>
        <v>248</v>
      </c>
      <c r="B136">
        <f t="shared" si="0"/>
        <v>136</v>
      </c>
      <c r="C136" cm="1">
        <f t="array" aca="1" ref="C136" ca="1">INDIRECT(ADDRESS($B136,Plots!$H$3,,,Plots!$A$47))</f>
        <v>25.37</v>
      </c>
      <c r="D136" cm="1">
        <f t="array" aca="1" ref="D136" ca="1">INDIRECT(ADDRESS($B136,Plots!$H$3,,,Plots!$A$48))+INDIRECT(ADDRESS($B136,Plots!$H$3,,,Plots!$A$49))</f>
        <v>58.81</v>
      </c>
      <c r="E136" cm="1">
        <f t="array" aca="1" ref="E136" ca="1">INDIRECT(ADDRESS($B136,Plots!$H$3,,,Plots!$A$50))+INDIRECT(ADDRESS($B136,Plots!$H$3,,,Plots!$A$51))+INDIRECT(ADDRESS($B136,Plots!$H$3,,,Plots!$A$52))</f>
        <v>74.81</v>
      </c>
      <c r="F136" cm="1">
        <f t="array" aca="1" ref="F136" ca="1">INDIRECT(ADDRESS($B136,Plots!$H$3,,,Plots!$A$53))+INDIRECT(ADDRESS($B136,Plots!$H$3,,,Plots!$A$54))+INDIRECT(ADDRESS($B136,Plots!$H$3,,,Plots!$A$55))+INDIRECT(ADDRESS($B136,Plots!$H$3,,,Plots!$A$56))</f>
        <v>84.4</v>
      </c>
      <c r="G136" cm="1">
        <f t="array" aca="1" ref="G136" ca="1">INDIRECT(ADDRESS($B136,Plots!$H$3,,,Plots!$A$57))+INDIRECT(ADDRESS($B136,Plots!$H$3,,,Plots!$A$58))+INDIRECT(ADDRESS($B136,Plots!$H$3,,,Plots!$A$59))+INDIRECT(ADDRESS($B136,Plots!$H$3,,,Plots!$A$60))+INDIRECT(ADDRESS($B136,Plots!$H$3,,,Plots!$A$61))</f>
        <v>0</v>
      </c>
      <c r="H136" cm="1">
        <f t="array" aca="1" ref="H136" ca="1">INDIRECT(ADDRESS($B136,Plots!$H$3,,,Plots!$A$62))+INDIRECT(ADDRESS($B136,Plots!$H$3,,,Plots!$A$63))+INDIRECT(ADDRESS($B136,Plots!$H$3,,,Plots!$A$64))+INDIRECT(ADDRESS($B136,Plots!$H$3,,,Plots!$A$65))+INDIRECT(ADDRESS($B136,Plots!$H$3,,,Plots!$A$66))+INDIRECT(ADDRESS($B136,Plots!$H$3,,,Plots!$A$67))</f>
        <v>0</v>
      </c>
      <c r="I136">
        <f>'AARnetCBR-CamDTN1_tcpmon_ts_81'!H140+'AARnetCBR-CamDTN1_tcpmon_ts_82'!H140+'AARnetCBR-CamDTN1_tcpmon_ts_83'!H140+'AARnetCBR-CamDTN1_tcpmon_ts_84'!H140+'AARnetCBR-CamDTN1_tcpmon_ts_85'!H140+'AARnetCBR-CamDTN1_tcpmon_ts_86'!H140+'AARnetCBR-CamDTN1_tcpmon_ts_87'!H140+'AARnetCBR-CamDTN1_tcpmon_ts_88'!H140</f>
        <v>0</v>
      </c>
      <c r="L136" cm="1">
        <f t="array" aca="1" ref="L136" ca="1">INDIRECT(ADDRESS($B136,Plots!$H$4,,,Plots!$A$47))</f>
        <v>0</v>
      </c>
      <c r="M136" cm="1">
        <f t="array" aca="1" ref="M136" ca="1">INDIRECT(ADDRESS($B136,Plots!$H$4,,,Plots!$A$48))+INDIRECT(ADDRESS($B136,Plots!$H$4,,,Plots!$A$49))</f>
        <v>0</v>
      </c>
      <c r="N136" cm="1">
        <f t="array" aca="1" ref="N136" ca="1">INDIRECT(ADDRESS($B136,Plots!$H$4,,,Plots!$A$50))+INDIRECT(ADDRESS($B136,Plots!$H$4,,,Plots!$A$51))+INDIRECT(ADDRESS($B136,Plots!$H$4,,,Plots!$A$52))</f>
        <v>0</v>
      </c>
      <c r="O136" cm="1">
        <f t="array" aca="1" ref="O136" ca="1">INDIRECT(ADDRESS($B136,Plots!$H$4,,,Plots!$A$53))+INDIRECT(ADDRESS($B136,Plots!$H$4,,,Plots!$A$54))+INDIRECT(ADDRESS($B136,Plots!$H$4,,,Plots!$A$55))+INDIRECT(ADDRESS($B136,Plots!$H$4,,,Plots!$A$56))</f>
        <v>0</v>
      </c>
      <c r="P136" cm="1">
        <f t="array" aca="1" ref="P136" ca="1">INDIRECT(ADDRESS($B136,Plots!$H$4,,,Plots!$A$57))+INDIRECT(ADDRESS($B136,Plots!$H$4,,,Plots!$A$58))+INDIRECT(ADDRESS($B136,Plots!$H$4,,,Plots!$A$59))+INDIRECT(ADDRESS($B136,Plots!$H$4,,,Plots!$A$60))+INDIRECT(ADDRESS($B136,Plots!$H$4,,,Plots!$A$61))</f>
        <v>0</v>
      </c>
      <c r="Q136" cm="1">
        <f t="array" aca="1" ref="Q136" ca="1">INDIRECT(ADDRESS($B136,Plots!$H$4,,,Plots!$A$62))+INDIRECT(ADDRESS($B136,Plots!$H$4,,,Plots!$A$63))+INDIRECT(ADDRESS($B136,Plots!$H$4,,,Plots!$A$64))+INDIRECT(ADDRESS($B136,Plots!$H$4,,,Plots!$A$65))+INDIRECT(ADDRESS($B136,Plots!$H$4,,,Plots!$A$66))+INDIRECT(ADDRESS($B136,Plots!$H$4,,,Plots!$A$67))</f>
        <v>0</v>
      </c>
    </row>
    <row r="137" spans="1:17">
      <c r="A137">
        <f>'AARnetCBR-CamDTN1_tcpmon_ts_11'!A137</f>
        <v>250</v>
      </c>
      <c r="B137">
        <f t="shared" si="0"/>
        <v>137</v>
      </c>
      <c r="C137" cm="1">
        <f t="array" aca="1" ref="C137" ca="1">INDIRECT(ADDRESS($B137,Plots!$H$3,,,Plots!$A$47))</f>
        <v>26.75</v>
      </c>
      <c r="D137" cm="1">
        <f t="array" aca="1" ref="D137" ca="1">INDIRECT(ADDRESS($B137,Plots!$H$3,,,Plots!$A$48))+INDIRECT(ADDRESS($B137,Plots!$H$3,,,Plots!$A$49))</f>
        <v>57.31</v>
      </c>
      <c r="E137" cm="1">
        <f t="array" aca="1" ref="E137" ca="1">INDIRECT(ADDRESS($B137,Plots!$H$3,,,Plots!$A$50))+INDIRECT(ADDRESS($B137,Plots!$H$3,,,Plots!$A$51))+INDIRECT(ADDRESS($B137,Plots!$H$3,,,Plots!$A$52))</f>
        <v>59.9</v>
      </c>
      <c r="F137" cm="1">
        <f t="array" aca="1" ref="F137" ca="1">INDIRECT(ADDRESS($B137,Plots!$H$3,,,Plots!$A$53))+INDIRECT(ADDRESS($B137,Plots!$H$3,,,Plots!$A$54))+INDIRECT(ADDRESS($B137,Plots!$H$3,,,Plots!$A$55))+INDIRECT(ADDRESS($B137,Plots!$H$3,,,Plots!$A$56))</f>
        <v>89.750000000000014</v>
      </c>
      <c r="G137" cm="1">
        <f t="array" aca="1" ref="G137" ca="1">INDIRECT(ADDRESS($B137,Plots!$H$3,,,Plots!$A$57))+INDIRECT(ADDRESS($B137,Plots!$H$3,,,Plots!$A$58))+INDIRECT(ADDRESS($B137,Plots!$H$3,,,Plots!$A$59))+INDIRECT(ADDRESS($B137,Plots!$H$3,,,Plots!$A$60))+INDIRECT(ADDRESS($B137,Plots!$H$3,,,Plots!$A$61))</f>
        <v>0</v>
      </c>
      <c r="H137" cm="1">
        <f t="array" aca="1" ref="H137" ca="1">INDIRECT(ADDRESS($B137,Plots!$H$3,,,Plots!$A$62))+INDIRECT(ADDRESS($B137,Plots!$H$3,,,Plots!$A$63))+INDIRECT(ADDRESS($B137,Plots!$H$3,,,Plots!$A$64))+INDIRECT(ADDRESS($B137,Plots!$H$3,,,Plots!$A$65))+INDIRECT(ADDRESS($B137,Plots!$H$3,,,Plots!$A$66))+INDIRECT(ADDRESS($B137,Plots!$H$3,,,Plots!$A$67))</f>
        <v>0</v>
      </c>
      <c r="I137">
        <f>'AARnetCBR-CamDTN1_tcpmon_ts_81'!H141+'AARnetCBR-CamDTN1_tcpmon_ts_82'!H141+'AARnetCBR-CamDTN1_tcpmon_ts_83'!H141+'AARnetCBR-CamDTN1_tcpmon_ts_84'!H141+'AARnetCBR-CamDTN1_tcpmon_ts_85'!H141+'AARnetCBR-CamDTN1_tcpmon_ts_86'!H141+'AARnetCBR-CamDTN1_tcpmon_ts_87'!H141+'AARnetCBR-CamDTN1_tcpmon_ts_88'!H141</f>
        <v>0</v>
      </c>
      <c r="L137" cm="1">
        <f t="array" aca="1" ref="L137" ca="1">INDIRECT(ADDRESS($B137,Plots!$H$4,,,Plots!$A$47))</f>
        <v>0</v>
      </c>
      <c r="M137" cm="1">
        <f t="array" aca="1" ref="M137" ca="1">INDIRECT(ADDRESS($B137,Plots!$H$4,,,Plots!$A$48))+INDIRECT(ADDRESS($B137,Plots!$H$4,,,Plots!$A$49))</f>
        <v>0</v>
      </c>
      <c r="N137" cm="1">
        <f t="array" aca="1" ref="N137" ca="1">INDIRECT(ADDRESS($B137,Plots!$H$4,,,Plots!$A$50))+INDIRECT(ADDRESS($B137,Plots!$H$4,,,Plots!$A$51))+INDIRECT(ADDRESS($B137,Plots!$H$4,,,Plots!$A$52))</f>
        <v>0</v>
      </c>
      <c r="O137" cm="1">
        <f t="array" aca="1" ref="O137" ca="1">INDIRECT(ADDRESS($B137,Plots!$H$4,,,Plots!$A$53))+INDIRECT(ADDRESS($B137,Plots!$H$4,,,Plots!$A$54))+INDIRECT(ADDRESS($B137,Plots!$H$4,,,Plots!$A$55))+INDIRECT(ADDRESS($B137,Plots!$H$4,,,Plots!$A$56))</f>
        <v>0</v>
      </c>
      <c r="P137" cm="1">
        <f t="array" aca="1" ref="P137" ca="1">INDIRECT(ADDRESS($B137,Plots!$H$4,,,Plots!$A$57))+INDIRECT(ADDRESS($B137,Plots!$H$4,,,Plots!$A$58))+INDIRECT(ADDRESS($B137,Plots!$H$4,,,Plots!$A$59))+INDIRECT(ADDRESS($B137,Plots!$H$4,,,Plots!$A$60))+INDIRECT(ADDRESS($B137,Plots!$H$4,,,Plots!$A$61))</f>
        <v>0</v>
      </c>
      <c r="Q137" cm="1">
        <f t="array" aca="1" ref="Q137" ca="1">INDIRECT(ADDRESS($B137,Plots!$H$4,,,Plots!$A$62))+INDIRECT(ADDRESS($B137,Plots!$H$4,,,Plots!$A$63))+INDIRECT(ADDRESS($B137,Plots!$H$4,,,Plots!$A$64))+INDIRECT(ADDRESS($B137,Plots!$H$4,,,Plots!$A$65))+INDIRECT(ADDRESS($B137,Plots!$H$4,,,Plots!$A$66))+INDIRECT(ADDRESS($B137,Plots!$H$4,,,Plots!$A$67))</f>
        <v>0</v>
      </c>
    </row>
    <row r="138" spans="1:17">
      <c r="A138">
        <f>'AARnetCBR-CamDTN1_tcpmon_ts_11'!A138</f>
        <v>252</v>
      </c>
      <c r="B138">
        <f t="shared" si="0"/>
        <v>138</v>
      </c>
      <c r="C138" cm="1">
        <f t="array" aca="1" ref="C138" ca="1">INDIRECT(ADDRESS($B138,Plots!$H$3,,,Plots!$A$47))</f>
        <v>26.07</v>
      </c>
      <c r="D138" cm="1">
        <f t="array" aca="1" ref="D138" ca="1">INDIRECT(ADDRESS($B138,Plots!$H$3,,,Plots!$A$48))+INDIRECT(ADDRESS($B138,Plots!$H$3,,,Plots!$A$49))</f>
        <v>58.26</v>
      </c>
      <c r="E138" cm="1">
        <f t="array" aca="1" ref="E138" ca="1">INDIRECT(ADDRESS($B138,Plots!$H$3,,,Plots!$A$50))+INDIRECT(ADDRESS($B138,Plots!$H$3,,,Plots!$A$51))+INDIRECT(ADDRESS($B138,Plots!$H$3,,,Plots!$A$52))</f>
        <v>74.430000000000007</v>
      </c>
      <c r="F138" cm="1">
        <f t="array" aca="1" ref="F138" ca="1">INDIRECT(ADDRESS($B138,Plots!$H$3,,,Plots!$A$53))+INDIRECT(ADDRESS($B138,Plots!$H$3,,,Plots!$A$54))+INDIRECT(ADDRESS($B138,Plots!$H$3,,,Plots!$A$55))+INDIRECT(ADDRESS($B138,Plots!$H$3,,,Plots!$A$56))</f>
        <v>85.41</v>
      </c>
      <c r="G138" cm="1">
        <f t="array" aca="1" ref="G138" ca="1">INDIRECT(ADDRESS($B138,Plots!$H$3,,,Plots!$A$57))+INDIRECT(ADDRESS($B138,Plots!$H$3,,,Plots!$A$58))+INDIRECT(ADDRESS($B138,Plots!$H$3,,,Plots!$A$59))+INDIRECT(ADDRESS($B138,Plots!$H$3,,,Plots!$A$60))+INDIRECT(ADDRESS($B138,Plots!$H$3,,,Plots!$A$61))</f>
        <v>0</v>
      </c>
      <c r="H138" cm="1">
        <f t="array" aca="1" ref="H138" ca="1">INDIRECT(ADDRESS($B138,Plots!$H$3,,,Plots!$A$62))+INDIRECT(ADDRESS($B138,Plots!$H$3,,,Plots!$A$63))+INDIRECT(ADDRESS($B138,Plots!$H$3,,,Plots!$A$64))+INDIRECT(ADDRESS($B138,Plots!$H$3,,,Plots!$A$65))+INDIRECT(ADDRESS($B138,Plots!$H$3,,,Plots!$A$66))+INDIRECT(ADDRESS($B138,Plots!$H$3,,,Plots!$A$67))</f>
        <v>0</v>
      </c>
      <c r="I138">
        <f>'AARnetCBR-CamDTN1_tcpmon_ts_81'!H142+'AARnetCBR-CamDTN1_tcpmon_ts_82'!H142+'AARnetCBR-CamDTN1_tcpmon_ts_83'!H142+'AARnetCBR-CamDTN1_tcpmon_ts_84'!H142+'AARnetCBR-CamDTN1_tcpmon_ts_85'!H142+'AARnetCBR-CamDTN1_tcpmon_ts_86'!H142+'AARnetCBR-CamDTN1_tcpmon_ts_87'!H142+'AARnetCBR-CamDTN1_tcpmon_ts_88'!H142</f>
        <v>0</v>
      </c>
      <c r="L138" cm="1">
        <f t="array" aca="1" ref="L138" ca="1">INDIRECT(ADDRESS($B138,Plots!$H$4,,,Plots!$A$47))</f>
        <v>0</v>
      </c>
      <c r="M138" cm="1">
        <f t="array" aca="1" ref="M138" ca="1">INDIRECT(ADDRESS($B138,Plots!$H$4,,,Plots!$A$48))+INDIRECT(ADDRESS($B138,Plots!$H$4,,,Plots!$A$49))</f>
        <v>0</v>
      </c>
      <c r="N138" cm="1">
        <f t="array" aca="1" ref="N138" ca="1">INDIRECT(ADDRESS($B138,Plots!$H$4,,,Plots!$A$50))+INDIRECT(ADDRESS($B138,Plots!$H$4,,,Plots!$A$51))+INDIRECT(ADDRESS($B138,Plots!$H$4,,,Plots!$A$52))</f>
        <v>0</v>
      </c>
      <c r="O138" cm="1">
        <f t="array" aca="1" ref="O138" ca="1">INDIRECT(ADDRESS($B138,Plots!$H$4,,,Plots!$A$53))+INDIRECT(ADDRESS($B138,Plots!$H$4,,,Plots!$A$54))+INDIRECT(ADDRESS($B138,Plots!$H$4,,,Plots!$A$55))+INDIRECT(ADDRESS($B138,Plots!$H$4,,,Plots!$A$56))</f>
        <v>0</v>
      </c>
      <c r="P138" cm="1">
        <f t="array" aca="1" ref="P138" ca="1">INDIRECT(ADDRESS($B138,Plots!$H$4,,,Plots!$A$57))+INDIRECT(ADDRESS($B138,Plots!$H$4,,,Plots!$A$58))+INDIRECT(ADDRESS($B138,Plots!$H$4,,,Plots!$A$59))+INDIRECT(ADDRESS($B138,Plots!$H$4,,,Plots!$A$60))+INDIRECT(ADDRESS($B138,Plots!$H$4,,,Plots!$A$61))</f>
        <v>0</v>
      </c>
      <c r="Q138" cm="1">
        <f t="array" aca="1" ref="Q138" ca="1">INDIRECT(ADDRESS($B138,Plots!$H$4,,,Plots!$A$62))+INDIRECT(ADDRESS($B138,Plots!$H$4,,,Plots!$A$63))+INDIRECT(ADDRESS($B138,Plots!$H$4,,,Plots!$A$64))+INDIRECT(ADDRESS($B138,Plots!$H$4,,,Plots!$A$65))+INDIRECT(ADDRESS($B138,Plots!$H$4,,,Plots!$A$66))+INDIRECT(ADDRESS($B138,Plots!$H$4,,,Plots!$A$67))</f>
        <v>0</v>
      </c>
    </row>
    <row r="139" spans="1:17">
      <c r="A139">
        <f>'AARnetCBR-CamDTN1_tcpmon_ts_11'!A139</f>
        <v>254</v>
      </c>
      <c r="B139">
        <f t="shared" si="0"/>
        <v>139</v>
      </c>
      <c r="C139" cm="1">
        <f t="array" aca="1" ref="C139" ca="1">INDIRECT(ADDRESS($B139,Plots!$H$3,,,Plots!$A$47))</f>
        <v>26.35</v>
      </c>
      <c r="D139" cm="1">
        <f t="array" aca="1" ref="D139" ca="1">INDIRECT(ADDRESS($B139,Plots!$H$3,,,Plots!$A$48))+INDIRECT(ADDRESS($B139,Plots!$H$3,,,Plots!$A$49))</f>
        <v>56.94</v>
      </c>
      <c r="E139" cm="1">
        <f t="array" aca="1" ref="E139" ca="1">INDIRECT(ADDRESS($B139,Plots!$H$3,,,Plots!$A$50))+INDIRECT(ADDRESS($B139,Plots!$H$3,,,Plots!$A$51))+INDIRECT(ADDRESS($B139,Plots!$H$3,,,Plots!$A$52))</f>
        <v>60.25</v>
      </c>
      <c r="F139" cm="1">
        <f t="array" aca="1" ref="F139" ca="1">INDIRECT(ADDRESS($B139,Plots!$H$3,,,Plots!$A$53))+INDIRECT(ADDRESS($B139,Plots!$H$3,,,Plots!$A$54))+INDIRECT(ADDRESS($B139,Plots!$H$3,,,Plots!$A$55))+INDIRECT(ADDRESS($B139,Plots!$H$3,,,Plots!$A$56))</f>
        <v>96.139999999999986</v>
      </c>
      <c r="G139" cm="1">
        <f t="array" aca="1" ref="G139" ca="1">INDIRECT(ADDRESS($B139,Plots!$H$3,,,Plots!$A$57))+INDIRECT(ADDRESS($B139,Plots!$H$3,,,Plots!$A$58))+INDIRECT(ADDRESS($B139,Plots!$H$3,,,Plots!$A$59))+INDIRECT(ADDRESS($B139,Plots!$H$3,,,Plots!$A$60))+INDIRECT(ADDRESS($B139,Plots!$H$3,,,Plots!$A$61))</f>
        <v>0</v>
      </c>
      <c r="H139" cm="1">
        <f t="array" aca="1" ref="H139" ca="1">INDIRECT(ADDRESS($B139,Plots!$H$3,,,Plots!$A$62))+INDIRECT(ADDRESS($B139,Plots!$H$3,,,Plots!$A$63))+INDIRECT(ADDRESS($B139,Plots!$H$3,,,Plots!$A$64))+INDIRECT(ADDRESS($B139,Plots!$H$3,,,Plots!$A$65))+INDIRECT(ADDRESS($B139,Plots!$H$3,,,Plots!$A$66))+INDIRECT(ADDRESS($B139,Plots!$H$3,,,Plots!$A$67))</f>
        <v>0</v>
      </c>
      <c r="I139">
        <f>'AARnetCBR-CamDTN1_tcpmon_ts_81'!H143+'AARnetCBR-CamDTN1_tcpmon_ts_82'!H143+'AARnetCBR-CamDTN1_tcpmon_ts_83'!H143+'AARnetCBR-CamDTN1_tcpmon_ts_84'!H143+'AARnetCBR-CamDTN1_tcpmon_ts_85'!H143+'AARnetCBR-CamDTN1_tcpmon_ts_86'!H143+'AARnetCBR-CamDTN1_tcpmon_ts_87'!H143+'AARnetCBR-CamDTN1_tcpmon_ts_88'!H143</f>
        <v>0</v>
      </c>
      <c r="L139" cm="1">
        <f t="array" aca="1" ref="L139" ca="1">INDIRECT(ADDRESS($B139,Plots!$H$4,,,Plots!$A$47))</f>
        <v>0</v>
      </c>
      <c r="M139" cm="1">
        <f t="array" aca="1" ref="M139" ca="1">INDIRECT(ADDRESS($B139,Plots!$H$4,,,Plots!$A$48))+INDIRECT(ADDRESS($B139,Plots!$H$4,,,Plots!$A$49))</f>
        <v>0</v>
      </c>
      <c r="N139" cm="1">
        <f t="array" aca="1" ref="N139" ca="1">INDIRECT(ADDRESS($B139,Plots!$H$4,,,Plots!$A$50))+INDIRECT(ADDRESS($B139,Plots!$H$4,,,Plots!$A$51))+INDIRECT(ADDRESS($B139,Plots!$H$4,,,Plots!$A$52))</f>
        <v>0</v>
      </c>
      <c r="O139" cm="1">
        <f t="array" aca="1" ref="O139" ca="1">INDIRECT(ADDRESS($B139,Plots!$H$4,,,Plots!$A$53))+INDIRECT(ADDRESS($B139,Plots!$H$4,,,Plots!$A$54))+INDIRECT(ADDRESS($B139,Plots!$H$4,,,Plots!$A$55))+INDIRECT(ADDRESS($B139,Plots!$H$4,,,Plots!$A$56))</f>
        <v>0</v>
      </c>
      <c r="P139" cm="1">
        <f t="array" aca="1" ref="P139" ca="1">INDIRECT(ADDRESS($B139,Plots!$H$4,,,Plots!$A$57))+INDIRECT(ADDRESS($B139,Plots!$H$4,,,Plots!$A$58))+INDIRECT(ADDRESS($B139,Plots!$H$4,,,Plots!$A$59))+INDIRECT(ADDRESS($B139,Plots!$H$4,,,Plots!$A$60))+INDIRECT(ADDRESS($B139,Plots!$H$4,,,Plots!$A$61))</f>
        <v>0</v>
      </c>
      <c r="Q139" cm="1">
        <f t="array" aca="1" ref="Q139" ca="1">INDIRECT(ADDRESS($B139,Plots!$H$4,,,Plots!$A$62))+INDIRECT(ADDRESS($B139,Plots!$H$4,,,Plots!$A$63))+INDIRECT(ADDRESS($B139,Plots!$H$4,,,Plots!$A$64))+INDIRECT(ADDRESS($B139,Plots!$H$4,,,Plots!$A$65))+INDIRECT(ADDRESS($B139,Plots!$H$4,,,Plots!$A$66))+INDIRECT(ADDRESS($B139,Plots!$H$4,,,Plots!$A$67))</f>
        <v>0</v>
      </c>
    </row>
    <row r="140" spans="1:17">
      <c r="A140">
        <f>'AARnetCBR-CamDTN1_tcpmon_ts_11'!A140</f>
        <v>256</v>
      </c>
      <c r="B140">
        <f t="shared" si="0"/>
        <v>140</v>
      </c>
      <c r="C140" cm="1">
        <f t="array" aca="1" ref="C140" ca="1">INDIRECT(ADDRESS($B140,Plots!$H$3,,,Plots!$A$47))</f>
        <v>26.15</v>
      </c>
      <c r="D140" cm="1">
        <f t="array" aca="1" ref="D140" ca="1">INDIRECT(ADDRESS($B140,Plots!$H$3,,,Plots!$A$48))+INDIRECT(ADDRESS($B140,Plots!$H$3,,,Plots!$A$49))</f>
        <v>55.4</v>
      </c>
      <c r="E140" cm="1">
        <f t="array" aca="1" ref="E140" ca="1">INDIRECT(ADDRESS($B140,Plots!$H$3,,,Plots!$A$50))+INDIRECT(ADDRESS($B140,Plots!$H$3,,,Plots!$A$51))+INDIRECT(ADDRESS($B140,Plots!$H$3,,,Plots!$A$52))</f>
        <v>74.13</v>
      </c>
      <c r="F140" cm="1">
        <f t="array" aca="1" ref="F140" ca="1">INDIRECT(ADDRESS($B140,Plots!$H$3,,,Plots!$A$53))+INDIRECT(ADDRESS($B140,Plots!$H$3,,,Plots!$A$54))+INDIRECT(ADDRESS($B140,Plots!$H$3,,,Plots!$A$55))+INDIRECT(ADDRESS($B140,Plots!$H$3,,,Plots!$A$56))</f>
        <v>90.13000000000001</v>
      </c>
      <c r="G140" cm="1">
        <f t="array" aca="1" ref="G140" ca="1">INDIRECT(ADDRESS($B140,Plots!$H$3,,,Plots!$A$57))+INDIRECT(ADDRESS($B140,Plots!$H$3,,,Plots!$A$58))+INDIRECT(ADDRESS($B140,Plots!$H$3,,,Plots!$A$59))+INDIRECT(ADDRESS($B140,Plots!$H$3,,,Plots!$A$60))+INDIRECT(ADDRESS($B140,Plots!$H$3,,,Plots!$A$61))</f>
        <v>0</v>
      </c>
      <c r="H140" cm="1">
        <f t="array" aca="1" ref="H140" ca="1">INDIRECT(ADDRESS($B140,Plots!$H$3,,,Plots!$A$62))+INDIRECT(ADDRESS($B140,Plots!$H$3,,,Plots!$A$63))+INDIRECT(ADDRESS($B140,Plots!$H$3,,,Plots!$A$64))+INDIRECT(ADDRESS($B140,Plots!$H$3,,,Plots!$A$65))+INDIRECT(ADDRESS($B140,Plots!$H$3,,,Plots!$A$66))+INDIRECT(ADDRESS($B140,Plots!$H$3,,,Plots!$A$67))</f>
        <v>0</v>
      </c>
      <c r="I140">
        <f>'AARnetCBR-CamDTN1_tcpmon_ts_81'!H144+'AARnetCBR-CamDTN1_tcpmon_ts_82'!H144+'AARnetCBR-CamDTN1_tcpmon_ts_83'!H144+'AARnetCBR-CamDTN1_tcpmon_ts_84'!H144+'AARnetCBR-CamDTN1_tcpmon_ts_85'!H144+'AARnetCBR-CamDTN1_tcpmon_ts_86'!H144+'AARnetCBR-CamDTN1_tcpmon_ts_87'!H144+'AARnetCBR-CamDTN1_tcpmon_ts_88'!H144</f>
        <v>0</v>
      </c>
      <c r="L140" cm="1">
        <f t="array" aca="1" ref="L140" ca="1">INDIRECT(ADDRESS($B140,Plots!$H$4,,,Plots!$A$47))</f>
        <v>0</v>
      </c>
      <c r="M140" cm="1">
        <f t="array" aca="1" ref="M140" ca="1">INDIRECT(ADDRESS($B140,Plots!$H$4,,,Plots!$A$48))+INDIRECT(ADDRESS($B140,Plots!$H$4,,,Plots!$A$49))</f>
        <v>0</v>
      </c>
      <c r="N140" cm="1">
        <f t="array" aca="1" ref="N140" ca="1">INDIRECT(ADDRESS($B140,Plots!$H$4,,,Plots!$A$50))+INDIRECT(ADDRESS($B140,Plots!$H$4,,,Plots!$A$51))+INDIRECT(ADDRESS($B140,Plots!$H$4,,,Plots!$A$52))</f>
        <v>0</v>
      </c>
      <c r="O140" cm="1">
        <f t="array" aca="1" ref="O140" ca="1">INDIRECT(ADDRESS($B140,Plots!$H$4,,,Plots!$A$53))+INDIRECT(ADDRESS($B140,Plots!$H$4,,,Plots!$A$54))+INDIRECT(ADDRESS($B140,Plots!$H$4,,,Plots!$A$55))+INDIRECT(ADDRESS($B140,Plots!$H$4,,,Plots!$A$56))</f>
        <v>0</v>
      </c>
      <c r="P140" cm="1">
        <f t="array" aca="1" ref="P140" ca="1">INDIRECT(ADDRESS($B140,Plots!$H$4,,,Plots!$A$57))+INDIRECT(ADDRESS($B140,Plots!$H$4,,,Plots!$A$58))+INDIRECT(ADDRESS($B140,Plots!$H$4,,,Plots!$A$59))+INDIRECT(ADDRESS($B140,Plots!$H$4,,,Plots!$A$60))+INDIRECT(ADDRESS($B140,Plots!$H$4,,,Plots!$A$61))</f>
        <v>0</v>
      </c>
      <c r="Q140" cm="1">
        <f t="array" aca="1" ref="Q140" ca="1">INDIRECT(ADDRESS($B140,Plots!$H$4,,,Plots!$A$62))+INDIRECT(ADDRESS($B140,Plots!$H$4,,,Plots!$A$63))+INDIRECT(ADDRESS($B140,Plots!$H$4,,,Plots!$A$64))+INDIRECT(ADDRESS($B140,Plots!$H$4,,,Plots!$A$65))+INDIRECT(ADDRESS($B140,Plots!$H$4,,,Plots!$A$66))+INDIRECT(ADDRESS($B140,Plots!$H$4,,,Plots!$A$67))</f>
        <v>0</v>
      </c>
    </row>
    <row r="141" spans="1:17">
      <c r="A141">
        <f>'AARnetCBR-CamDTN1_tcpmon_ts_11'!A141</f>
        <v>258</v>
      </c>
      <c r="B141">
        <f t="shared" si="0"/>
        <v>141</v>
      </c>
      <c r="C141" cm="1">
        <f t="array" aca="1" ref="C141" ca="1">INDIRECT(ADDRESS($B141,Plots!$H$3,,,Plots!$A$47))</f>
        <v>25.61</v>
      </c>
      <c r="D141" cm="1">
        <f t="array" aca="1" ref="D141" ca="1">INDIRECT(ADDRESS($B141,Plots!$H$3,,,Plots!$A$48))+INDIRECT(ADDRESS($B141,Plots!$H$3,,,Plots!$A$49))</f>
        <v>57.17</v>
      </c>
      <c r="E141" cm="1">
        <f t="array" aca="1" ref="E141" ca="1">INDIRECT(ADDRESS($B141,Plots!$H$3,,,Plots!$A$50))+INDIRECT(ADDRESS($B141,Plots!$H$3,,,Plots!$A$51))+INDIRECT(ADDRESS($B141,Plots!$H$3,,,Plots!$A$52))</f>
        <v>60.69</v>
      </c>
      <c r="F141" cm="1">
        <f t="array" aca="1" ref="F141" ca="1">INDIRECT(ADDRESS($B141,Plots!$H$3,,,Plots!$A$53))+INDIRECT(ADDRESS($B141,Plots!$H$3,,,Plots!$A$54))+INDIRECT(ADDRESS($B141,Plots!$H$3,,,Plots!$A$55))+INDIRECT(ADDRESS($B141,Plots!$H$3,,,Plots!$A$56))</f>
        <v>95.97</v>
      </c>
      <c r="G141" cm="1">
        <f t="array" aca="1" ref="G141" ca="1">INDIRECT(ADDRESS($B141,Plots!$H$3,,,Plots!$A$57))+INDIRECT(ADDRESS($B141,Plots!$H$3,,,Plots!$A$58))+INDIRECT(ADDRESS($B141,Plots!$H$3,,,Plots!$A$59))+INDIRECT(ADDRESS($B141,Plots!$H$3,,,Plots!$A$60))+INDIRECT(ADDRESS($B141,Plots!$H$3,,,Plots!$A$61))</f>
        <v>0</v>
      </c>
      <c r="H141" cm="1">
        <f t="array" aca="1" ref="H141" ca="1">INDIRECT(ADDRESS($B141,Plots!$H$3,,,Plots!$A$62))+INDIRECT(ADDRESS($B141,Plots!$H$3,,,Plots!$A$63))+INDIRECT(ADDRESS($B141,Plots!$H$3,,,Plots!$A$64))+INDIRECT(ADDRESS($B141,Plots!$H$3,,,Plots!$A$65))+INDIRECT(ADDRESS($B141,Plots!$H$3,,,Plots!$A$66))+INDIRECT(ADDRESS($B141,Plots!$H$3,,,Plots!$A$67))</f>
        <v>0</v>
      </c>
      <c r="I141">
        <f>'AARnetCBR-CamDTN1_tcpmon_ts_81'!H145+'AARnetCBR-CamDTN1_tcpmon_ts_82'!H145+'AARnetCBR-CamDTN1_tcpmon_ts_83'!H145+'AARnetCBR-CamDTN1_tcpmon_ts_84'!H145+'AARnetCBR-CamDTN1_tcpmon_ts_85'!H145+'AARnetCBR-CamDTN1_tcpmon_ts_86'!H145+'AARnetCBR-CamDTN1_tcpmon_ts_87'!H145+'AARnetCBR-CamDTN1_tcpmon_ts_88'!H145</f>
        <v>0</v>
      </c>
      <c r="L141" cm="1">
        <f t="array" aca="1" ref="L141" ca="1">INDIRECT(ADDRESS($B141,Plots!$H$4,,,Plots!$A$47))</f>
        <v>0</v>
      </c>
      <c r="M141" cm="1">
        <f t="array" aca="1" ref="M141" ca="1">INDIRECT(ADDRESS($B141,Plots!$H$4,,,Plots!$A$48))+INDIRECT(ADDRESS($B141,Plots!$H$4,,,Plots!$A$49))</f>
        <v>0</v>
      </c>
      <c r="N141" cm="1">
        <f t="array" aca="1" ref="N141" ca="1">INDIRECT(ADDRESS($B141,Plots!$H$4,,,Plots!$A$50))+INDIRECT(ADDRESS($B141,Plots!$H$4,,,Plots!$A$51))+INDIRECT(ADDRESS($B141,Plots!$H$4,,,Plots!$A$52))</f>
        <v>0</v>
      </c>
      <c r="O141" cm="1">
        <f t="array" aca="1" ref="O141" ca="1">INDIRECT(ADDRESS($B141,Plots!$H$4,,,Plots!$A$53))+INDIRECT(ADDRESS($B141,Plots!$H$4,,,Plots!$A$54))+INDIRECT(ADDRESS($B141,Plots!$H$4,,,Plots!$A$55))+INDIRECT(ADDRESS($B141,Plots!$H$4,,,Plots!$A$56))</f>
        <v>0</v>
      </c>
      <c r="P141" cm="1">
        <f t="array" aca="1" ref="P141" ca="1">INDIRECT(ADDRESS($B141,Plots!$H$4,,,Plots!$A$57))+INDIRECT(ADDRESS($B141,Plots!$H$4,,,Plots!$A$58))+INDIRECT(ADDRESS($B141,Plots!$H$4,,,Plots!$A$59))+INDIRECT(ADDRESS($B141,Plots!$H$4,,,Plots!$A$60))+INDIRECT(ADDRESS($B141,Plots!$H$4,,,Plots!$A$61))</f>
        <v>0</v>
      </c>
      <c r="Q141" cm="1">
        <f t="array" aca="1" ref="Q141" ca="1">INDIRECT(ADDRESS($B141,Plots!$H$4,,,Plots!$A$62))+INDIRECT(ADDRESS($B141,Plots!$H$4,,,Plots!$A$63))+INDIRECT(ADDRESS($B141,Plots!$H$4,,,Plots!$A$64))+INDIRECT(ADDRESS($B141,Plots!$H$4,,,Plots!$A$65))+INDIRECT(ADDRESS($B141,Plots!$H$4,,,Plots!$A$66))+INDIRECT(ADDRESS($B141,Plots!$H$4,,,Plots!$A$67))</f>
        <v>0</v>
      </c>
    </row>
    <row r="142" spans="1:17">
      <c r="A142">
        <f>'AARnetCBR-CamDTN1_tcpmon_ts_11'!A142</f>
        <v>260</v>
      </c>
      <c r="B142">
        <f t="shared" si="0"/>
        <v>142</v>
      </c>
      <c r="C142" cm="1">
        <f t="array" aca="1" ref="C142" ca="1">INDIRECT(ADDRESS($B142,Plots!$H$3,,,Plots!$A$47))</f>
        <v>25.3</v>
      </c>
      <c r="D142" cm="1">
        <f t="array" aca="1" ref="D142" ca="1">INDIRECT(ADDRESS($B142,Plots!$H$3,,,Plots!$A$48))+INDIRECT(ADDRESS($B142,Plots!$H$3,,,Plots!$A$49))</f>
        <v>57.07</v>
      </c>
      <c r="E142" cm="1">
        <f t="array" aca="1" ref="E142" ca="1">INDIRECT(ADDRESS($B142,Plots!$H$3,,,Plots!$A$50))+INDIRECT(ADDRESS($B142,Plots!$H$3,,,Plots!$A$51))+INDIRECT(ADDRESS($B142,Plots!$H$3,,,Plots!$A$52))</f>
        <v>74.58</v>
      </c>
      <c r="F142" cm="1">
        <f t="array" aca="1" ref="F142" ca="1">INDIRECT(ADDRESS($B142,Plots!$H$3,,,Plots!$A$53))+INDIRECT(ADDRESS($B142,Plots!$H$3,,,Plots!$A$54))+INDIRECT(ADDRESS($B142,Plots!$H$3,,,Plots!$A$55))+INDIRECT(ADDRESS($B142,Plots!$H$3,,,Plots!$A$56))</f>
        <v>90.98</v>
      </c>
      <c r="G142" cm="1">
        <f t="array" aca="1" ref="G142" ca="1">INDIRECT(ADDRESS($B142,Plots!$H$3,,,Plots!$A$57))+INDIRECT(ADDRESS($B142,Plots!$H$3,,,Plots!$A$58))+INDIRECT(ADDRESS($B142,Plots!$H$3,,,Plots!$A$59))+INDIRECT(ADDRESS($B142,Plots!$H$3,,,Plots!$A$60))+INDIRECT(ADDRESS($B142,Plots!$H$3,,,Plots!$A$61))</f>
        <v>0</v>
      </c>
      <c r="H142" cm="1">
        <f t="array" aca="1" ref="H142" ca="1">INDIRECT(ADDRESS($B142,Plots!$H$3,,,Plots!$A$62))+INDIRECT(ADDRESS($B142,Plots!$H$3,,,Plots!$A$63))+INDIRECT(ADDRESS($B142,Plots!$H$3,,,Plots!$A$64))+INDIRECT(ADDRESS($B142,Plots!$H$3,,,Plots!$A$65))+INDIRECT(ADDRESS($B142,Plots!$H$3,,,Plots!$A$66))+INDIRECT(ADDRESS($B142,Plots!$H$3,,,Plots!$A$67))</f>
        <v>0</v>
      </c>
      <c r="I142">
        <f>'AARnetCBR-CamDTN1_tcpmon_ts_81'!H146+'AARnetCBR-CamDTN1_tcpmon_ts_82'!H146+'AARnetCBR-CamDTN1_tcpmon_ts_83'!H146+'AARnetCBR-CamDTN1_tcpmon_ts_84'!H146+'AARnetCBR-CamDTN1_tcpmon_ts_85'!H146+'AARnetCBR-CamDTN1_tcpmon_ts_86'!H146+'AARnetCBR-CamDTN1_tcpmon_ts_87'!H146+'AARnetCBR-CamDTN1_tcpmon_ts_88'!H146</f>
        <v>0</v>
      </c>
      <c r="L142" cm="1">
        <f t="array" aca="1" ref="L142" ca="1">INDIRECT(ADDRESS($B142,Plots!$H$4,,,Plots!$A$47))</f>
        <v>0</v>
      </c>
      <c r="M142" cm="1">
        <f t="array" aca="1" ref="M142" ca="1">INDIRECT(ADDRESS($B142,Plots!$H$4,,,Plots!$A$48))+INDIRECT(ADDRESS($B142,Plots!$H$4,,,Plots!$A$49))</f>
        <v>0</v>
      </c>
      <c r="N142" cm="1">
        <f t="array" aca="1" ref="N142" ca="1">INDIRECT(ADDRESS($B142,Plots!$H$4,,,Plots!$A$50))+INDIRECT(ADDRESS($B142,Plots!$H$4,,,Plots!$A$51))+INDIRECT(ADDRESS($B142,Plots!$H$4,,,Plots!$A$52))</f>
        <v>0</v>
      </c>
      <c r="O142" cm="1">
        <f t="array" aca="1" ref="O142" ca="1">INDIRECT(ADDRESS($B142,Plots!$H$4,,,Plots!$A$53))+INDIRECT(ADDRESS($B142,Plots!$H$4,,,Plots!$A$54))+INDIRECT(ADDRESS($B142,Plots!$H$4,,,Plots!$A$55))+INDIRECT(ADDRESS($B142,Plots!$H$4,,,Plots!$A$56))</f>
        <v>0</v>
      </c>
      <c r="P142" cm="1">
        <f t="array" aca="1" ref="P142" ca="1">INDIRECT(ADDRESS($B142,Plots!$H$4,,,Plots!$A$57))+INDIRECT(ADDRESS($B142,Plots!$H$4,,,Plots!$A$58))+INDIRECT(ADDRESS($B142,Plots!$H$4,,,Plots!$A$59))+INDIRECT(ADDRESS($B142,Plots!$H$4,,,Plots!$A$60))+INDIRECT(ADDRESS($B142,Plots!$H$4,,,Plots!$A$61))</f>
        <v>0</v>
      </c>
      <c r="Q142" cm="1">
        <f t="array" aca="1" ref="Q142" ca="1">INDIRECT(ADDRESS($B142,Plots!$H$4,,,Plots!$A$62))+INDIRECT(ADDRESS($B142,Plots!$H$4,,,Plots!$A$63))+INDIRECT(ADDRESS($B142,Plots!$H$4,,,Plots!$A$64))+INDIRECT(ADDRESS($B142,Plots!$H$4,,,Plots!$A$65))+INDIRECT(ADDRESS($B142,Plots!$H$4,,,Plots!$A$66))+INDIRECT(ADDRESS($B142,Plots!$H$4,,,Plots!$A$67))</f>
        <v>0</v>
      </c>
    </row>
    <row r="143" spans="1:17">
      <c r="A143">
        <f>'AARnetCBR-CamDTN1_tcpmon_ts_11'!A143</f>
        <v>262</v>
      </c>
      <c r="B143">
        <f t="shared" si="0"/>
        <v>143</v>
      </c>
      <c r="C143" cm="1">
        <f t="array" aca="1" ref="C143" ca="1">INDIRECT(ADDRESS($B143,Plots!$H$3,,,Plots!$A$47))</f>
        <v>26.3</v>
      </c>
      <c r="D143" cm="1">
        <f t="array" aca="1" ref="D143" ca="1">INDIRECT(ADDRESS($B143,Plots!$H$3,,,Plots!$A$48))+INDIRECT(ADDRESS($B143,Plots!$H$3,,,Plots!$A$49))</f>
        <v>57.05</v>
      </c>
      <c r="E143" cm="1">
        <f t="array" aca="1" ref="E143" ca="1">INDIRECT(ADDRESS($B143,Plots!$H$3,,,Plots!$A$50))+INDIRECT(ADDRESS($B143,Plots!$H$3,,,Plots!$A$51))+INDIRECT(ADDRESS($B143,Plots!$H$3,,,Plots!$A$52))</f>
        <v>61.69</v>
      </c>
      <c r="F143" cm="1">
        <f t="array" aca="1" ref="F143" ca="1">INDIRECT(ADDRESS($B143,Plots!$H$3,,,Plots!$A$53))+INDIRECT(ADDRESS($B143,Plots!$H$3,,,Plots!$A$54))+INDIRECT(ADDRESS($B143,Plots!$H$3,,,Plots!$A$55))+INDIRECT(ADDRESS($B143,Plots!$H$3,,,Plots!$A$56))</f>
        <v>92.12</v>
      </c>
      <c r="G143" cm="1">
        <f t="array" aca="1" ref="G143" ca="1">INDIRECT(ADDRESS($B143,Plots!$H$3,,,Plots!$A$57))+INDIRECT(ADDRESS($B143,Plots!$H$3,,,Plots!$A$58))+INDIRECT(ADDRESS($B143,Plots!$H$3,,,Plots!$A$59))+INDIRECT(ADDRESS($B143,Plots!$H$3,,,Plots!$A$60))+INDIRECT(ADDRESS($B143,Plots!$H$3,,,Plots!$A$61))</f>
        <v>0</v>
      </c>
      <c r="H143" cm="1">
        <f t="array" aca="1" ref="H143" ca="1">INDIRECT(ADDRESS($B143,Plots!$H$3,,,Plots!$A$62))+INDIRECT(ADDRESS($B143,Plots!$H$3,,,Plots!$A$63))+INDIRECT(ADDRESS($B143,Plots!$H$3,,,Plots!$A$64))+INDIRECT(ADDRESS($B143,Plots!$H$3,,,Plots!$A$65))+INDIRECT(ADDRESS($B143,Plots!$H$3,,,Plots!$A$66))+INDIRECT(ADDRESS($B143,Plots!$H$3,,,Plots!$A$67))</f>
        <v>0</v>
      </c>
      <c r="I143">
        <f>'AARnetCBR-CamDTN1_tcpmon_ts_81'!H147+'AARnetCBR-CamDTN1_tcpmon_ts_82'!H147+'AARnetCBR-CamDTN1_tcpmon_ts_83'!H147+'AARnetCBR-CamDTN1_tcpmon_ts_84'!H147+'AARnetCBR-CamDTN1_tcpmon_ts_85'!H147+'AARnetCBR-CamDTN1_tcpmon_ts_86'!H147+'AARnetCBR-CamDTN1_tcpmon_ts_87'!H147+'AARnetCBR-CamDTN1_tcpmon_ts_88'!H147</f>
        <v>0</v>
      </c>
      <c r="L143" cm="1">
        <f t="array" aca="1" ref="L143" ca="1">INDIRECT(ADDRESS($B143,Plots!$H$4,,,Plots!$A$47))</f>
        <v>0</v>
      </c>
      <c r="M143" cm="1">
        <f t="array" aca="1" ref="M143" ca="1">INDIRECT(ADDRESS($B143,Plots!$H$4,,,Plots!$A$48))+INDIRECT(ADDRESS($B143,Plots!$H$4,,,Plots!$A$49))</f>
        <v>0</v>
      </c>
      <c r="N143" cm="1">
        <f t="array" aca="1" ref="N143" ca="1">INDIRECT(ADDRESS($B143,Plots!$H$4,,,Plots!$A$50))+INDIRECT(ADDRESS($B143,Plots!$H$4,,,Plots!$A$51))+INDIRECT(ADDRESS($B143,Plots!$H$4,,,Plots!$A$52))</f>
        <v>0</v>
      </c>
      <c r="O143" cm="1">
        <f t="array" aca="1" ref="O143" ca="1">INDIRECT(ADDRESS($B143,Plots!$H$4,,,Plots!$A$53))+INDIRECT(ADDRESS($B143,Plots!$H$4,,,Plots!$A$54))+INDIRECT(ADDRESS($B143,Plots!$H$4,,,Plots!$A$55))+INDIRECT(ADDRESS($B143,Plots!$H$4,,,Plots!$A$56))</f>
        <v>0</v>
      </c>
      <c r="P143" cm="1">
        <f t="array" aca="1" ref="P143" ca="1">INDIRECT(ADDRESS($B143,Plots!$H$4,,,Plots!$A$57))+INDIRECT(ADDRESS($B143,Plots!$H$4,,,Plots!$A$58))+INDIRECT(ADDRESS($B143,Plots!$H$4,,,Plots!$A$59))+INDIRECT(ADDRESS($B143,Plots!$H$4,,,Plots!$A$60))+INDIRECT(ADDRESS($B143,Plots!$H$4,,,Plots!$A$61))</f>
        <v>0</v>
      </c>
      <c r="Q143" cm="1">
        <f t="array" aca="1" ref="Q143" ca="1">INDIRECT(ADDRESS($B143,Plots!$H$4,,,Plots!$A$62))+INDIRECT(ADDRESS($B143,Plots!$H$4,,,Plots!$A$63))+INDIRECT(ADDRESS($B143,Plots!$H$4,,,Plots!$A$64))+INDIRECT(ADDRESS($B143,Plots!$H$4,,,Plots!$A$65))+INDIRECT(ADDRESS($B143,Plots!$H$4,,,Plots!$A$66))+INDIRECT(ADDRESS($B143,Plots!$H$4,,,Plots!$A$67))</f>
        <v>0</v>
      </c>
    </row>
    <row r="144" spans="1:17">
      <c r="A144">
        <f>'AARnetCBR-CamDTN1_tcpmon_ts_11'!A144</f>
        <v>264</v>
      </c>
      <c r="B144">
        <f t="shared" si="0"/>
        <v>144</v>
      </c>
      <c r="C144" cm="1">
        <f t="array" aca="1" ref="C144" ca="1">INDIRECT(ADDRESS($B144,Plots!$H$3,,,Plots!$A$47))</f>
        <v>26.43</v>
      </c>
      <c r="D144" cm="1">
        <f t="array" aca="1" ref="D144" ca="1">INDIRECT(ADDRESS($B144,Plots!$H$3,,,Plots!$A$48))+INDIRECT(ADDRESS($B144,Plots!$H$3,,,Plots!$A$49))</f>
        <v>55.43</v>
      </c>
      <c r="E144" cm="1">
        <f t="array" aca="1" ref="E144" ca="1">INDIRECT(ADDRESS($B144,Plots!$H$3,,,Plots!$A$50))+INDIRECT(ADDRESS($B144,Plots!$H$3,,,Plots!$A$51))+INDIRECT(ADDRESS($B144,Plots!$H$3,,,Plots!$A$52))</f>
        <v>68.62</v>
      </c>
      <c r="F144" cm="1">
        <f t="array" aca="1" ref="F144" ca="1">INDIRECT(ADDRESS($B144,Plots!$H$3,,,Plots!$A$53))+INDIRECT(ADDRESS($B144,Plots!$H$3,,,Plots!$A$54))+INDIRECT(ADDRESS($B144,Plots!$H$3,,,Plots!$A$55))+INDIRECT(ADDRESS($B144,Plots!$H$3,,,Plots!$A$56))</f>
        <v>92.710000000000008</v>
      </c>
      <c r="G144" cm="1">
        <f t="array" aca="1" ref="G144" ca="1">INDIRECT(ADDRESS($B144,Plots!$H$3,,,Plots!$A$57))+INDIRECT(ADDRESS($B144,Plots!$H$3,,,Plots!$A$58))+INDIRECT(ADDRESS($B144,Plots!$H$3,,,Plots!$A$59))+INDIRECT(ADDRESS($B144,Plots!$H$3,,,Plots!$A$60))+INDIRECT(ADDRESS($B144,Plots!$H$3,,,Plots!$A$61))</f>
        <v>0</v>
      </c>
      <c r="H144" cm="1">
        <f t="array" aca="1" ref="H144" ca="1">INDIRECT(ADDRESS($B144,Plots!$H$3,,,Plots!$A$62))+INDIRECT(ADDRESS($B144,Plots!$H$3,,,Plots!$A$63))+INDIRECT(ADDRESS($B144,Plots!$H$3,,,Plots!$A$64))+INDIRECT(ADDRESS($B144,Plots!$H$3,,,Plots!$A$65))+INDIRECT(ADDRESS($B144,Plots!$H$3,,,Plots!$A$66))+INDIRECT(ADDRESS($B144,Plots!$H$3,,,Plots!$A$67))</f>
        <v>0</v>
      </c>
      <c r="I144">
        <f>'AARnetCBR-CamDTN1_tcpmon_ts_81'!H148+'AARnetCBR-CamDTN1_tcpmon_ts_82'!H148+'AARnetCBR-CamDTN1_tcpmon_ts_83'!H148+'AARnetCBR-CamDTN1_tcpmon_ts_84'!H148+'AARnetCBR-CamDTN1_tcpmon_ts_85'!H148+'AARnetCBR-CamDTN1_tcpmon_ts_86'!H148+'AARnetCBR-CamDTN1_tcpmon_ts_87'!H148+'AARnetCBR-CamDTN1_tcpmon_ts_88'!H148</f>
        <v>0</v>
      </c>
      <c r="L144" cm="1">
        <f t="array" aca="1" ref="L144" ca="1">INDIRECT(ADDRESS($B144,Plots!$H$4,,,Plots!$A$47))</f>
        <v>0</v>
      </c>
      <c r="M144" cm="1">
        <f t="array" aca="1" ref="M144" ca="1">INDIRECT(ADDRESS($B144,Plots!$H$4,,,Plots!$A$48))+INDIRECT(ADDRESS($B144,Plots!$H$4,,,Plots!$A$49))</f>
        <v>0</v>
      </c>
      <c r="N144" cm="1">
        <f t="array" aca="1" ref="N144" ca="1">INDIRECT(ADDRESS($B144,Plots!$H$4,,,Plots!$A$50))+INDIRECT(ADDRESS($B144,Plots!$H$4,,,Plots!$A$51))+INDIRECT(ADDRESS($B144,Plots!$H$4,,,Plots!$A$52))</f>
        <v>0</v>
      </c>
      <c r="O144" cm="1">
        <f t="array" aca="1" ref="O144" ca="1">INDIRECT(ADDRESS($B144,Plots!$H$4,,,Plots!$A$53))+INDIRECT(ADDRESS($B144,Plots!$H$4,,,Plots!$A$54))+INDIRECT(ADDRESS($B144,Plots!$H$4,,,Plots!$A$55))+INDIRECT(ADDRESS($B144,Plots!$H$4,,,Plots!$A$56))</f>
        <v>0</v>
      </c>
      <c r="P144" cm="1">
        <f t="array" aca="1" ref="P144" ca="1">INDIRECT(ADDRESS($B144,Plots!$H$4,,,Plots!$A$57))+INDIRECT(ADDRESS($B144,Plots!$H$4,,,Plots!$A$58))+INDIRECT(ADDRESS($B144,Plots!$H$4,,,Plots!$A$59))+INDIRECT(ADDRESS($B144,Plots!$H$4,,,Plots!$A$60))+INDIRECT(ADDRESS($B144,Plots!$H$4,,,Plots!$A$61))</f>
        <v>0</v>
      </c>
      <c r="Q144" cm="1">
        <f t="array" aca="1" ref="Q144" ca="1">INDIRECT(ADDRESS($B144,Plots!$H$4,,,Plots!$A$62))+INDIRECT(ADDRESS($B144,Plots!$H$4,,,Plots!$A$63))+INDIRECT(ADDRESS($B144,Plots!$H$4,,,Plots!$A$64))+INDIRECT(ADDRESS($B144,Plots!$H$4,,,Plots!$A$65))+INDIRECT(ADDRESS($B144,Plots!$H$4,,,Plots!$A$66))+INDIRECT(ADDRESS($B144,Plots!$H$4,,,Plots!$A$67))</f>
        <v>0</v>
      </c>
    </row>
    <row r="145" spans="1:17">
      <c r="A145">
        <f>'AARnetCBR-CamDTN1_tcpmon_ts_11'!A145</f>
        <v>266</v>
      </c>
      <c r="B145">
        <f t="shared" si="0"/>
        <v>145</v>
      </c>
      <c r="C145" cm="1">
        <f t="array" aca="1" ref="C145" ca="1">INDIRECT(ADDRESS($B145,Plots!$H$3,,,Plots!$A$47))</f>
        <v>26.16</v>
      </c>
      <c r="D145" cm="1">
        <f t="array" aca="1" ref="D145" ca="1">INDIRECT(ADDRESS($B145,Plots!$H$3,,,Plots!$A$48))+INDIRECT(ADDRESS($B145,Plots!$H$3,,,Plots!$A$49))</f>
        <v>57.14</v>
      </c>
      <c r="E145" cm="1">
        <f t="array" aca="1" ref="E145" ca="1">INDIRECT(ADDRESS($B145,Plots!$H$3,,,Plots!$A$50))+INDIRECT(ADDRESS($B145,Plots!$H$3,,,Plots!$A$51))+INDIRECT(ADDRESS($B145,Plots!$H$3,,,Plots!$A$52))</f>
        <v>71.069999999999993</v>
      </c>
      <c r="F145" cm="1">
        <f t="array" aca="1" ref="F145" ca="1">INDIRECT(ADDRESS($B145,Plots!$H$3,,,Plots!$A$53))+INDIRECT(ADDRESS($B145,Plots!$H$3,,,Plots!$A$54))+INDIRECT(ADDRESS($B145,Plots!$H$3,,,Plots!$A$55))+INDIRECT(ADDRESS($B145,Plots!$H$3,,,Plots!$A$56))</f>
        <v>72.03</v>
      </c>
      <c r="G145" cm="1">
        <f t="array" aca="1" ref="G145" ca="1">INDIRECT(ADDRESS($B145,Plots!$H$3,,,Plots!$A$57))+INDIRECT(ADDRESS($B145,Plots!$H$3,,,Plots!$A$58))+INDIRECT(ADDRESS($B145,Plots!$H$3,,,Plots!$A$59))+INDIRECT(ADDRESS($B145,Plots!$H$3,,,Plots!$A$60))+INDIRECT(ADDRESS($B145,Plots!$H$3,,,Plots!$A$61))</f>
        <v>0</v>
      </c>
      <c r="H145" cm="1">
        <f t="array" aca="1" ref="H145" ca="1">INDIRECT(ADDRESS($B145,Plots!$H$3,,,Plots!$A$62))+INDIRECT(ADDRESS($B145,Plots!$H$3,,,Plots!$A$63))+INDIRECT(ADDRESS($B145,Plots!$H$3,,,Plots!$A$64))+INDIRECT(ADDRESS($B145,Plots!$H$3,,,Plots!$A$65))+INDIRECT(ADDRESS($B145,Plots!$H$3,,,Plots!$A$66))+INDIRECT(ADDRESS($B145,Plots!$H$3,,,Plots!$A$67))</f>
        <v>0</v>
      </c>
      <c r="I145">
        <f>'AARnetCBR-CamDTN1_tcpmon_ts_81'!H149+'AARnetCBR-CamDTN1_tcpmon_ts_82'!H149+'AARnetCBR-CamDTN1_tcpmon_ts_83'!H149+'AARnetCBR-CamDTN1_tcpmon_ts_84'!H149+'AARnetCBR-CamDTN1_tcpmon_ts_85'!H149+'AARnetCBR-CamDTN1_tcpmon_ts_86'!H149+'AARnetCBR-CamDTN1_tcpmon_ts_87'!H149+'AARnetCBR-CamDTN1_tcpmon_ts_88'!H149</f>
        <v>0</v>
      </c>
      <c r="L145" cm="1">
        <f t="array" aca="1" ref="L145" ca="1">INDIRECT(ADDRESS($B145,Plots!$H$4,,,Plots!$A$47))</f>
        <v>0</v>
      </c>
      <c r="M145" cm="1">
        <f t="array" aca="1" ref="M145" ca="1">INDIRECT(ADDRESS($B145,Plots!$H$4,,,Plots!$A$48))+INDIRECT(ADDRESS($B145,Plots!$H$4,,,Plots!$A$49))</f>
        <v>0</v>
      </c>
      <c r="N145" cm="1">
        <f t="array" aca="1" ref="N145" ca="1">INDIRECT(ADDRESS($B145,Plots!$H$4,,,Plots!$A$50))+INDIRECT(ADDRESS($B145,Plots!$H$4,,,Plots!$A$51))+INDIRECT(ADDRESS($B145,Plots!$H$4,,,Plots!$A$52))</f>
        <v>0</v>
      </c>
      <c r="O145" cm="1">
        <f t="array" aca="1" ref="O145" ca="1">INDIRECT(ADDRESS($B145,Plots!$H$4,,,Plots!$A$53))+INDIRECT(ADDRESS($B145,Plots!$H$4,,,Plots!$A$54))+INDIRECT(ADDRESS($B145,Plots!$H$4,,,Plots!$A$55))+INDIRECT(ADDRESS($B145,Plots!$H$4,,,Plots!$A$56))</f>
        <v>627</v>
      </c>
      <c r="P145" cm="1">
        <f t="array" aca="1" ref="P145" ca="1">INDIRECT(ADDRESS($B145,Plots!$H$4,,,Plots!$A$57))+INDIRECT(ADDRESS($B145,Plots!$H$4,,,Plots!$A$58))+INDIRECT(ADDRESS($B145,Plots!$H$4,,,Plots!$A$59))+INDIRECT(ADDRESS($B145,Plots!$H$4,,,Plots!$A$60))+INDIRECT(ADDRESS($B145,Plots!$H$4,,,Plots!$A$61))</f>
        <v>0</v>
      </c>
      <c r="Q145" cm="1">
        <f t="array" aca="1" ref="Q145" ca="1">INDIRECT(ADDRESS($B145,Plots!$H$4,,,Plots!$A$62))+INDIRECT(ADDRESS($B145,Plots!$H$4,,,Plots!$A$63))+INDIRECT(ADDRESS($B145,Plots!$H$4,,,Plots!$A$64))+INDIRECT(ADDRESS($B145,Plots!$H$4,,,Plots!$A$65))+INDIRECT(ADDRESS($B145,Plots!$H$4,,,Plots!$A$66))+INDIRECT(ADDRESS($B145,Plots!$H$4,,,Plots!$A$67))</f>
        <v>0</v>
      </c>
    </row>
    <row r="146" spans="1:17">
      <c r="A146">
        <f>'AARnetCBR-CamDTN1_tcpmon_ts_11'!A146</f>
        <v>268</v>
      </c>
      <c r="B146">
        <f t="shared" si="0"/>
        <v>146</v>
      </c>
      <c r="C146" cm="1">
        <f t="array" aca="1" ref="C146" ca="1">INDIRECT(ADDRESS($B146,Plots!$H$3,,,Plots!$A$47))</f>
        <v>25.9</v>
      </c>
      <c r="D146" cm="1">
        <f t="array" aca="1" ref="D146" ca="1">INDIRECT(ADDRESS($B146,Plots!$H$3,,,Plots!$A$48))+INDIRECT(ADDRESS($B146,Plots!$H$3,,,Plots!$A$49))</f>
        <v>58.69</v>
      </c>
      <c r="E146" cm="1">
        <f t="array" aca="1" ref="E146" ca="1">INDIRECT(ADDRESS($B146,Plots!$H$3,,,Plots!$A$50))+INDIRECT(ADDRESS($B146,Plots!$H$3,,,Plots!$A$51))+INDIRECT(ADDRESS($B146,Plots!$H$3,,,Plots!$A$52))</f>
        <v>61.45</v>
      </c>
      <c r="F146" cm="1">
        <f t="array" aca="1" ref="F146" ca="1">INDIRECT(ADDRESS($B146,Plots!$H$3,,,Plots!$A$53))+INDIRECT(ADDRESS($B146,Plots!$H$3,,,Plots!$A$54))+INDIRECT(ADDRESS($B146,Plots!$H$3,,,Plots!$A$55))+INDIRECT(ADDRESS($B146,Plots!$H$3,,,Plots!$A$56))</f>
        <v>77.22</v>
      </c>
      <c r="G146" cm="1">
        <f t="array" aca="1" ref="G146" ca="1">INDIRECT(ADDRESS($B146,Plots!$H$3,,,Plots!$A$57))+INDIRECT(ADDRESS($B146,Plots!$H$3,,,Plots!$A$58))+INDIRECT(ADDRESS($B146,Plots!$H$3,,,Plots!$A$59))+INDIRECT(ADDRESS($B146,Plots!$H$3,,,Plots!$A$60))+INDIRECT(ADDRESS($B146,Plots!$H$3,,,Plots!$A$61))</f>
        <v>0</v>
      </c>
      <c r="H146" cm="1">
        <f t="array" aca="1" ref="H146" ca="1">INDIRECT(ADDRESS($B146,Plots!$H$3,,,Plots!$A$62))+INDIRECT(ADDRESS($B146,Plots!$H$3,,,Plots!$A$63))+INDIRECT(ADDRESS($B146,Plots!$H$3,,,Plots!$A$64))+INDIRECT(ADDRESS($B146,Plots!$H$3,,,Plots!$A$65))+INDIRECT(ADDRESS($B146,Plots!$H$3,,,Plots!$A$66))+INDIRECT(ADDRESS($B146,Plots!$H$3,,,Plots!$A$67))</f>
        <v>0</v>
      </c>
      <c r="I146">
        <f>'AARnetCBR-CamDTN1_tcpmon_ts_81'!H150+'AARnetCBR-CamDTN1_tcpmon_ts_82'!H150+'AARnetCBR-CamDTN1_tcpmon_ts_83'!H150+'AARnetCBR-CamDTN1_tcpmon_ts_84'!H150+'AARnetCBR-CamDTN1_tcpmon_ts_85'!H150+'AARnetCBR-CamDTN1_tcpmon_ts_86'!H150+'AARnetCBR-CamDTN1_tcpmon_ts_87'!H150+'AARnetCBR-CamDTN1_tcpmon_ts_88'!H150</f>
        <v>0</v>
      </c>
      <c r="L146" cm="1">
        <f t="array" aca="1" ref="L146" ca="1">INDIRECT(ADDRESS($B146,Plots!$H$4,,,Plots!$A$47))</f>
        <v>0</v>
      </c>
      <c r="M146" cm="1">
        <f t="array" aca="1" ref="M146" ca="1">INDIRECT(ADDRESS($B146,Plots!$H$4,,,Plots!$A$48))+INDIRECT(ADDRESS($B146,Plots!$H$4,,,Plots!$A$49))</f>
        <v>0</v>
      </c>
      <c r="N146" cm="1">
        <f t="array" aca="1" ref="N146" ca="1">INDIRECT(ADDRESS($B146,Plots!$H$4,,,Plots!$A$50))+INDIRECT(ADDRESS($B146,Plots!$H$4,,,Plots!$A$51))+INDIRECT(ADDRESS($B146,Plots!$H$4,,,Plots!$A$52))</f>
        <v>0</v>
      </c>
      <c r="O146" cm="1">
        <f t="array" aca="1" ref="O146" ca="1">INDIRECT(ADDRESS($B146,Plots!$H$4,,,Plots!$A$53))+INDIRECT(ADDRESS($B146,Plots!$H$4,,,Plots!$A$54))+INDIRECT(ADDRESS($B146,Plots!$H$4,,,Plots!$A$55))+INDIRECT(ADDRESS($B146,Plots!$H$4,,,Plots!$A$56))</f>
        <v>0</v>
      </c>
      <c r="P146" cm="1">
        <f t="array" aca="1" ref="P146" ca="1">INDIRECT(ADDRESS($B146,Plots!$H$4,,,Plots!$A$57))+INDIRECT(ADDRESS($B146,Plots!$H$4,,,Plots!$A$58))+INDIRECT(ADDRESS($B146,Plots!$H$4,,,Plots!$A$59))+INDIRECT(ADDRESS($B146,Plots!$H$4,,,Plots!$A$60))+INDIRECT(ADDRESS($B146,Plots!$H$4,,,Plots!$A$61))</f>
        <v>0</v>
      </c>
      <c r="Q146" cm="1">
        <f t="array" aca="1" ref="Q146" ca="1">INDIRECT(ADDRESS($B146,Plots!$H$4,,,Plots!$A$62))+INDIRECT(ADDRESS($B146,Plots!$H$4,,,Plots!$A$63))+INDIRECT(ADDRESS($B146,Plots!$H$4,,,Plots!$A$64))+INDIRECT(ADDRESS($B146,Plots!$H$4,,,Plots!$A$65))+INDIRECT(ADDRESS($B146,Plots!$H$4,,,Plots!$A$66))+INDIRECT(ADDRESS($B146,Plots!$H$4,,,Plots!$A$67))</f>
        <v>0</v>
      </c>
    </row>
    <row r="147" spans="1:17">
      <c r="A147">
        <f>'AARnetCBR-CamDTN1_tcpmon_ts_11'!A147</f>
        <v>270</v>
      </c>
      <c r="B147">
        <f t="shared" si="0"/>
        <v>147</v>
      </c>
      <c r="C147" cm="1">
        <f t="array" aca="1" ref="C147" ca="1">INDIRECT(ADDRESS($B147,Plots!$H$3,,,Plots!$A$47))</f>
        <v>26.09</v>
      </c>
      <c r="D147" cm="1">
        <f t="array" aca="1" ref="D147" ca="1">INDIRECT(ADDRESS($B147,Plots!$H$3,,,Plots!$A$48))+INDIRECT(ADDRESS($B147,Plots!$H$3,,,Plots!$A$49))</f>
        <v>57.35</v>
      </c>
      <c r="E147" cm="1">
        <f t="array" aca="1" ref="E147" ca="1">INDIRECT(ADDRESS($B147,Plots!$H$3,,,Plots!$A$50))+INDIRECT(ADDRESS($B147,Plots!$H$3,,,Plots!$A$51))+INDIRECT(ADDRESS($B147,Plots!$H$3,,,Plots!$A$52))</f>
        <v>74.47</v>
      </c>
      <c r="F147" cm="1">
        <f t="array" aca="1" ref="F147" ca="1">INDIRECT(ADDRESS($B147,Plots!$H$3,,,Plots!$A$53))+INDIRECT(ADDRESS($B147,Plots!$H$3,,,Plots!$A$54))+INDIRECT(ADDRESS($B147,Plots!$H$3,,,Plots!$A$55))+INDIRECT(ADDRESS($B147,Plots!$H$3,,,Plots!$A$56))</f>
        <v>75.14</v>
      </c>
      <c r="G147" cm="1">
        <f t="array" aca="1" ref="G147" ca="1">INDIRECT(ADDRESS($B147,Plots!$H$3,,,Plots!$A$57))+INDIRECT(ADDRESS($B147,Plots!$H$3,,,Plots!$A$58))+INDIRECT(ADDRESS($B147,Plots!$H$3,,,Plots!$A$59))+INDIRECT(ADDRESS($B147,Plots!$H$3,,,Plots!$A$60))+INDIRECT(ADDRESS($B147,Plots!$H$3,,,Plots!$A$61))</f>
        <v>0</v>
      </c>
      <c r="H147" cm="1">
        <f t="array" aca="1" ref="H147" ca="1">INDIRECT(ADDRESS($B147,Plots!$H$3,,,Plots!$A$62))+INDIRECT(ADDRESS($B147,Plots!$H$3,,,Plots!$A$63))+INDIRECT(ADDRESS($B147,Plots!$H$3,,,Plots!$A$64))+INDIRECT(ADDRESS($B147,Plots!$H$3,,,Plots!$A$65))+INDIRECT(ADDRESS($B147,Plots!$H$3,,,Plots!$A$66))+INDIRECT(ADDRESS($B147,Plots!$H$3,,,Plots!$A$67))</f>
        <v>0</v>
      </c>
      <c r="I147">
        <f>'AARnetCBR-CamDTN1_tcpmon_ts_81'!H151+'AARnetCBR-CamDTN1_tcpmon_ts_82'!H151+'AARnetCBR-CamDTN1_tcpmon_ts_83'!H151+'AARnetCBR-CamDTN1_tcpmon_ts_84'!H151+'AARnetCBR-CamDTN1_tcpmon_ts_85'!H151+'AARnetCBR-CamDTN1_tcpmon_ts_86'!H151+'AARnetCBR-CamDTN1_tcpmon_ts_87'!H151+'AARnetCBR-CamDTN1_tcpmon_ts_88'!H151</f>
        <v>0</v>
      </c>
      <c r="L147" cm="1">
        <f t="array" aca="1" ref="L147" ca="1">INDIRECT(ADDRESS($B147,Plots!$H$4,,,Plots!$A$47))</f>
        <v>0</v>
      </c>
      <c r="M147" cm="1">
        <f t="array" aca="1" ref="M147" ca="1">INDIRECT(ADDRESS($B147,Plots!$H$4,,,Plots!$A$48))+INDIRECT(ADDRESS($B147,Plots!$H$4,,,Plots!$A$49))</f>
        <v>0</v>
      </c>
      <c r="N147" cm="1">
        <f t="array" aca="1" ref="N147" ca="1">INDIRECT(ADDRESS($B147,Plots!$H$4,,,Plots!$A$50))+INDIRECT(ADDRESS($B147,Plots!$H$4,,,Plots!$A$51))+INDIRECT(ADDRESS($B147,Plots!$H$4,,,Plots!$A$52))</f>
        <v>0</v>
      </c>
      <c r="O147" cm="1">
        <f t="array" aca="1" ref="O147" ca="1">INDIRECT(ADDRESS($B147,Plots!$H$4,,,Plots!$A$53))+INDIRECT(ADDRESS($B147,Plots!$H$4,,,Plots!$A$54))+INDIRECT(ADDRESS($B147,Plots!$H$4,,,Plots!$A$55))+INDIRECT(ADDRESS($B147,Plots!$H$4,,,Plots!$A$56))</f>
        <v>0</v>
      </c>
      <c r="P147" cm="1">
        <f t="array" aca="1" ref="P147" ca="1">INDIRECT(ADDRESS($B147,Plots!$H$4,,,Plots!$A$57))+INDIRECT(ADDRESS($B147,Plots!$H$4,,,Plots!$A$58))+INDIRECT(ADDRESS($B147,Plots!$H$4,,,Plots!$A$59))+INDIRECT(ADDRESS($B147,Plots!$H$4,,,Plots!$A$60))+INDIRECT(ADDRESS($B147,Plots!$H$4,,,Plots!$A$61))</f>
        <v>0</v>
      </c>
      <c r="Q147" cm="1">
        <f t="array" aca="1" ref="Q147" ca="1">INDIRECT(ADDRESS($B147,Plots!$H$4,,,Plots!$A$62))+INDIRECT(ADDRESS($B147,Plots!$H$4,,,Plots!$A$63))+INDIRECT(ADDRESS($B147,Plots!$H$4,,,Plots!$A$64))+INDIRECT(ADDRESS($B147,Plots!$H$4,,,Plots!$A$65))+INDIRECT(ADDRESS($B147,Plots!$H$4,,,Plots!$A$66))+INDIRECT(ADDRESS($B147,Plots!$H$4,,,Plots!$A$67))</f>
        <v>0</v>
      </c>
    </row>
    <row r="148" spans="1:17">
      <c r="A148">
        <f>'AARnetCBR-CamDTN1_tcpmon_ts_11'!A148</f>
        <v>272</v>
      </c>
      <c r="B148">
        <f t="shared" si="0"/>
        <v>148</v>
      </c>
      <c r="C148" cm="1">
        <f t="array" aca="1" ref="C148" ca="1">INDIRECT(ADDRESS($B148,Plots!$H$3,,,Plots!$A$47))</f>
        <v>25.88</v>
      </c>
      <c r="D148" cm="1">
        <f t="array" aca="1" ref="D148" ca="1">INDIRECT(ADDRESS($B148,Plots!$H$3,,,Plots!$A$48))+INDIRECT(ADDRESS($B148,Plots!$H$3,,,Plots!$A$49))</f>
        <v>56.54</v>
      </c>
      <c r="E148" cm="1">
        <f t="array" aca="1" ref="E148" ca="1">INDIRECT(ADDRESS($B148,Plots!$H$3,,,Plots!$A$50))+INDIRECT(ADDRESS($B148,Plots!$H$3,,,Plots!$A$51))+INDIRECT(ADDRESS($B148,Plots!$H$3,,,Plots!$A$52))</f>
        <v>60.22</v>
      </c>
      <c r="F148" cm="1">
        <f t="array" aca="1" ref="F148" ca="1">INDIRECT(ADDRESS($B148,Plots!$H$3,,,Plots!$A$53))+INDIRECT(ADDRESS($B148,Plots!$H$3,,,Plots!$A$54))+INDIRECT(ADDRESS($B148,Plots!$H$3,,,Plots!$A$55))+INDIRECT(ADDRESS($B148,Plots!$H$3,,,Plots!$A$56))</f>
        <v>82.47</v>
      </c>
      <c r="G148" cm="1">
        <f t="array" aca="1" ref="G148" ca="1">INDIRECT(ADDRESS($B148,Plots!$H$3,,,Plots!$A$57))+INDIRECT(ADDRESS($B148,Plots!$H$3,,,Plots!$A$58))+INDIRECT(ADDRESS($B148,Plots!$H$3,,,Plots!$A$59))+INDIRECT(ADDRESS($B148,Plots!$H$3,,,Plots!$A$60))+INDIRECT(ADDRESS($B148,Plots!$H$3,,,Plots!$A$61))</f>
        <v>0</v>
      </c>
      <c r="H148" cm="1">
        <f t="array" aca="1" ref="H148" ca="1">INDIRECT(ADDRESS($B148,Plots!$H$3,,,Plots!$A$62))+INDIRECT(ADDRESS($B148,Plots!$H$3,,,Plots!$A$63))+INDIRECT(ADDRESS($B148,Plots!$H$3,,,Plots!$A$64))+INDIRECT(ADDRESS($B148,Plots!$H$3,,,Plots!$A$65))+INDIRECT(ADDRESS($B148,Plots!$H$3,,,Plots!$A$66))+INDIRECT(ADDRESS($B148,Plots!$H$3,,,Plots!$A$67))</f>
        <v>0</v>
      </c>
      <c r="I148">
        <f>'AARnetCBR-CamDTN1_tcpmon_ts_81'!H152+'AARnetCBR-CamDTN1_tcpmon_ts_82'!H152+'AARnetCBR-CamDTN1_tcpmon_ts_83'!H152+'AARnetCBR-CamDTN1_tcpmon_ts_84'!H152+'AARnetCBR-CamDTN1_tcpmon_ts_85'!H152+'AARnetCBR-CamDTN1_tcpmon_ts_86'!H152+'AARnetCBR-CamDTN1_tcpmon_ts_87'!H152+'AARnetCBR-CamDTN1_tcpmon_ts_88'!H152</f>
        <v>0</v>
      </c>
      <c r="L148" cm="1">
        <f t="array" aca="1" ref="L148" ca="1">INDIRECT(ADDRESS($B148,Plots!$H$4,,,Plots!$A$47))</f>
        <v>0</v>
      </c>
      <c r="M148" cm="1">
        <f t="array" aca="1" ref="M148" ca="1">INDIRECT(ADDRESS($B148,Plots!$H$4,,,Plots!$A$48))+INDIRECT(ADDRESS($B148,Plots!$H$4,,,Plots!$A$49))</f>
        <v>0</v>
      </c>
      <c r="N148" cm="1">
        <f t="array" aca="1" ref="N148" ca="1">INDIRECT(ADDRESS($B148,Plots!$H$4,,,Plots!$A$50))+INDIRECT(ADDRESS($B148,Plots!$H$4,,,Plots!$A$51))+INDIRECT(ADDRESS($B148,Plots!$H$4,,,Plots!$A$52))</f>
        <v>0</v>
      </c>
      <c r="O148" cm="1">
        <f t="array" aca="1" ref="O148" ca="1">INDIRECT(ADDRESS($B148,Plots!$H$4,,,Plots!$A$53))+INDIRECT(ADDRESS($B148,Plots!$H$4,,,Plots!$A$54))+INDIRECT(ADDRESS($B148,Plots!$H$4,,,Plots!$A$55))+INDIRECT(ADDRESS($B148,Plots!$H$4,,,Plots!$A$56))</f>
        <v>0</v>
      </c>
      <c r="P148" cm="1">
        <f t="array" aca="1" ref="P148" ca="1">INDIRECT(ADDRESS($B148,Plots!$H$4,,,Plots!$A$57))+INDIRECT(ADDRESS($B148,Plots!$H$4,,,Plots!$A$58))+INDIRECT(ADDRESS($B148,Plots!$H$4,,,Plots!$A$59))+INDIRECT(ADDRESS($B148,Plots!$H$4,,,Plots!$A$60))+INDIRECT(ADDRESS($B148,Plots!$H$4,,,Plots!$A$61))</f>
        <v>0</v>
      </c>
      <c r="Q148" cm="1">
        <f t="array" aca="1" ref="Q148" ca="1">INDIRECT(ADDRESS($B148,Plots!$H$4,,,Plots!$A$62))+INDIRECT(ADDRESS($B148,Plots!$H$4,,,Plots!$A$63))+INDIRECT(ADDRESS($B148,Plots!$H$4,,,Plots!$A$64))+INDIRECT(ADDRESS($B148,Plots!$H$4,,,Plots!$A$65))+INDIRECT(ADDRESS($B148,Plots!$H$4,,,Plots!$A$66))+INDIRECT(ADDRESS($B148,Plots!$H$4,,,Plots!$A$67))</f>
        <v>0</v>
      </c>
    </row>
    <row r="149" spans="1:17">
      <c r="A149">
        <f>'AARnetCBR-CamDTN1_tcpmon_ts_11'!A149</f>
        <v>274</v>
      </c>
      <c r="B149">
        <f t="shared" si="0"/>
        <v>149</v>
      </c>
      <c r="C149" cm="1">
        <f t="array" aca="1" ref="C149" ca="1">INDIRECT(ADDRESS($B149,Plots!$H$3,,,Plots!$A$47))</f>
        <v>26.03</v>
      </c>
      <c r="D149" cm="1">
        <f t="array" aca="1" ref="D149" ca="1">INDIRECT(ADDRESS($B149,Plots!$H$3,,,Plots!$A$48))+INDIRECT(ADDRESS($B149,Plots!$H$3,,,Plots!$A$49))</f>
        <v>58.099999999999994</v>
      </c>
      <c r="E149" cm="1">
        <f t="array" aca="1" ref="E149" ca="1">INDIRECT(ADDRESS($B149,Plots!$H$3,,,Plots!$A$50))+INDIRECT(ADDRESS($B149,Plots!$H$3,,,Plots!$A$51))+INDIRECT(ADDRESS($B149,Plots!$H$3,,,Plots!$A$52))</f>
        <v>74.42</v>
      </c>
      <c r="F149" cm="1">
        <f t="array" aca="1" ref="F149" ca="1">INDIRECT(ADDRESS($B149,Plots!$H$3,,,Plots!$A$53))+INDIRECT(ADDRESS($B149,Plots!$H$3,,,Plots!$A$54))+INDIRECT(ADDRESS($B149,Plots!$H$3,,,Plots!$A$55))+INDIRECT(ADDRESS($B149,Plots!$H$3,,,Plots!$A$56))</f>
        <v>79.570000000000007</v>
      </c>
      <c r="G149" cm="1">
        <f t="array" aca="1" ref="G149" ca="1">INDIRECT(ADDRESS($B149,Plots!$H$3,,,Plots!$A$57))+INDIRECT(ADDRESS($B149,Plots!$H$3,,,Plots!$A$58))+INDIRECT(ADDRESS($B149,Plots!$H$3,,,Plots!$A$59))+INDIRECT(ADDRESS($B149,Plots!$H$3,,,Plots!$A$60))+INDIRECT(ADDRESS($B149,Plots!$H$3,,,Plots!$A$61))</f>
        <v>0</v>
      </c>
      <c r="H149" cm="1">
        <f t="array" aca="1" ref="H149" ca="1">INDIRECT(ADDRESS($B149,Plots!$H$3,,,Plots!$A$62))+INDIRECT(ADDRESS($B149,Plots!$H$3,,,Plots!$A$63))+INDIRECT(ADDRESS($B149,Plots!$H$3,,,Plots!$A$64))+INDIRECT(ADDRESS($B149,Plots!$H$3,,,Plots!$A$65))+INDIRECT(ADDRESS($B149,Plots!$H$3,,,Plots!$A$66))+INDIRECT(ADDRESS($B149,Plots!$H$3,,,Plots!$A$67))</f>
        <v>0</v>
      </c>
      <c r="I149">
        <f>'AARnetCBR-CamDTN1_tcpmon_ts_81'!H153+'AARnetCBR-CamDTN1_tcpmon_ts_82'!H153+'AARnetCBR-CamDTN1_tcpmon_ts_83'!H153+'AARnetCBR-CamDTN1_tcpmon_ts_84'!H153+'AARnetCBR-CamDTN1_tcpmon_ts_85'!H153+'AARnetCBR-CamDTN1_tcpmon_ts_86'!H153+'AARnetCBR-CamDTN1_tcpmon_ts_87'!H153+'AARnetCBR-CamDTN1_tcpmon_ts_88'!H153</f>
        <v>0</v>
      </c>
      <c r="L149" cm="1">
        <f t="array" aca="1" ref="L149" ca="1">INDIRECT(ADDRESS($B149,Plots!$H$4,,,Plots!$A$47))</f>
        <v>0</v>
      </c>
      <c r="M149" cm="1">
        <f t="array" aca="1" ref="M149" ca="1">INDIRECT(ADDRESS($B149,Plots!$H$4,,,Plots!$A$48))+INDIRECT(ADDRESS($B149,Plots!$H$4,,,Plots!$A$49))</f>
        <v>0</v>
      </c>
      <c r="N149" cm="1">
        <f t="array" aca="1" ref="N149" ca="1">INDIRECT(ADDRESS($B149,Plots!$H$4,,,Plots!$A$50))+INDIRECT(ADDRESS($B149,Plots!$H$4,,,Plots!$A$51))+INDIRECT(ADDRESS($B149,Plots!$H$4,,,Plots!$A$52))</f>
        <v>0</v>
      </c>
      <c r="O149" cm="1">
        <f t="array" aca="1" ref="O149" ca="1">INDIRECT(ADDRESS($B149,Plots!$H$4,,,Plots!$A$53))+INDIRECT(ADDRESS($B149,Plots!$H$4,,,Plots!$A$54))+INDIRECT(ADDRESS($B149,Plots!$H$4,,,Plots!$A$55))+INDIRECT(ADDRESS($B149,Plots!$H$4,,,Plots!$A$56))</f>
        <v>0</v>
      </c>
      <c r="P149" cm="1">
        <f t="array" aca="1" ref="P149" ca="1">INDIRECT(ADDRESS($B149,Plots!$H$4,,,Plots!$A$57))+INDIRECT(ADDRESS($B149,Plots!$H$4,,,Plots!$A$58))+INDIRECT(ADDRESS($B149,Plots!$H$4,,,Plots!$A$59))+INDIRECT(ADDRESS($B149,Plots!$H$4,,,Plots!$A$60))+INDIRECT(ADDRESS($B149,Plots!$H$4,,,Plots!$A$61))</f>
        <v>0</v>
      </c>
      <c r="Q149" cm="1">
        <f t="array" aca="1" ref="Q149" ca="1">INDIRECT(ADDRESS($B149,Plots!$H$4,,,Plots!$A$62))+INDIRECT(ADDRESS($B149,Plots!$H$4,,,Plots!$A$63))+INDIRECT(ADDRESS($B149,Plots!$H$4,,,Plots!$A$64))+INDIRECT(ADDRESS($B149,Plots!$H$4,,,Plots!$A$65))+INDIRECT(ADDRESS($B149,Plots!$H$4,,,Plots!$A$66))+INDIRECT(ADDRESS($B149,Plots!$H$4,,,Plots!$A$67))</f>
        <v>0</v>
      </c>
    </row>
    <row r="150" spans="1:17">
      <c r="A150">
        <f>'AARnetCBR-CamDTN1_tcpmon_ts_11'!A150</f>
        <v>276</v>
      </c>
      <c r="B150">
        <f t="shared" si="0"/>
        <v>150</v>
      </c>
      <c r="C150" cm="1">
        <f t="array" aca="1" ref="C150" ca="1">INDIRECT(ADDRESS($B150,Plots!$H$3,,,Plots!$A$47))</f>
        <v>26.15</v>
      </c>
      <c r="D150" cm="1">
        <f t="array" aca="1" ref="D150" ca="1">INDIRECT(ADDRESS($B150,Plots!$H$3,,,Plots!$A$48))+INDIRECT(ADDRESS($B150,Plots!$H$3,,,Plots!$A$49))</f>
        <v>54.61</v>
      </c>
      <c r="E150" cm="1">
        <f t="array" aca="1" ref="E150" ca="1">INDIRECT(ADDRESS($B150,Plots!$H$3,,,Plots!$A$50))+INDIRECT(ADDRESS($B150,Plots!$H$3,,,Plots!$A$51))+INDIRECT(ADDRESS($B150,Plots!$H$3,,,Plots!$A$52))</f>
        <v>61.31</v>
      </c>
      <c r="F150" cm="1">
        <f t="array" aca="1" ref="F150" ca="1">INDIRECT(ADDRESS($B150,Plots!$H$3,,,Plots!$A$53))+INDIRECT(ADDRESS($B150,Plots!$H$3,,,Plots!$A$54))+INDIRECT(ADDRESS($B150,Plots!$H$3,,,Plots!$A$55))+INDIRECT(ADDRESS($B150,Plots!$H$3,,,Plots!$A$56))</f>
        <v>85.549999999999983</v>
      </c>
      <c r="G150" cm="1">
        <f t="array" aca="1" ref="G150" ca="1">INDIRECT(ADDRESS($B150,Plots!$H$3,,,Plots!$A$57))+INDIRECT(ADDRESS($B150,Plots!$H$3,,,Plots!$A$58))+INDIRECT(ADDRESS($B150,Plots!$H$3,,,Plots!$A$59))+INDIRECT(ADDRESS($B150,Plots!$H$3,,,Plots!$A$60))+INDIRECT(ADDRESS($B150,Plots!$H$3,,,Plots!$A$61))</f>
        <v>0</v>
      </c>
      <c r="H150" cm="1">
        <f t="array" aca="1" ref="H150" ca="1">INDIRECT(ADDRESS($B150,Plots!$H$3,,,Plots!$A$62))+INDIRECT(ADDRESS($B150,Plots!$H$3,,,Plots!$A$63))+INDIRECT(ADDRESS($B150,Plots!$H$3,,,Plots!$A$64))+INDIRECT(ADDRESS($B150,Plots!$H$3,,,Plots!$A$65))+INDIRECT(ADDRESS($B150,Plots!$H$3,,,Plots!$A$66))+INDIRECT(ADDRESS($B150,Plots!$H$3,,,Plots!$A$67))</f>
        <v>0</v>
      </c>
      <c r="I150">
        <f>'AARnetCBR-CamDTN1_tcpmon_ts_81'!H154+'AARnetCBR-CamDTN1_tcpmon_ts_82'!H154+'AARnetCBR-CamDTN1_tcpmon_ts_83'!H154+'AARnetCBR-CamDTN1_tcpmon_ts_84'!H154+'AARnetCBR-CamDTN1_tcpmon_ts_85'!H154+'AARnetCBR-CamDTN1_tcpmon_ts_86'!H154+'AARnetCBR-CamDTN1_tcpmon_ts_87'!H154+'AARnetCBR-CamDTN1_tcpmon_ts_88'!H154</f>
        <v>0</v>
      </c>
      <c r="L150" cm="1">
        <f t="array" aca="1" ref="L150" ca="1">INDIRECT(ADDRESS($B150,Plots!$H$4,,,Plots!$A$47))</f>
        <v>0</v>
      </c>
      <c r="M150" cm="1">
        <f t="array" aca="1" ref="M150" ca="1">INDIRECT(ADDRESS($B150,Plots!$H$4,,,Plots!$A$48))+INDIRECT(ADDRESS($B150,Plots!$H$4,,,Plots!$A$49))</f>
        <v>0</v>
      </c>
      <c r="N150" cm="1">
        <f t="array" aca="1" ref="N150" ca="1">INDIRECT(ADDRESS($B150,Plots!$H$4,,,Plots!$A$50))+INDIRECT(ADDRESS($B150,Plots!$H$4,,,Plots!$A$51))+INDIRECT(ADDRESS($B150,Plots!$H$4,,,Plots!$A$52))</f>
        <v>0</v>
      </c>
      <c r="O150" cm="1">
        <f t="array" aca="1" ref="O150" ca="1">INDIRECT(ADDRESS($B150,Plots!$H$4,,,Plots!$A$53))+INDIRECT(ADDRESS($B150,Plots!$H$4,,,Plots!$A$54))+INDIRECT(ADDRESS($B150,Plots!$H$4,,,Plots!$A$55))+INDIRECT(ADDRESS($B150,Plots!$H$4,,,Plots!$A$56))</f>
        <v>0</v>
      </c>
      <c r="P150" cm="1">
        <f t="array" aca="1" ref="P150" ca="1">INDIRECT(ADDRESS($B150,Plots!$H$4,,,Plots!$A$57))+INDIRECT(ADDRESS($B150,Plots!$H$4,,,Plots!$A$58))+INDIRECT(ADDRESS($B150,Plots!$H$4,,,Plots!$A$59))+INDIRECT(ADDRESS($B150,Plots!$H$4,,,Plots!$A$60))+INDIRECT(ADDRESS($B150,Plots!$H$4,,,Plots!$A$61))</f>
        <v>0</v>
      </c>
      <c r="Q150" cm="1">
        <f t="array" aca="1" ref="Q150" ca="1">INDIRECT(ADDRESS($B150,Plots!$H$4,,,Plots!$A$62))+INDIRECT(ADDRESS($B150,Plots!$H$4,,,Plots!$A$63))+INDIRECT(ADDRESS($B150,Plots!$H$4,,,Plots!$A$64))+INDIRECT(ADDRESS($B150,Plots!$H$4,,,Plots!$A$65))+INDIRECT(ADDRESS($B150,Plots!$H$4,,,Plots!$A$66))+INDIRECT(ADDRESS($B150,Plots!$H$4,,,Plots!$A$67))</f>
        <v>0</v>
      </c>
    </row>
    <row r="151" spans="1:17">
      <c r="A151">
        <f>'AARnetCBR-CamDTN1_tcpmon_ts_11'!A151</f>
        <v>278</v>
      </c>
      <c r="B151">
        <f t="shared" si="0"/>
        <v>151</v>
      </c>
      <c r="C151" cm="1">
        <f t="array" aca="1" ref="C151" ca="1">INDIRECT(ADDRESS($B151,Plots!$H$3,,,Plots!$A$47))</f>
        <v>25.86</v>
      </c>
      <c r="D151" cm="1">
        <f t="array" aca="1" ref="D151" ca="1">INDIRECT(ADDRESS($B151,Plots!$H$3,,,Plots!$A$48))+INDIRECT(ADDRESS($B151,Plots!$H$3,,,Plots!$A$49))</f>
        <v>56.03</v>
      </c>
      <c r="E151" cm="1">
        <f t="array" aca="1" ref="E151" ca="1">INDIRECT(ADDRESS($B151,Plots!$H$3,,,Plots!$A$50))+INDIRECT(ADDRESS($B151,Plots!$H$3,,,Plots!$A$51))+INDIRECT(ADDRESS($B151,Plots!$H$3,,,Plots!$A$52))</f>
        <v>70.89</v>
      </c>
      <c r="F151" cm="1">
        <f t="array" aca="1" ref="F151" ca="1">INDIRECT(ADDRESS($B151,Plots!$H$3,,,Plots!$A$53))+INDIRECT(ADDRESS($B151,Plots!$H$3,,,Plots!$A$54))+INDIRECT(ADDRESS($B151,Plots!$H$3,,,Plots!$A$55))+INDIRECT(ADDRESS($B151,Plots!$H$3,,,Plots!$A$56))</f>
        <v>83.080000000000013</v>
      </c>
      <c r="G151" cm="1">
        <f t="array" aca="1" ref="G151" ca="1">INDIRECT(ADDRESS($B151,Plots!$H$3,,,Plots!$A$57))+INDIRECT(ADDRESS($B151,Plots!$H$3,,,Plots!$A$58))+INDIRECT(ADDRESS($B151,Plots!$H$3,,,Plots!$A$59))+INDIRECT(ADDRESS($B151,Plots!$H$3,,,Plots!$A$60))+INDIRECT(ADDRESS($B151,Plots!$H$3,,,Plots!$A$61))</f>
        <v>0</v>
      </c>
      <c r="H151" cm="1">
        <f t="array" aca="1" ref="H151" ca="1">INDIRECT(ADDRESS($B151,Plots!$H$3,,,Plots!$A$62))+INDIRECT(ADDRESS($B151,Plots!$H$3,,,Plots!$A$63))+INDIRECT(ADDRESS($B151,Plots!$H$3,,,Plots!$A$64))+INDIRECT(ADDRESS($B151,Plots!$H$3,,,Plots!$A$65))+INDIRECT(ADDRESS($B151,Plots!$H$3,,,Plots!$A$66))+INDIRECT(ADDRESS($B151,Plots!$H$3,,,Plots!$A$67))</f>
        <v>0</v>
      </c>
      <c r="I151">
        <f>'AARnetCBR-CamDTN1_tcpmon_ts_81'!H155+'AARnetCBR-CamDTN1_tcpmon_ts_82'!H155+'AARnetCBR-CamDTN1_tcpmon_ts_83'!H155+'AARnetCBR-CamDTN1_tcpmon_ts_84'!H155+'AARnetCBR-CamDTN1_tcpmon_ts_85'!H155+'AARnetCBR-CamDTN1_tcpmon_ts_86'!H155+'AARnetCBR-CamDTN1_tcpmon_ts_87'!H155+'AARnetCBR-CamDTN1_tcpmon_ts_88'!H155</f>
        <v>0</v>
      </c>
      <c r="L151" cm="1">
        <f t="array" aca="1" ref="L151" ca="1">INDIRECT(ADDRESS($B151,Plots!$H$4,,,Plots!$A$47))</f>
        <v>0</v>
      </c>
      <c r="M151" cm="1">
        <f t="array" aca="1" ref="M151" ca="1">INDIRECT(ADDRESS($B151,Plots!$H$4,,,Plots!$A$48))+INDIRECT(ADDRESS($B151,Plots!$H$4,,,Plots!$A$49))</f>
        <v>0</v>
      </c>
      <c r="N151" cm="1">
        <f t="array" aca="1" ref="N151" ca="1">INDIRECT(ADDRESS($B151,Plots!$H$4,,,Plots!$A$50))+INDIRECT(ADDRESS($B151,Plots!$H$4,,,Plots!$A$51))+INDIRECT(ADDRESS($B151,Plots!$H$4,,,Plots!$A$52))</f>
        <v>0</v>
      </c>
      <c r="O151" cm="1">
        <f t="array" aca="1" ref="O151" ca="1">INDIRECT(ADDRESS($B151,Plots!$H$4,,,Plots!$A$53))+INDIRECT(ADDRESS($B151,Plots!$H$4,,,Plots!$A$54))+INDIRECT(ADDRESS($B151,Plots!$H$4,,,Plots!$A$55))+INDIRECT(ADDRESS($B151,Plots!$H$4,,,Plots!$A$56))</f>
        <v>0</v>
      </c>
      <c r="P151" cm="1">
        <f t="array" aca="1" ref="P151" ca="1">INDIRECT(ADDRESS($B151,Plots!$H$4,,,Plots!$A$57))+INDIRECT(ADDRESS($B151,Plots!$H$4,,,Plots!$A$58))+INDIRECT(ADDRESS($B151,Plots!$H$4,,,Plots!$A$59))+INDIRECT(ADDRESS($B151,Plots!$H$4,,,Plots!$A$60))+INDIRECT(ADDRESS($B151,Plots!$H$4,,,Plots!$A$61))</f>
        <v>0</v>
      </c>
      <c r="Q151" cm="1">
        <f t="array" aca="1" ref="Q151" ca="1">INDIRECT(ADDRESS($B151,Plots!$H$4,,,Plots!$A$62))+INDIRECT(ADDRESS($B151,Plots!$H$4,,,Plots!$A$63))+INDIRECT(ADDRESS($B151,Plots!$H$4,,,Plots!$A$64))+INDIRECT(ADDRESS($B151,Plots!$H$4,,,Plots!$A$65))+INDIRECT(ADDRESS($B151,Plots!$H$4,,,Plots!$A$66))+INDIRECT(ADDRESS($B151,Plots!$H$4,,,Plots!$A$67))</f>
        <v>0</v>
      </c>
    </row>
    <row r="152" spans="1:17">
      <c r="A152">
        <f>'AARnetCBR-CamDTN1_tcpmon_ts_11'!A152</f>
        <v>280</v>
      </c>
      <c r="B152">
        <f t="shared" si="0"/>
        <v>152</v>
      </c>
      <c r="C152" cm="1">
        <f t="array" aca="1" ref="C152" ca="1">INDIRECT(ADDRESS($B152,Plots!$H$3,,,Plots!$A$47))</f>
        <v>24.53</v>
      </c>
      <c r="D152" cm="1">
        <f t="array" aca="1" ref="D152" ca="1">INDIRECT(ADDRESS($B152,Plots!$H$3,,,Plots!$A$48))+INDIRECT(ADDRESS($B152,Plots!$H$3,,,Plots!$A$49))</f>
        <v>58.97</v>
      </c>
      <c r="E152" cm="1">
        <f t="array" aca="1" ref="E152" ca="1">INDIRECT(ADDRESS($B152,Plots!$H$3,,,Plots!$A$50))+INDIRECT(ADDRESS($B152,Plots!$H$3,,,Plots!$A$51))+INDIRECT(ADDRESS($B152,Plots!$H$3,,,Plots!$A$52))</f>
        <v>64.22</v>
      </c>
      <c r="F152" cm="1">
        <f t="array" aca="1" ref="F152" ca="1">INDIRECT(ADDRESS($B152,Plots!$H$3,,,Plots!$A$53))+INDIRECT(ADDRESS($B152,Plots!$H$3,,,Plots!$A$54))+INDIRECT(ADDRESS($B152,Plots!$H$3,,,Plots!$A$55))+INDIRECT(ADDRESS($B152,Plots!$H$3,,,Plots!$A$56))</f>
        <v>82.81</v>
      </c>
      <c r="G152" cm="1">
        <f t="array" aca="1" ref="G152" ca="1">INDIRECT(ADDRESS($B152,Plots!$H$3,,,Plots!$A$57))+INDIRECT(ADDRESS($B152,Plots!$H$3,,,Plots!$A$58))+INDIRECT(ADDRESS($B152,Plots!$H$3,,,Plots!$A$59))+INDIRECT(ADDRESS($B152,Plots!$H$3,,,Plots!$A$60))+INDIRECT(ADDRESS($B152,Plots!$H$3,,,Plots!$A$61))</f>
        <v>0</v>
      </c>
      <c r="H152" cm="1">
        <f t="array" aca="1" ref="H152" ca="1">INDIRECT(ADDRESS($B152,Plots!$H$3,,,Plots!$A$62))+INDIRECT(ADDRESS($B152,Plots!$H$3,,,Plots!$A$63))+INDIRECT(ADDRESS($B152,Plots!$H$3,,,Plots!$A$64))+INDIRECT(ADDRESS($B152,Plots!$H$3,,,Plots!$A$65))+INDIRECT(ADDRESS($B152,Plots!$H$3,,,Plots!$A$66))+INDIRECT(ADDRESS($B152,Plots!$H$3,,,Plots!$A$67))</f>
        <v>0</v>
      </c>
      <c r="I152">
        <f>'AARnetCBR-CamDTN1_tcpmon_ts_81'!H156+'AARnetCBR-CamDTN1_tcpmon_ts_82'!H156+'AARnetCBR-CamDTN1_tcpmon_ts_83'!H156+'AARnetCBR-CamDTN1_tcpmon_ts_84'!H156+'AARnetCBR-CamDTN1_tcpmon_ts_85'!H156+'AARnetCBR-CamDTN1_tcpmon_ts_86'!H156+'AARnetCBR-CamDTN1_tcpmon_ts_87'!H156+'AARnetCBR-CamDTN1_tcpmon_ts_88'!H156</f>
        <v>0</v>
      </c>
      <c r="L152" cm="1">
        <f t="array" aca="1" ref="L152" ca="1">INDIRECT(ADDRESS($B152,Plots!$H$4,,,Plots!$A$47))</f>
        <v>0</v>
      </c>
      <c r="M152" cm="1">
        <f t="array" aca="1" ref="M152" ca="1">INDIRECT(ADDRESS($B152,Plots!$H$4,,,Plots!$A$48))+INDIRECT(ADDRESS($B152,Plots!$H$4,,,Plots!$A$49))</f>
        <v>0</v>
      </c>
      <c r="N152" cm="1">
        <f t="array" aca="1" ref="N152" ca="1">INDIRECT(ADDRESS($B152,Plots!$H$4,,,Plots!$A$50))+INDIRECT(ADDRESS($B152,Plots!$H$4,,,Plots!$A$51))+INDIRECT(ADDRESS($B152,Plots!$H$4,,,Plots!$A$52))</f>
        <v>0</v>
      </c>
      <c r="O152" cm="1">
        <f t="array" aca="1" ref="O152" ca="1">INDIRECT(ADDRESS($B152,Plots!$H$4,,,Plots!$A$53))+INDIRECT(ADDRESS($B152,Plots!$H$4,,,Plots!$A$54))+INDIRECT(ADDRESS($B152,Plots!$H$4,,,Plots!$A$55))+INDIRECT(ADDRESS($B152,Plots!$H$4,,,Plots!$A$56))</f>
        <v>0</v>
      </c>
      <c r="P152" cm="1">
        <f t="array" aca="1" ref="P152" ca="1">INDIRECT(ADDRESS($B152,Plots!$H$4,,,Plots!$A$57))+INDIRECT(ADDRESS($B152,Plots!$H$4,,,Plots!$A$58))+INDIRECT(ADDRESS($B152,Plots!$H$4,,,Plots!$A$59))+INDIRECT(ADDRESS($B152,Plots!$H$4,,,Plots!$A$60))+INDIRECT(ADDRESS($B152,Plots!$H$4,,,Plots!$A$61))</f>
        <v>0</v>
      </c>
      <c r="Q152" cm="1">
        <f t="array" aca="1" ref="Q152" ca="1">INDIRECT(ADDRESS($B152,Plots!$H$4,,,Plots!$A$62))+INDIRECT(ADDRESS($B152,Plots!$H$4,,,Plots!$A$63))+INDIRECT(ADDRESS($B152,Plots!$H$4,,,Plots!$A$64))+INDIRECT(ADDRESS($B152,Plots!$H$4,,,Plots!$A$65))+INDIRECT(ADDRESS($B152,Plots!$H$4,,,Plots!$A$66))+INDIRECT(ADDRESS($B152,Plots!$H$4,,,Plots!$A$67))</f>
        <v>0</v>
      </c>
    </row>
    <row r="153" spans="1:17">
      <c r="A153">
        <f>'AARnetCBR-CamDTN1_tcpmon_ts_11'!A153</f>
        <v>282</v>
      </c>
      <c r="B153">
        <f t="shared" si="0"/>
        <v>153</v>
      </c>
      <c r="C153" cm="1">
        <f t="array" aca="1" ref="C153" ca="1">INDIRECT(ADDRESS($B153,Plots!$H$3,,,Plots!$A$47))</f>
        <v>26.42</v>
      </c>
      <c r="D153" cm="1">
        <f t="array" aca="1" ref="D153" ca="1">INDIRECT(ADDRESS($B153,Plots!$H$3,,,Plots!$A$48))+INDIRECT(ADDRESS($B153,Plots!$H$3,,,Plots!$A$49))</f>
        <v>60.260000000000005</v>
      </c>
      <c r="E153" cm="1">
        <f t="array" aca="1" ref="E153" ca="1">INDIRECT(ADDRESS($B153,Plots!$H$3,,,Plots!$A$50))+INDIRECT(ADDRESS($B153,Plots!$H$3,,,Plots!$A$51))+INDIRECT(ADDRESS($B153,Plots!$H$3,,,Plots!$A$52))</f>
        <v>73.78</v>
      </c>
      <c r="F153" cm="1">
        <f t="array" aca="1" ref="F153" ca="1">INDIRECT(ADDRESS($B153,Plots!$H$3,,,Plots!$A$53))+INDIRECT(ADDRESS($B153,Plots!$H$3,,,Plots!$A$54))+INDIRECT(ADDRESS($B153,Plots!$H$3,,,Plots!$A$55))+INDIRECT(ADDRESS($B153,Plots!$H$3,,,Plots!$A$56))</f>
        <v>87.92</v>
      </c>
      <c r="G153" cm="1">
        <f t="array" aca="1" ref="G153" ca="1">INDIRECT(ADDRESS($B153,Plots!$H$3,,,Plots!$A$57))+INDIRECT(ADDRESS($B153,Plots!$H$3,,,Plots!$A$58))+INDIRECT(ADDRESS($B153,Plots!$H$3,,,Plots!$A$59))+INDIRECT(ADDRESS($B153,Plots!$H$3,,,Plots!$A$60))+INDIRECT(ADDRESS($B153,Plots!$H$3,,,Plots!$A$61))</f>
        <v>0</v>
      </c>
      <c r="H153" cm="1">
        <f t="array" aca="1" ref="H153" ca="1">INDIRECT(ADDRESS($B153,Plots!$H$3,,,Plots!$A$62))+INDIRECT(ADDRESS($B153,Plots!$H$3,,,Plots!$A$63))+INDIRECT(ADDRESS($B153,Plots!$H$3,,,Plots!$A$64))+INDIRECT(ADDRESS($B153,Plots!$H$3,,,Plots!$A$65))+INDIRECT(ADDRESS($B153,Plots!$H$3,,,Plots!$A$66))+INDIRECT(ADDRESS($B153,Plots!$H$3,,,Plots!$A$67))</f>
        <v>0</v>
      </c>
      <c r="I153">
        <f>'AARnetCBR-CamDTN1_tcpmon_ts_81'!H157+'AARnetCBR-CamDTN1_tcpmon_ts_82'!H157+'AARnetCBR-CamDTN1_tcpmon_ts_83'!H157+'AARnetCBR-CamDTN1_tcpmon_ts_84'!H157+'AARnetCBR-CamDTN1_tcpmon_ts_85'!H157+'AARnetCBR-CamDTN1_tcpmon_ts_86'!H157+'AARnetCBR-CamDTN1_tcpmon_ts_87'!H157+'AARnetCBR-CamDTN1_tcpmon_ts_88'!H157</f>
        <v>0</v>
      </c>
      <c r="L153" cm="1">
        <f t="array" aca="1" ref="L153" ca="1">INDIRECT(ADDRESS($B153,Plots!$H$4,,,Plots!$A$47))</f>
        <v>0</v>
      </c>
      <c r="M153" cm="1">
        <f t="array" aca="1" ref="M153" ca="1">INDIRECT(ADDRESS($B153,Plots!$H$4,,,Plots!$A$48))+INDIRECT(ADDRESS($B153,Plots!$H$4,,,Plots!$A$49))</f>
        <v>0</v>
      </c>
      <c r="N153" cm="1">
        <f t="array" aca="1" ref="N153" ca="1">INDIRECT(ADDRESS($B153,Plots!$H$4,,,Plots!$A$50))+INDIRECT(ADDRESS($B153,Plots!$H$4,,,Plots!$A$51))+INDIRECT(ADDRESS($B153,Plots!$H$4,,,Plots!$A$52))</f>
        <v>0</v>
      </c>
      <c r="O153" cm="1">
        <f t="array" aca="1" ref="O153" ca="1">INDIRECT(ADDRESS($B153,Plots!$H$4,,,Plots!$A$53))+INDIRECT(ADDRESS($B153,Plots!$H$4,,,Plots!$A$54))+INDIRECT(ADDRESS($B153,Plots!$H$4,,,Plots!$A$55))+INDIRECT(ADDRESS($B153,Plots!$H$4,,,Plots!$A$56))</f>
        <v>0</v>
      </c>
      <c r="P153" cm="1">
        <f t="array" aca="1" ref="P153" ca="1">INDIRECT(ADDRESS($B153,Plots!$H$4,,,Plots!$A$57))+INDIRECT(ADDRESS($B153,Plots!$H$4,,,Plots!$A$58))+INDIRECT(ADDRESS($B153,Plots!$H$4,,,Plots!$A$59))+INDIRECT(ADDRESS($B153,Plots!$H$4,,,Plots!$A$60))+INDIRECT(ADDRESS($B153,Plots!$H$4,,,Plots!$A$61))</f>
        <v>0</v>
      </c>
      <c r="Q153" cm="1">
        <f t="array" aca="1" ref="Q153" ca="1">INDIRECT(ADDRESS($B153,Plots!$H$4,,,Plots!$A$62))+INDIRECT(ADDRESS($B153,Plots!$H$4,,,Plots!$A$63))+INDIRECT(ADDRESS($B153,Plots!$H$4,,,Plots!$A$64))+INDIRECT(ADDRESS($B153,Plots!$H$4,,,Plots!$A$65))+INDIRECT(ADDRESS($B153,Plots!$H$4,,,Plots!$A$66))+INDIRECT(ADDRESS($B153,Plots!$H$4,,,Plots!$A$67))</f>
        <v>0</v>
      </c>
    </row>
    <row r="154" spans="1:17">
      <c r="A154">
        <f>'AARnetCBR-CamDTN1_tcpmon_ts_11'!A154</f>
        <v>284</v>
      </c>
      <c r="B154">
        <f t="shared" si="0"/>
        <v>154</v>
      </c>
      <c r="C154" cm="1">
        <f t="array" aca="1" ref="C154" ca="1">INDIRECT(ADDRESS($B154,Plots!$H$3,,,Plots!$A$47))</f>
        <v>26.24</v>
      </c>
      <c r="D154" cm="1">
        <f t="array" aca="1" ref="D154" ca="1">INDIRECT(ADDRESS($B154,Plots!$H$3,,,Plots!$A$48))+INDIRECT(ADDRESS($B154,Plots!$H$3,,,Plots!$A$49))</f>
        <v>55.33</v>
      </c>
      <c r="E154" cm="1">
        <f t="array" aca="1" ref="E154" ca="1">INDIRECT(ADDRESS($B154,Plots!$H$3,,,Plots!$A$50))+INDIRECT(ADDRESS($B154,Plots!$H$3,,,Plots!$A$51))+INDIRECT(ADDRESS($B154,Plots!$H$3,,,Plots!$A$52))</f>
        <v>59.93</v>
      </c>
      <c r="F154" cm="1">
        <f t="array" aca="1" ref="F154" ca="1">INDIRECT(ADDRESS($B154,Plots!$H$3,,,Plots!$A$53))+INDIRECT(ADDRESS($B154,Plots!$H$3,,,Plots!$A$54))+INDIRECT(ADDRESS($B154,Plots!$H$3,,,Plots!$A$55))+INDIRECT(ADDRESS($B154,Plots!$H$3,,,Plots!$A$56))</f>
        <v>88.87</v>
      </c>
      <c r="G154" cm="1">
        <f t="array" aca="1" ref="G154" ca="1">INDIRECT(ADDRESS($B154,Plots!$H$3,,,Plots!$A$57))+INDIRECT(ADDRESS($B154,Plots!$H$3,,,Plots!$A$58))+INDIRECT(ADDRESS($B154,Plots!$H$3,,,Plots!$A$59))+INDIRECT(ADDRESS($B154,Plots!$H$3,,,Plots!$A$60))+INDIRECT(ADDRESS($B154,Plots!$H$3,,,Plots!$A$61))</f>
        <v>0</v>
      </c>
      <c r="H154" cm="1">
        <f t="array" aca="1" ref="H154" ca="1">INDIRECT(ADDRESS($B154,Plots!$H$3,,,Plots!$A$62))+INDIRECT(ADDRESS($B154,Plots!$H$3,,,Plots!$A$63))+INDIRECT(ADDRESS($B154,Plots!$H$3,,,Plots!$A$64))+INDIRECT(ADDRESS($B154,Plots!$H$3,,,Plots!$A$65))+INDIRECT(ADDRESS($B154,Plots!$H$3,,,Plots!$A$66))+INDIRECT(ADDRESS($B154,Plots!$H$3,,,Plots!$A$67))</f>
        <v>0</v>
      </c>
      <c r="I154">
        <f>'AARnetCBR-CamDTN1_tcpmon_ts_81'!H158+'AARnetCBR-CamDTN1_tcpmon_ts_82'!H158+'AARnetCBR-CamDTN1_tcpmon_ts_83'!H158+'AARnetCBR-CamDTN1_tcpmon_ts_84'!H158+'AARnetCBR-CamDTN1_tcpmon_ts_85'!H158+'AARnetCBR-CamDTN1_tcpmon_ts_86'!H158+'AARnetCBR-CamDTN1_tcpmon_ts_87'!H158+'AARnetCBR-CamDTN1_tcpmon_ts_88'!H158</f>
        <v>0</v>
      </c>
      <c r="L154" cm="1">
        <f t="array" aca="1" ref="L154" ca="1">INDIRECT(ADDRESS($B154,Plots!$H$4,,,Plots!$A$47))</f>
        <v>0</v>
      </c>
      <c r="M154" cm="1">
        <f t="array" aca="1" ref="M154" ca="1">INDIRECT(ADDRESS($B154,Plots!$H$4,,,Plots!$A$48))+INDIRECT(ADDRESS($B154,Plots!$H$4,,,Plots!$A$49))</f>
        <v>0</v>
      </c>
      <c r="N154" cm="1">
        <f t="array" aca="1" ref="N154" ca="1">INDIRECT(ADDRESS($B154,Plots!$H$4,,,Plots!$A$50))+INDIRECT(ADDRESS($B154,Plots!$H$4,,,Plots!$A$51))+INDIRECT(ADDRESS($B154,Plots!$H$4,,,Plots!$A$52))</f>
        <v>0</v>
      </c>
      <c r="O154" cm="1">
        <f t="array" aca="1" ref="O154" ca="1">INDIRECT(ADDRESS($B154,Plots!$H$4,,,Plots!$A$53))+INDIRECT(ADDRESS($B154,Plots!$H$4,,,Plots!$A$54))+INDIRECT(ADDRESS($B154,Plots!$H$4,,,Plots!$A$55))+INDIRECT(ADDRESS($B154,Plots!$H$4,,,Plots!$A$56))</f>
        <v>0</v>
      </c>
      <c r="P154" cm="1">
        <f t="array" aca="1" ref="P154" ca="1">INDIRECT(ADDRESS($B154,Plots!$H$4,,,Plots!$A$57))+INDIRECT(ADDRESS($B154,Plots!$H$4,,,Plots!$A$58))+INDIRECT(ADDRESS($B154,Plots!$H$4,,,Plots!$A$59))+INDIRECT(ADDRESS($B154,Plots!$H$4,,,Plots!$A$60))+INDIRECT(ADDRESS($B154,Plots!$H$4,,,Plots!$A$61))</f>
        <v>0</v>
      </c>
      <c r="Q154" cm="1">
        <f t="array" aca="1" ref="Q154" ca="1">INDIRECT(ADDRESS($B154,Plots!$H$4,,,Plots!$A$62))+INDIRECT(ADDRESS($B154,Plots!$H$4,,,Plots!$A$63))+INDIRECT(ADDRESS($B154,Plots!$H$4,,,Plots!$A$64))+INDIRECT(ADDRESS($B154,Plots!$H$4,,,Plots!$A$65))+INDIRECT(ADDRESS($B154,Plots!$H$4,,,Plots!$A$66))+INDIRECT(ADDRESS($B154,Plots!$H$4,,,Plots!$A$67))</f>
        <v>0</v>
      </c>
    </row>
    <row r="155" spans="1:17">
      <c r="A155">
        <f>'AARnetCBR-CamDTN1_tcpmon_ts_11'!A155</f>
        <v>286</v>
      </c>
      <c r="B155">
        <f t="shared" si="0"/>
        <v>155</v>
      </c>
      <c r="C155" cm="1">
        <f t="array" aca="1" ref="C155" ca="1">INDIRECT(ADDRESS($B155,Plots!$H$3,,,Plots!$A$47))</f>
        <v>26.2</v>
      </c>
      <c r="D155" cm="1">
        <f t="array" aca="1" ref="D155" ca="1">INDIRECT(ADDRESS($B155,Plots!$H$3,,,Plots!$A$48))+INDIRECT(ADDRESS($B155,Plots!$H$3,,,Plots!$A$49))</f>
        <v>57.31</v>
      </c>
      <c r="E155" cm="1">
        <f t="array" aca="1" ref="E155" ca="1">INDIRECT(ADDRESS($B155,Plots!$H$3,,,Plots!$A$50))+INDIRECT(ADDRESS($B155,Plots!$H$3,,,Plots!$A$51))+INDIRECT(ADDRESS($B155,Plots!$H$3,,,Plots!$A$52))</f>
        <v>73.88</v>
      </c>
      <c r="F155" cm="1">
        <f t="array" aca="1" ref="F155" ca="1">INDIRECT(ADDRESS($B155,Plots!$H$3,,,Plots!$A$53))+INDIRECT(ADDRESS($B155,Plots!$H$3,,,Plots!$A$54))+INDIRECT(ADDRESS($B155,Plots!$H$3,,,Plots!$A$55))+INDIRECT(ADDRESS($B155,Plots!$H$3,,,Plots!$A$56))</f>
        <v>82.84</v>
      </c>
      <c r="G155" cm="1">
        <f t="array" aca="1" ref="G155" ca="1">INDIRECT(ADDRESS($B155,Plots!$H$3,,,Plots!$A$57))+INDIRECT(ADDRESS($B155,Plots!$H$3,,,Plots!$A$58))+INDIRECT(ADDRESS($B155,Plots!$H$3,,,Plots!$A$59))+INDIRECT(ADDRESS($B155,Plots!$H$3,,,Plots!$A$60))+INDIRECT(ADDRESS($B155,Plots!$H$3,,,Plots!$A$61))</f>
        <v>0</v>
      </c>
      <c r="H155" cm="1">
        <f t="array" aca="1" ref="H155" ca="1">INDIRECT(ADDRESS($B155,Plots!$H$3,,,Plots!$A$62))+INDIRECT(ADDRESS($B155,Plots!$H$3,,,Plots!$A$63))+INDIRECT(ADDRESS($B155,Plots!$H$3,,,Plots!$A$64))+INDIRECT(ADDRESS($B155,Plots!$H$3,,,Plots!$A$65))+INDIRECT(ADDRESS($B155,Plots!$H$3,,,Plots!$A$66))+INDIRECT(ADDRESS($B155,Plots!$H$3,,,Plots!$A$67))</f>
        <v>0</v>
      </c>
      <c r="I155">
        <f>'AARnetCBR-CamDTN1_tcpmon_ts_81'!H159+'AARnetCBR-CamDTN1_tcpmon_ts_82'!H159+'AARnetCBR-CamDTN1_tcpmon_ts_83'!H159+'AARnetCBR-CamDTN1_tcpmon_ts_84'!H159+'AARnetCBR-CamDTN1_tcpmon_ts_85'!H159+'AARnetCBR-CamDTN1_tcpmon_ts_86'!H159+'AARnetCBR-CamDTN1_tcpmon_ts_87'!H159+'AARnetCBR-CamDTN1_tcpmon_ts_88'!H159</f>
        <v>0</v>
      </c>
      <c r="L155" cm="1">
        <f t="array" aca="1" ref="L155" ca="1">INDIRECT(ADDRESS($B155,Plots!$H$4,,,Plots!$A$47))</f>
        <v>0</v>
      </c>
      <c r="M155" cm="1">
        <f t="array" aca="1" ref="M155" ca="1">INDIRECT(ADDRESS($B155,Plots!$H$4,,,Plots!$A$48))+INDIRECT(ADDRESS($B155,Plots!$H$4,,,Plots!$A$49))</f>
        <v>0</v>
      </c>
      <c r="N155" cm="1">
        <f t="array" aca="1" ref="N155" ca="1">INDIRECT(ADDRESS($B155,Plots!$H$4,,,Plots!$A$50))+INDIRECT(ADDRESS($B155,Plots!$H$4,,,Plots!$A$51))+INDIRECT(ADDRESS($B155,Plots!$H$4,,,Plots!$A$52))</f>
        <v>0</v>
      </c>
      <c r="O155" cm="1">
        <f t="array" aca="1" ref="O155" ca="1">INDIRECT(ADDRESS($B155,Plots!$H$4,,,Plots!$A$53))+INDIRECT(ADDRESS($B155,Plots!$H$4,,,Plots!$A$54))+INDIRECT(ADDRESS($B155,Plots!$H$4,,,Plots!$A$55))+INDIRECT(ADDRESS($B155,Plots!$H$4,,,Plots!$A$56))</f>
        <v>0</v>
      </c>
      <c r="P155" cm="1">
        <f t="array" aca="1" ref="P155" ca="1">INDIRECT(ADDRESS($B155,Plots!$H$4,,,Plots!$A$57))+INDIRECT(ADDRESS($B155,Plots!$H$4,,,Plots!$A$58))+INDIRECT(ADDRESS($B155,Plots!$H$4,,,Plots!$A$59))+INDIRECT(ADDRESS($B155,Plots!$H$4,,,Plots!$A$60))+INDIRECT(ADDRESS($B155,Plots!$H$4,,,Plots!$A$61))</f>
        <v>0</v>
      </c>
      <c r="Q155" cm="1">
        <f t="array" aca="1" ref="Q155" ca="1">INDIRECT(ADDRESS($B155,Plots!$H$4,,,Plots!$A$62))+INDIRECT(ADDRESS($B155,Plots!$H$4,,,Plots!$A$63))+INDIRECT(ADDRESS($B155,Plots!$H$4,,,Plots!$A$64))+INDIRECT(ADDRESS($B155,Plots!$H$4,,,Plots!$A$65))+INDIRECT(ADDRESS($B155,Plots!$H$4,,,Plots!$A$66))+INDIRECT(ADDRESS($B155,Plots!$H$4,,,Plots!$A$67))</f>
        <v>0</v>
      </c>
    </row>
    <row r="156" spans="1:17">
      <c r="A156">
        <f>'AARnetCBR-CamDTN1_tcpmon_ts_11'!A156</f>
        <v>288</v>
      </c>
      <c r="B156">
        <f t="shared" si="0"/>
        <v>156</v>
      </c>
      <c r="C156" cm="1">
        <f t="array" aca="1" ref="C156" ca="1">INDIRECT(ADDRESS($B156,Plots!$H$3,,,Plots!$A$47))</f>
        <v>26.48</v>
      </c>
      <c r="D156" cm="1">
        <f t="array" aca="1" ref="D156" ca="1">INDIRECT(ADDRESS($B156,Plots!$H$3,,,Plots!$A$48))+INDIRECT(ADDRESS($B156,Plots!$H$3,,,Plots!$A$49))</f>
        <v>55.7</v>
      </c>
      <c r="E156" cm="1">
        <f t="array" aca="1" ref="E156" ca="1">INDIRECT(ADDRESS($B156,Plots!$H$3,,,Plots!$A$50))+INDIRECT(ADDRESS($B156,Plots!$H$3,,,Plots!$A$51))+INDIRECT(ADDRESS($B156,Plots!$H$3,,,Plots!$A$52))</f>
        <v>61.11</v>
      </c>
      <c r="F156" cm="1">
        <f t="array" aca="1" ref="F156" ca="1">INDIRECT(ADDRESS($B156,Plots!$H$3,,,Plots!$A$53))+INDIRECT(ADDRESS($B156,Plots!$H$3,,,Plots!$A$54))+INDIRECT(ADDRESS($B156,Plots!$H$3,,,Plots!$A$55))+INDIRECT(ADDRESS($B156,Plots!$H$3,,,Plots!$A$56))</f>
        <v>92.990000000000009</v>
      </c>
      <c r="G156" cm="1">
        <f t="array" aca="1" ref="G156" ca="1">INDIRECT(ADDRESS($B156,Plots!$H$3,,,Plots!$A$57))+INDIRECT(ADDRESS($B156,Plots!$H$3,,,Plots!$A$58))+INDIRECT(ADDRESS($B156,Plots!$H$3,,,Plots!$A$59))+INDIRECT(ADDRESS($B156,Plots!$H$3,,,Plots!$A$60))+INDIRECT(ADDRESS($B156,Plots!$H$3,,,Plots!$A$61))</f>
        <v>0</v>
      </c>
      <c r="H156" cm="1">
        <f t="array" aca="1" ref="H156" ca="1">INDIRECT(ADDRESS($B156,Plots!$H$3,,,Plots!$A$62))+INDIRECT(ADDRESS($B156,Plots!$H$3,,,Plots!$A$63))+INDIRECT(ADDRESS($B156,Plots!$H$3,,,Plots!$A$64))+INDIRECT(ADDRESS($B156,Plots!$H$3,,,Plots!$A$65))+INDIRECT(ADDRESS($B156,Plots!$H$3,,,Plots!$A$66))+INDIRECT(ADDRESS($B156,Plots!$H$3,,,Plots!$A$67))</f>
        <v>0</v>
      </c>
      <c r="I156">
        <f>'AARnetCBR-CamDTN1_tcpmon_ts_81'!H160+'AARnetCBR-CamDTN1_tcpmon_ts_82'!H160+'AARnetCBR-CamDTN1_tcpmon_ts_83'!H160+'AARnetCBR-CamDTN1_tcpmon_ts_84'!H160+'AARnetCBR-CamDTN1_tcpmon_ts_85'!H160+'AARnetCBR-CamDTN1_tcpmon_ts_86'!H160+'AARnetCBR-CamDTN1_tcpmon_ts_87'!H160+'AARnetCBR-CamDTN1_tcpmon_ts_88'!H160</f>
        <v>0</v>
      </c>
      <c r="L156" cm="1">
        <f t="array" aca="1" ref="L156" ca="1">INDIRECT(ADDRESS($B156,Plots!$H$4,,,Plots!$A$47))</f>
        <v>0</v>
      </c>
      <c r="M156" cm="1">
        <f t="array" aca="1" ref="M156" ca="1">INDIRECT(ADDRESS($B156,Plots!$H$4,,,Plots!$A$48))+INDIRECT(ADDRESS($B156,Plots!$H$4,,,Plots!$A$49))</f>
        <v>0</v>
      </c>
      <c r="N156" cm="1">
        <f t="array" aca="1" ref="N156" ca="1">INDIRECT(ADDRESS($B156,Plots!$H$4,,,Plots!$A$50))+INDIRECT(ADDRESS($B156,Plots!$H$4,,,Plots!$A$51))+INDIRECT(ADDRESS($B156,Plots!$H$4,,,Plots!$A$52))</f>
        <v>0</v>
      </c>
      <c r="O156" cm="1">
        <f t="array" aca="1" ref="O156" ca="1">INDIRECT(ADDRESS($B156,Plots!$H$4,,,Plots!$A$53))+INDIRECT(ADDRESS($B156,Plots!$H$4,,,Plots!$A$54))+INDIRECT(ADDRESS($B156,Plots!$H$4,,,Plots!$A$55))+INDIRECT(ADDRESS($B156,Plots!$H$4,,,Plots!$A$56))</f>
        <v>0</v>
      </c>
      <c r="P156" cm="1">
        <f t="array" aca="1" ref="P156" ca="1">INDIRECT(ADDRESS($B156,Plots!$H$4,,,Plots!$A$57))+INDIRECT(ADDRESS($B156,Plots!$H$4,,,Plots!$A$58))+INDIRECT(ADDRESS($B156,Plots!$H$4,,,Plots!$A$59))+INDIRECT(ADDRESS($B156,Plots!$H$4,,,Plots!$A$60))+INDIRECT(ADDRESS($B156,Plots!$H$4,,,Plots!$A$61))</f>
        <v>0</v>
      </c>
      <c r="Q156" cm="1">
        <f t="array" aca="1" ref="Q156" ca="1">INDIRECT(ADDRESS($B156,Plots!$H$4,,,Plots!$A$62))+INDIRECT(ADDRESS($B156,Plots!$H$4,,,Plots!$A$63))+INDIRECT(ADDRESS($B156,Plots!$H$4,,,Plots!$A$64))+INDIRECT(ADDRESS($B156,Plots!$H$4,,,Plots!$A$65))+INDIRECT(ADDRESS($B156,Plots!$H$4,,,Plots!$A$66))+INDIRECT(ADDRESS($B156,Plots!$H$4,,,Plots!$A$67))</f>
        <v>0</v>
      </c>
    </row>
    <row r="157" spans="1:17">
      <c r="A157">
        <f>'AARnetCBR-CamDTN1_tcpmon_ts_11'!A157</f>
        <v>290</v>
      </c>
      <c r="B157">
        <f t="shared" si="0"/>
        <v>157</v>
      </c>
      <c r="C157" cm="1">
        <f t="array" aca="1" ref="C157" ca="1">INDIRECT(ADDRESS($B157,Plots!$H$3,,,Plots!$A$47))</f>
        <v>25.88</v>
      </c>
      <c r="D157" cm="1">
        <f t="array" aca="1" ref="D157" ca="1">INDIRECT(ADDRESS($B157,Plots!$H$3,,,Plots!$A$48))+INDIRECT(ADDRESS($B157,Plots!$H$3,,,Plots!$A$49))</f>
        <v>59.46</v>
      </c>
      <c r="E157" cm="1">
        <f t="array" aca="1" ref="E157" ca="1">INDIRECT(ADDRESS($B157,Plots!$H$3,,,Plots!$A$50))+INDIRECT(ADDRESS($B157,Plots!$H$3,,,Plots!$A$51))+INDIRECT(ADDRESS($B157,Plots!$H$3,,,Plots!$A$52))</f>
        <v>74.63</v>
      </c>
      <c r="F157" cm="1">
        <f t="array" aca="1" ref="F157" ca="1">INDIRECT(ADDRESS($B157,Plots!$H$3,,,Plots!$A$53))+INDIRECT(ADDRESS($B157,Plots!$H$3,,,Plots!$A$54))+INDIRECT(ADDRESS($B157,Plots!$H$3,,,Plots!$A$55))+INDIRECT(ADDRESS($B157,Plots!$H$3,,,Plots!$A$56))</f>
        <v>87.56</v>
      </c>
      <c r="G157" cm="1">
        <f t="array" aca="1" ref="G157" ca="1">INDIRECT(ADDRESS($B157,Plots!$H$3,,,Plots!$A$57))+INDIRECT(ADDRESS($B157,Plots!$H$3,,,Plots!$A$58))+INDIRECT(ADDRESS($B157,Plots!$H$3,,,Plots!$A$59))+INDIRECT(ADDRESS($B157,Plots!$H$3,,,Plots!$A$60))+INDIRECT(ADDRESS($B157,Plots!$H$3,,,Plots!$A$61))</f>
        <v>0</v>
      </c>
      <c r="H157" cm="1">
        <f t="array" aca="1" ref="H157" ca="1">INDIRECT(ADDRESS($B157,Plots!$H$3,,,Plots!$A$62))+INDIRECT(ADDRESS($B157,Plots!$H$3,,,Plots!$A$63))+INDIRECT(ADDRESS($B157,Plots!$H$3,,,Plots!$A$64))+INDIRECT(ADDRESS($B157,Plots!$H$3,,,Plots!$A$65))+INDIRECT(ADDRESS($B157,Plots!$H$3,,,Plots!$A$66))+INDIRECT(ADDRESS($B157,Plots!$H$3,,,Plots!$A$67))</f>
        <v>0</v>
      </c>
      <c r="I157">
        <f>'AARnetCBR-CamDTN1_tcpmon_ts_81'!H161+'AARnetCBR-CamDTN1_tcpmon_ts_82'!H161+'AARnetCBR-CamDTN1_tcpmon_ts_83'!H161+'AARnetCBR-CamDTN1_tcpmon_ts_84'!H161+'AARnetCBR-CamDTN1_tcpmon_ts_85'!H161+'AARnetCBR-CamDTN1_tcpmon_ts_86'!H161+'AARnetCBR-CamDTN1_tcpmon_ts_87'!H161+'AARnetCBR-CamDTN1_tcpmon_ts_88'!H161</f>
        <v>0</v>
      </c>
      <c r="L157" cm="1">
        <f t="array" aca="1" ref="L157" ca="1">INDIRECT(ADDRESS($B157,Plots!$H$4,,,Plots!$A$47))</f>
        <v>0</v>
      </c>
      <c r="M157" cm="1">
        <f t="array" aca="1" ref="M157" ca="1">INDIRECT(ADDRESS($B157,Plots!$H$4,,,Plots!$A$48))+INDIRECT(ADDRESS($B157,Plots!$H$4,,,Plots!$A$49))</f>
        <v>0</v>
      </c>
      <c r="N157" cm="1">
        <f t="array" aca="1" ref="N157" ca="1">INDIRECT(ADDRESS($B157,Plots!$H$4,,,Plots!$A$50))+INDIRECT(ADDRESS($B157,Plots!$H$4,,,Plots!$A$51))+INDIRECT(ADDRESS($B157,Plots!$H$4,,,Plots!$A$52))</f>
        <v>0</v>
      </c>
      <c r="O157" cm="1">
        <f t="array" aca="1" ref="O157" ca="1">INDIRECT(ADDRESS($B157,Plots!$H$4,,,Plots!$A$53))+INDIRECT(ADDRESS($B157,Plots!$H$4,,,Plots!$A$54))+INDIRECT(ADDRESS($B157,Plots!$H$4,,,Plots!$A$55))+INDIRECT(ADDRESS($B157,Plots!$H$4,,,Plots!$A$56))</f>
        <v>0</v>
      </c>
      <c r="P157" cm="1">
        <f t="array" aca="1" ref="P157" ca="1">INDIRECT(ADDRESS($B157,Plots!$H$4,,,Plots!$A$57))+INDIRECT(ADDRESS($B157,Plots!$H$4,,,Plots!$A$58))+INDIRECT(ADDRESS($B157,Plots!$H$4,,,Plots!$A$59))+INDIRECT(ADDRESS($B157,Plots!$H$4,,,Plots!$A$60))+INDIRECT(ADDRESS($B157,Plots!$H$4,,,Plots!$A$61))</f>
        <v>0</v>
      </c>
      <c r="Q157" cm="1">
        <f t="array" aca="1" ref="Q157" ca="1">INDIRECT(ADDRESS($B157,Plots!$H$4,,,Plots!$A$62))+INDIRECT(ADDRESS($B157,Plots!$H$4,,,Plots!$A$63))+INDIRECT(ADDRESS($B157,Plots!$H$4,,,Plots!$A$64))+INDIRECT(ADDRESS($B157,Plots!$H$4,,,Plots!$A$65))+INDIRECT(ADDRESS($B157,Plots!$H$4,,,Plots!$A$66))+INDIRECT(ADDRESS($B157,Plots!$H$4,,,Plots!$A$67))</f>
        <v>0</v>
      </c>
    </row>
    <row r="158" spans="1:17">
      <c r="A158">
        <f>'AARnetCBR-CamDTN1_tcpmon_ts_11'!A158</f>
        <v>292</v>
      </c>
      <c r="B158">
        <f t="shared" si="0"/>
        <v>158</v>
      </c>
      <c r="C158" cm="1">
        <f t="array" aca="1" ref="C158" ca="1">INDIRECT(ADDRESS($B158,Plots!$H$3,,,Plots!$A$47))</f>
        <v>26.05</v>
      </c>
      <c r="D158" cm="1">
        <f t="array" aca="1" ref="D158" ca="1">INDIRECT(ADDRESS($B158,Plots!$H$3,,,Plots!$A$48))+INDIRECT(ADDRESS($B158,Plots!$H$3,,,Plots!$A$49))</f>
        <v>54.26</v>
      </c>
      <c r="E158" cm="1">
        <f t="array" aca="1" ref="E158" ca="1">INDIRECT(ADDRESS($B158,Plots!$H$3,,,Plots!$A$50))+INDIRECT(ADDRESS($B158,Plots!$H$3,,,Plots!$A$51))+INDIRECT(ADDRESS($B158,Plots!$H$3,,,Plots!$A$52))</f>
        <v>60.17</v>
      </c>
      <c r="F158" cm="1">
        <f t="array" aca="1" ref="F158" ca="1">INDIRECT(ADDRESS($B158,Plots!$H$3,,,Plots!$A$53))+INDIRECT(ADDRESS($B158,Plots!$H$3,,,Plots!$A$54))+INDIRECT(ADDRESS($B158,Plots!$H$3,,,Plots!$A$55))+INDIRECT(ADDRESS($B158,Plots!$H$3,,,Plots!$A$56))</f>
        <v>88.949999999999989</v>
      </c>
      <c r="G158" cm="1">
        <f t="array" aca="1" ref="G158" ca="1">INDIRECT(ADDRESS($B158,Plots!$H$3,,,Plots!$A$57))+INDIRECT(ADDRESS($B158,Plots!$H$3,,,Plots!$A$58))+INDIRECT(ADDRESS($B158,Plots!$H$3,,,Plots!$A$59))+INDIRECT(ADDRESS($B158,Plots!$H$3,,,Plots!$A$60))+INDIRECT(ADDRESS($B158,Plots!$H$3,,,Plots!$A$61))</f>
        <v>0</v>
      </c>
      <c r="H158" cm="1">
        <f t="array" aca="1" ref="H158" ca="1">INDIRECT(ADDRESS($B158,Plots!$H$3,,,Plots!$A$62))+INDIRECT(ADDRESS($B158,Plots!$H$3,,,Plots!$A$63))+INDIRECT(ADDRESS($B158,Plots!$H$3,,,Plots!$A$64))+INDIRECT(ADDRESS($B158,Plots!$H$3,,,Plots!$A$65))+INDIRECT(ADDRESS($B158,Plots!$H$3,,,Plots!$A$66))+INDIRECT(ADDRESS($B158,Plots!$H$3,,,Plots!$A$67))</f>
        <v>0</v>
      </c>
      <c r="I158">
        <f>'AARnetCBR-CamDTN1_tcpmon_ts_81'!H162+'AARnetCBR-CamDTN1_tcpmon_ts_82'!H162+'AARnetCBR-CamDTN1_tcpmon_ts_83'!H162+'AARnetCBR-CamDTN1_tcpmon_ts_84'!H162+'AARnetCBR-CamDTN1_tcpmon_ts_85'!H162+'AARnetCBR-CamDTN1_tcpmon_ts_86'!H162+'AARnetCBR-CamDTN1_tcpmon_ts_87'!H162+'AARnetCBR-CamDTN1_tcpmon_ts_88'!H162</f>
        <v>0</v>
      </c>
      <c r="L158" cm="1">
        <f t="array" aca="1" ref="L158" ca="1">INDIRECT(ADDRESS($B158,Plots!$H$4,,,Plots!$A$47))</f>
        <v>0</v>
      </c>
      <c r="M158" cm="1">
        <f t="array" aca="1" ref="M158" ca="1">INDIRECT(ADDRESS($B158,Plots!$H$4,,,Plots!$A$48))+INDIRECT(ADDRESS($B158,Plots!$H$4,,,Plots!$A$49))</f>
        <v>0</v>
      </c>
      <c r="N158" cm="1">
        <f t="array" aca="1" ref="N158" ca="1">INDIRECT(ADDRESS($B158,Plots!$H$4,,,Plots!$A$50))+INDIRECT(ADDRESS($B158,Plots!$H$4,,,Plots!$A$51))+INDIRECT(ADDRESS($B158,Plots!$H$4,,,Plots!$A$52))</f>
        <v>0</v>
      </c>
      <c r="O158" cm="1">
        <f t="array" aca="1" ref="O158" ca="1">INDIRECT(ADDRESS($B158,Plots!$H$4,,,Plots!$A$53))+INDIRECT(ADDRESS($B158,Plots!$H$4,,,Plots!$A$54))+INDIRECT(ADDRESS($B158,Plots!$H$4,,,Plots!$A$55))+INDIRECT(ADDRESS($B158,Plots!$H$4,,,Plots!$A$56))</f>
        <v>0</v>
      </c>
      <c r="P158" cm="1">
        <f t="array" aca="1" ref="P158" ca="1">INDIRECT(ADDRESS($B158,Plots!$H$4,,,Plots!$A$57))+INDIRECT(ADDRESS($B158,Plots!$H$4,,,Plots!$A$58))+INDIRECT(ADDRESS($B158,Plots!$H$4,,,Plots!$A$59))+INDIRECT(ADDRESS($B158,Plots!$H$4,,,Plots!$A$60))+INDIRECT(ADDRESS($B158,Plots!$H$4,,,Plots!$A$61))</f>
        <v>0</v>
      </c>
      <c r="Q158" cm="1">
        <f t="array" aca="1" ref="Q158" ca="1">INDIRECT(ADDRESS($B158,Plots!$H$4,,,Plots!$A$62))+INDIRECT(ADDRESS($B158,Plots!$H$4,,,Plots!$A$63))+INDIRECT(ADDRESS($B158,Plots!$H$4,,,Plots!$A$64))+INDIRECT(ADDRESS($B158,Plots!$H$4,,,Plots!$A$65))+INDIRECT(ADDRESS($B158,Plots!$H$4,,,Plots!$A$66))+INDIRECT(ADDRESS($B158,Plots!$H$4,,,Plots!$A$67))</f>
        <v>0</v>
      </c>
    </row>
    <row r="159" spans="1:17">
      <c r="A159">
        <f>'AARnetCBR-CamDTN1_tcpmon_ts_11'!A159</f>
        <v>294</v>
      </c>
      <c r="B159">
        <f t="shared" si="0"/>
        <v>159</v>
      </c>
      <c r="C159" cm="1">
        <f t="array" aca="1" ref="C159" ca="1">INDIRECT(ADDRESS($B159,Plots!$H$3,,,Plots!$A$47))</f>
        <v>26.27</v>
      </c>
      <c r="D159" cm="1">
        <f t="array" aca="1" ref="D159" ca="1">INDIRECT(ADDRESS($B159,Plots!$H$3,,,Plots!$A$48))+INDIRECT(ADDRESS($B159,Plots!$H$3,,,Plots!$A$49))</f>
        <v>56.040000000000006</v>
      </c>
      <c r="E159" cm="1">
        <f t="array" aca="1" ref="E159" ca="1">INDIRECT(ADDRESS($B159,Plots!$H$3,,,Plots!$A$50))+INDIRECT(ADDRESS($B159,Plots!$H$3,,,Plots!$A$51))+INDIRECT(ADDRESS($B159,Plots!$H$3,,,Plots!$A$52))</f>
        <v>74.320000000000007</v>
      </c>
      <c r="F159" cm="1">
        <f t="array" aca="1" ref="F159" ca="1">INDIRECT(ADDRESS($B159,Plots!$H$3,,,Plots!$A$53))+INDIRECT(ADDRESS($B159,Plots!$H$3,,,Plots!$A$54))+INDIRECT(ADDRESS($B159,Plots!$H$3,,,Plots!$A$55))+INDIRECT(ADDRESS($B159,Plots!$H$3,,,Plots!$A$56))</f>
        <v>86.89</v>
      </c>
      <c r="G159" cm="1">
        <f t="array" aca="1" ref="G159" ca="1">INDIRECT(ADDRESS($B159,Plots!$H$3,,,Plots!$A$57))+INDIRECT(ADDRESS($B159,Plots!$H$3,,,Plots!$A$58))+INDIRECT(ADDRESS($B159,Plots!$H$3,,,Plots!$A$59))+INDIRECT(ADDRESS($B159,Plots!$H$3,,,Plots!$A$60))+INDIRECT(ADDRESS($B159,Plots!$H$3,,,Plots!$A$61))</f>
        <v>0</v>
      </c>
      <c r="H159" cm="1">
        <f t="array" aca="1" ref="H159" ca="1">INDIRECT(ADDRESS($B159,Plots!$H$3,,,Plots!$A$62))+INDIRECT(ADDRESS($B159,Plots!$H$3,,,Plots!$A$63))+INDIRECT(ADDRESS($B159,Plots!$H$3,,,Plots!$A$64))+INDIRECT(ADDRESS($B159,Plots!$H$3,,,Plots!$A$65))+INDIRECT(ADDRESS($B159,Plots!$H$3,,,Plots!$A$66))+INDIRECT(ADDRESS($B159,Plots!$H$3,,,Plots!$A$67))</f>
        <v>0</v>
      </c>
      <c r="I159">
        <f>'AARnetCBR-CamDTN1_tcpmon_ts_81'!H163+'AARnetCBR-CamDTN1_tcpmon_ts_82'!H163+'AARnetCBR-CamDTN1_tcpmon_ts_83'!H163+'AARnetCBR-CamDTN1_tcpmon_ts_84'!H163+'AARnetCBR-CamDTN1_tcpmon_ts_85'!H163+'AARnetCBR-CamDTN1_tcpmon_ts_86'!H163+'AARnetCBR-CamDTN1_tcpmon_ts_87'!H163+'AARnetCBR-CamDTN1_tcpmon_ts_88'!H163</f>
        <v>0</v>
      </c>
      <c r="L159" cm="1">
        <f t="array" aca="1" ref="L159" ca="1">INDIRECT(ADDRESS($B159,Plots!$H$4,,,Plots!$A$47))</f>
        <v>0</v>
      </c>
      <c r="M159" cm="1">
        <f t="array" aca="1" ref="M159" ca="1">INDIRECT(ADDRESS($B159,Plots!$H$4,,,Plots!$A$48))+INDIRECT(ADDRESS($B159,Plots!$H$4,,,Plots!$A$49))</f>
        <v>0</v>
      </c>
      <c r="N159" cm="1">
        <f t="array" aca="1" ref="N159" ca="1">INDIRECT(ADDRESS($B159,Plots!$H$4,,,Plots!$A$50))+INDIRECT(ADDRESS($B159,Plots!$H$4,,,Plots!$A$51))+INDIRECT(ADDRESS($B159,Plots!$H$4,,,Plots!$A$52))</f>
        <v>0</v>
      </c>
      <c r="O159" cm="1">
        <f t="array" aca="1" ref="O159" ca="1">INDIRECT(ADDRESS($B159,Plots!$H$4,,,Plots!$A$53))+INDIRECT(ADDRESS($B159,Plots!$H$4,,,Plots!$A$54))+INDIRECT(ADDRESS($B159,Plots!$H$4,,,Plots!$A$55))+INDIRECT(ADDRESS($B159,Plots!$H$4,,,Plots!$A$56))</f>
        <v>0</v>
      </c>
      <c r="P159" cm="1">
        <f t="array" aca="1" ref="P159" ca="1">INDIRECT(ADDRESS($B159,Plots!$H$4,,,Plots!$A$57))+INDIRECT(ADDRESS($B159,Plots!$H$4,,,Plots!$A$58))+INDIRECT(ADDRESS($B159,Plots!$H$4,,,Plots!$A$59))+INDIRECT(ADDRESS($B159,Plots!$H$4,,,Plots!$A$60))+INDIRECT(ADDRESS($B159,Plots!$H$4,,,Plots!$A$61))</f>
        <v>0</v>
      </c>
      <c r="Q159" cm="1">
        <f t="array" aca="1" ref="Q159" ca="1">INDIRECT(ADDRESS($B159,Plots!$H$4,,,Plots!$A$62))+INDIRECT(ADDRESS($B159,Plots!$H$4,,,Plots!$A$63))+INDIRECT(ADDRESS($B159,Plots!$H$4,,,Plots!$A$64))+INDIRECT(ADDRESS($B159,Plots!$H$4,,,Plots!$A$65))+INDIRECT(ADDRESS($B159,Plots!$H$4,,,Plots!$A$66))+INDIRECT(ADDRESS($B159,Plots!$H$4,,,Plots!$A$67))</f>
        <v>0</v>
      </c>
    </row>
    <row r="160" spans="1:17">
      <c r="A160">
        <f>'AARnetCBR-CamDTN1_tcpmon_ts_11'!A160</f>
        <v>296</v>
      </c>
      <c r="B160">
        <f t="shared" si="0"/>
        <v>160</v>
      </c>
      <c r="C160" cm="1">
        <f t="array" aca="1" ref="C160" ca="1">INDIRECT(ADDRESS($B160,Plots!$H$3,,,Plots!$A$47))</f>
        <v>26</v>
      </c>
      <c r="D160" cm="1">
        <f t="array" aca="1" ref="D160" ca="1">INDIRECT(ADDRESS($B160,Plots!$H$3,,,Plots!$A$48))+INDIRECT(ADDRESS($B160,Plots!$H$3,,,Plots!$A$49))</f>
        <v>59.33</v>
      </c>
      <c r="E160" cm="1">
        <f t="array" aca="1" ref="E160" ca="1">INDIRECT(ADDRESS($B160,Plots!$H$3,,,Plots!$A$50))+INDIRECT(ADDRESS($B160,Plots!$H$3,,,Plots!$A$51))+INDIRECT(ADDRESS($B160,Plots!$H$3,,,Plots!$A$52))</f>
        <v>60.679999999999993</v>
      </c>
      <c r="F160" cm="1">
        <f t="array" aca="1" ref="F160" ca="1">INDIRECT(ADDRESS($B160,Plots!$H$3,,,Plots!$A$53))+INDIRECT(ADDRESS($B160,Plots!$H$3,,,Plots!$A$54))+INDIRECT(ADDRESS($B160,Plots!$H$3,,,Plots!$A$55))+INDIRECT(ADDRESS($B160,Plots!$H$3,,,Plots!$A$56))</f>
        <v>90.27000000000001</v>
      </c>
      <c r="G160" cm="1">
        <f t="array" aca="1" ref="G160" ca="1">INDIRECT(ADDRESS($B160,Plots!$H$3,,,Plots!$A$57))+INDIRECT(ADDRESS($B160,Plots!$H$3,,,Plots!$A$58))+INDIRECT(ADDRESS($B160,Plots!$H$3,,,Plots!$A$59))+INDIRECT(ADDRESS($B160,Plots!$H$3,,,Plots!$A$60))+INDIRECT(ADDRESS($B160,Plots!$H$3,,,Plots!$A$61))</f>
        <v>0</v>
      </c>
      <c r="H160" cm="1">
        <f t="array" aca="1" ref="H160" ca="1">INDIRECT(ADDRESS($B160,Plots!$H$3,,,Plots!$A$62))+INDIRECT(ADDRESS($B160,Plots!$H$3,,,Plots!$A$63))+INDIRECT(ADDRESS($B160,Plots!$H$3,,,Plots!$A$64))+INDIRECT(ADDRESS($B160,Plots!$H$3,,,Plots!$A$65))+INDIRECT(ADDRESS($B160,Plots!$H$3,,,Plots!$A$66))+INDIRECT(ADDRESS($B160,Plots!$H$3,,,Plots!$A$67))</f>
        <v>0</v>
      </c>
      <c r="I160">
        <f>'AARnetCBR-CamDTN1_tcpmon_ts_81'!H164+'AARnetCBR-CamDTN1_tcpmon_ts_82'!H164+'AARnetCBR-CamDTN1_tcpmon_ts_83'!H164+'AARnetCBR-CamDTN1_tcpmon_ts_84'!H164+'AARnetCBR-CamDTN1_tcpmon_ts_85'!H164+'AARnetCBR-CamDTN1_tcpmon_ts_86'!H164+'AARnetCBR-CamDTN1_tcpmon_ts_87'!H164+'AARnetCBR-CamDTN1_tcpmon_ts_88'!H164</f>
        <v>0</v>
      </c>
      <c r="L160" cm="1">
        <f t="array" aca="1" ref="L160" ca="1">INDIRECT(ADDRESS($B160,Plots!$H$4,,,Plots!$A$47))</f>
        <v>0</v>
      </c>
      <c r="M160" cm="1">
        <f t="array" aca="1" ref="M160" ca="1">INDIRECT(ADDRESS($B160,Plots!$H$4,,,Plots!$A$48))+INDIRECT(ADDRESS($B160,Plots!$H$4,,,Plots!$A$49))</f>
        <v>0</v>
      </c>
      <c r="N160" cm="1">
        <f t="array" aca="1" ref="N160" ca="1">INDIRECT(ADDRESS($B160,Plots!$H$4,,,Plots!$A$50))+INDIRECT(ADDRESS($B160,Plots!$H$4,,,Plots!$A$51))+INDIRECT(ADDRESS($B160,Plots!$H$4,,,Plots!$A$52))</f>
        <v>0</v>
      </c>
      <c r="O160" cm="1">
        <f t="array" aca="1" ref="O160" ca="1">INDIRECT(ADDRESS($B160,Plots!$H$4,,,Plots!$A$53))+INDIRECT(ADDRESS($B160,Plots!$H$4,,,Plots!$A$54))+INDIRECT(ADDRESS($B160,Plots!$H$4,,,Plots!$A$55))+INDIRECT(ADDRESS($B160,Plots!$H$4,,,Plots!$A$56))</f>
        <v>0</v>
      </c>
      <c r="P160" cm="1">
        <f t="array" aca="1" ref="P160" ca="1">INDIRECT(ADDRESS($B160,Plots!$H$4,,,Plots!$A$57))+INDIRECT(ADDRESS($B160,Plots!$H$4,,,Plots!$A$58))+INDIRECT(ADDRESS($B160,Plots!$H$4,,,Plots!$A$59))+INDIRECT(ADDRESS($B160,Plots!$H$4,,,Plots!$A$60))+INDIRECT(ADDRESS($B160,Plots!$H$4,,,Plots!$A$61))</f>
        <v>0</v>
      </c>
      <c r="Q160" cm="1">
        <f t="array" aca="1" ref="Q160" ca="1">INDIRECT(ADDRESS($B160,Plots!$H$4,,,Plots!$A$62))+INDIRECT(ADDRESS($B160,Plots!$H$4,,,Plots!$A$63))+INDIRECT(ADDRESS($B160,Plots!$H$4,,,Plots!$A$64))+INDIRECT(ADDRESS($B160,Plots!$H$4,,,Plots!$A$65))+INDIRECT(ADDRESS($B160,Plots!$H$4,,,Plots!$A$66))+INDIRECT(ADDRESS($B160,Plots!$H$4,,,Plots!$A$67))</f>
        <v>0</v>
      </c>
    </row>
    <row r="161" spans="1:17">
      <c r="A161">
        <f>'AARnetCBR-CamDTN1_tcpmon_ts_11'!A161</f>
        <v>298</v>
      </c>
      <c r="B161">
        <f t="shared" si="0"/>
        <v>161</v>
      </c>
      <c r="C161" cm="1">
        <f t="array" aca="1" ref="C161" ca="1">INDIRECT(ADDRESS($B161,Plots!$H$3,,,Plots!$A$47))</f>
        <v>25.9</v>
      </c>
      <c r="D161" cm="1">
        <f t="array" aca="1" ref="D161" ca="1">INDIRECT(ADDRESS($B161,Plots!$H$3,,,Plots!$A$48))+INDIRECT(ADDRESS($B161,Plots!$H$3,,,Plots!$A$49))</f>
        <v>59.349999999999994</v>
      </c>
      <c r="E161" cm="1">
        <f t="array" aca="1" ref="E161" ca="1">INDIRECT(ADDRESS($B161,Plots!$H$3,,,Plots!$A$50))+INDIRECT(ADDRESS($B161,Plots!$H$3,,,Plots!$A$51))+INDIRECT(ADDRESS($B161,Plots!$H$3,,,Plots!$A$52))</f>
        <v>74.290000000000006</v>
      </c>
      <c r="F161" cm="1">
        <f t="array" aca="1" ref="F161" ca="1">INDIRECT(ADDRESS($B161,Plots!$H$3,,,Plots!$A$53))+INDIRECT(ADDRESS($B161,Plots!$H$3,,,Plots!$A$54))+INDIRECT(ADDRESS($B161,Plots!$H$3,,,Plots!$A$55))+INDIRECT(ADDRESS($B161,Plots!$H$3,,,Plots!$A$56))</f>
        <v>90.64</v>
      </c>
      <c r="G161" cm="1">
        <f t="array" aca="1" ref="G161" ca="1">INDIRECT(ADDRESS($B161,Plots!$H$3,,,Plots!$A$57))+INDIRECT(ADDRESS($B161,Plots!$H$3,,,Plots!$A$58))+INDIRECT(ADDRESS($B161,Plots!$H$3,,,Plots!$A$59))+INDIRECT(ADDRESS($B161,Plots!$H$3,,,Plots!$A$60))+INDIRECT(ADDRESS($B161,Plots!$H$3,,,Plots!$A$61))</f>
        <v>0</v>
      </c>
      <c r="H161" cm="1">
        <f t="array" aca="1" ref="H161" ca="1">INDIRECT(ADDRESS($B161,Plots!$H$3,,,Plots!$A$62))+INDIRECT(ADDRESS($B161,Plots!$H$3,,,Plots!$A$63))+INDIRECT(ADDRESS($B161,Plots!$H$3,,,Plots!$A$64))+INDIRECT(ADDRESS($B161,Plots!$H$3,,,Plots!$A$65))+INDIRECT(ADDRESS($B161,Plots!$H$3,,,Plots!$A$66))+INDIRECT(ADDRESS($B161,Plots!$H$3,,,Plots!$A$67))</f>
        <v>0</v>
      </c>
      <c r="I161">
        <f>'AARnetCBR-CamDTN1_tcpmon_ts_81'!H165+'AARnetCBR-CamDTN1_tcpmon_ts_82'!H165+'AARnetCBR-CamDTN1_tcpmon_ts_83'!H165+'AARnetCBR-CamDTN1_tcpmon_ts_84'!H165+'AARnetCBR-CamDTN1_tcpmon_ts_85'!H165+'AARnetCBR-CamDTN1_tcpmon_ts_86'!H165+'AARnetCBR-CamDTN1_tcpmon_ts_87'!H165+'AARnetCBR-CamDTN1_tcpmon_ts_88'!H165</f>
        <v>0</v>
      </c>
      <c r="L161" cm="1">
        <f t="array" aca="1" ref="L161" ca="1">INDIRECT(ADDRESS($B161,Plots!$H$4,,,Plots!$A$47))</f>
        <v>0</v>
      </c>
      <c r="M161" cm="1">
        <f t="array" aca="1" ref="M161" ca="1">INDIRECT(ADDRESS($B161,Plots!$H$4,,,Plots!$A$48))+INDIRECT(ADDRESS($B161,Plots!$H$4,,,Plots!$A$49))</f>
        <v>0</v>
      </c>
      <c r="N161" cm="1">
        <f t="array" aca="1" ref="N161" ca="1">INDIRECT(ADDRESS($B161,Plots!$H$4,,,Plots!$A$50))+INDIRECT(ADDRESS($B161,Plots!$H$4,,,Plots!$A$51))+INDIRECT(ADDRESS($B161,Plots!$H$4,,,Plots!$A$52))</f>
        <v>0</v>
      </c>
      <c r="O161" cm="1">
        <f t="array" aca="1" ref="O161" ca="1">INDIRECT(ADDRESS($B161,Plots!$H$4,,,Plots!$A$53))+INDIRECT(ADDRESS($B161,Plots!$H$4,,,Plots!$A$54))+INDIRECT(ADDRESS($B161,Plots!$H$4,,,Plots!$A$55))+INDIRECT(ADDRESS($B161,Plots!$H$4,,,Plots!$A$56))</f>
        <v>0</v>
      </c>
      <c r="P161" cm="1">
        <f t="array" aca="1" ref="P161" ca="1">INDIRECT(ADDRESS($B161,Plots!$H$4,,,Plots!$A$57))+INDIRECT(ADDRESS($B161,Plots!$H$4,,,Plots!$A$58))+INDIRECT(ADDRESS($B161,Plots!$H$4,,,Plots!$A$59))+INDIRECT(ADDRESS($B161,Plots!$H$4,,,Plots!$A$60))+INDIRECT(ADDRESS($B161,Plots!$H$4,,,Plots!$A$61))</f>
        <v>0</v>
      </c>
      <c r="Q161" cm="1">
        <f t="array" aca="1" ref="Q161" ca="1">INDIRECT(ADDRESS($B161,Plots!$H$4,,,Plots!$A$62))+INDIRECT(ADDRESS($B161,Plots!$H$4,,,Plots!$A$63))+INDIRECT(ADDRESS($B161,Plots!$H$4,,,Plots!$A$64))+INDIRECT(ADDRESS($B161,Plots!$H$4,,,Plots!$A$65))+INDIRECT(ADDRESS($B161,Plots!$H$4,,,Plots!$A$66))+INDIRECT(ADDRESS($B161,Plots!$H$4,,,Plots!$A$67))</f>
        <v>0</v>
      </c>
    </row>
    <row r="162" spans="1:17">
      <c r="A162" s="1" t="s">
        <v>281</v>
      </c>
      <c r="B162">
        <f t="shared" si="0"/>
        <v>162</v>
      </c>
      <c r="C162">
        <f ca="1">AVERAGE(C4:C161)</f>
        <v>22.164556962025319</v>
      </c>
      <c r="D162">
        <f t="shared" ref="D162:F162" ca="1" si="1">AVERAGE(D4:D161)</f>
        <v>50.782088607594943</v>
      </c>
      <c r="E162">
        <f t="shared" ca="1" si="1"/>
        <v>59.320126582278483</v>
      </c>
      <c r="F162">
        <f t="shared" ca="1" si="1"/>
        <v>76.151962025316394</v>
      </c>
      <c r="G162" cm="1">
        <f t="array" aca="1" ref="G162" ca="1">INDIRECT(ADDRESS($B162,Plots!$H$3,,,Plots!$A$57))+INDIRECT(ADDRESS($B162,Plots!$H$3,,,Plots!$A$58))+INDIRECT(ADDRESS($B162,Plots!$H$3,,,Plots!$A$59))+INDIRECT(ADDRESS($B162,Plots!$H$3,,,Plots!$A$60))+INDIRECT(ADDRESS($B162,Plots!$H$3,,,Plots!$A$61))</f>
        <v>0</v>
      </c>
      <c r="H162" cm="1">
        <f t="array" aca="1" ref="H162" ca="1">INDIRECT(ADDRESS($B162,Plots!$H$3,,,Plots!$A$62))+INDIRECT(ADDRESS($B162,Plots!$H$3,,,Plots!$A$63))+INDIRECT(ADDRESS($B162,Plots!$H$3,,,Plots!$A$64))+INDIRECT(ADDRESS($B162,Plots!$H$3,,,Plots!$A$65))+INDIRECT(ADDRESS($B162,Plots!$H$3,,,Plots!$A$66))+INDIRECT(ADDRESS($B162,Plots!$H$3,,,Plots!$A$67))</f>
        <v>0</v>
      </c>
      <c r="I162">
        <f>'AARnetCBR-CamDTN1_tcpmon_ts_81'!H166+'AARnetCBR-CamDTN1_tcpmon_ts_82'!H166+'AARnetCBR-CamDTN1_tcpmon_ts_83'!H166+'AARnetCBR-CamDTN1_tcpmon_ts_84'!H166+'AARnetCBR-CamDTN1_tcpmon_ts_85'!H166+'AARnetCBR-CamDTN1_tcpmon_ts_86'!H166+'AARnetCBR-CamDTN1_tcpmon_ts_87'!H166+'AARnetCBR-CamDTN1_tcpmon_ts_88'!H166</f>
        <v>0</v>
      </c>
      <c r="K162" s="1" t="s">
        <v>280</v>
      </c>
      <c r="L162">
        <f ca="1">SUM(L4:L161)</f>
        <v>0</v>
      </c>
      <c r="M162">
        <f t="shared" ref="M162:O162" ca="1" si="2">SUM(M4:M161)</f>
        <v>0</v>
      </c>
      <c r="N162">
        <f t="shared" ca="1" si="2"/>
        <v>0</v>
      </c>
      <c r="O162">
        <f ca="1">SUM(O4:O161)</f>
        <v>22261</v>
      </c>
      <c r="P162" cm="1">
        <f t="array" aca="1" ref="P162" ca="1">INDIRECT(ADDRESS($B162,Plots!$H$4,,,Plots!$A$57))+INDIRECT(ADDRESS($B162,Plots!$H$4,,,Plots!$A$58))+INDIRECT(ADDRESS($B162,Plots!$H$4,,,Plots!$A$59))+INDIRECT(ADDRESS($B162,Plots!$H$4,,,Plots!$A$60))+INDIRECT(ADDRESS($B162,Plots!$H$4,,,Plots!$A$61))</f>
        <v>0</v>
      </c>
      <c r="Q162" cm="1">
        <f t="array" aca="1" ref="Q162" ca="1">INDIRECT(ADDRESS($B162,Plots!$H$4,,,Plots!$A$62))+INDIRECT(ADDRESS($B162,Plots!$H$4,,,Plots!$A$63))+INDIRECT(ADDRESS($B162,Plots!$H$4,,,Plots!$A$64))+INDIRECT(ADDRESS($B162,Plots!$H$4,,,Plots!$A$65))+INDIRECT(ADDRESS($B162,Plots!$H$4,,,Plots!$A$66))+INDIRECT(ADDRESS($B162,Plots!$H$4,,,Plots!$A$67))</f>
        <v>0</v>
      </c>
    </row>
    <row r="163" spans="1:17">
      <c r="A163" t="str">
        <f>'AARnetCBR-CamDTN1_tcpmon_ts_11'!A163</f>
        <v xml:space="preserve"> pkt len</v>
      </c>
      <c r="B163">
        <f t="shared" si="0"/>
        <v>163</v>
      </c>
      <c r="C163">
        <f ca="1">AVERAGE(C32:C161)</f>
        <v>26.381230769230775</v>
      </c>
      <c r="D163">
        <f t="shared" ref="D163:F163" ca="1" si="3">AVERAGE(D32:D161)</f>
        <v>57.17646153846156</v>
      </c>
      <c r="E163">
        <f t="shared" ca="1" si="3"/>
        <v>67.531846153846175</v>
      </c>
      <c r="F163">
        <f t="shared" ca="1" si="3"/>
        <v>87.085923076923038</v>
      </c>
      <c r="G163" cm="1">
        <f t="array" aca="1" ref="G163" ca="1">INDIRECT(ADDRESS($B163,Plots!$H$3,,,Plots!$A$57))+INDIRECT(ADDRESS($B163,Plots!$H$3,,,Plots!$A$58))+INDIRECT(ADDRESS($B163,Plots!$H$3,,,Plots!$A$59))+INDIRECT(ADDRESS($B163,Plots!$H$3,,,Plots!$A$60))+INDIRECT(ADDRESS($B163,Plots!$H$3,,,Plots!$A$61))</f>
        <v>0</v>
      </c>
      <c r="H163" cm="1">
        <f t="array" aca="1" ref="H163" ca="1">INDIRECT(ADDRESS($B163,Plots!$H$3,,,Plots!$A$62))+INDIRECT(ADDRESS($B163,Plots!$H$3,,,Plots!$A$63))+INDIRECT(ADDRESS($B163,Plots!$H$3,,,Plots!$A$64))+INDIRECT(ADDRESS($B163,Plots!$H$3,,,Plots!$A$65))+INDIRECT(ADDRESS($B163,Plots!$H$3,,,Plots!$A$66))+INDIRECT(ADDRESS($B163,Plots!$H$3,,,Plots!$A$67))</f>
        <v>0</v>
      </c>
      <c r="I163">
        <f>'AARnetCBR-CamDTN1_tcpmon_ts_81'!H167+'AARnetCBR-CamDTN1_tcpmon_ts_82'!H167+'AARnetCBR-CamDTN1_tcpmon_ts_83'!H167+'AARnetCBR-CamDTN1_tcpmon_ts_84'!H167+'AARnetCBR-CamDTN1_tcpmon_ts_85'!H167+'AARnetCBR-CamDTN1_tcpmon_ts_86'!H167+'AARnetCBR-CamDTN1_tcpmon_ts_87'!H167+'AARnetCBR-CamDTN1_tcpmon_ts_88'!H167</f>
        <v>0</v>
      </c>
      <c r="L163" t="str" cm="1">
        <f t="array" aca="1" ref="L163" ca="1">INDIRECT(ADDRESS($B163,Plots!$H$4,,,Plots!$A$47))</f>
        <v xml:space="preserve"> wait_time</v>
      </c>
      <c r="M163" t="e" cm="1">
        <f t="array" aca="1" ref="M163" ca="1">INDIRECT(ADDRESS($B163,Plots!$H$4,,,Plots!$A$48))+INDIRECT(ADDRESS($B163,Plots!$H$4,,,Plots!$A$49))</f>
        <v>#VALUE!</v>
      </c>
      <c r="N163" t="e" cm="1">
        <f t="array" aca="1" ref="N163" ca="1">INDIRECT(ADDRESS($B163,Plots!$H$4,,,Plots!$A$50))+INDIRECT(ADDRESS($B163,Plots!$H$4,,,Plots!$A$51))+INDIRECT(ADDRESS($B163,Plots!$H$4,,,Plots!$A$52))</f>
        <v>#VALUE!</v>
      </c>
      <c r="O163" t="e" cm="1">
        <f t="array" aca="1" ref="O163" ca="1">INDIRECT(ADDRESS($B163,Plots!$H$4,,,Plots!$A$53))+INDIRECT(ADDRESS($B163,Plots!$H$4,,,Plots!$A$54))+INDIRECT(ADDRESS($B163,Plots!$H$4,,,Plots!$A$55))+INDIRECT(ADDRESS($B163,Plots!$H$4,,,Plots!$A$56))</f>
        <v>#VALUE!</v>
      </c>
      <c r="P163" cm="1">
        <f t="array" aca="1" ref="P163" ca="1">INDIRECT(ADDRESS($B163,Plots!$H$4,,,Plots!$A$57))+INDIRECT(ADDRESS($B163,Plots!$H$4,,,Plots!$A$58))+INDIRECT(ADDRESS($B163,Plots!$H$4,,,Plots!$A$59))+INDIRECT(ADDRESS($B163,Plots!$H$4,,,Plots!$A$60))+INDIRECT(ADDRESS($B163,Plots!$H$4,,,Plots!$A$61))</f>
        <v>0</v>
      </c>
      <c r="Q163" cm="1">
        <f t="array" aca="1" ref="Q163" ca="1">INDIRECT(ADDRESS($B163,Plots!$H$4,,,Plots!$A$62))+INDIRECT(ADDRESS($B163,Plots!$H$4,,,Plots!$A$63))+INDIRECT(ADDRESS($B163,Plots!$H$4,,,Plots!$A$64))+INDIRECT(ADDRESS($B163,Plots!$H$4,,,Plots!$A$65))+INDIRECT(ADDRESS($B163,Plots!$H$4,,,Plots!$A$66))+INDIRECT(ADDRESS($B163,Plots!$H$4,,,Plots!$A$67))</f>
        <v>0</v>
      </c>
    </row>
    <row r="164" spans="1:17">
      <c r="A164">
        <f>'AARnetCBR-CamDTN1_tcpmon_ts_11'!A164</f>
        <v>98380</v>
      </c>
      <c r="B164">
        <f t="shared" si="0"/>
        <v>164</v>
      </c>
      <c r="C164" cm="1">
        <f t="array" aca="1" ref="C164" ca="1">INDIRECT(ADDRESS($B164,Plots!$H$3,,,Plots!$A$47))</f>
        <v>8956136</v>
      </c>
      <c r="D164" cm="1">
        <f t="array" aca="1" ref="D164" ca="1">INDIRECT(ADDRESS($B164,Plots!$H$3,,,Plots!$A$48))+INDIRECT(ADDRESS($B164,Plots!$H$3,,,Plots!$A$49))</f>
        <v>20399728</v>
      </c>
      <c r="E164" cm="1">
        <f t="array" aca="1" ref="E164" ca="1">INDIRECT(ADDRESS($B164,Plots!$H$3,,,Plots!$A$50))+INDIRECT(ADDRESS($B164,Plots!$H$3,,,Plots!$A$51))+INDIRECT(ADDRESS($B164,Plots!$H$3,,,Plots!$A$52))</f>
        <v>23855209</v>
      </c>
      <c r="F164" cm="1">
        <f t="array" aca="1" ref="F164" ca="1">INDIRECT(ADDRESS($B164,Plots!$H$3,,,Plots!$A$53))+INDIRECT(ADDRESS($B164,Plots!$H$3,,,Plots!$A$54))+INDIRECT(ADDRESS($B164,Plots!$H$3,,,Plots!$A$55))+INDIRECT(ADDRESS($B164,Plots!$H$3,,,Plots!$A$56))</f>
        <v>30631622</v>
      </c>
      <c r="G164" cm="1">
        <f t="array" aca="1" ref="G164" ca="1">INDIRECT(ADDRESS($B164,Plots!$H$3,,,Plots!$A$57))+INDIRECT(ADDRESS($B164,Plots!$H$3,,,Plots!$A$58))+INDIRECT(ADDRESS($B164,Plots!$H$3,,,Plots!$A$59))+INDIRECT(ADDRESS($B164,Plots!$H$3,,,Plots!$A$60))+INDIRECT(ADDRESS($B164,Plots!$H$3,,,Plots!$A$61))</f>
        <v>0</v>
      </c>
      <c r="H164" cm="1">
        <f t="array" aca="1" ref="H164" ca="1">INDIRECT(ADDRESS($B164,Plots!$H$3,,,Plots!$A$62))+INDIRECT(ADDRESS($B164,Plots!$H$3,,,Plots!$A$63))+INDIRECT(ADDRESS($B164,Plots!$H$3,,,Plots!$A$64))+INDIRECT(ADDRESS($B164,Plots!$H$3,,,Plots!$A$65))+INDIRECT(ADDRESS($B164,Plots!$H$3,,,Plots!$A$66))+INDIRECT(ADDRESS($B164,Plots!$H$3,,,Plots!$A$67))</f>
        <v>0</v>
      </c>
      <c r="I164">
        <f>'AARnetCBR-CamDTN1_tcpmon_ts_81'!H168+'AARnetCBR-CamDTN1_tcpmon_ts_82'!H168+'AARnetCBR-CamDTN1_tcpmon_ts_83'!H168+'AARnetCBR-CamDTN1_tcpmon_ts_84'!H168+'AARnetCBR-CamDTN1_tcpmon_ts_85'!H168+'AARnetCBR-CamDTN1_tcpmon_ts_86'!H168+'AARnetCBR-CamDTN1_tcpmon_ts_87'!H168+'AARnetCBR-CamDTN1_tcpmon_ts_88'!H168</f>
        <v>0</v>
      </c>
      <c r="L164" cm="1">
        <f t="array" aca="1" ref="L164" ca="1">INDIRECT(ADDRESS($B164,Plots!$H$4,,,Plots!$A$47))</f>
        <v>0</v>
      </c>
      <c r="M164" cm="1">
        <f t="array" aca="1" ref="M164" ca="1">INDIRECT(ADDRESS($B164,Plots!$H$4,,,Plots!$A$48))+INDIRECT(ADDRESS($B164,Plots!$H$4,,,Plots!$A$49))</f>
        <v>0</v>
      </c>
      <c r="N164" cm="1">
        <f t="array" aca="1" ref="N164" ca="1">INDIRECT(ADDRESS($B164,Plots!$H$4,,,Plots!$A$50))+INDIRECT(ADDRESS($B164,Plots!$H$4,,,Plots!$A$51))+INDIRECT(ADDRESS($B164,Plots!$H$4,,,Plots!$A$52))</f>
        <v>0</v>
      </c>
      <c r="O164" cm="1">
        <f t="array" aca="1" ref="O164" ca="1">INDIRECT(ADDRESS($B164,Plots!$H$4,,,Plots!$A$53))+INDIRECT(ADDRESS($B164,Plots!$H$4,,,Plots!$A$54))+INDIRECT(ADDRESS($B164,Plots!$H$4,,,Plots!$A$55))+INDIRECT(ADDRESS($B164,Plots!$H$4,,,Plots!$A$56))</f>
        <v>0</v>
      </c>
      <c r="P164" cm="1">
        <f t="array" aca="1" ref="P164" ca="1">INDIRECT(ADDRESS($B164,Plots!$H$4,,,Plots!$A$57))+INDIRECT(ADDRESS($B164,Plots!$H$4,,,Plots!$A$58))+INDIRECT(ADDRESS($B164,Plots!$H$4,,,Plots!$A$59))+INDIRECT(ADDRESS($B164,Plots!$H$4,,,Plots!$A$60))+INDIRECT(ADDRESS($B164,Plots!$H$4,,,Plots!$A$61))</f>
        <v>0</v>
      </c>
      <c r="Q164" cm="1">
        <f t="array" aca="1" ref="Q164" ca="1">INDIRECT(ADDRESS($B164,Plots!$H$4,,,Plots!$A$62))+INDIRECT(ADDRESS($B164,Plots!$H$4,,,Plots!$A$63))+INDIRECT(ADDRESS($B164,Plots!$H$4,,,Plots!$A$64))+INDIRECT(ADDRESS($B164,Plots!$H$4,,,Plots!$A$65))+INDIRECT(ADDRESS($B164,Plots!$H$4,,,Plots!$A$66))+INDIRECT(ADDRESS($B164,Plots!$H$4,,,Plots!$A$67))</f>
        <v>0</v>
      </c>
    </row>
    <row r="165" spans="1:17">
      <c r="A165" t="str">
        <f>'AARnetCBR-CamDTN1_tcpmon_ts_11'!A165</f>
        <v xml:space="preserve"> &lt;L CPU&gt;</v>
      </c>
      <c r="B165">
        <f t="shared" si="0"/>
        <v>165</v>
      </c>
      <c r="C165" t="str" cm="1">
        <f t="array" aca="1" ref="C165" ca="1">INDIRECT(ADDRESS($B165,Plots!$H$3,,,Plots!$A$47))</f>
        <v xml:space="preserve"> low-prio cpu %</v>
      </c>
      <c r="D165" t="e" cm="1">
        <f t="array" aca="1" ref="D165" ca="1">INDIRECT(ADDRESS($B165,Plots!$H$3,,,Plots!$A$48))+INDIRECT(ADDRESS($B165,Plots!$H$3,,,Plots!$A$49))</f>
        <v>#VALUE!</v>
      </c>
      <c r="E165" t="e" cm="1">
        <f t="array" aca="1" ref="E165" ca="1">INDIRECT(ADDRESS($B165,Plots!$H$3,,,Plots!$A$50))+INDIRECT(ADDRESS($B165,Plots!$H$3,,,Plots!$A$51))+INDIRECT(ADDRESS($B165,Plots!$H$3,,,Plots!$A$52))</f>
        <v>#VALUE!</v>
      </c>
      <c r="F165" t="e" cm="1">
        <f t="array" aca="1" ref="F165" ca="1">INDIRECT(ADDRESS($B165,Plots!$H$3,,,Plots!$A$53))+INDIRECT(ADDRESS($B165,Plots!$H$3,,,Plots!$A$54))+INDIRECT(ADDRESS($B165,Plots!$H$3,,,Plots!$A$55))+INDIRECT(ADDRESS($B165,Plots!$H$3,,,Plots!$A$56))</f>
        <v>#VALUE!</v>
      </c>
      <c r="G165" cm="1">
        <f t="array" aca="1" ref="G165" ca="1">INDIRECT(ADDRESS($B165,Plots!$H$3,,,Plots!$A$57))+INDIRECT(ADDRESS($B165,Plots!$H$3,,,Plots!$A$58))+INDIRECT(ADDRESS($B165,Plots!$H$3,,,Plots!$A$59))+INDIRECT(ADDRESS($B165,Plots!$H$3,,,Plots!$A$60))+INDIRECT(ADDRESS($B165,Plots!$H$3,,,Plots!$A$61))</f>
        <v>0</v>
      </c>
      <c r="H165" cm="1">
        <f t="array" aca="1" ref="H165" ca="1">INDIRECT(ADDRESS($B165,Plots!$H$3,,,Plots!$A$62))+INDIRECT(ADDRESS($B165,Plots!$H$3,,,Plots!$A$63))+INDIRECT(ADDRESS($B165,Plots!$H$3,,,Plots!$A$64))+INDIRECT(ADDRESS($B165,Plots!$H$3,,,Plots!$A$65))+INDIRECT(ADDRESS($B165,Plots!$H$3,,,Plots!$A$66))+INDIRECT(ADDRESS($B165,Plots!$H$3,,,Plots!$A$67))</f>
        <v>0</v>
      </c>
      <c r="I165">
        <f>'AARnetCBR-CamDTN1_tcpmon_ts_81'!H169+'AARnetCBR-CamDTN1_tcpmon_ts_82'!H169+'AARnetCBR-CamDTN1_tcpmon_ts_83'!H169+'AARnetCBR-CamDTN1_tcpmon_ts_84'!H169+'AARnetCBR-CamDTN1_tcpmon_ts_85'!H169+'AARnetCBR-CamDTN1_tcpmon_ts_86'!H169+'AARnetCBR-CamDTN1_tcpmon_ts_87'!H169+'AARnetCBR-CamDTN1_tcpmon_ts_88'!H169</f>
        <v>0</v>
      </c>
      <c r="L165" t="str" cm="1">
        <f t="array" aca="1" ref="L165" ca="1">INDIRECT(ADDRESS($B165,Plots!$H$4,,,Plots!$A$47))</f>
        <v xml:space="preserve"> kernel cpu%</v>
      </c>
      <c r="M165" t="e" cm="1">
        <f t="array" aca="1" ref="M165" ca="1">INDIRECT(ADDRESS($B165,Plots!$H$4,,,Plots!$A$48))+INDIRECT(ADDRESS($B165,Plots!$H$4,,,Plots!$A$49))</f>
        <v>#VALUE!</v>
      </c>
      <c r="N165" t="e" cm="1">
        <f t="array" aca="1" ref="N165" ca="1">INDIRECT(ADDRESS($B165,Plots!$H$4,,,Plots!$A$50))+INDIRECT(ADDRESS($B165,Plots!$H$4,,,Plots!$A$51))+INDIRECT(ADDRESS($B165,Plots!$H$4,,,Plots!$A$52))</f>
        <v>#VALUE!</v>
      </c>
      <c r="O165" t="e" cm="1">
        <f t="array" aca="1" ref="O165" ca="1">INDIRECT(ADDRESS($B165,Plots!$H$4,,,Plots!$A$53))+INDIRECT(ADDRESS($B165,Plots!$H$4,,,Plots!$A$54))+INDIRECT(ADDRESS($B165,Plots!$H$4,,,Plots!$A$55))+INDIRECT(ADDRESS($B165,Plots!$H$4,,,Plots!$A$56))</f>
        <v>#VALUE!</v>
      </c>
      <c r="P165" cm="1">
        <f t="array" aca="1" ref="P165" ca="1">INDIRECT(ADDRESS($B165,Plots!$H$4,,,Plots!$A$57))+INDIRECT(ADDRESS($B165,Plots!$H$4,,,Plots!$A$58))+INDIRECT(ADDRESS($B165,Plots!$H$4,,,Plots!$A$59))+INDIRECT(ADDRESS($B165,Plots!$H$4,,,Plots!$A$60))+INDIRECT(ADDRESS($B165,Plots!$H$4,,,Plots!$A$61))</f>
        <v>0</v>
      </c>
      <c r="Q165" cm="1">
        <f t="array" aca="1" ref="Q165" ca="1">INDIRECT(ADDRESS($B165,Plots!$H$4,,,Plots!$A$62))+INDIRECT(ADDRESS($B165,Plots!$H$4,,,Plots!$A$63))+INDIRECT(ADDRESS($B165,Plots!$H$4,,,Plots!$A$64))+INDIRECT(ADDRESS($B165,Plots!$H$4,,,Plots!$A$65))+INDIRECT(ADDRESS($B165,Plots!$H$4,,,Plots!$A$66))+INDIRECT(ADDRESS($B165,Plots!$H$4,,,Plots!$A$67))</f>
        <v>0</v>
      </c>
    </row>
    <row r="166" spans="1:17">
      <c r="A166" t="str">
        <f>'AARnetCBR-CamDTN1_tcpmon_ts_11'!A166</f>
        <v xml:space="preserve">L </v>
      </c>
      <c r="B166">
        <f t="shared" si="0"/>
        <v>166</v>
      </c>
      <c r="C166" cm="1">
        <f t="array" aca="1" ref="C166" ca="1">INDIRECT(ADDRESS($B166,Plots!$H$3,,,Plots!$A$47))</f>
        <v>0</v>
      </c>
      <c r="D166" cm="1">
        <f t="array" aca="1" ref="D166" ca="1">INDIRECT(ADDRESS($B166,Plots!$H$3,,,Plots!$A$48))+INDIRECT(ADDRESS($B166,Plots!$H$3,,,Plots!$A$49))</f>
        <v>0</v>
      </c>
      <c r="E166" cm="1">
        <f t="array" aca="1" ref="E166" ca="1">INDIRECT(ADDRESS($B166,Plots!$H$3,,,Plots!$A$50))+INDIRECT(ADDRESS($B166,Plots!$H$3,,,Plots!$A$51))+INDIRECT(ADDRESS($B166,Plots!$H$3,,,Plots!$A$52))</f>
        <v>0</v>
      </c>
      <c r="F166" cm="1">
        <f t="array" aca="1" ref="F166" ca="1">INDIRECT(ADDRESS($B166,Plots!$H$3,,,Plots!$A$53))+INDIRECT(ADDRESS($B166,Plots!$H$3,,,Plots!$A$54))+INDIRECT(ADDRESS($B166,Plots!$H$3,,,Plots!$A$55))+INDIRECT(ADDRESS($B166,Plots!$H$3,,,Plots!$A$56))</f>
        <v>0</v>
      </c>
      <c r="G166" cm="1">
        <f t="array" aca="1" ref="G166" ca="1">INDIRECT(ADDRESS($B166,Plots!$H$3,,,Plots!$A$57))+INDIRECT(ADDRESS($B166,Plots!$H$3,,,Plots!$A$58))+INDIRECT(ADDRESS($B166,Plots!$H$3,,,Plots!$A$59))+INDIRECT(ADDRESS($B166,Plots!$H$3,,,Plots!$A$60))+INDIRECT(ADDRESS($B166,Plots!$H$3,,,Plots!$A$61))</f>
        <v>0</v>
      </c>
      <c r="H166" cm="1">
        <f t="array" aca="1" ref="H166" ca="1">INDIRECT(ADDRESS($B166,Plots!$H$3,,,Plots!$A$62))+INDIRECT(ADDRESS($B166,Plots!$H$3,,,Plots!$A$63))+INDIRECT(ADDRESS($B166,Plots!$H$3,,,Plots!$A$64))+INDIRECT(ADDRESS($B166,Plots!$H$3,,,Plots!$A$65))+INDIRECT(ADDRESS($B166,Plots!$H$3,,,Plots!$A$66))+INDIRECT(ADDRESS($B166,Plots!$H$3,,,Plots!$A$67))</f>
        <v>0</v>
      </c>
      <c r="I166">
        <f>'AARnetCBR-CamDTN1_tcpmon_ts_81'!H170+'AARnetCBR-CamDTN1_tcpmon_ts_82'!H170+'AARnetCBR-CamDTN1_tcpmon_ts_83'!H170+'AARnetCBR-CamDTN1_tcpmon_ts_84'!H170+'AARnetCBR-CamDTN1_tcpmon_ts_85'!H170+'AARnetCBR-CamDTN1_tcpmon_ts_86'!H170+'AARnetCBR-CamDTN1_tcpmon_ts_87'!H170+'AARnetCBR-CamDTN1_tcpmon_ts_88'!H170</f>
        <v>0</v>
      </c>
      <c r="L166" cm="1">
        <f t="array" aca="1" ref="L166" ca="1">INDIRECT(ADDRESS($B166,Plots!$H$4,,,Plots!$A$47))</f>
        <v>18</v>
      </c>
      <c r="M166" cm="1">
        <f t="array" aca="1" ref="M166" ca="1">INDIRECT(ADDRESS($B166,Plots!$H$4,,,Plots!$A$48))+INDIRECT(ADDRESS($B166,Plots!$H$4,,,Plots!$A$49))</f>
        <v>90</v>
      </c>
      <c r="N166" cm="1">
        <f t="array" aca="1" ref="N166" ca="1">INDIRECT(ADDRESS($B166,Plots!$H$4,,,Plots!$A$50))+INDIRECT(ADDRESS($B166,Plots!$H$4,,,Plots!$A$51))+INDIRECT(ADDRESS($B166,Plots!$H$4,,,Plots!$A$52))</f>
        <v>153</v>
      </c>
      <c r="O166" cm="1">
        <f t="array" aca="1" ref="O166" ca="1">INDIRECT(ADDRESS($B166,Plots!$H$4,,,Plots!$A$53))+INDIRECT(ADDRESS($B166,Plots!$H$4,,,Plots!$A$54))+INDIRECT(ADDRESS($B166,Plots!$H$4,,,Plots!$A$55))+INDIRECT(ADDRESS($B166,Plots!$H$4,,,Plots!$A$56))</f>
        <v>256</v>
      </c>
      <c r="P166" cm="1">
        <f t="array" aca="1" ref="P166" ca="1">INDIRECT(ADDRESS($B166,Plots!$H$4,,,Plots!$A$57))+INDIRECT(ADDRESS($B166,Plots!$H$4,,,Plots!$A$58))+INDIRECT(ADDRESS($B166,Plots!$H$4,,,Plots!$A$59))+INDIRECT(ADDRESS($B166,Plots!$H$4,,,Plots!$A$60))+INDIRECT(ADDRESS($B166,Plots!$H$4,,,Plots!$A$61))</f>
        <v>0</v>
      </c>
      <c r="Q166" cm="1">
        <f t="array" aca="1" ref="Q166" ca="1">INDIRECT(ADDRESS($B166,Plots!$H$4,,,Plots!$A$62))+INDIRECT(ADDRESS($B166,Plots!$H$4,,,Plots!$A$63))+INDIRECT(ADDRESS($B166,Plots!$H$4,,,Plots!$A$64))+INDIRECT(ADDRESS($B166,Plots!$H$4,,,Plots!$A$65))+INDIRECT(ADDRESS($B166,Plots!$H$4,,,Plots!$A$66))+INDIRECT(ADDRESS($B166,Plots!$H$4,,,Plots!$A$67))</f>
        <v>0</v>
      </c>
    </row>
    <row r="167" spans="1:17">
      <c r="A167" t="str">
        <f>'AARnetCBR-CamDTN1_tcpmon_ts_11'!A167</f>
        <v xml:space="preserve">L0 </v>
      </c>
      <c r="B167">
        <f t="shared" si="0"/>
        <v>167</v>
      </c>
      <c r="C167" cm="1">
        <f t="array" aca="1" ref="C167" ca="1">INDIRECT(ADDRESS($B167,Plots!$H$3,,,Plots!$A$47))</f>
        <v>0</v>
      </c>
      <c r="D167" cm="1">
        <f t="array" aca="1" ref="D167" ca="1">INDIRECT(ADDRESS($B167,Plots!$H$3,,,Plots!$A$48))+INDIRECT(ADDRESS($B167,Plots!$H$3,,,Plots!$A$49))</f>
        <v>0</v>
      </c>
      <c r="E167" cm="1">
        <f t="array" aca="1" ref="E167" ca="1">INDIRECT(ADDRESS($B167,Plots!$H$3,,,Plots!$A$50))+INDIRECT(ADDRESS($B167,Plots!$H$3,,,Plots!$A$51))+INDIRECT(ADDRESS($B167,Plots!$H$3,,,Plots!$A$52))</f>
        <v>0</v>
      </c>
      <c r="F167" cm="1">
        <f t="array" aca="1" ref="F167" ca="1">INDIRECT(ADDRESS($B167,Plots!$H$3,,,Plots!$A$53))+INDIRECT(ADDRESS($B167,Plots!$H$3,,,Plots!$A$54))+INDIRECT(ADDRESS($B167,Plots!$H$3,,,Plots!$A$55))+INDIRECT(ADDRESS($B167,Plots!$H$3,,,Plots!$A$56))</f>
        <v>0</v>
      </c>
      <c r="G167" cm="1">
        <f t="array" aca="1" ref="G167" ca="1">INDIRECT(ADDRESS($B167,Plots!$H$3,,,Plots!$A$57))+INDIRECT(ADDRESS($B167,Plots!$H$3,,,Plots!$A$58))+INDIRECT(ADDRESS($B167,Plots!$H$3,,,Plots!$A$59))+INDIRECT(ADDRESS($B167,Plots!$H$3,,,Plots!$A$60))+INDIRECT(ADDRESS($B167,Plots!$H$3,,,Plots!$A$61))</f>
        <v>0</v>
      </c>
      <c r="H167" cm="1">
        <f t="array" aca="1" ref="H167" ca="1">INDIRECT(ADDRESS($B167,Plots!$H$3,,,Plots!$A$62))+INDIRECT(ADDRESS($B167,Plots!$H$3,,,Plots!$A$63))+INDIRECT(ADDRESS($B167,Plots!$H$3,,,Plots!$A$64))+INDIRECT(ADDRESS($B167,Plots!$H$3,,,Plots!$A$65))+INDIRECT(ADDRESS($B167,Plots!$H$3,,,Plots!$A$66))+INDIRECT(ADDRESS($B167,Plots!$H$3,,,Plots!$A$67))</f>
        <v>0</v>
      </c>
      <c r="I167">
        <f>'AARnetCBR-CamDTN1_tcpmon_ts_81'!H171+'AARnetCBR-CamDTN1_tcpmon_ts_82'!H171+'AARnetCBR-CamDTN1_tcpmon_ts_83'!H171+'AARnetCBR-CamDTN1_tcpmon_ts_84'!H171+'AARnetCBR-CamDTN1_tcpmon_ts_85'!H171+'AARnetCBR-CamDTN1_tcpmon_ts_86'!H171+'AARnetCBR-CamDTN1_tcpmon_ts_87'!H171+'AARnetCBR-CamDTN1_tcpmon_ts_88'!H171</f>
        <v>0</v>
      </c>
      <c r="L167" cm="1">
        <f t="array" aca="1" ref="L167" ca="1">INDIRECT(ADDRESS($B167,Plots!$H$4,,,Plots!$A$47))</f>
        <v>71</v>
      </c>
      <c r="M167" cm="1">
        <f t="array" aca="1" ref="M167" ca="1">INDIRECT(ADDRESS($B167,Plots!$H$4,,,Plots!$A$48))+INDIRECT(ADDRESS($B167,Plots!$H$4,,,Plots!$A$49))</f>
        <v>162</v>
      </c>
      <c r="N167" cm="1">
        <f t="array" aca="1" ref="N167" ca="1">INDIRECT(ADDRESS($B167,Plots!$H$4,,,Plots!$A$50))+INDIRECT(ADDRESS($B167,Plots!$H$4,,,Plots!$A$51))+INDIRECT(ADDRESS($B167,Plots!$H$4,,,Plots!$A$52))</f>
        <v>189</v>
      </c>
      <c r="O167" cm="1">
        <f t="array" aca="1" ref="O167" ca="1">INDIRECT(ADDRESS($B167,Plots!$H$4,,,Plots!$A$53))+INDIRECT(ADDRESS($B167,Plots!$H$4,,,Plots!$A$54))+INDIRECT(ADDRESS($B167,Plots!$H$4,,,Plots!$A$55))+INDIRECT(ADDRESS($B167,Plots!$H$4,,,Plots!$A$56))</f>
        <v>312</v>
      </c>
      <c r="P167" cm="1">
        <f t="array" aca="1" ref="P167" ca="1">INDIRECT(ADDRESS($B167,Plots!$H$4,,,Plots!$A$57))+INDIRECT(ADDRESS($B167,Plots!$H$4,,,Plots!$A$58))+INDIRECT(ADDRESS($B167,Plots!$H$4,,,Plots!$A$59))+INDIRECT(ADDRESS($B167,Plots!$H$4,,,Plots!$A$60))+INDIRECT(ADDRESS($B167,Plots!$H$4,,,Plots!$A$61))</f>
        <v>0</v>
      </c>
      <c r="Q167" cm="1">
        <f t="array" aca="1" ref="Q167" ca="1">INDIRECT(ADDRESS($B167,Plots!$H$4,,,Plots!$A$62))+INDIRECT(ADDRESS($B167,Plots!$H$4,,,Plots!$A$63))+INDIRECT(ADDRESS($B167,Plots!$H$4,,,Plots!$A$64))+INDIRECT(ADDRESS($B167,Plots!$H$4,,,Plots!$A$65))+INDIRECT(ADDRESS($B167,Plots!$H$4,,,Plots!$A$66))+INDIRECT(ADDRESS($B167,Plots!$H$4,,,Plots!$A$67))</f>
        <v>0</v>
      </c>
    </row>
    <row r="168" spans="1:17">
      <c r="A168" t="str">
        <f>'AARnetCBR-CamDTN1_tcpmon_ts_11'!A168</f>
        <v xml:space="preserve">L1 </v>
      </c>
      <c r="B168">
        <f t="shared" si="0"/>
        <v>168</v>
      </c>
      <c r="C168" cm="1">
        <f t="array" aca="1" ref="C168" ca="1">INDIRECT(ADDRESS($B168,Plots!$H$3,,,Plots!$A$47))</f>
        <v>0</v>
      </c>
      <c r="D168" cm="1">
        <f t="array" aca="1" ref="D168" ca="1">INDIRECT(ADDRESS($B168,Plots!$H$3,,,Plots!$A$48))+INDIRECT(ADDRESS($B168,Plots!$H$3,,,Plots!$A$49))</f>
        <v>0</v>
      </c>
      <c r="E168" cm="1">
        <f t="array" aca="1" ref="E168" ca="1">INDIRECT(ADDRESS($B168,Plots!$H$3,,,Plots!$A$50))+INDIRECT(ADDRESS($B168,Plots!$H$3,,,Plots!$A$51))+INDIRECT(ADDRESS($B168,Plots!$H$3,,,Plots!$A$52))</f>
        <v>0</v>
      </c>
      <c r="F168" cm="1">
        <f t="array" aca="1" ref="F168" ca="1">INDIRECT(ADDRESS($B168,Plots!$H$3,,,Plots!$A$53))+INDIRECT(ADDRESS($B168,Plots!$H$3,,,Plots!$A$54))+INDIRECT(ADDRESS($B168,Plots!$H$3,,,Plots!$A$55))+INDIRECT(ADDRESS($B168,Plots!$H$3,,,Plots!$A$56))</f>
        <v>0</v>
      </c>
      <c r="G168" cm="1">
        <f t="array" aca="1" ref="G168" ca="1">INDIRECT(ADDRESS($B168,Plots!$H$3,,,Plots!$A$57))+INDIRECT(ADDRESS($B168,Plots!$H$3,,,Plots!$A$58))+INDIRECT(ADDRESS($B168,Plots!$H$3,,,Plots!$A$59))+INDIRECT(ADDRESS($B168,Plots!$H$3,,,Plots!$A$60))+INDIRECT(ADDRESS($B168,Plots!$H$3,,,Plots!$A$61))</f>
        <v>0</v>
      </c>
      <c r="H168" cm="1">
        <f t="array" aca="1" ref="H168" ca="1">INDIRECT(ADDRESS($B168,Plots!$H$3,,,Plots!$A$62))+INDIRECT(ADDRESS($B168,Plots!$H$3,,,Plots!$A$63))+INDIRECT(ADDRESS($B168,Plots!$H$3,,,Plots!$A$64))+INDIRECT(ADDRESS($B168,Plots!$H$3,,,Plots!$A$65))+INDIRECT(ADDRESS($B168,Plots!$H$3,,,Plots!$A$66))+INDIRECT(ADDRESS($B168,Plots!$H$3,,,Plots!$A$67))</f>
        <v>0</v>
      </c>
      <c r="I168">
        <f>'AARnetCBR-CamDTN1_tcpmon_ts_81'!H172+'AARnetCBR-CamDTN1_tcpmon_ts_82'!H172+'AARnetCBR-CamDTN1_tcpmon_ts_83'!H172+'AARnetCBR-CamDTN1_tcpmon_ts_84'!H172+'AARnetCBR-CamDTN1_tcpmon_ts_85'!H172+'AARnetCBR-CamDTN1_tcpmon_ts_86'!H172+'AARnetCBR-CamDTN1_tcpmon_ts_87'!H172+'AARnetCBR-CamDTN1_tcpmon_ts_88'!H172</f>
        <v>0</v>
      </c>
      <c r="L168" cm="1">
        <f t="array" aca="1" ref="L168" ca="1">INDIRECT(ADDRESS($B168,Plots!$H$4,,,Plots!$A$47))</f>
        <v>0</v>
      </c>
      <c r="M168" cm="1">
        <f t="array" aca="1" ref="M168" ca="1">INDIRECT(ADDRESS($B168,Plots!$H$4,,,Plots!$A$48))+INDIRECT(ADDRESS($B168,Plots!$H$4,,,Plots!$A$49))</f>
        <v>120</v>
      </c>
      <c r="N168" cm="1">
        <f t="array" aca="1" ref="N168" ca="1">INDIRECT(ADDRESS($B168,Plots!$H$4,,,Plots!$A$50))+INDIRECT(ADDRESS($B168,Plots!$H$4,,,Plots!$A$51))+INDIRECT(ADDRESS($B168,Plots!$H$4,,,Plots!$A$52))</f>
        <v>174</v>
      </c>
      <c r="O168" cm="1">
        <f t="array" aca="1" ref="O168" ca="1">INDIRECT(ADDRESS($B168,Plots!$H$4,,,Plots!$A$53))+INDIRECT(ADDRESS($B168,Plots!$H$4,,,Plots!$A$54))+INDIRECT(ADDRESS($B168,Plots!$H$4,,,Plots!$A$55))+INDIRECT(ADDRESS($B168,Plots!$H$4,,,Plots!$A$56))</f>
        <v>272</v>
      </c>
      <c r="P168" cm="1">
        <f t="array" aca="1" ref="P168" ca="1">INDIRECT(ADDRESS($B168,Plots!$H$4,,,Plots!$A$57))+INDIRECT(ADDRESS($B168,Plots!$H$4,,,Plots!$A$58))+INDIRECT(ADDRESS($B168,Plots!$H$4,,,Plots!$A$59))+INDIRECT(ADDRESS($B168,Plots!$H$4,,,Plots!$A$60))+INDIRECT(ADDRESS($B168,Plots!$H$4,,,Plots!$A$61))</f>
        <v>0</v>
      </c>
      <c r="Q168" cm="1">
        <f t="array" aca="1" ref="Q168" ca="1">INDIRECT(ADDRESS($B168,Plots!$H$4,,,Plots!$A$62))+INDIRECT(ADDRESS($B168,Plots!$H$4,,,Plots!$A$63))+INDIRECT(ADDRESS($B168,Plots!$H$4,,,Plots!$A$64))+INDIRECT(ADDRESS($B168,Plots!$H$4,,,Plots!$A$65))+INDIRECT(ADDRESS($B168,Plots!$H$4,,,Plots!$A$66))+INDIRECT(ADDRESS($B168,Plots!$H$4,,,Plots!$A$67))</f>
        <v>0</v>
      </c>
    </row>
    <row r="169" spans="1:17">
      <c r="A169" t="str">
        <f>'AARnetCBR-CamDTN1_tcpmon_ts_11'!A169</f>
        <v xml:space="preserve">L2 </v>
      </c>
      <c r="B169">
        <f t="shared" si="0"/>
        <v>169</v>
      </c>
      <c r="C169" cm="1">
        <f t="array" aca="1" ref="C169" ca="1">INDIRECT(ADDRESS($B169,Plots!$H$3,,,Plots!$A$47))</f>
        <v>0</v>
      </c>
      <c r="D169" cm="1">
        <f t="array" aca="1" ref="D169" ca="1">INDIRECT(ADDRESS($B169,Plots!$H$3,,,Plots!$A$48))+INDIRECT(ADDRESS($B169,Plots!$H$3,,,Plots!$A$49))</f>
        <v>0</v>
      </c>
      <c r="E169" cm="1">
        <f t="array" aca="1" ref="E169" ca="1">INDIRECT(ADDRESS($B169,Plots!$H$3,,,Plots!$A$50))+INDIRECT(ADDRESS($B169,Plots!$H$3,,,Plots!$A$51))+INDIRECT(ADDRESS($B169,Plots!$H$3,,,Plots!$A$52))</f>
        <v>0</v>
      </c>
      <c r="F169" cm="1">
        <f t="array" aca="1" ref="F169" ca="1">INDIRECT(ADDRESS($B169,Plots!$H$3,,,Plots!$A$53))+INDIRECT(ADDRESS($B169,Plots!$H$3,,,Plots!$A$54))+INDIRECT(ADDRESS($B169,Plots!$H$3,,,Plots!$A$55))+INDIRECT(ADDRESS($B169,Plots!$H$3,,,Plots!$A$56))</f>
        <v>0</v>
      </c>
      <c r="G169" cm="1">
        <f t="array" aca="1" ref="G169" ca="1">INDIRECT(ADDRESS($B169,Plots!$H$3,,,Plots!$A$57))+INDIRECT(ADDRESS($B169,Plots!$H$3,,,Plots!$A$58))+INDIRECT(ADDRESS($B169,Plots!$H$3,,,Plots!$A$59))+INDIRECT(ADDRESS($B169,Plots!$H$3,,,Plots!$A$60))+INDIRECT(ADDRESS($B169,Plots!$H$3,,,Plots!$A$61))</f>
        <v>0</v>
      </c>
      <c r="H169" cm="1">
        <f t="array" aca="1" ref="H169" ca="1">INDIRECT(ADDRESS($B169,Plots!$H$3,,,Plots!$A$62))+INDIRECT(ADDRESS($B169,Plots!$H$3,,,Plots!$A$63))+INDIRECT(ADDRESS($B169,Plots!$H$3,,,Plots!$A$64))+INDIRECT(ADDRESS($B169,Plots!$H$3,,,Plots!$A$65))+INDIRECT(ADDRESS($B169,Plots!$H$3,,,Plots!$A$66))+INDIRECT(ADDRESS($B169,Plots!$H$3,,,Plots!$A$67))</f>
        <v>0</v>
      </c>
      <c r="I169">
        <f>'AARnetCBR-CamDTN1_tcpmon_ts_81'!H173+'AARnetCBR-CamDTN1_tcpmon_ts_82'!H173+'AARnetCBR-CamDTN1_tcpmon_ts_83'!H173+'AARnetCBR-CamDTN1_tcpmon_ts_84'!H173+'AARnetCBR-CamDTN1_tcpmon_ts_85'!H173+'AARnetCBR-CamDTN1_tcpmon_ts_86'!H173+'AARnetCBR-CamDTN1_tcpmon_ts_87'!H173+'AARnetCBR-CamDTN1_tcpmon_ts_88'!H173</f>
        <v>0</v>
      </c>
      <c r="L169" cm="1">
        <f t="array" aca="1" ref="L169" ca="1">INDIRECT(ADDRESS($B169,Plots!$H$4,,,Plots!$A$47))</f>
        <v>0</v>
      </c>
      <c r="M169" cm="1">
        <f t="array" aca="1" ref="M169" ca="1">INDIRECT(ADDRESS($B169,Plots!$H$4,,,Plots!$A$48))+INDIRECT(ADDRESS($B169,Plots!$H$4,,,Plots!$A$49))</f>
        <v>36</v>
      </c>
      <c r="N169" cm="1">
        <f t="array" aca="1" ref="N169" ca="1">INDIRECT(ADDRESS($B169,Plots!$H$4,,,Plots!$A$50))+INDIRECT(ADDRESS($B169,Plots!$H$4,,,Plots!$A$51))+INDIRECT(ADDRESS($B169,Plots!$H$4,,,Plots!$A$52))</f>
        <v>186</v>
      </c>
      <c r="O169" cm="1">
        <f t="array" aca="1" ref="O169" ca="1">INDIRECT(ADDRESS($B169,Plots!$H$4,,,Plots!$A$53))+INDIRECT(ADDRESS($B169,Plots!$H$4,,,Plots!$A$54))+INDIRECT(ADDRESS($B169,Plots!$H$4,,,Plots!$A$55))+INDIRECT(ADDRESS($B169,Plots!$H$4,,,Plots!$A$56))</f>
        <v>184</v>
      </c>
      <c r="P169" cm="1">
        <f t="array" aca="1" ref="P169" ca="1">INDIRECT(ADDRESS($B169,Plots!$H$4,,,Plots!$A$57))+INDIRECT(ADDRESS($B169,Plots!$H$4,,,Plots!$A$58))+INDIRECT(ADDRESS($B169,Plots!$H$4,,,Plots!$A$59))+INDIRECT(ADDRESS($B169,Plots!$H$4,,,Plots!$A$60))+INDIRECT(ADDRESS($B169,Plots!$H$4,,,Plots!$A$61))</f>
        <v>0</v>
      </c>
      <c r="Q169" cm="1">
        <f t="array" aca="1" ref="Q169" ca="1">INDIRECT(ADDRESS($B169,Plots!$H$4,,,Plots!$A$62))+INDIRECT(ADDRESS($B169,Plots!$H$4,,,Plots!$A$63))+INDIRECT(ADDRESS($B169,Plots!$H$4,,,Plots!$A$64))+INDIRECT(ADDRESS($B169,Plots!$H$4,,,Plots!$A$65))+INDIRECT(ADDRESS($B169,Plots!$H$4,,,Plots!$A$66))+INDIRECT(ADDRESS($B169,Plots!$H$4,,,Plots!$A$67))</f>
        <v>0</v>
      </c>
    </row>
    <row r="170" spans="1:17">
      <c r="A170" t="str">
        <f>'AARnetCBR-CamDTN1_tcpmon_ts_11'!A170</f>
        <v xml:space="preserve">L3 </v>
      </c>
      <c r="B170">
        <f t="shared" si="0"/>
        <v>170</v>
      </c>
      <c r="C170" cm="1">
        <f t="array" aca="1" ref="C170" ca="1">INDIRECT(ADDRESS($B170,Plots!$H$3,,,Plots!$A$47))</f>
        <v>0</v>
      </c>
      <c r="D170" cm="1">
        <f t="array" aca="1" ref="D170" ca="1">INDIRECT(ADDRESS($B170,Plots!$H$3,,,Plots!$A$48))+INDIRECT(ADDRESS($B170,Plots!$H$3,,,Plots!$A$49))</f>
        <v>0</v>
      </c>
      <c r="E170" cm="1">
        <f t="array" aca="1" ref="E170" ca="1">INDIRECT(ADDRESS($B170,Plots!$H$3,,,Plots!$A$50))+INDIRECT(ADDRESS($B170,Plots!$H$3,,,Plots!$A$51))+INDIRECT(ADDRESS($B170,Plots!$H$3,,,Plots!$A$52))</f>
        <v>0</v>
      </c>
      <c r="F170" cm="1">
        <f t="array" aca="1" ref="F170" ca="1">INDIRECT(ADDRESS($B170,Plots!$H$3,,,Plots!$A$53))+INDIRECT(ADDRESS($B170,Plots!$H$3,,,Plots!$A$54))+INDIRECT(ADDRESS($B170,Plots!$H$3,,,Plots!$A$55))+INDIRECT(ADDRESS($B170,Plots!$H$3,,,Plots!$A$56))</f>
        <v>0</v>
      </c>
      <c r="G170" cm="1">
        <f t="array" aca="1" ref="G170" ca="1">INDIRECT(ADDRESS($B170,Plots!$H$3,,,Plots!$A$57))+INDIRECT(ADDRESS($B170,Plots!$H$3,,,Plots!$A$58))+INDIRECT(ADDRESS($B170,Plots!$H$3,,,Plots!$A$59))+INDIRECT(ADDRESS($B170,Plots!$H$3,,,Plots!$A$60))+INDIRECT(ADDRESS($B170,Plots!$H$3,,,Plots!$A$61))</f>
        <v>0</v>
      </c>
      <c r="H170" cm="1">
        <f t="array" aca="1" ref="H170" ca="1">INDIRECT(ADDRESS($B170,Plots!$H$3,,,Plots!$A$62))+INDIRECT(ADDRESS($B170,Plots!$H$3,,,Plots!$A$63))+INDIRECT(ADDRESS($B170,Plots!$H$3,,,Plots!$A$64))+INDIRECT(ADDRESS($B170,Plots!$H$3,,,Plots!$A$65))+INDIRECT(ADDRESS($B170,Plots!$H$3,,,Plots!$A$66))+INDIRECT(ADDRESS($B170,Plots!$H$3,,,Plots!$A$67))</f>
        <v>0</v>
      </c>
      <c r="I170">
        <f>'AARnetCBR-CamDTN1_tcpmon_ts_81'!H174+'AARnetCBR-CamDTN1_tcpmon_ts_82'!H174+'AARnetCBR-CamDTN1_tcpmon_ts_83'!H174+'AARnetCBR-CamDTN1_tcpmon_ts_84'!H174+'AARnetCBR-CamDTN1_tcpmon_ts_85'!H174+'AARnetCBR-CamDTN1_tcpmon_ts_86'!H174+'AARnetCBR-CamDTN1_tcpmon_ts_87'!H174+'AARnetCBR-CamDTN1_tcpmon_ts_88'!H174</f>
        <v>0</v>
      </c>
      <c r="L170" cm="1">
        <f t="array" aca="1" ref="L170" ca="1">INDIRECT(ADDRESS($B170,Plots!$H$4,,,Plots!$A$47))</f>
        <v>0</v>
      </c>
      <c r="M170" cm="1">
        <f t="array" aca="1" ref="M170" ca="1">INDIRECT(ADDRESS($B170,Plots!$H$4,,,Plots!$A$48))+INDIRECT(ADDRESS($B170,Plots!$H$4,,,Plots!$A$49))</f>
        <v>40</v>
      </c>
      <c r="N170" cm="1">
        <f t="array" aca="1" ref="N170" ca="1">INDIRECT(ADDRESS($B170,Plots!$H$4,,,Plots!$A$50))+INDIRECT(ADDRESS($B170,Plots!$H$4,,,Plots!$A$51))+INDIRECT(ADDRESS($B170,Plots!$H$4,,,Plots!$A$52))</f>
        <v>63</v>
      </c>
      <c r="O170" cm="1">
        <f t="array" aca="1" ref="O170" ca="1">INDIRECT(ADDRESS($B170,Plots!$H$4,,,Plots!$A$53))+INDIRECT(ADDRESS($B170,Plots!$H$4,,,Plots!$A$54))+INDIRECT(ADDRESS($B170,Plots!$H$4,,,Plots!$A$55))+INDIRECT(ADDRESS($B170,Plots!$H$4,,,Plots!$A$56))</f>
        <v>252</v>
      </c>
      <c r="P170" cm="1">
        <f t="array" aca="1" ref="P170" ca="1">INDIRECT(ADDRESS($B170,Plots!$H$4,,,Plots!$A$57))+INDIRECT(ADDRESS($B170,Plots!$H$4,,,Plots!$A$58))+INDIRECT(ADDRESS($B170,Plots!$H$4,,,Plots!$A$59))+INDIRECT(ADDRESS($B170,Plots!$H$4,,,Plots!$A$60))+INDIRECT(ADDRESS($B170,Plots!$H$4,,,Plots!$A$61))</f>
        <v>0</v>
      </c>
      <c r="Q170" cm="1">
        <f t="array" aca="1" ref="Q170" ca="1">INDIRECT(ADDRESS($B170,Plots!$H$4,,,Plots!$A$62))+INDIRECT(ADDRESS($B170,Plots!$H$4,,,Plots!$A$63))+INDIRECT(ADDRESS($B170,Plots!$H$4,,,Plots!$A$64))+INDIRECT(ADDRESS($B170,Plots!$H$4,,,Plots!$A$65))+INDIRECT(ADDRESS($B170,Plots!$H$4,,,Plots!$A$66))+INDIRECT(ADDRESS($B170,Plots!$H$4,,,Plots!$A$67))</f>
        <v>0</v>
      </c>
    </row>
    <row r="171" spans="1:17">
      <c r="A171" t="str">
        <f>'AARnetCBR-CamDTN1_tcpmon_ts_11'!A171</f>
        <v xml:space="preserve"> &lt;R CPU&gt;</v>
      </c>
      <c r="B171">
        <f t="shared" si="0"/>
        <v>171</v>
      </c>
      <c r="C171" t="str" cm="1">
        <f t="array" aca="1" ref="C171" ca="1">INDIRECT(ADDRESS($B171,Plots!$H$3,,,Plots!$A$47))</f>
        <v xml:space="preserve"> low-prio cpu %</v>
      </c>
      <c r="D171" t="e" cm="1">
        <f t="array" aca="1" ref="D171" ca="1">INDIRECT(ADDRESS($B171,Plots!$H$3,,,Plots!$A$48))+INDIRECT(ADDRESS($B171,Plots!$H$3,,,Plots!$A$49))</f>
        <v>#VALUE!</v>
      </c>
      <c r="E171" t="e" cm="1">
        <f t="array" aca="1" ref="E171" ca="1">INDIRECT(ADDRESS($B171,Plots!$H$3,,,Plots!$A$50))+INDIRECT(ADDRESS($B171,Plots!$H$3,,,Plots!$A$51))+INDIRECT(ADDRESS($B171,Plots!$H$3,,,Plots!$A$52))</f>
        <v>#VALUE!</v>
      </c>
      <c r="F171" t="e" cm="1">
        <f t="array" aca="1" ref="F171" ca="1">INDIRECT(ADDRESS($B171,Plots!$H$3,,,Plots!$A$53))+INDIRECT(ADDRESS($B171,Plots!$H$3,,,Plots!$A$54))+INDIRECT(ADDRESS($B171,Plots!$H$3,,,Plots!$A$55))+INDIRECT(ADDRESS($B171,Plots!$H$3,,,Plots!$A$56))</f>
        <v>#VALUE!</v>
      </c>
      <c r="G171" cm="1">
        <f t="array" aca="1" ref="G171" ca="1">INDIRECT(ADDRESS($B171,Plots!$H$3,,,Plots!$A$57))+INDIRECT(ADDRESS($B171,Plots!$H$3,,,Plots!$A$58))+INDIRECT(ADDRESS($B171,Plots!$H$3,,,Plots!$A$59))+INDIRECT(ADDRESS($B171,Plots!$H$3,,,Plots!$A$60))+INDIRECT(ADDRESS($B171,Plots!$H$3,,,Plots!$A$61))</f>
        <v>0</v>
      </c>
      <c r="H171" cm="1">
        <f t="array" aca="1" ref="H171" ca="1">INDIRECT(ADDRESS($B171,Plots!$H$3,,,Plots!$A$62))+INDIRECT(ADDRESS($B171,Plots!$H$3,,,Plots!$A$63))+INDIRECT(ADDRESS($B171,Plots!$H$3,,,Plots!$A$64))+INDIRECT(ADDRESS($B171,Plots!$H$3,,,Plots!$A$65))+INDIRECT(ADDRESS($B171,Plots!$H$3,,,Plots!$A$66))+INDIRECT(ADDRESS($B171,Plots!$H$3,,,Plots!$A$67))</f>
        <v>0</v>
      </c>
      <c r="I171">
        <f>'AARnetCBR-CamDTN1_tcpmon_ts_81'!H175+'AARnetCBR-CamDTN1_tcpmon_ts_82'!H175+'AARnetCBR-CamDTN1_tcpmon_ts_83'!H175+'AARnetCBR-CamDTN1_tcpmon_ts_84'!H175+'AARnetCBR-CamDTN1_tcpmon_ts_85'!H175+'AARnetCBR-CamDTN1_tcpmon_ts_86'!H175+'AARnetCBR-CamDTN1_tcpmon_ts_87'!H175+'AARnetCBR-CamDTN1_tcpmon_ts_88'!H175</f>
        <v>0</v>
      </c>
      <c r="L171" t="str" cm="1">
        <f t="array" aca="1" ref="L171" ca="1">INDIRECT(ADDRESS($B171,Plots!$H$4,,,Plots!$A$47))</f>
        <v xml:space="preserve"> kernel cpu%</v>
      </c>
      <c r="M171" t="e" cm="1">
        <f t="array" aca="1" ref="M171" ca="1">INDIRECT(ADDRESS($B171,Plots!$H$4,,,Plots!$A$48))+INDIRECT(ADDRESS($B171,Plots!$H$4,,,Plots!$A$49))</f>
        <v>#VALUE!</v>
      </c>
      <c r="N171" t="e" cm="1">
        <f t="array" aca="1" ref="N171" ca="1">INDIRECT(ADDRESS($B171,Plots!$H$4,,,Plots!$A$50))+INDIRECT(ADDRESS($B171,Plots!$H$4,,,Plots!$A$51))+INDIRECT(ADDRESS($B171,Plots!$H$4,,,Plots!$A$52))</f>
        <v>#VALUE!</v>
      </c>
      <c r="O171" t="e" cm="1">
        <f t="array" aca="1" ref="O171" ca="1">INDIRECT(ADDRESS($B171,Plots!$H$4,,,Plots!$A$53))+INDIRECT(ADDRESS($B171,Plots!$H$4,,,Plots!$A$54))+INDIRECT(ADDRESS($B171,Plots!$H$4,,,Plots!$A$55))+INDIRECT(ADDRESS($B171,Plots!$H$4,,,Plots!$A$56))</f>
        <v>#VALUE!</v>
      </c>
      <c r="P171" cm="1">
        <f t="array" aca="1" ref="P171" ca="1">INDIRECT(ADDRESS($B171,Plots!$H$4,,,Plots!$A$57))+INDIRECT(ADDRESS($B171,Plots!$H$4,,,Plots!$A$58))+INDIRECT(ADDRESS($B171,Plots!$H$4,,,Plots!$A$59))+INDIRECT(ADDRESS($B171,Plots!$H$4,,,Plots!$A$60))+INDIRECT(ADDRESS($B171,Plots!$H$4,,,Plots!$A$61))</f>
        <v>0</v>
      </c>
      <c r="Q171" cm="1">
        <f t="array" aca="1" ref="Q171" ca="1">INDIRECT(ADDRESS($B171,Plots!$H$4,,,Plots!$A$62))+INDIRECT(ADDRESS($B171,Plots!$H$4,,,Plots!$A$63))+INDIRECT(ADDRESS($B171,Plots!$H$4,,,Plots!$A$64))+INDIRECT(ADDRESS($B171,Plots!$H$4,,,Plots!$A$65))+INDIRECT(ADDRESS($B171,Plots!$H$4,,,Plots!$A$66))+INDIRECT(ADDRESS($B171,Plots!$H$4,,,Plots!$A$67))</f>
        <v>0</v>
      </c>
    </row>
    <row r="172" spans="1:17">
      <c r="A172" t="str">
        <f>'AARnetCBR-CamDTN1_tcpmon_ts_11'!A172</f>
        <v xml:space="preserve">R </v>
      </c>
      <c r="B172">
        <f t="shared" si="0"/>
        <v>172</v>
      </c>
      <c r="C172" cm="1">
        <f t="array" aca="1" ref="C172" ca="1">INDIRECT(ADDRESS($B172,Plots!$H$3,,,Plots!$A$47))</f>
        <v>0</v>
      </c>
      <c r="D172" cm="1">
        <f t="array" aca="1" ref="D172" ca="1">INDIRECT(ADDRESS($B172,Plots!$H$3,,,Plots!$A$48))+INDIRECT(ADDRESS($B172,Plots!$H$3,,,Plots!$A$49))</f>
        <v>0</v>
      </c>
      <c r="E172" cm="1">
        <f t="array" aca="1" ref="E172" ca="1">INDIRECT(ADDRESS($B172,Plots!$H$3,,,Plots!$A$50))+INDIRECT(ADDRESS($B172,Plots!$H$3,,,Plots!$A$51))+INDIRECT(ADDRESS($B172,Plots!$H$3,,,Plots!$A$52))</f>
        <v>0</v>
      </c>
      <c r="F172" cm="1">
        <f t="array" aca="1" ref="F172" ca="1">INDIRECT(ADDRESS($B172,Plots!$H$3,,,Plots!$A$53))+INDIRECT(ADDRESS($B172,Plots!$H$3,,,Plots!$A$54))+INDIRECT(ADDRESS($B172,Plots!$H$3,,,Plots!$A$55))+INDIRECT(ADDRESS($B172,Plots!$H$3,,,Plots!$A$56))</f>
        <v>0</v>
      </c>
      <c r="G172" cm="1">
        <f t="array" aca="1" ref="G172" ca="1">INDIRECT(ADDRESS($B172,Plots!$H$3,,,Plots!$A$57))+INDIRECT(ADDRESS($B172,Plots!$H$3,,,Plots!$A$58))+INDIRECT(ADDRESS($B172,Plots!$H$3,,,Plots!$A$59))+INDIRECT(ADDRESS($B172,Plots!$H$3,,,Plots!$A$60))+INDIRECT(ADDRESS($B172,Plots!$H$3,,,Plots!$A$61))</f>
        <v>0</v>
      </c>
      <c r="H172" cm="1">
        <f t="array" aca="1" ref="H172" ca="1">INDIRECT(ADDRESS($B172,Plots!$H$3,,,Plots!$A$62))+INDIRECT(ADDRESS($B172,Plots!$H$3,,,Plots!$A$63))+INDIRECT(ADDRESS($B172,Plots!$H$3,,,Plots!$A$64))+INDIRECT(ADDRESS($B172,Plots!$H$3,,,Plots!$A$65))+INDIRECT(ADDRESS($B172,Plots!$H$3,,,Plots!$A$66))+INDIRECT(ADDRESS($B172,Plots!$H$3,,,Plots!$A$67))</f>
        <v>0</v>
      </c>
      <c r="I172">
        <f>'AARnetCBR-CamDTN1_tcpmon_ts_81'!H176+'AARnetCBR-CamDTN1_tcpmon_ts_82'!H176+'AARnetCBR-CamDTN1_tcpmon_ts_83'!H176+'AARnetCBR-CamDTN1_tcpmon_ts_84'!H176+'AARnetCBR-CamDTN1_tcpmon_ts_85'!H176+'AARnetCBR-CamDTN1_tcpmon_ts_86'!H176+'AARnetCBR-CamDTN1_tcpmon_ts_87'!H176+'AARnetCBR-CamDTN1_tcpmon_ts_88'!H176</f>
        <v>0</v>
      </c>
      <c r="L172" cm="1">
        <f t="array" aca="1" ref="L172" ca="1">INDIRECT(ADDRESS($B172,Plots!$H$4,,,Plots!$A$47))</f>
        <v>1</v>
      </c>
      <c r="M172" cm="1">
        <f t="array" aca="1" ref="M172" ca="1">INDIRECT(ADDRESS($B172,Plots!$H$4,,,Plots!$A$48))+INDIRECT(ADDRESS($B172,Plots!$H$4,,,Plots!$A$49))</f>
        <v>6</v>
      </c>
      <c r="N172" cm="1">
        <f t="array" aca="1" ref="N172" ca="1">INDIRECT(ADDRESS($B172,Plots!$H$4,,,Plots!$A$50))+INDIRECT(ADDRESS($B172,Plots!$H$4,,,Plots!$A$51))+INDIRECT(ADDRESS($B172,Plots!$H$4,,,Plots!$A$52))</f>
        <v>15</v>
      </c>
      <c r="O172" cm="1">
        <f t="array" aca="1" ref="O172" ca="1">INDIRECT(ADDRESS($B172,Plots!$H$4,,,Plots!$A$53))+INDIRECT(ADDRESS($B172,Plots!$H$4,,,Plots!$A$54))+INDIRECT(ADDRESS($B172,Plots!$H$4,,,Plots!$A$55))+INDIRECT(ADDRESS($B172,Plots!$H$4,,,Plots!$A$56))</f>
        <v>24</v>
      </c>
      <c r="P172" cm="1">
        <f t="array" aca="1" ref="P172" ca="1">INDIRECT(ADDRESS($B172,Plots!$H$4,,,Plots!$A$57))+INDIRECT(ADDRESS($B172,Plots!$H$4,,,Plots!$A$58))+INDIRECT(ADDRESS($B172,Plots!$H$4,,,Plots!$A$59))+INDIRECT(ADDRESS($B172,Plots!$H$4,,,Plots!$A$60))+INDIRECT(ADDRESS($B172,Plots!$H$4,,,Plots!$A$61))</f>
        <v>0</v>
      </c>
      <c r="Q172" cm="1">
        <f t="array" aca="1" ref="Q172" ca="1">INDIRECT(ADDRESS($B172,Plots!$H$4,,,Plots!$A$62))+INDIRECT(ADDRESS($B172,Plots!$H$4,,,Plots!$A$63))+INDIRECT(ADDRESS($B172,Plots!$H$4,,,Plots!$A$64))+INDIRECT(ADDRESS($B172,Plots!$H$4,,,Plots!$A$65))+INDIRECT(ADDRESS($B172,Plots!$H$4,,,Plots!$A$66))+INDIRECT(ADDRESS($B172,Plots!$H$4,,,Plots!$A$67))</f>
        <v>0</v>
      </c>
    </row>
    <row r="173" spans="1:17">
      <c r="A173" t="str">
        <f>'AARnetCBR-CamDTN1_tcpmon_ts_11'!A173</f>
        <v xml:space="preserve">R0 </v>
      </c>
      <c r="B173">
        <f t="shared" si="0"/>
        <v>173</v>
      </c>
      <c r="C173" cm="1">
        <f t="array" aca="1" ref="C173" ca="1">INDIRECT(ADDRESS($B173,Plots!$H$3,,,Plots!$A$47))</f>
        <v>0</v>
      </c>
      <c r="D173" cm="1">
        <f t="array" aca="1" ref="D173" ca="1">INDIRECT(ADDRESS($B173,Plots!$H$3,,,Plots!$A$48))+INDIRECT(ADDRESS($B173,Plots!$H$3,,,Plots!$A$49))</f>
        <v>0</v>
      </c>
      <c r="E173" cm="1">
        <f t="array" aca="1" ref="E173" ca="1">INDIRECT(ADDRESS($B173,Plots!$H$3,,,Plots!$A$50))+INDIRECT(ADDRESS($B173,Plots!$H$3,,,Plots!$A$51))+INDIRECT(ADDRESS($B173,Plots!$H$3,,,Plots!$A$52))</f>
        <v>0</v>
      </c>
      <c r="F173" cm="1">
        <f t="array" aca="1" ref="F173" ca="1">INDIRECT(ADDRESS($B173,Plots!$H$3,,,Plots!$A$53))+INDIRECT(ADDRESS($B173,Plots!$H$3,,,Plots!$A$54))+INDIRECT(ADDRESS($B173,Plots!$H$3,,,Plots!$A$55))+INDIRECT(ADDRESS($B173,Plots!$H$3,,,Plots!$A$56))</f>
        <v>0</v>
      </c>
      <c r="G173" cm="1">
        <f t="array" aca="1" ref="G173" ca="1">INDIRECT(ADDRESS($B173,Plots!$H$3,,,Plots!$A$57))+INDIRECT(ADDRESS($B173,Plots!$H$3,,,Plots!$A$58))+INDIRECT(ADDRESS($B173,Plots!$H$3,,,Plots!$A$59))+INDIRECT(ADDRESS($B173,Plots!$H$3,,,Plots!$A$60))+INDIRECT(ADDRESS($B173,Plots!$H$3,,,Plots!$A$61))</f>
        <v>0</v>
      </c>
      <c r="H173" cm="1">
        <f t="array" aca="1" ref="H173" ca="1">INDIRECT(ADDRESS($B173,Plots!$H$3,,,Plots!$A$62))+INDIRECT(ADDRESS($B173,Plots!$H$3,,,Plots!$A$63))+INDIRECT(ADDRESS($B173,Plots!$H$3,,,Plots!$A$64))+INDIRECT(ADDRESS($B173,Plots!$H$3,,,Plots!$A$65))+INDIRECT(ADDRESS($B173,Plots!$H$3,,,Plots!$A$66))+INDIRECT(ADDRESS($B173,Plots!$H$3,,,Plots!$A$67))</f>
        <v>0</v>
      </c>
      <c r="I173">
        <f>'AARnetCBR-CamDTN1_tcpmon_ts_81'!H177+'AARnetCBR-CamDTN1_tcpmon_ts_82'!H177+'AARnetCBR-CamDTN1_tcpmon_ts_83'!H177+'AARnetCBR-CamDTN1_tcpmon_ts_84'!H177+'AARnetCBR-CamDTN1_tcpmon_ts_85'!H177+'AARnetCBR-CamDTN1_tcpmon_ts_86'!H177+'AARnetCBR-CamDTN1_tcpmon_ts_87'!H177+'AARnetCBR-CamDTN1_tcpmon_ts_88'!H177</f>
        <v>0</v>
      </c>
      <c r="L173" cm="1">
        <f t="array" aca="1" ref="L173" ca="1">INDIRECT(ADDRESS($B173,Plots!$H$4,,,Plots!$A$47))</f>
        <v>0</v>
      </c>
      <c r="M173" cm="1">
        <f t="array" aca="1" ref="M173" ca="1">INDIRECT(ADDRESS($B173,Plots!$H$4,,,Plots!$A$48))+INDIRECT(ADDRESS($B173,Plots!$H$4,,,Plots!$A$49))</f>
        <v>0</v>
      </c>
      <c r="N173" cm="1">
        <f t="array" aca="1" ref="N173" ca="1">INDIRECT(ADDRESS($B173,Plots!$H$4,,,Plots!$A$50))+INDIRECT(ADDRESS($B173,Plots!$H$4,,,Plots!$A$51))+INDIRECT(ADDRESS($B173,Plots!$H$4,,,Plots!$A$52))</f>
        <v>0</v>
      </c>
      <c r="O173" cm="1">
        <f t="array" aca="1" ref="O173" ca="1">INDIRECT(ADDRESS($B173,Plots!$H$4,,,Plots!$A$53))+INDIRECT(ADDRESS($B173,Plots!$H$4,,,Plots!$A$54))+INDIRECT(ADDRESS($B173,Plots!$H$4,,,Plots!$A$55))+INDIRECT(ADDRESS($B173,Plots!$H$4,,,Plots!$A$56))</f>
        <v>0</v>
      </c>
      <c r="P173" cm="1">
        <f t="array" aca="1" ref="P173" ca="1">INDIRECT(ADDRESS($B173,Plots!$H$4,,,Plots!$A$57))+INDIRECT(ADDRESS($B173,Plots!$H$4,,,Plots!$A$58))+INDIRECT(ADDRESS($B173,Plots!$H$4,,,Plots!$A$59))+INDIRECT(ADDRESS($B173,Plots!$H$4,,,Plots!$A$60))+INDIRECT(ADDRESS($B173,Plots!$H$4,,,Plots!$A$61))</f>
        <v>0</v>
      </c>
      <c r="Q173" cm="1">
        <f t="array" aca="1" ref="Q173" ca="1">INDIRECT(ADDRESS($B173,Plots!$H$4,,,Plots!$A$62))+INDIRECT(ADDRESS($B173,Plots!$H$4,,,Plots!$A$63))+INDIRECT(ADDRESS($B173,Plots!$H$4,,,Plots!$A$64))+INDIRECT(ADDRESS($B173,Plots!$H$4,,,Plots!$A$65))+INDIRECT(ADDRESS($B173,Plots!$H$4,,,Plots!$A$66))+INDIRECT(ADDRESS($B173,Plots!$H$4,,,Plots!$A$67))</f>
        <v>0</v>
      </c>
    </row>
    <row r="174" spans="1:17">
      <c r="A174" t="str">
        <f>'AARnetCBR-CamDTN1_tcpmon_ts_11'!A174</f>
        <v xml:space="preserve">R1 </v>
      </c>
      <c r="B174">
        <f t="shared" si="0"/>
        <v>174</v>
      </c>
      <c r="C174" cm="1">
        <f t="array" aca="1" ref="C174" ca="1">INDIRECT(ADDRESS($B174,Plots!$H$3,,,Plots!$A$47))</f>
        <v>0</v>
      </c>
      <c r="D174" cm="1">
        <f t="array" aca="1" ref="D174" ca="1">INDIRECT(ADDRESS($B174,Plots!$H$3,,,Plots!$A$48))+INDIRECT(ADDRESS($B174,Plots!$H$3,,,Plots!$A$49))</f>
        <v>0</v>
      </c>
      <c r="E174" cm="1">
        <f t="array" aca="1" ref="E174" ca="1">INDIRECT(ADDRESS($B174,Plots!$H$3,,,Plots!$A$50))+INDIRECT(ADDRESS($B174,Plots!$H$3,,,Plots!$A$51))+INDIRECT(ADDRESS($B174,Plots!$H$3,,,Plots!$A$52))</f>
        <v>0</v>
      </c>
      <c r="F174" cm="1">
        <f t="array" aca="1" ref="F174" ca="1">INDIRECT(ADDRESS($B174,Plots!$H$3,,,Plots!$A$53))+INDIRECT(ADDRESS($B174,Plots!$H$3,,,Plots!$A$54))+INDIRECT(ADDRESS($B174,Plots!$H$3,,,Plots!$A$55))+INDIRECT(ADDRESS($B174,Plots!$H$3,,,Plots!$A$56))</f>
        <v>0</v>
      </c>
      <c r="G174" cm="1">
        <f t="array" aca="1" ref="G174" ca="1">INDIRECT(ADDRESS($B174,Plots!$H$3,,,Plots!$A$57))+INDIRECT(ADDRESS($B174,Plots!$H$3,,,Plots!$A$58))+INDIRECT(ADDRESS($B174,Plots!$H$3,,,Plots!$A$59))+INDIRECT(ADDRESS($B174,Plots!$H$3,,,Plots!$A$60))+INDIRECT(ADDRESS($B174,Plots!$H$3,,,Plots!$A$61))</f>
        <v>0</v>
      </c>
      <c r="H174" cm="1">
        <f t="array" aca="1" ref="H174" ca="1">INDIRECT(ADDRESS($B174,Plots!$H$3,,,Plots!$A$62))+INDIRECT(ADDRESS($B174,Plots!$H$3,,,Plots!$A$63))+INDIRECT(ADDRESS($B174,Plots!$H$3,,,Plots!$A$64))+INDIRECT(ADDRESS($B174,Plots!$H$3,,,Plots!$A$65))+INDIRECT(ADDRESS($B174,Plots!$H$3,,,Plots!$A$66))+INDIRECT(ADDRESS($B174,Plots!$H$3,,,Plots!$A$67))</f>
        <v>0</v>
      </c>
      <c r="I174">
        <f>'AARnetCBR-CamDTN1_tcpmon_ts_81'!H178+'AARnetCBR-CamDTN1_tcpmon_ts_82'!H178+'AARnetCBR-CamDTN1_tcpmon_ts_83'!H178+'AARnetCBR-CamDTN1_tcpmon_ts_84'!H178+'AARnetCBR-CamDTN1_tcpmon_ts_85'!H178+'AARnetCBR-CamDTN1_tcpmon_ts_86'!H178+'AARnetCBR-CamDTN1_tcpmon_ts_87'!H178+'AARnetCBR-CamDTN1_tcpmon_ts_88'!H178</f>
        <v>0</v>
      </c>
      <c r="L174" cm="1">
        <f t="array" aca="1" ref="L174" ca="1">INDIRECT(ADDRESS($B174,Plots!$H$4,,,Plots!$A$47))</f>
        <v>0</v>
      </c>
      <c r="M174" cm="1">
        <f t="array" aca="1" ref="M174" ca="1">INDIRECT(ADDRESS($B174,Plots!$H$4,,,Plots!$A$48))+INDIRECT(ADDRESS($B174,Plots!$H$4,,,Plots!$A$49))</f>
        <v>0</v>
      </c>
      <c r="N174" cm="1">
        <f t="array" aca="1" ref="N174" ca="1">INDIRECT(ADDRESS($B174,Plots!$H$4,,,Plots!$A$50))+INDIRECT(ADDRESS($B174,Plots!$H$4,,,Plots!$A$51))+INDIRECT(ADDRESS($B174,Plots!$H$4,,,Plots!$A$52))</f>
        <v>0</v>
      </c>
      <c r="O174" cm="1">
        <f t="array" aca="1" ref="O174" ca="1">INDIRECT(ADDRESS($B174,Plots!$H$4,,,Plots!$A$53))+INDIRECT(ADDRESS($B174,Plots!$H$4,,,Plots!$A$54))+INDIRECT(ADDRESS($B174,Plots!$H$4,,,Plots!$A$55))+INDIRECT(ADDRESS($B174,Plots!$H$4,,,Plots!$A$56))</f>
        <v>0</v>
      </c>
      <c r="P174" cm="1">
        <f t="array" aca="1" ref="P174" ca="1">INDIRECT(ADDRESS($B174,Plots!$H$4,,,Plots!$A$57))+INDIRECT(ADDRESS($B174,Plots!$H$4,,,Plots!$A$58))+INDIRECT(ADDRESS($B174,Plots!$H$4,,,Plots!$A$59))+INDIRECT(ADDRESS($B174,Plots!$H$4,,,Plots!$A$60))+INDIRECT(ADDRESS($B174,Plots!$H$4,,,Plots!$A$61))</f>
        <v>0</v>
      </c>
      <c r="Q174" cm="1">
        <f t="array" aca="1" ref="Q174" ca="1">INDIRECT(ADDRESS($B174,Plots!$H$4,,,Plots!$A$62))+INDIRECT(ADDRESS($B174,Plots!$H$4,,,Plots!$A$63))+INDIRECT(ADDRESS($B174,Plots!$H$4,,,Plots!$A$64))+INDIRECT(ADDRESS($B174,Plots!$H$4,,,Plots!$A$65))+INDIRECT(ADDRESS($B174,Plots!$H$4,,,Plots!$A$66))+INDIRECT(ADDRESS($B174,Plots!$H$4,,,Plots!$A$67))</f>
        <v>0</v>
      </c>
    </row>
    <row r="175" spans="1:17">
      <c r="A175" t="str">
        <f>'AARnetCBR-CamDTN1_tcpmon_ts_11'!A175</f>
        <v xml:space="preserve">R2 </v>
      </c>
      <c r="B175">
        <f t="shared" si="0"/>
        <v>175</v>
      </c>
      <c r="C175" cm="1">
        <f t="array" aca="1" ref="C175" ca="1">INDIRECT(ADDRESS($B175,Plots!$H$3,,,Plots!$A$47))</f>
        <v>0</v>
      </c>
      <c r="D175" cm="1">
        <f t="array" aca="1" ref="D175" ca="1">INDIRECT(ADDRESS($B175,Plots!$H$3,,,Plots!$A$48))+INDIRECT(ADDRESS($B175,Plots!$H$3,,,Plots!$A$49))</f>
        <v>0</v>
      </c>
      <c r="E175" cm="1">
        <f t="array" aca="1" ref="E175" ca="1">INDIRECT(ADDRESS($B175,Plots!$H$3,,,Plots!$A$50))+INDIRECT(ADDRESS($B175,Plots!$H$3,,,Plots!$A$51))+INDIRECT(ADDRESS($B175,Plots!$H$3,,,Plots!$A$52))</f>
        <v>0</v>
      </c>
      <c r="F175" cm="1">
        <f t="array" aca="1" ref="F175" ca="1">INDIRECT(ADDRESS($B175,Plots!$H$3,,,Plots!$A$53))+INDIRECT(ADDRESS($B175,Plots!$H$3,,,Plots!$A$54))+INDIRECT(ADDRESS($B175,Plots!$H$3,,,Plots!$A$55))+INDIRECT(ADDRESS($B175,Plots!$H$3,,,Plots!$A$56))</f>
        <v>0</v>
      </c>
      <c r="G175" cm="1">
        <f t="array" aca="1" ref="G175" ca="1">INDIRECT(ADDRESS($B175,Plots!$H$3,,,Plots!$A$57))+INDIRECT(ADDRESS($B175,Plots!$H$3,,,Plots!$A$58))+INDIRECT(ADDRESS($B175,Plots!$H$3,,,Plots!$A$59))+INDIRECT(ADDRESS($B175,Plots!$H$3,,,Plots!$A$60))+INDIRECT(ADDRESS($B175,Plots!$H$3,,,Plots!$A$61))</f>
        <v>0</v>
      </c>
      <c r="H175" cm="1">
        <f t="array" aca="1" ref="H175" ca="1">INDIRECT(ADDRESS($B175,Plots!$H$3,,,Plots!$A$62))+INDIRECT(ADDRESS($B175,Plots!$H$3,,,Plots!$A$63))+INDIRECT(ADDRESS($B175,Plots!$H$3,,,Plots!$A$64))+INDIRECT(ADDRESS($B175,Plots!$H$3,,,Plots!$A$65))+INDIRECT(ADDRESS($B175,Plots!$H$3,,,Plots!$A$66))+INDIRECT(ADDRESS($B175,Plots!$H$3,,,Plots!$A$67))</f>
        <v>0</v>
      </c>
      <c r="I175">
        <f>'AARnetCBR-CamDTN1_tcpmon_ts_81'!H179+'AARnetCBR-CamDTN1_tcpmon_ts_82'!H179+'AARnetCBR-CamDTN1_tcpmon_ts_83'!H179+'AARnetCBR-CamDTN1_tcpmon_ts_84'!H179+'AARnetCBR-CamDTN1_tcpmon_ts_85'!H179+'AARnetCBR-CamDTN1_tcpmon_ts_86'!H179+'AARnetCBR-CamDTN1_tcpmon_ts_87'!H179+'AARnetCBR-CamDTN1_tcpmon_ts_88'!H179</f>
        <v>0</v>
      </c>
      <c r="L175" cm="1">
        <f t="array" aca="1" ref="L175" ca="1">INDIRECT(ADDRESS($B175,Plots!$H$4,,,Plots!$A$47))</f>
        <v>0</v>
      </c>
      <c r="M175" cm="1">
        <f t="array" aca="1" ref="M175" ca="1">INDIRECT(ADDRESS($B175,Plots!$H$4,,,Plots!$A$48))+INDIRECT(ADDRESS($B175,Plots!$H$4,,,Plots!$A$49))</f>
        <v>0</v>
      </c>
      <c r="N175" cm="1">
        <f t="array" aca="1" ref="N175" ca="1">INDIRECT(ADDRESS($B175,Plots!$H$4,,,Plots!$A$50))+INDIRECT(ADDRESS($B175,Plots!$H$4,,,Plots!$A$51))+INDIRECT(ADDRESS($B175,Plots!$H$4,,,Plots!$A$52))</f>
        <v>0</v>
      </c>
      <c r="O175" cm="1">
        <f t="array" aca="1" ref="O175" ca="1">INDIRECT(ADDRESS($B175,Plots!$H$4,,,Plots!$A$53))+INDIRECT(ADDRESS($B175,Plots!$H$4,,,Plots!$A$54))+INDIRECT(ADDRESS($B175,Plots!$H$4,,,Plots!$A$55))+INDIRECT(ADDRESS($B175,Plots!$H$4,,,Plots!$A$56))</f>
        <v>0</v>
      </c>
      <c r="P175" cm="1">
        <f t="array" aca="1" ref="P175" ca="1">INDIRECT(ADDRESS($B175,Plots!$H$4,,,Plots!$A$57))+INDIRECT(ADDRESS($B175,Plots!$H$4,,,Plots!$A$58))+INDIRECT(ADDRESS($B175,Plots!$H$4,,,Plots!$A$59))+INDIRECT(ADDRESS($B175,Plots!$H$4,,,Plots!$A$60))+INDIRECT(ADDRESS($B175,Plots!$H$4,,,Plots!$A$61))</f>
        <v>0</v>
      </c>
      <c r="Q175" cm="1">
        <f t="array" aca="1" ref="Q175" ca="1">INDIRECT(ADDRESS($B175,Plots!$H$4,,,Plots!$A$62))+INDIRECT(ADDRESS($B175,Plots!$H$4,,,Plots!$A$63))+INDIRECT(ADDRESS($B175,Plots!$H$4,,,Plots!$A$64))+INDIRECT(ADDRESS($B175,Plots!$H$4,,,Plots!$A$65))+INDIRECT(ADDRESS($B175,Plots!$H$4,,,Plots!$A$66))+INDIRECT(ADDRESS($B175,Plots!$H$4,,,Plots!$A$67))</f>
        <v>0</v>
      </c>
    </row>
    <row r="176" spans="1:17">
      <c r="A176" t="str">
        <f>'AARnetCBR-CamDTN1_tcpmon_ts_11'!A176</f>
        <v xml:space="preserve">R3 </v>
      </c>
      <c r="B176">
        <f t="shared" si="0"/>
        <v>176</v>
      </c>
      <c r="C176" cm="1">
        <f t="array" aca="1" ref="C176" ca="1">INDIRECT(ADDRESS($B176,Plots!$H$3,,,Plots!$A$47))</f>
        <v>0</v>
      </c>
      <c r="D176" cm="1">
        <f t="array" aca="1" ref="D176" ca="1">INDIRECT(ADDRESS($B176,Plots!$H$3,,,Plots!$A$48))+INDIRECT(ADDRESS($B176,Plots!$H$3,,,Plots!$A$49))</f>
        <v>0</v>
      </c>
      <c r="E176" cm="1">
        <f t="array" aca="1" ref="E176" ca="1">INDIRECT(ADDRESS($B176,Plots!$H$3,,,Plots!$A$50))+INDIRECT(ADDRESS($B176,Plots!$H$3,,,Plots!$A$51))+INDIRECT(ADDRESS($B176,Plots!$H$3,,,Plots!$A$52))</f>
        <v>0</v>
      </c>
      <c r="F176" cm="1">
        <f t="array" aca="1" ref="F176" ca="1">INDIRECT(ADDRESS($B176,Plots!$H$3,,,Plots!$A$53))+INDIRECT(ADDRESS($B176,Plots!$H$3,,,Plots!$A$54))+INDIRECT(ADDRESS($B176,Plots!$H$3,,,Plots!$A$55))+INDIRECT(ADDRESS($B176,Plots!$H$3,,,Plots!$A$56))</f>
        <v>0</v>
      </c>
      <c r="G176" cm="1">
        <f t="array" aca="1" ref="G176" ca="1">INDIRECT(ADDRESS($B176,Plots!$H$3,,,Plots!$A$57))+INDIRECT(ADDRESS($B176,Plots!$H$3,,,Plots!$A$58))+INDIRECT(ADDRESS($B176,Plots!$H$3,,,Plots!$A$59))+INDIRECT(ADDRESS($B176,Plots!$H$3,,,Plots!$A$60))+INDIRECT(ADDRESS($B176,Plots!$H$3,,,Plots!$A$61))</f>
        <v>0</v>
      </c>
      <c r="H176" cm="1">
        <f t="array" aca="1" ref="H176" ca="1">INDIRECT(ADDRESS($B176,Plots!$H$3,,,Plots!$A$62))+INDIRECT(ADDRESS($B176,Plots!$H$3,,,Plots!$A$63))+INDIRECT(ADDRESS($B176,Plots!$H$3,,,Plots!$A$64))+INDIRECT(ADDRESS($B176,Plots!$H$3,,,Plots!$A$65))+INDIRECT(ADDRESS($B176,Plots!$H$3,,,Plots!$A$66))+INDIRECT(ADDRESS($B176,Plots!$H$3,,,Plots!$A$67))</f>
        <v>0</v>
      </c>
      <c r="I176">
        <f>'AARnetCBR-CamDTN1_tcpmon_ts_81'!H180+'AARnetCBR-CamDTN1_tcpmon_ts_82'!H180+'AARnetCBR-CamDTN1_tcpmon_ts_83'!H180+'AARnetCBR-CamDTN1_tcpmon_ts_84'!H180+'AARnetCBR-CamDTN1_tcpmon_ts_85'!H180+'AARnetCBR-CamDTN1_tcpmon_ts_86'!H180+'AARnetCBR-CamDTN1_tcpmon_ts_87'!H180+'AARnetCBR-CamDTN1_tcpmon_ts_88'!H180</f>
        <v>0</v>
      </c>
      <c r="L176" cm="1">
        <f t="array" aca="1" ref="L176" ca="1">INDIRECT(ADDRESS($B176,Plots!$H$4,,,Plots!$A$47))</f>
        <v>0</v>
      </c>
      <c r="M176" cm="1">
        <f t="array" aca="1" ref="M176" ca="1">INDIRECT(ADDRESS($B176,Plots!$H$4,,,Plots!$A$48))+INDIRECT(ADDRESS($B176,Plots!$H$4,,,Plots!$A$49))</f>
        <v>0</v>
      </c>
      <c r="N176" cm="1">
        <f t="array" aca="1" ref="N176" ca="1">INDIRECT(ADDRESS($B176,Plots!$H$4,,,Plots!$A$50))+INDIRECT(ADDRESS($B176,Plots!$H$4,,,Plots!$A$51))+INDIRECT(ADDRESS($B176,Plots!$H$4,,,Plots!$A$52))</f>
        <v>0</v>
      </c>
      <c r="O176" cm="1">
        <f t="array" aca="1" ref="O176" ca="1">INDIRECT(ADDRESS($B176,Plots!$H$4,,,Plots!$A$53))+INDIRECT(ADDRESS($B176,Plots!$H$4,,,Plots!$A$54))+INDIRECT(ADDRESS($B176,Plots!$H$4,,,Plots!$A$55))+INDIRECT(ADDRESS($B176,Plots!$H$4,,,Plots!$A$56))</f>
        <v>0</v>
      </c>
      <c r="P176" cm="1">
        <f t="array" aca="1" ref="P176" ca="1">INDIRECT(ADDRESS($B176,Plots!$H$4,,,Plots!$A$57))+INDIRECT(ADDRESS($B176,Plots!$H$4,,,Plots!$A$58))+INDIRECT(ADDRESS($B176,Plots!$H$4,,,Plots!$A$59))+INDIRECT(ADDRESS($B176,Plots!$H$4,,,Plots!$A$60))+INDIRECT(ADDRESS($B176,Plots!$H$4,,,Plots!$A$61))</f>
        <v>0</v>
      </c>
      <c r="Q176" cm="1">
        <f t="array" aca="1" ref="Q176" ca="1">INDIRECT(ADDRESS($B176,Plots!$H$4,,,Plots!$A$62))+INDIRECT(ADDRESS($B176,Plots!$H$4,,,Plots!$A$63))+INDIRECT(ADDRESS($B176,Plots!$H$4,,,Plots!$A$64))+INDIRECT(ADDRESS($B176,Plots!$H$4,,,Plots!$A$65))+INDIRECT(ADDRESS($B176,Plots!$H$4,,,Plots!$A$66))+INDIRECT(ADDRESS($B176,Plots!$H$4,,,Plots!$A$67))</f>
        <v>0</v>
      </c>
    </row>
    <row r="177" spans="1:17">
      <c r="A177" t="str">
        <f>'AARnetCBR-CamDTN1_tcpmon_ts_11'!A177</f>
        <v xml:space="preserve">R4 </v>
      </c>
      <c r="B177">
        <f t="shared" si="0"/>
        <v>177</v>
      </c>
      <c r="C177" cm="1">
        <f t="array" aca="1" ref="C177" ca="1">INDIRECT(ADDRESS($B177,Plots!$H$3,,,Plots!$A$47))</f>
        <v>0</v>
      </c>
      <c r="D177" cm="1">
        <f t="array" aca="1" ref="D177" ca="1">INDIRECT(ADDRESS($B177,Plots!$H$3,,,Plots!$A$48))+INDIRECT(ADDRESS($B177,Plots!$H$3,,,Plots!$A$49))</f>
        <v>0</v>
      </c>
      <c r="E177" cm="1">
        <f t="array" aca="1" ref="E177" ca="1">INDIRECT(ADDRESS($B177,Plots!$H$3,,,Plots!$A$50))+INDIRECT(ADDRESS($B177,Plots!$H$3,,,Plots!$A$51))+INDIRECT(ADDRESS($B177,Plots!$H$3,,,Plots!$A$52))</f>
        <v>0</v>
      </c>
      <c r="F177" cm="1">
        <f t="array" aca="1" ref="F177" ca="1">INDIRECT(ADDRESS($B177,Plots!$H$3,,,Plots!$A$53))+INDIRECT(ADDRESS($B177,Plots!$H$3,,,Plots!$A$54))+INDIRECT(ADDRESS($B177,Plots!$H$3,,,Plots!$A$55))+INDIRECT(ADDRESS($B177,Plots!$H$3,,,Plots!$A$56))</f>
        <v>0</v>
      </c>
      <c r="G177" cm="1">
        <f t="array" aca="1" ref="G177" ca="1">INDIRECT(ADDRESS($B177,Plots!$H$3,,,Plots!$A$57))+INDIRECT(ADDRESS($B177,Plots!$H$3,,,Plots!$A$58))+INDIRECT(ADDRESS($B177,Plots!$H$3,,,Plots!$A$59))+INDIRECT(ADDRESS($B177,Plots!$H$3,,,Plots!$A$60))+INDIRECT(ADDRESS($B177,Plots!$H$3,,,Plots!$A$61))</f>
        <v>0</v>
      </c>
      <c r="H177" cm="1">
        <f t="array" aca="1" ref="H177" ca="1">INDIRECT(ADDRESS($B177,Plots!$H$3,,,Plots!$A$62))+INDIRECT(ADDRESS($B177,Plots!$H$3,,,Plots!$A$63))+INDIRECT(ADDRESS($B177,Plots!$H$3,,,Plots!$A$64))+INDIRECT(ADDRESS($B177,Plots!$H$3,,,Plots!$A$65))+INDIRECT(ADDRESS($B177,Plots!$H$3,,,Plots!$A$66))+INDIRECT(ADDRESS($B177,Plots!$H$3,,,Plots!$A$67))</f>
        <v>0</v>
      </c>
      <c r="I177">
        <f>'AARnetCBR-CamDTN1_tcpmon_ts_81'!H181+'AARnetCBR-CamDTN1_tcpmon_ts_82'!H181+'AARnetCBR-CamDTN1_tcpmon_ts_83'!H181+'AARnetCBR-CamDTN1_tcpmon_ts_84'!H181+'AARnetCBR-CamDTN1_tcpmon_ts_85'!H181+'AARnetCBR-CamDTN1_tcpmon_ts_86'!H181+'AARnetCBR-CamDTN1_tcpmon_ts_87'!H181+'AARnetCBR-CamDTN1_tcpmon_ts_88'!H181</f>
        <v>0</v>
      </c>
      <c r="L177" cm="1">
        <f t="array" aca="1" ref="L177" ca="1">INDIRECT(ADDRESS($B177,Plots!$H$4,,,Plots!$A$47))</f>
        <v>0</v>
      </c>
      <c r="M177" cm="1">
        <f t="array" aca="1" ref="M177" ca="1">INDIRECT(ADDRESS($B177,Plots!$H$4,,,Plots!$A$48))+INDIRECT(ADDRESS($B177,Plots!$H$4,,,Plots!$A$49))</f>
        <v>0</v>
      </c>
      <c r="N177" cm="1">
        <f t="array" aca="1" ref="N177" ca="1">INDIRECT(ADDRESS($B177,Plots!$H$4,,,Plots!$A$50))+INDIRECT(ADDRESS($B177,Plots!$H$4,,,Plots!$A$51))+INDIRECT(ADDRESS($B177,Plots!$H$4,,,Plots!$A$52))</f>
        <v>0</v>
      </c>
      <c r="O177" cm="1">
        <f t="array" aca="1" ref="O177" ca="1">INDIRECT(ADDRESS($B177,Plots!$H$4,,,Plots!$A$53))+INDIRECT(ADDRESS($B177,Plots!$H$4,,,Plots!$A$54))+INDIRECT(ADDRESS($B177,Plots!$H$4,,,Plots!$A$55))+INDIRECT(ADDRESS($B177,Plots!$H$4,,,Plots!$A$56))</f>
        <v>0</v>
      </c>
      <c r="P177" cm="1">
        <f t="array" aca="1" ref="P177" ca="1">INDIRECT(ADDRESS($B177,Plots!$H$4,,,Plots!$A$57))+INDIRECT(ADDRESS($B177,Plots!$H$4,,,Plots!$A$58))+INDIRECT(ADDRESS($B177,Plots!$H$4,,,Plots!$A$59))+INDIRECT(ADDRESS($B177,Plots!$H$4,,,Plots!$A$60))+INDIRECT(ADDRESS($B177,Plots!$H$4,,,Plots!$A$61))</f>
        <v>0</v>
      </c>
      <c r="Q177" cm="1">
        <f t="array" aca="1" ref="Q177" ca="1">INDIRECT(ADDRESS($B177,Plots!$H$4,,,Plots!$A$62))+INDIRECT(ADDRESS($B177,Plots!$H$4,,,Plots!$A$63))+INDIRECT(ADDRESS($B177,Plots!$H$4,,,Plots!$A$64))+INDIRECT(ADDRESS($B177,Plots!$H$4,,,Plots!$A$65))+INDIRECT(ADDRESS($B177,Plots!$H$4,,,Plots!$A$66))+INDIRECT(ADDRESS($B177,Plots!$H$4,,,Plots!$A$67))</f>
        <v>0</v>
      </c>
    </row>
    <row r="178" spans="1:17">
      <c r="A178" t="str">
        <f>'AARnetCBR-CamDTN1_tcpmon_ts_11'!A178</f>
        <v xml:space="preserve">R5 </v>
      </c>
      <c r="B178">
        <f t="shared" si="0"/>
        <v>178</v>
      </c>
      <c r="C178" cm="1">
        <f t="array" aca="1" ref="C178" ca="1">INDIRECT(ADDRESS($B178,Plots!$H$3,,,Plots!$A$47))</f>
        <v>0</v>
      </c>
      <c r="D178" cm="1">
        <f t="array" aca="1" ref="D178" ca="1">INDIRECT(ADDRESS($B178,Plots!$H$3,,,Plots!$A$48))+INDIRECT(ADDRESS($B178,Plots!$H$3,,,Plots!$A$49))</f>
        <v>0</v>
      </c>
      <c r="E178" cm="1">
        <f t="array" aca="1" ref="E178" ca="1">INDIRECT(ADDRESS($B178,Plots!$H$3,,,Plots!$A$50))+INDIRECT(ADDRESS($B178,Plots!$H$3,,,Plots!$A$51))+INDIRECT(ADDRESS($B178,Plots!$H$3,,,Plots!$A$52))</f>
        <v>0</v>
      </c>
      <c r="F178" cm="1">
        <f t="array" aca="1" ref="F178" ca="1">INDIRECT(ADDRESS($B178,Plots!$H$3,,,Plots!$A$53))+INDIRECT(ADDRESS($B178,Plots!$H$3,,,Plots!$A$54))+INDIRECT(ADDRESS($B178,Plots!$H$3,,,Plots!$A$55))+INDIRECT(ADDRESS($B178,Plots!$H$3,,,Plots!$A$56))</f>
        <v>0</v>
      </c>
      <c r="G178" cm="1">
        <f t="array" aca="1" ref="G178" ca="1">INDIRECT(ADDRESS($B178,Plots!$H$3,,,Plots!$A$57))+INDIRECT(ADDRESS($B178,Plots!$H$3,,,Plots!$A$58))+INDIRECT(ADDRESS($B178,Plots!$H$3,,,Plots!$A$59))+INDIRECT(ADDRESS($B178,Plots!$H$3,,,Plots!$A$60))+INDIRECT(ADDRESS($B178,Plots!$H$3,,,Plots!$A$61))</f>
        <v>0</v>
      </c>
      <c r="H178" cm="1">
        <f t="array" aca="1" ref="H178" ca="1">INDIRECT(ADDRESS($B178,Plots!$H$3,,,Plots!$A$62))+INDIRECT(ADDRESS($B178,Plots!$H$3,,,Plots!$A$63))+INDIRECT(ADDRESS($B178,Plots!$H$3,,,Plots!$A$64))+INDIRECT(ADDRESS($B178,Plots!$H$3,,,Plots!$A$65))+INDIRECT(ADDRESS($B178,Plots!$H$3,,,Plots!$A$66))+INDIRECT(ADDRESS($B178,Plots!$H$3,,,Plots!$A$67))</f>
        <v>0</v>
      </c>
      <c r="I178">
        <f>'AARnetCBR-CamDTN1_tcpmon_ts_81'!H182+'AARnetCBR-CamDTN1_tcpmon_ts_82'!H182+'AARnetCBR-CamDTN1_tcpmon_ts_83'!H182+'AARnetCBR-CamDTN1_tcpmon_ts_84'!H182+'AARnetCBR-CamDTN1_tcpmon_ts_85'!H182+'AARnetCBR-CamDTN1_tcpmon_ts_86'!H182+'AARnetCBR-CamDTN1_tcpmon_ts_87'!H182+'AARnetCBR-CamDTN1_tcpmon_ts_88'!H182</f>
        <v>0</v>
      </c>
      <c r="L178" cm="1">
        <f t="array" aca="1" ref="L178" ca="1">INDIRECT(ADDRESS($B178,Plots!$H$4,,,Plots!$A$47))</f>
        <v>0</v>
      </c>
      <c r="M178" cm="1">
        <f t="array" aca="1" ref="M178" ca="1">INDIRECT(ADDRESS($B178,Plots!$H$4,,,Plots!$A$48))+INDIRECT(ADDRESS($B178,Plots!$H$4,,,Plots!$A$49))</f>
        <v>0</v>
      </c>
      <c r="N178" cm="1">
        <f t="array" aca="1" ref="N178" ca="1">INDIRECT(ADDRESS($B178,Plots!$H$4,,,Plots!$A$50))+INDIRECT(ADDRESS($B178,Plots!$H$4,,,Plots!$A$51))+INDIRECT(ADDRESS($B178,Plots!$H$4,,,Plots!$A$52))</f>
        <v>0</v>
      </c>
      <c r="O178" cm="1">
        <f t="array" aca="1" ref="O178" ca="1">INDIRECT(ADDRESS($B178,Plots!$H$4,,,Plots!$A$53))+INDIRECT(ADDRESS($B178,Plots!$H$4,,,Plots!$A$54))+INDIRECT(ADDRESS($B178,Plots!$H$4,,,Plots!$A$55))+INDIRECT(ADDRESS($B178,Plots!$H$4,,,Plots!$A$56))</f>
        <v>0</v>
      </c>
      <c r="P178" cm="1">
        <f t="array" aca="1" ref="P178" ca="1">INDIRECT(ADDRESS($B178,Plots!$H$4,,,Plots!$A$57))+INDIRECT(ADDRESS($B178,Plots!$H$4,,,Plots!$A$58))+INDIRECT(ADDRESS($B178,Plots!$H$4,,,Plots!$A$59))+INDIRECT(ADDRESS($B178,Plots!$H$4,,,Plots!$A$60))+INDIRECT(ADDRESS($B178,Plots!$H$4,,,Plots!$A$61))</f>
        <v>0</v>
      </c>
      <c r="Q178" cm="1">
        <f t="array" aca="1" ref="Q178" ca="1">INDIRECT(ADDRESS($B178,Plots!$H$4,,,Plots!$A$62))+INDIRECT(ADDRESS($B178,Plots!$H$4,,,Plots!$A$63))+INDIRECT(ADDRESS($B178,Plots!$H$4,,,Plots!$A$64))+INDIRECT(ADDRESS($B178,Plots!$H$4,,,Plots!$A$65))+INDIRECT(ADDRESS($B178,Plots!$H$4,,,Plots!$A$66))+INDIRECT(ADDRESS($B178,Plots!$H$4,,,Plots!$A$67))</f>
        <v>0</v>
      </c>
    </row>
    <row r="179" spans="1:17">
      <c r="A179" t="str">
        <f>'AARnetCBR-CamDTN1_tcpmon_ts_11'!A179</f>
        <v xml:space="preserve">R6 </v>
      </c>
      <c r="B179">
        <f t="shared" si="0"/>
        <v>179</v>
      </c>
      <c r="C179" cm="1">
        <f t="array" aca="1" ref="C179" ca="1">INDIRECT(ADDRESS($B179,Plots!$H$3,,,Plots!$A$47))</f>
        <v>0</v>
      </c>
      <c r="D179" cm="1">
        <f t="array" aca="1" ref="D179" ca="1">INDIRECT(ADDRESS($B179,Plots!$H$3,,,Plots!$A$48))+INDIRECT(ADDRESS($B179,Plots!$H$3,,,Plots!$A$49))</f>
        <v>0</v>
      </c>
      <c r="E179" cm="1">
        <f t="array" aca="1" ref="E179" ca="1">INDIRECT(ADDRESS($B179,Plots!$H$3,,,Plots!$A$50))+INDIRECT(ADDRESS($B179,Plots!$H$3,,,Plots!$A$51))+INDIRECT(ADDRESS($B179,Plots!$H$3,,,Plots!$A$52))</f>
        <v>0</v>
      </c>
      <c r="F179" cm="1">
        <f t="array" aca="1" ref="F179" ca="1">INDIRECT(ADDRESS($B179,Plots!$H$3,,,Plots!$A$53))+INDIRECT(ADDRESS($B179,Plots!$H$3,,,Plots!$A$54))+INDIRECT(ADDRESS($B179,Plots!$H$3,,,Plots!$A$55))+INDIRECT(ADDRESS($B179,Plots!$H$3,,,Plots!$A$56))</f>
        <v>0</v>
      </c>
      <c r="G179" cm="1">
        <f t="array" aca="1" ref="G179" ca="1">INDIRECT(ADDRESS($B179,Plots!$H$3,,,Plots!$A$57))+INDIRECT(ADDRESS($B179,Plots!$H$3,,,Plots!$A$58))+INDIRECT(ADDRESS($B179,Plots!$H$3,,,Plots!$A$59))+INDIRECT(ADDRESS($B179,Plots!$H$3,,,Plots!$A$60))+INDIRECT(ADDRESS($B179,Plots!$H$3,,,Plots!$A$61))</f>
        <v>0</v>
      </c>
      <c r="H179" cm="1">
        <f t="array" aca="1" ref="H179" ca="1">INDIRECT(ADDRESS($B179,Plots!$H$3,,,Plots!$A$62))+INDIRECT(ADDRESS($B179,Plots!$H$3,,,Plots!$A$63))+INDIRECT(ADDRESS($B179,Plots!$H$3,,,Plots!$A$64))+INDIRECT(ADDRESS($B179,Plots!$H$3,,,Plots!$A$65))+INDIRECT(ADDRESS($B179,Plots!$H$3,,,Plots!$A$66))+INDIRECT(ADDRESS($B179,Plots!$H$3,,,Plots!$A$67))</f>
        <v>0</v>
      </c>
      <c r="I179">
        <f>'AARnetCBR-CamDTN1_tcpmon_ts_81'!H183+'AARnetCBR-CamDTN1_tcpmon_ts_82'!H183+'AARnetCBR-CamDTN1_tcpmon_ts_83'!H183+'AARnetCBR-CamDTN1_tcpmon_ts_84'!H183+'AARnetCBR-CamDTN1_tcpmon_ts_85'!H183+'AARnetCBR-CamDTN1_tcpmon_ts_86'!H183+'AARnetCBR-CamDTN1_tcpmon_ts_87'!H183+'AARnetCBR-CamDTN1_tcpmon_ts_88'!H183</f>
        <v>0</v>
      </c>
      <c r="L179" cm="1">
        <f t="array" aca="1" ref="L179" ca="1">INDIRECT(ADDRESS($B179,Plots!$H$4,,,Plots!$A$47))</f>
        <v>87</v>
      </c>
      <c r="M179" cm="1">
        <f t="array" aca="1" ref="M179" ca="1">INDIRECT(ADDRESS($B179,Plots!$H$4,,,Plots!$A$48))+INDIRECT(ADDRESS($B179,Plots!$H$4,,,Plots!$A$49))</f>
        <v>180</v>
      </c>
      <c r="N179" cm="1">
        <f t="array" aca="1" ref="N179" ca="1">INDIRECT(ADDRESS($B179,Plots!$H$4,,,Plots!$A$50))+INDIRECT(ADDRESS($B179,Plots!$H$4,,,Plots!$A$51))+INDIRECT(ADDRESS($B179,Plots!$H$4,,,Plots!$A$52))</f>
        <v>276</v>
      </c>
      <c r="O179" cm="1">
        <f t="array" aca="1" ref="O179" ca="1">INDIRECT(ADDRESS($B179,Plots!$H$4,,,Plots!$A$53))+INDIRECT(ADDRESS($B179,Plots!$H$4,,,Plots!$A$54))+INDIRECT(ADDRESS($B179,Plots!$H$4,,,Plots!$A$55))+INDIRECT(ADDRESS($B179,Plots!$H$4,,,Plots!$A$56))</f>
        <v>328</v>
      </c>
      <c r="P179" cm="1">
        <f t="array" aca="1" ref="P179" ca="1">INDIRECT(ADDRESS($B179,Plots!$H$4,,,Plots!$A$57))+INDIRECT(ADDRESS($B179,Plots!$H$4,,,Plots!$A$58))+INDIRECT(ADDRESS($B179,Plots!$H$4,,,Plots!$A$59))+INDIRECT(ADDRESS($B179,Plots!$H$4,,,Plots!$A$60))+INDIRECT(ADDRESS($B179,Plots!$H$4,,,Plots!$A$61))</f>
        <v>0</v>
      </c>
      <c r="Q179" cm="1">
        <f t="array" aca="1" ref="Q179" ca="1">INDIRECT(ADDRESS($B179,Plots!$H$4,,,Plots!$A$62))+INDIRECT(ADDRESS($B179,Plots!$H$4,,,Plots!$A$63))+INDIRECT(ADDRESS($B179,Plots!$H$4,,,Plots!$A$64))+INDIRECT(ADDRESS($B179,Plots!$H$4,,,Plots!$A$65))+INDIRECT(ADDRESS($B179,Plots!$H$4,,,Plots!$A$66))+INDIRECT(ADDRESS($B179,Plots!$H$4,,,Plots!$A$67))</f>
        <v>0</v>
      </c>
    </row>
    <row r="180" spans="1:17">
      <c r="A180" t="str">
        <f>'AARnetCBR-CamDTN1_tcpmon_ts_11'!A180</f>
        <v xml:space="preserve">R7 </v>
      </c>
      <c r="B180">
        <f t="shared" si="0"/>
        <v>180</v>
      </c>
      <c r="C180" cm="1">
        <f t="array" aca="1" ref="C180" ca="1">INDIRECT(ADDRESS($B180,Plots!$H$3,,,Plots!$A$47))</f>
        <v>0</v>
      </c>
      <c r="D180" cm="1">
        <f t="array" aca="1" ref="D180" ca="1">INDIRECT(ADDRESS($B180,Plots!$H$3,,,Plots!$A$48))+INDIRECT(ADDRESS($B180,Plots!$H$3,,,Plots!$A$49))</f>
        <v>0</v>
      </c>
      <c r="E180" cm="1">
        <f t="array" aca="1" ref="E180" ca="1">INDIRECT(ADDRESS($B180,Plots!$H$3,,,Plots!$A$50))+INDIRECT(ADDRESS($B180,Plots!$H$3,,,Plots!$A$51))+INDIRECT(ADDRESS($B180,Plots!$H$3,,,Plots!$A$52))</f>
        <v>0</v>
      </c>
      <c r="F180" cm="1">
        <f t="array" aca="1" ref="F180" ca="1">INDIRECT(ADDRESS($B180,Plots!$H$3,,,Plots!$A$53))+INDIRECT(ADDRESS($B180,Plots!$H$3,,,Plots!$A$54))+INDIRECT(ADDRESS($B180,Plots!$H$3,,,Plots!$A$55))+INDIRECT(ADDRESS($B180,Plots!$H$3,,,Plots!$A$56))</f>
        <v>0</v>
      </c>
      <c r="G180" cm="1">
        <f t="array" aca="1" ref="G180" ca="1">INDIRECT(ADDRESS($B180,Plots!$H$3,,,Plots!$A$57))+INDIRECT(ADDRESS($B180,Plots!$H$3,,,Plots!$A$58))+INDIRECT(ADDRESS($B180,Plots!$H$3,,,Plots!$A$59))+INDIRECT(ADDRESS($B180,Plots!$H$3,,,Plots!$A$60))+INDIRECT(ADDRESS($B180,Plots!$H$3,,,Plots!$A$61))</f>
        <v>0</v>
      </c>
      <c r="H180" cm="1">
        <f t="array" aca="1" ref="H180" ca="1">INDIRECT(ADDRESS($B180,Plots!$H$3,,,Plots!$A$62))+INDIRECT(ADDRESS($B180,Plots!$H$3,,,Plots!$A$63))+INDIRECT(ADDRESS($B180,Plots!$H$3,,,Plots!$A$64))+INDIRECT(ADDRESS($B180,Plots!$H$3,,,Plots!$A$65))+INDIRECT(ADDRESS($B180,Plots!$H$3,,,Plots!$A$66))+INDIRECT(ADDRESS($B180,Plots!$H$3,,,Plots!$A$67))</f>
        <v>0</v>
      </c>
      <c r="I180">
        <f>'AARnetCBR-CamDTN1_tcpmon_ts_81'!H184+'AARnetCBR-CamDTN1_tcpmon_ts_82'!H184+'AARnetCBR-CamDTN1_tcpmon_ts_83'!H184+'AARnetCBR-CamDTN1_tcpmon_ts_84'!H184+'AARnetCBR-CamDTN1_tcpmon_ts_85'!H184+'AARnetCBR-CamDTN1_tcpmon_ts_86'!H184+'AARnetCBR-CamDTN1_tcpmon_ts_87'!H184+'AARnetCBR-CamDTN1_tcpmon_ts_88'!H184</f>
        <v>0</v>
      </c>
      <c r="L180" cm="1">
        <f t="array" aca="1" ref="L180" ca="1">INDIRECT(ADDRESS($B180,Plots!$H$4,,,Plots!$A$47))</f>
        <v>0</v>
      </c>
      <c r="M180" cm="1">
        <f t="array" aca="1" ref="M180" ca="1">INDIRECT(ADDRESS($B180,Plots!$H$4,,,Plots!$A$48))+INDIRECT(ADDRESS($B180,Plots!$H$4,,,Plots!$A$49))</f>
        <v>182</v>
      </c>
      <c r="N180" cm="1">
        <f t="array" aca="1" ref="N180" ca="1">INDIRECT(ADDRESS($B180,Plots!$H$4,,,Plots!$A$50))+INDIRECT(ADDRESS($B180,Plots!$H$4,,,Plots!$A$51))+INDIRECT(ADDRESS($B180,Plots!$H$4,,,Plots!$A$52))</f>
        <v>273</v>
      </c>
      <c r="O180" cm="1">
        <f t="array" aca="1" ref="O180" ca="1">INDIRECT(ADDRESS($B180,Plots!$H$4,,,Plots!$A$53))+INDIRECT(ADDRESS($B180,Plots!$H$4,,,Plots!$A$54))+INDIRECT(ADDRESS($B180,Plots!$H$4,,,Plots!$A$55))+INDIRECT(ADDRESS($B180,Plots!$H$4,,,Plots!$A$56))</f>
        <v>352</v>
      </c>
      <c r="P180" cm="1">
        <f t="array" aca="1" ref="P180" ca="1">INDIRECT(ADDRESS($B180,Plots!$H$4,,,Plots!$A$57))+INDIRECT(ADDRESS($B180,Plots!$H$4,,,Plots!$A$58))+INDIRECT(ADDRESS($B180,Plots!$H$4,,,Plots!$A$59))+INDIRECT(ADDRESS($B180,Plots!$H$4,,,Plots!$A$60))+INDIRECT(ADDRESS($B180,Plots!$H$4,,,Plots!$A$61))</f>
        <v>0</v>
      </c>
      <c r="Q180" cm="1">
        <f t="array" aca="1" ref="Q180" ca="1">INDIRECT(ADDRESS($B180,Plots!$H$4,,,Plots!$A$62))+INDIRECT(ADDRESS($B180,Plots!$H$4,,,Plots!$A$63))+INDIRECT(ADDRESS($B180,Plots!$H$4,,,Plots!$A$64))+INDIRECT(ADDRESS($B180,Plots!$H$4,,,Plots!$A$65))+INDIRECT(ADDRESS($B180,Plots!$H$4,,,Plots!$A$66))+INDIRECT(ADDRESS($B180,Plots!$H$4,,,Plots!$A$67))</f>
        <v>0</v>
      </c>
    </row>
    <row r="181" spans="1:17">
      <c r="A181" t="str">
        <f>'AARnetCBR-CamDTN1_tcpmon_ts_11'!A181</f>
        <v xml:space="preserve">R8 </v>
      </c>
      <c r="B181">
        <f t="shared" si="0"/>
        <v>181</v>
      </c>
      <c r="C181" cm="1">
        <f t="array" aca="1" ref="C181" ca="1">INDIRECT(ADDRESS($B181,Plots!$H$3,,,Plots!$A$47))</f>
        <v>0</v>
      </c>
      <c r="D181" cm="1">
        <f t="array" aca="1" ref="D181" ca="1">INDIRECT(ADDRESS($B181,Plots!$H$3,,,Plots!$A$48))+INDIRECT(ADDRESS($B181,Plots!$H$3,,,Plots!$A$49))</f>
        <v>0</v>
      </c>
      <c r="E181" cm="1">
        <f t="array" aca="1" ref="E181" ca="1">INDIRECT(ADDRESS($B181,Plots!$H$3,,,Plots!$A$50))+INDIRECT(ADDRESS($B181,Plots!$H$3,,,Plots!$A$51))+INDIRECT(ADDRESS($B181,Plots!$H$3,,,Plots!$A$52))</f>
        <v>0</v>
      </c>
      <c r="F181" cm="1">
        <f t="array" aca="1" ref="F181" ca="1">INDIRECT(ADDRESS($B181,Plots!$H$3,,,Plots!$A$53))+INDIRECT(ADDRESS($B181,Plots!$H$3,,,Plots!$A$54))+INDIRECT(ADDRESS($B181,Plots!$H$3,,,Plots!$A$55))+INDIRECT(ADDRESS($B181,Plots!$H$3,,,Plots!$A$56))</f>
        <v>0</v>
      </c>
      <c r="G181" cm="1">
        <f t="array" aca="1" ref="G181" ca="1">INDIRECT(ADDRESS($B181,Plots!$H$3,,,Plots!$A$57))+INDIRECT(ADDRESS($B181,Plots!$H$3,,,Plots!$A$58))+INDIRECT(ADDRESS($B181,Plots!$H$3,,,Plots!$A$59))+INDIRECT(ADDRESS($B181,Plots!$H$3,,,Plots!$A$60))+INDIRECT(ADDRESS($B181,Plots!$H$3,,,Plots!$A$61))</f>
        <v>0</v>
      </c>
      <c r="H181" cm="1">
        <f t="array" aca="1" ref="H181" ca="1">INDIRECT(ADDRESS($B181,Plots!$H$3,,,Plots!$A$62))+INDIRECT(ADDRESS($B181,Plots!$H$3,,,Plots!$A$63))+INDIRECT(ADDRESS($B181,Plots!$H$3,,,Plots!$A$64))+INDIRECT(ADDRESS($B181,Plots!$H$3,,,Plots!$A$65))+INDIRECT(ADDRESS($B181,Plots!$H$3,,,Plots!$A$66))+INDIRECT(ADDRESS($B181,Plots!$H$3,,,Plots!$A$67))</f>
        <v>0</v>
      </c>
      <c r="I181">
        <f>'AARnetCBR-CamDTN1_tcpmon_ts_81'!H185+'AARnetCBR-CamDTN1_tcpmon_ts_82'!H185+'AARnetCBR-CamDTN1_tcpmon_ts_83'!H185+'AARnetCBR-CamDTN1_tcpmon_ts_84'!H185+'AARnetCBR-CamDTN1_tcpmon_ts_85'!H185+'AARnetCBR-CamDTN1_tcpmon_ts_86'!H185+'AARnetCBR-CamDTN1_tcpmon_ts_87'!H185+'AARnetCBR-CamDTN1_tcpmon_ts_88'!H185</f>
        <v>0</v>
      </c>
      <c r="L181" cm="1">
        <f t="array" aca="1" ref="L181" ca="1">INDIRECT(ADDRESS($B181,Plots!$H$4,,,Plots!$A$47))</f>
        <v>0</v>
      </c>
      <c r="M181" cm="1">
        <f t="array" aca="1" ref="M181" ca="1">INDIRECT(ADDRESS($B181,Plots!$H$4,,,Plots!$A$48))+INDIRECT(ADDRESS($B181,Plots!$H$4,,,Plots!$A$49))</f>
        <v>0</v>
      </c>
      <c r="N181" cm="1">
        <f t="array" aca="1" ref="N181" ca="1">INDIRECT(ADDRESS($B181,Plots!$H$4,,,Plots!$A$50))+INDIRECT(ADDRESS($B181,Plots!$H$4,,,Plots!$A$51))+INDIRECT(ADDRESS($B181,Plots!$H$4,,,Plots!$A$52))</f>
        <v>264</v>
      </c>
      <c r="O181" cm="1">
        <f t="array" aca="1" ref="O181" ca="1">INDIRECT(ADDRESS($B181,Plots!$H$4,,,Plots!$A$53))+INDIRECT(ADDRESS($B181,Plots!$H$4,,,Plots!$A$54))+INDIRECT(ADDRESS($B181,Plots!$H$4,,,Plots!$A$55))+INDIRECT(ADDRESS($B181,Plots!$H$4,,,Plots!$A$56))</f>
        <v>352</v>
      </c>
      <c r="P181" cm="1">
        <f t="array" aca="1" ref="P181" ca="1">INDIRECT(ADDRESS($B181,Plots!$H$4,,,Plots!$A$57))+INDIRECT(ADDRESS($B181,Plots!$H$4,,,Plots!$A$58))+INDIRECT(ADDRESS($B181,Plots!$H$4,,,Plots!$A$59))+INDIRECT(ADDRESS($B181,Plots!$H$4,,,Plots!$A$60))+INDIRECT(ADDRESS($B181,Plots!$H$4,,,Plots!$A$61))</f>
        <v>0</v>
      </c>
      <c r="Q181" cm="1">
        <f t="array" aca="1" ref="Q181" ca="1">INDIRECT(ADDRESS($B181,Plots!$H$4,,,Plots!$A$62))+INDIRECT(ADDRESS($B181,Plots!$H$4,,,Plots!$A$63))+INDIRECT(ADDRESS($B181,Plots!$H$4,,,Plots!$A$64))+INDIRECT(ADDRESS($B181,Plots!$H$4,,,Plots!$A$65))+INDIRECT(ADDRESS($B181,Plots!$H$4,,,Plots!$A$66))+INDIRECT(ADDRESS($B181,Plots!$H$4,,,Plots!$A$67))</f>
        <v>0</v>
      </c>
    </row>
    <row r="182" spans="1:17">
      <c r="A182" t="str">
        <f>'AARnetCBR-CamDTN1_tcpmon_ts_11'!A182</f>
        <v xml:space="preserve">R9 </v>
      </c>
      <c r="B182">
        <f t="shared" si="0"/>
        <v>182</v>
      </c>
      <c r="C182" cm="1">
        <f t="array" aca="1" ref="C182" ca="1">INDIRECT(ADDRESS($B182,Plots!$H$3,,,Plots!$A$47))</f>
        <v>0</v>
      </c>
      <c r="D182" cm="1">
        <f t="array" aca="1" ref="D182" ca="1">INDIRECT(ADDRESS($B182,Plots!$H$3,,,Plots!$A$48))+INDIRECT(ADDRESS($B182,Plots!$H$3,,,Plots!$A$49))</f>
        <v>0</v>
      </c>
      <c r="E182" cm="1">
        <f t="array" aca="1" ref="E182" ca="1">INDIRECT(ADDRESS($B182,Plots!$H$3,,,Plots!$A$50))+INDIRECT(ADDRESS($B182,Plots!$H$3,,,Plots!$A$51))+INDIRECT(ADDRESS($B182,Plots!$H$3,,,Plots!$A$52))</f>
        <v>0</v>
      </c>
      <c r="F182" cm="1">
        <f t="array" aca="1" ref="F182" ca="1">INDIRECT(ADDRESS($B182,Plots!$H$3,,,Plots!$A$53))+INDIRECT(ADDRESS($B182,Plots!$H$3,,,Plots!$A$54))+INDIRECT(ADDRESS($B182,Plots!$H$3,,,Plots!$A$55))+INDIRECT(ADDRESS($B182,Plots!$H$3,,,Plots!$A$56))</f>
        <v>0</v>
      </c>
      <c r="G182" cm="1">
        <f t="array" aca="1" ref="G182" ca="1">INDIRECT(ADDRESS($B182,Plots!$H$3,,,Plots!$A$57))+INDIRECT(ADDRESS($B182,Plots!$H$3,,,Plots!$A$58))+INDIRECT(ADDRESS($B182,Plots!$H$3,,,Plots!$A$59))+INDIRECT(ADDRESS($B182,Plots!$H$3,,,Plots!$A$60))+INDIRECT(ADDRESS($B182,Plots!$H$3,,,Plots!$A$61))</f>
        <v>0</v>
      </c>
      <c r="H182" cm="1">
        <f t="array" aca="1" ref="H182" ca="1">INDIRECT(ADDRESS($B182,Plots!$H$3,,,Plots!$A$62))+INDIRECT(ADDRESS($B182,Plots!$H$3,,,Plots!$A$63))+INDIRECT(ADDRESS($B182,Plots!$H$3,,,Plots!$A$64))+INDIRECT(ADDRESS($B182,Plots!$H$3,,,Plots!$A$65))+INDIRECT(ADDRESS($B182,Plots!$H$3,,,Plots!$A$66))+INDIRECT(ADDRESS($B182,Plots!$H$3,,,Plots!$A$67))</f>
        <v>0</v>
      </c>
      <c r="I182">
        <f>'AARnetCBR-CamDTN1_tcpmon_ts_81'!H186+'AARnetCBR-CamDTN1_tcpmon_ts_82'!H186+'AARnetCBR-CamDTN1_tcpmon_ts_83'!H186+'AARnetCBR-CamDTN1_tcpmon_ts_84'!H186+'AARnetCBR-CamDTN1_tcpmon_ts_85'!H186+'AARnetCBR-CamDTN1_tcpmon_ts_86'!H186+'AARnetCBR-CamDTN1_tcpmon_ts_87'!H186+'AARnetCBR-CamDTN1_tcpmon_ts_88'!H186</f>
        <v>0</v>
      </c>
      <c r="L182" cm="1">
        <f t="array" aca="1" ref="L182" ca="1">INDIRECT(ADDRESS($B182,Plots!$H$4,,,Plots!$A$47))</f>
        <v>0</v>
      </c>
      <c r="M182" cm="1">
        <f t="array" aca="1" ref="M182" ca="1">INDIRECT(ADDRESS($B182,Plots!$H$4,,,Plots!$A$48))+INDIRECT(ADDRESS($B182,Plots!$H$4,,,Plots!$A$49))</f>
        <v>0</v>
      </c>
      <c r="N182" cm="1">
        <f t="array" aca="1" ref="N182" ca="1">INDIRECT(ADDRESS($B182,Plots!$H$4,,,Plots!$A$50))+INDIRECT(ADDRESS($B182,Plots!$H$4,,,Plots!$A$51))+INDIRECT(ADDRESS($B182,Plots!$H$4,,,Plots!$A$52))</f>
        <v>0</v>
      </c>
      <c r="O182" cm="1">
        <f t="array" aca="1" ref="O182" ca="1">INDIRECT(ADDRESS($B182,Plots!$H$4,,,Plots!$A$53))+INDIRECT(ADDRESS($B182,Plots!$H$4,,,Plots!$A$54))+INDIRECT(ADDRESS($B182,Plots!$H$4,,,Plots!$A$55))+INDIRECT(ADDRESS($B182,Plots!$H$4,,,Plots!$A$56))</f>
        <v>340</v>
      </c>
      <c r="P182" cm="1">
        <f t="array" aca="1" ref="P182" ca="1">INDIRECT(ADDRESS($B182,Plots!$H$4,,,Plots!$A$57))+INDIRECT(ADDRESS($B182,Plots!$H$4,,,Plots!$A$58))+INDIRECT(ADDRESS($B182,Plots!$H$4,,,Plots!$A$59))+INDIRECT(ADDRESS($B182,Plots!$H$4,,,Plots!$A$60))+INDIRECT(ADDRESS($B182,Plots!$H$4,,,Plots!$A$61))</f>
        <v>0</v>
      </c>
      <c r="Q182" cm="1">
        <f t="array" aca="1" ref="Q182" ca="1">INDIRECT(ADDRESS($B182,Plots!$H$4,,,Plots!$A$62))+INDIRECT(ADDRESS($B182,Plots!$H$4,,,Plots!$A$63))+INDIRECT(ADDRESS($B182,Plots!$H$4,,,Plots!$A$64))+INDIRECT(ADDRESS($B182,Plots!$H$4,,,Plots!$A$65))+INDIRECT(ADDRESS($B182,Plots!$H$4,,,Plots!$A$66))+INDIRECT(ADDRESS($B182,Plots!$H$4,,,Plots!$A$67))</f>
        <v>0</v>
      </c>
    </row>
    <row r="183" spans="1:17">
      <c r="A183" t="str">
        <f>'AARnetCBR-CamDTN1_tcpmon_ts_11'!A183</f>
        <v xml:space="preserve">R10 </v>
      </c>
      <c r="B183">
        <f t="shared" si="0"/>
        <v>183</v>
      </c>
      <c r="C183" cm="1">
        <f t="array" aca="1" ref="C183" ca="1">INDIRECT(ADDRESS($B183,Plots!$H$3,,,Plots!$A$47))</f>
        <v>0</v>
      </c>
      <c r="D183" cm="1">
        <f t="array" aca="1" ref="D183" ca="1">INDIRECT(ADDRESS($B183,Plots!$H$3,,,Plots!$A$48))+INDIRECT(ADDRESS($B183,Plots!$H$3,,,Plots!$A$49))</f>
        <v>0</v>
      </c>
      <c r="E183" cm="1">
        <f t="array" aca="1" ref="E183" ca="1">INDIRECT(ADDRESS($B183,Plots!$H$3,,,Plots!$A$50))+INDIRECT(ADDRESS($B183,Plots!$H$3,,,Plots!$A$51))+INDIRECT(ADDRESS($B183,Plots!$H$3,,,Plots!$A$52))</f>
        <v>0</v>
      </c>
      <c r="F183" cm="1">
        <f t="array" aca="1" ref="F183" ca="1">INDIRECT(ADDRESS($B183,Plots!$H$3,,,Plots!$A$53))+INDIRECT(ADDRESS($B183,Plots!$H$3,,,Plots!$A$54))+INDIRECT(ADDRESS($B183,Plots!$H$3,,,Plots!$A$55))+INDIRECT(ADDRESS($B183,Plots!$H$3,,,Plots!$A$56))</f>
        <v>0</v>
      </c>
      <c r="G183" cm="1">
        <f t="array" aca="1" ref="G183" ca="1">INDIRECT(ADDRESS($B183,Plots!$H$3,,,Plots!$A$57))+INDIRECT(ADDRESS($B183,Plots!$H$3,,,Plots!$A$58))+INDIRECT(ADDRESS($B183,Plots!$H$3,,,Plots!$A$59))+INDIRECT(ADDRESS($B183,Plots!$H$3,,,Plots!$A$60))+INDIRECT(ADDRESS($B183,Plots!$H$3,,,Plots!$A$61))</f>
        <v>0</v>
      </c>
      <c r="H183" cm="1">
        <f t="array" aca="1" ref="H183" ca="1">INDIRECT(ADDRESS($B183,Plots!$H$3,,,Plots!$A$62))+INDIRECT(ADDRESS($B183,Plots!$H$3,,,Plots!$A$63))+INDIRECT(ADDRESS($B183,Plots!$H$3,,,Plots!$A$64))+INDIRECT(ADDRESS($B183,Plots!$H$3,,,Plots!$A$65))+INDIRECT(ADDRESS($B183,Plots!$H$3,,,Plots!$A$66))+INDIRECT(ADDRESS($B183,Plots!$H$3,,,Plots!$A$67))</f>
        <v>0</v>
      </c>
      <c r="I183">
        <f>'AARnetCBR-CamDTN1_tcpmon_ts_81'!H187+'AARnetCBR-CamDTN1_tcpmon_ts_82'!H187+'AARnetCBR-CamDTN1_tcpmon_ts_83'!H187+'AARnetCBR-CamDTN1_tcpmon_ts_84'!H187+'AARnetCBR-CamDTN1_tcpmon_ts_85'!H187+'AARnetCBR-CamDTN1_tcpmon_ts_86'!H187+'AARnetCBR-CamDTN1_tcpmon_ts_87'!H187+'AARnetCBR-CamDTN1_tcpmon_ts_88'!H187</f>
        <v>0</v>
      </c>
      <c r="L183" cm="1">
        <f t="array" aca="1" ref="L183" ca="1">INDIRECT(ADDRESS($B183,Plots!$H$4,,,Plots!$A$47))</f>
        <v>0</v>
      </c>
      <c r="M183" cm="1">
        <f t="array" aca="1" ref="M183" ca="1">INDIRECT(ADDRESS($B183,Plots!$H$4,,,Plots!$A$48))+INDIRECT(ADDRESS($B183,Plots!$H$4,,,Plots!$A$49))</f>
        <v>0</v>
      </c>
      <c r="N183" cm="1">
        <f t="array" aca="1" ref="N183" ca="1">INDIRECT(ADDRESS($B183,Plots!$H$4,,,Plots!$A$50))+INDIRECT(ADDRESS($B183,Plots!$H$4,,,Plots!$A$51))+INDIRECT(ADDRESS($B183,Plots!$H$4,,,Plots!$A$52))</f>
        <v>0</v>
      </c>
      <c r="O183" cm="1">
        <f t="array" aca="1" ref="O183" ca="1">INDIRECT(ADDRESS($B183,Plots!$H$4,,,Plots!$A$53))+INDIRECT(ADDRESS($B183,Plots!$H$4,,,Plots!$A$54))+INDIRECT(ADDRESS($B183,Plots!$H$4,,,Plots!$A$55))+INDIRECT(ADDRESS($B183,Plots!$H$4,,,Plots!$A$56))</f>
        <v>0</v>
      </c>
      <c r="P183" cm="1">
        <f t="array" aca="1" ref="P183" ca="1">INDIRECT(ADDRESS($B183,Plots!$H$4,,,Plots!$A$57))+INDIRECT(ADDRESS($B183,Plots!$H$4,,,Plots!$A$58))+INDIRECT(ADDRESS($B183,Plots!$H$4,,,Plots!$A$59))+INDIRECT(ADDRESS($B183,Plots!$H$4,,,Plots!$A$60))+INDIRECT(ADDRESS($B183,Plots!$H$4,,,Plots!$A$61))</f>
        <v>0</v>
      </c>
      <c r="Q183" cm="1">
        <f t="array" aca="1" ref="Q183" ca="1">INDIRECT(ADDRESS($B183,Plots!$H$4,,,Plots!$A$62))+INDIRECT(ADDRESS($B183,Plots!$H$4,,,Plots!$A$63))+INDIRECT(ADDRESS($B183,Plots!$H$4,,,Plots!$A$64))+INDIRECT(ADDRESS($B183,Plots!$H$4,,,Plots!$A$65))+INDIRECT(ADDRESS($B183,Plots!$H$4,,,Plots!$A$66))+INDIRECT(ADDRESS($B183,Plots!$H$4,,,Plots!$A$67))</f>
        <v>0</v>
      </c>
    </row>
    <row r="184" spans="1:17">
      <c r="A184" t="str">
        <f>'AARnetCBR-CamDTN1_tcpmon_ts_11'!A184</f>
        <v xml:space="preserve">R11 </v>
      </c>
      <c r="B184">
        <f t="shared" si="0"/>
        <v>184</v>
      </c>
      <c r="C184" cm="1">
        <f t="array" aca="1" ref="C184" ca="1">INDIRECT(ADDRESS($B184,Plots!$H$3,,,Plots!$A$47))</f>
        <v>0</v>
      </c>
      <c r="D184" cm="1">
        <f t="array" aca="1" ref="D184" ca="1">INDIRECT(ADDRESS($B184,Plots!$H$3,,,Plots!$A$48))+INDIRECT(ADDRESS($B184,Plots!$H$3,,,Plots!$A$49))</f>
        <v>0</v>
      </c>
      <c r="E184" cm="1">
        <f t="array" aca="1" ref="E184" ca="1">INDIRECT(ADDRESS($B184,Plots!$H$3,,,Plots!$A$50))+INDIRECT(ADDRESS($B184,Plots!$H$3,,,Plots!$A$51))+INDIRECT(ADDRESS($B184,Plots!$H$3,,,Plots!$A$52))</f>
        <v>0</v>
      </c>
      <c r="F184" cm="1">
        <f t="array" aca="1" ref="F184" ca="1">INDIRECT(ADDRESS($B184,Plots!$H$3,,,Plots!$A$53))+INDIRECT(ADDRESS($B184,Plots!$H$3,,,Plots!$A$54))+INDIRECT(ADDRESS($B184,Plots!$H$3,,,Plots!$A$55))+INDIRECT(ADDRESS($B184,Plots!$H$3,,,Plots!$A$56))</f>
        <v>0</v>
      </c>
      <c r="G184" cm="1">
        <f t="array" aca="1" ref="G184" ca="1">INDIRECT(ADDRESS($B184,Plots!$H$3,,,Plots!$A$57))+INDIRECT(ADDRESS($B184,Plots!$H$3,,,Plots!$A$58))+INDIRECT(ADDRESS($B184,Plots!$H$3,,,Plots!$A$59))+INDIRECT(ADDRESS($B184,Plots!$H$3,,,Plots!$A$60))+INDIRECT(ADDRESS($B184,Plots!$H$3,,,Plots!$A$61))</f>
        <v>0</v>
      </c>
      <c r="H184" cm="1">
        <f t="array" aca="1" ref="H184" ca="1">INDIRECT(ADDRESS($B184,Plots!$H$3,,,Plots!$A$62))+INDIRECT(ADDRESS($B184,Plots!$H$3,,,Plots!$A$63))+INDIRECT(ADDRESS($B184,Plots!$H$3,,,Plots!$A$64))+INDIRECT(ADDRESS($B184,Plots!$H$3,,,Plots!$A$65))+INDIRECT(ADDRESS($B184,Plots!$H$3,,,Plots!$A$66))+INDIRECT(ADDRESS($B184,Plots!$H$3,,,Plots!$A$67))</f>
        <v>0</v>
      </c>
      <c r="I184">
        <f>'AARnetCBR-CamDTN1_tcpmon_ts_81'!H188+'AARnetCBR-CamDTN1_tcpmon_ts_82'!H188+'AARnetCBR-CamDTN1_tcpmon_ts_83'!H188+'AARnetCBR-CamDTN1_tcpmon_ts_84'!H188+'AARnetCBR-CamDTN1_tcpmon_ts_85'!H188+'AARnetCBR-CamDTN1_tcpmon_ts_86'!H188+'AARnetCBR-CamDTN1_tcpmon_ts_87'!H188+'AARnetCBR-CamDTN1_tcpmon_ts_88'!H188</f>
        <v>0</v>
      </c>
      <c r="L184" cm="1">
        <f t="array" aca="1" ref="L184" ca="1">INDIRECT(ADDRESS($B184,Plots!$H$4,,,Plots!$A$47))</f>
        <v>0</v>
      </c>
      <c r="M184" cm="1">
        <f t="array" aca="1" ref="M184" ca="1">INDIRECT(ADDRESS($B184,Plots!$H$4,,,Plots!$A$48))+INDIRECT(ADDRESS($B184,Plots!$H$4,,,Plots!$A$49))</f>
        <v>0</v>
      </c>
      <c r="N184" cm="1">
        <f t="array" aca="1" ref="N184" ca="1">INDIRECT(ADDRESS($B184,Plots!$H$4,,,Plots!$A$50))+INDIRECT(ADDRESS($B184,Plots!$H$4,,,Plots!$A$51))+INDIRECT(ADDRESS($B184,Plots!$H$4,,,Plots!$A$52))</f>
        <v>0</v>
      </c>
      <c r="O184" cm="1">
        <f t="array" aca="1" ref="O184" ca="1">INDIRECT(ADDRESS($B184,Plots!$H$4,,,Plots!$A$53))+INDIRECT(ADDRESS($B184,Plots!$H$4,,,Plots!$A$54))+INDIRECT(ADDRESS($B184,Plots!$H$4,,,Plots!$A$55))+INDIRECT(ADDRESS($B184,Plots!$H$4,,,Plots!$A$56))</f>
        <v>0</v>
      </c>
      <c r="P184" cm="1">
        <f t="array" aca="1" ref="P184" ca="1">INDIRECT(ADDRESS($B184,Plots!$H$4,,,Plots!$A$57))+INDIRECT(ADDRESS($B184,Plots!$H$4,,,Plots!$A$58))+INDIRECT(ADDRESS($B184,Plots!$H$4,,,Plots!$A$59))+INDIRECT(ADDRESS($B184,Plots!$H$4,,,Plots!$A$60))+INDIRECT(ADDRESS($B184,Plots!$H$4,,,Plots!$A$61))</f>
        <v>0</v>
      </c>
      <c r="Q184" cm="1">
        <f t="array" aca="1" ref="Q184" ca="1">INDIRECT(ADDRESS($B184,Plots!$H$4,,,Plots!$A$62))+INDIRECT(ADDRESS($B184,Plots!$H$4,,,Plots!$A$63))+INDIRECT(ADDRESS($B184,Plots!$H$4,,,Plots!$A$64))+INDIRECT(ADDRESS($B184,Plots!$H$4,,,Plots!$A$65))+INDIRECT(ADDRESS($B184,Plots!$H$4,,,Plots!$A$66))+INDIRECT(ADDRESS($B184,Plots!$H$4,,,Plots!$A$67))</f>
        <v>0</v>
      </c>
    </row>
    <row r="185" spans="1:17">
      <c r="A185" t="str">
        <f>'AARnetCBR-CamDTN1_tcpmon_ts_11'!A185</f>
        <v xml:space="preserve">R12 </v>
      </c>
      <c r="B185">
        <f t="shared" si="0"/>
        <v>185</v>
      </c>
      <c r="C185" cm="1">
        <f t="array" aca="1" ref="C185" ca="1">INDIRECT(ADDRESS($B185,Plots!$H$3,,,Plots!$A$47))</f>
        <v>0</v>
      </c>
      <c r="D185" cm="1">
        <f t="array" aca="1" ref="D185" ca="1">INDIRECT(ADDRESS($B185,Plots!$H$3,,,Plots!$A$48))+INDIRECT(ADDRESS($B185,Plots!$H$3,,,Plots!$A$49))</f>
        <v>0</v>
      </c>
      <c r="E185" cm="1">
        <f t="array" aca="1" ref="E185" ca="1">INDIRECT(ADDRESS($B185,Plots!$H$3,,,Plots!$A$50))+INDIRECT(ADDRESS($B185,Plots!$H$3,,,Plots!$A$51))+INDIRECT(ADDRESS($B185,Plots!$H$3,,,Plots!$A$52))</f>
        <v>0</v>
      </c>
      <c r="F185" cm="1">
        <f t="array" aca="1" ref="F185" ca="1">INDIRECT(ADDRESS($B185,Plots!$H$3,,,Plots!$A$53))+INDIRECT(ADDRESS($B185,Plots!$H$3,,,Plots!$A$54))+INDIRECT(ADDRESS($B185,Plots!$H$3,,,Plots!$A$55))+INDIRECT(ADDRESS($B185,Plots!$H$3,,,Plots!$A$56))</f>
        <v>0</v>
      </c>
      <c r="G185" cm="1">
        <f t="array" aca="1" ref="G185" ca="1">INDIRECT(ADDRESS($B185,Plots!$H$3,,,Plots!$A$57))+INDIRECT(ADDRESS($B185,Plots!$H$3,,,Plots!$A$58))+INDIRECT(ADDRESS($B185,Plots!$H$3,,,Plots!$A$59))+INDIRECT(ADDRESS($B185,Plots!$H$3,,,Plots!$A$60))+INDIRECT(ADDRESS($B185,Plots!$H$3,,,Plots!$A$61))</f>
        <v>0</v>
      </c>
      <c r="H185" cm="1">
        <f t="array" aca="1" ref="H185" ca="1">INDIRECT(ADDRESS($B185,Plots!$H$3,,,Plots!$A$62))+INDIRECT(ADDRESS($B185,Plots!$H$3,,,Plots!$A$63))+INDIRECT(ADDRESS($B185,Plots!$H$3,,,Plots!$A$64))+INDIRECT(ADDRESS($B185,Plots!$H$3,,,Plots!$A$65))+INDIRECT(ADDRESS($B185,Plots!$H$3,,,Plots!$A$66))+INDIRECT(ADDRESS($B185,Plots!$H$3,,,Plots!$A$67))</f>
        <v>0</v>
      </c>
      <c r="I185">
        <f>'AARnetCBR-CamDTN1_tcpmon_ts_81'!H189+'AARnetCBR-CamDTN1_tcpmon_ts_82'!H189+'AARnetCBR-CamDTN1_tcpmon_ts_83'!H189+'AARnetCBR-CamDTN1_tcpmon_ts_84'!H189+'AARnetCBR-CamDTN1_tcpmon_ts_85'!H189+'AARnetCBR-CamDTN1_tcpmon_ts_86'!H189+'AARnetCBR-CamDTN1_tcpmon_ts_87'!H189+'AARnetCBR-CamDTN1_tcpmon_ts_88'!H189</f>
        <v>0</v>
      </c>
      <c r="L185" cm="1">
        <f t="array" aca="1" ref="L185" ca="1">INDIRECT(ADDRESS($B185,Plots!$H$4,,,Plots!$A$47))</f>
        <v>0</v>
      </c>
      <c r="M185" cm="1">
        <f t="array" aca="1" ref="M185" ca="1">INDIRECT(ADDRESS($B185,Plots!$H$4,,,Plots!$A$48))+INDIRECT(ADDRESS($B185,Plots!$H$4,,,Plots!$A$49))</f>
        <v>8</v>
      </c>
      <c r="N185" cm="1">
        <f t="array" aca="1" ref="N185" ca="1">INDIRECT(ADDRESS($B185,Plots!$H$4,,,Plots!$A$50))+INDIRECT(ADDRESS($B185,Plots!$H$4,,,Plots!$A$51))+INDIRECT(ADDRESS($B185,Plots!$H$4,,,Plots!$A$52))</f>
        <v>0</v>
      </c>
      <c r="O185" cm="1">
        <f t="array" aca="1" ref="O185" ca="1">INDIRECT(ADDRESS($B185,Plots!$H$4,,,Plots!$A$53))+INDIRECT(ADDRESS($B185,Plots!$H$4,,,Plots!$A$54))+INDIRECT(ADDRESS($B185,Plots!$H$4,,,Plots!$A$55))+INDIRECT(ADDRESS($B185,Plots!$H$4,,,Plots!$A$56))</f>
        <v>0</v>
      </c>
      <c r="P185" cm="1">
        <f t="array" aca="1" ref="P185" ca="1">INDIRECT(ADDRESS($B185,Plots!$H$4,,,Plots!$A$57))+INDIRECT(ADDRESS($B185,Plots!$H$4,,,Plots!$A$58))+INDIRECT(ADDRESS($B185,Plots!$H$4,,,Plots!$A$59))+INDIRECT(ADDRESS($B185,Plots!$H$4,,,Plots!$A$60))+INDIRECT(ADDRESS($B185,Plots!$H$4,,,Plots!$A$61))</f>
        <v>0</v>
      </c>
      <c r="Q185" cm="1">
        <f t="array" aca="1" ref="Q185" ca="1">INDIRECT(ADDRESS($B185,Plots!$H$4,,,Plots!$A$62))+INDIRECT(ADDRESS($B185,Plots!$H$4,,,Plots!$A$63))+INDIRECT(ADDRESS($B185,Plots!$H$4,,,Plots!$A$64))+INDIRECT(ADDRESS($B185,Plots!$H$4,,,Plots!$A$65))+INDIRECT(ADDRESS($B185,Plots!$H$4,,,Plots!$A$66))+INDIRECT(ADDRESS($B185,Plots!$H$4,,,Plots!$A$67))</f>
        <v>0</v>
      </c>
    </row>
    <row r="186" spans="1:17">
      <c r="A186" t="str">
        <f>'AARnetCBR-CamDTN1_tcpmon_ts_11'!A186</f>
        <v xml:space="preserve">R13 </v>
      </c>
      <c r="B186">
        <f t="shared" si="0"/>
        <v>186</v>
      </c>
      <c r="C186" cm="1">
        <f t="array" aca="1" ref="C186" ca="1">INDIRECT(ADDRESS($B186,Plots!$H$3,,,Plots!$A$47))</f>
        <v>0</v>
      </c>
      <c r="D186" cm="1">
        <f t="array" aca="1" ref="D186" ca="1">INDIRECT(ADDRESS($B186,Plots!$H$3,,,Plots!$A$48))+INDIRECT(ADDRESS($B186,Plots!$H$3,,,Plots!$A$49))</f>
        <v>0</v>
      </c>
      <c r="E186" cm="1">
        <f t="array" aca="1" ref="E186" ca="1">INDIRECT(ADDRESS($B186,Plots!$H$3,,,Plots!$A$50))+INDIRECT(ADDRESS($B186,Plots!$H$3,,,Plots!$A$51))+INDIRECT(ADDRESS($B186,Plots!$H$3,,,Plots!$A$52))</f>
        <v>0</v>
      </c>
      <c r="F186" cm="1">
        <f t="array" aca="1" ref="F186" ca="1">INDIRECT(ADDRESS($B186,Plots!$H$3,,,Plots!$A$53))+INDIRECT(ADDRESS($B186,Plots!$H$3,,,Plots!$A$54))+INDIRECT(ADDRESS($B186,Plots!$H$3,,,Plots!$A$55))+INDIRECT(ADDRESS($B186,Plots!$H$3,,,Plots!$A$56))</f>
        <v>0</v>
      </c>
      <c r="G186" cm="1">
        <f t="array" aca="1" ref="G186" ca="1">INDIRECT(ADDRESS($B186,Plots!$H$3,,,Plots!$A$57))+INDIRECT(ADDRESS($B186,Plots!$H$3,,,Plots!$A$58))+INDIRECT(ADDRESS($B186,Plots!$H$3,,,Plots!$A$59))+INDIRECT(ADDRESS($B186,Plots!$H$3,,,Plots!$A$60))+INDIRECT(ADDRESS($B186,Plots!$H$3,,,Plots!$A$61))</f>
        <v>0</v>
      </c>
      <c r="H186" cm="1">
        <f t="array" aca="1" ref="H186" ca="1">INDIRECT(ADDRESS($B186,Plots!$H$3,,,Plots!$A$62))+INDIRECT(ADDRESS($B186,Plots!$H$3,,,Plots!$A$63))+INDIRECT(ADDRESS($B186,Plots!$H$3,,,Plots!$A$64))+INDIRECT(ADDRESS($B186,Plots!$H$3,,,Plots!$A$65))+INDIRECT(ADDRESS($B186,Plots!$H$3,,,Plots!$A$66))+INDIRECT(ADDRESS($B186,Plots!$H$3,,,Plots!$A$67))</f>
        <v>0</v>
      </c>
      <c r="I186">
        <f>'AARnetCBR-CamDTN1_tcpmon_ts_81'!H190+'AARnetCBR-CamDTN1_tcpmon_ts_82'!H190+'AARnetCBR-CamDTN1_tcpmon_ts_83'!H190+'AARnetCBR-CamDTN1_tcpmon_ts_84'!H190+'AARnetCBR-CamDTN1_tcpmon_ts_85'!H190+'AARnetCBR-CamDTN1_tcpmon_ts_86'!H190+'AARnetCBR-CamDTN1_tcpmon_ts_87'!H190+'AARnetCBR-CamDTN1_tcpmon_ts_88'!H190</f>
        <v>0</v>
      </c>
      <c r="L186" cm="1">
        <f t="array" aca="1" ref="L186" ca="1">INDIRECT(ADDRESS($B186,Plots!$H$4,,,Plots!$A$47))</f>
        <v>0</v>
      </c>
      <c r="M186" cm="1">
        <f t="array" aca="1" ref="M186" ca="1">INDIRECT(ADDRESS($B186,Plots!$H$4,,,Plots!$A$48))+INDIRECT(ADDRESS($B186,Plots!$H$4,,,Plots!$A$49))</f>
        <v>0</v>
      </c>
      <c r="N186" cm="1">
        <f t="array" aca="1" ref="N186" ca="1">INDIRECT(ADDRESS($B186,Plots!$H$4,,,Plots!$A$50))+INDIRECT(ADDRESS($B186,Plots!$H$4,,,Plots!$A$51))+INDIRECT(ADDRESS($B186,Plots!$H$4,,,Plots!$A$52))</f>
        <v>0</v>
      </c>
      <c r="O186" cm="1">
        <f t="array" aca="1" ref="O186" ca="1">INDIRECT(ADDRESS($B186,Plots!$H$4,,,Plots!$A$53))+INDIRECT(ADDRESS($B186,Plots!$H$4,,,Plots!$A$54))+INDIRECT(ADDRESS($B186,Plots!$H$4,,,Plots!$A$55))+INDIRECT(ADDRESS($B186,Plots!$H$4,,,Plots!$A$56))</f>
        <v>0</v>
      </c>
      <c r="P186" cm="1">
        <f t="array" aca="1" ref="P186" ca="1">INDIRECT(ADDRESS($B186,Plots!$H$4,,,Plots!$A$57))+INDIRECT(ADDRESS($B186,Plots!$H$4,,,Plots!$A$58))+INDIRECT(ADDRESS($B186,Plots!$H$4,,,Plots!$A$59))+INDIRECT(ADDRESS($B186,Plots!$H$4,,,Plots!$A$60))+INDIRECT(ADDRESS($B186,Plots!$H$4,,,Plots!$A$61))</f>
        <v>0</v>
      </c>
      <c r="Q186" cm="1">
        <f t="array" aca="1" ref="Q186" ca="1">INDIRECT(ADDRESS($B186,Plots!$H$4,,,Plots!$A$62))+INDIRECT(ADDRESS($B186,Plots!$H$4,,,Plots!$A$63))+INDIRECT(ADDRESS($B186,Plots!$H$4,,,Plots!$A$64))+INDIRECT(ADDRESS($B186,Plots!$H$4,,,Plots!$A$65))+INDIRECT(ADDRESS($B186,Plots!$H$4,,,Plots!$A$66))+INDIRECT(ADDRESS($B186,Plots!$H$4,,,Plots!$A$67))</f>
        <v>0</v>
      </c>
    </row>
    <row r="187" spans="1:17">
      <c r="A187" t="str">
        <f>'AARnetCBR-CamDTN1_tcpmon_ts_11'!A187</f>
        <v xml:space="preserve">R14 </v>
      </c>
      <c r="B187">
        <f t="shared" si="0"/>
        <v>187</v>
      </c>
      <c r="C187" cm="1">
        <f t="array" aca="1" ref="C187" ca="1">INDIRECT(ADDRESS($B187,Plots!$H$3,,,Plots!$A$47))</f>
        <v>0</v>
      </c>
      <c r="D187" cm="1">
        <f t="array" aca="1" ref="D187" ca="1">INDIRECT(ADDRESS($B187,Plots!$H$3,,,Plots!$A$48))+INDIRECT(ADDRESS($B187,Plots!$H$3,,,Plots!$A$49))</f>
        <v>0</v>
      </c>
      <c r="E187" cm="1">
        <f t="array" aca="1" ref="E187" ca="1">INDIRECT(ADDRESS($B187,Plots!$H$3,,,Plots!$A$50))+INDIRECT(ADDRESS($B187,Plots!$H$3,,,Plots!$A$51))+INDIRECT(ADDRESS($B187,Plots!$H$3,,,Plots!$A$52))</f>
        <v>0</v>
      </c>
      <c r="F187" cm="1">
        <f t="array" aca="1" ref="F187" ca="1">INDIRECT(ADDRESS($B187,Plots!$H$3,,,Plots!$A$53))+INDIRECT(ADDRESS($B187,Plots!$H$3,,,Plots!$A$54))+INDIRECT(ADDRESS($B187,Plots!$H$3,,,Plots!$A$55))+INDIRECT(ADDRESS($B187,Plots!$H$3,,,Plots!$A$56))</f>
        <v>0</v>
      </c>
      <c r="G187" cm="1">
        <f t="array" aca="1" ref="G187" ca="1">INDIRECT(ADDRESS($B187,Plots!$H$3,,,Plots!$A$57))+INDIRECT(ADDRESS($B187,Plots!$H$3,,,Plots!$A$58))+INDIRECT(ADDRESS($B187,Plots!$H$3,,,Plots!$A$59))+INDIRECT(ADDRESS($B187,Plots!$H$3,,,Plots!$A$60))+INDIRECT(ADDRESS($B187,Plots!$H$3,,,Plots!$A$61))</f>
        <v>0</v>
      </c>
      <c r="H187" cm="1">
        <f t="array" aca="1" ref="H187" ca="1">INDIRECT(ADDRESS($B187,Plots!$H$3,,,Plots!$A$62))+INDIRECT(ADDRESS($B187,Plots!$H$3,,,Plots!$A$63))+INDIRECT(ADDRESS($B187,Plots!$H$3,,,Plots!$A$64))+INDIRECT(ADDRESS($B187,Plots!$H$3,,,Plots!$A$65))+INDIRECT(ADDRESS($B187,Plots!$H$3,,,Plots!$A$66))+INDIRECT(ADDRESS($B187,Plots!$H$3,,,Plots!$A$67))</f>
        <v>0</v>
      </c>
      <c r="I187">
        <f>'AARnetCBR-CamDTN1_tcpmon_ts_81'!H191+'AARnetCBR-CamDTN1_tcpmon_ts_82'!H191+'AARnetCBR-CamDTN1_tcpmon_ts_83'!H191+'AARnetCBR-CamDTN1_tcpmon_ts_84'!H191+'AARnetCBR-CamDTN1_tcpmon_ts_85'!H191+'AARnetCBR-CamDTN1_tcpmon_ts_86'!H191+'AARnetCBR-CamDTN1_tcpmon_ts_87'!H191+'AARnetCBR-CamDTN1_tcpmon_ts_88'!H191</f>
        <v>0</v>
      </c>
      <c r="L187" cm="1">
        <f t="array" aca="1" ref="L187" ca="1">INDIRECT(ADDRESS($B187,Plots!$H$4,,,Plots!$A$47))</f>
        <v>0</v>
      </c>
      <c r="M187" cm="1">
        <f t="array" aca="1" ref="M187" ca="1">INDIRECT(ADDRESS($B187,Plots!$H$4,,,Plots!$A$48))+INDIRECT(ADDRESS($B187,Plots!$H$4,,,Plots!$A$49))</f>
        <v>0</v>
      </c>
      <c r="N187" cm="1">
        <f t="array" aca="1" ref="N187" ca="1">INDIRECT(ADDRESS($B187,Plots!$H$4,,,Plots!$A$50))+INDIRECT(ADDRESS($B187,Plots!$H$4,,,Plots!$A$51))+INDIRECT(ADDRESS($B187,Plots!$H$4,,,Plots!$A$52))</f>
        <v>0</v>
      </c>
      <c r="O187" cm="1">
        <f t="array" aca="1" ref="O187" ca="1">INDIRECT(ADDRESS($B187,Plots!$H$4,,,Plots!$A$53))+INDIRECT(ADDRESS($B187,Plots!$H$4,,,Plots!$A$54))+INDIRECT(ADDRESS($B187,Plots!$H$4,,,Plots!$A$55))+INDIRECT(ADDRESS($B187,Plots!$H$4,,,Plots!$A$56))</f>
        <v>0</v>
      </c>
      <c r="P187" cm="1">
        <f t="array" aca="1" ref="P187" ca="1">INDIRECT(ADDRESS($B187,Plots!$H$4,,,Plots!$A$57))+INDIRECT(ADDRESS($B187,Plots!$H$4,,,Plots!$A$58))+INDIRECT(ADDRESS($B187,Plots!$H$4,,,Plots!$A$59))+INDIRECT(ADDRESS($B187,Plots!$H$4,,,Plots!$A$60))+INDIRECT(ADDRESS($B187,Plots!$H$4,,,Plots!$A$61))</f>
        <v>0</v>
      </c>
      <c r="Q187" cm="1">
        <f t="array" aca="1" ref="Q187" ca="1">INDIRECT(ADDRESS($B187,Plots!$H$4,,,Plots!$A$62))+INDIRECT(ADDRESS($B187,Plots!$H$4,,,Plots!$A$63))+INDIRECT(ADDRESS($B187,Plots!$H$4,,,Plots!$A$64))+INDIRECT(ADDRESS($B187,Plots!$H$4,,,Plots!$A$65))+INDIRECT(ADDRESS($B187,Plots!$H$4,,,Plots!$A$66))+INDIRECT(ADDRESS($B187,Plots!$H$4,,,Plots!$A$67))</f>
        <v>0</v>
      </c>
    </row>
    <row r="188" spans="1:17">
      <c r="A188" t="str">
        <f>'AARnetCBR-CamDTN1_tcpmon_ts_11'!A188</f>
        <v xml:space="preserve">R15 </v>
      </c>
      <c r="B188">
        <f t="shared" si="0"/>
        <v>188</v>
      </c>
      <c r="C188" cm="1">
        <f t="array" aca="1" ref="C188" ca="1">INDIRECT(ADDRESS($B188,Plots!$H$3,,,Plots!$A$47))</f>
        <v>0</v>
      </c>
      <c r="D188" cm="1">
        <f t="array" aca="1" ref="D188" ca="1">INDIRECT(ADDRESS($B188,Plots!$H$3,,,Plots!$A$48))+INDIRECT(ADDRESS($B188,Plots!$H$3,,,Plots!$A$49))</f>
        <v>0</v>
      </c>
      <c r="E188" cm="1">
        <f t="array" aca="1" ref="E188" ca="1">INDIRECT(ADDRESS($B188,Plots!$H$3,,,Plots!$A$50))+INDIRECT(ADDRESS($B188,Plots!$H$3,,,Plots!$A$51))+INDIRECT(ADDRESS($B188,Plots!$H$3,,,Plots!$A$52))</f>
        <v>0</v>
      </c>
      <c r="F188" cm="1">
        <f t="array" aca="1" ref="F188" ca="1">INDIRECT(ADDRESS($B188,Plots!$H$3,,,Plots!$A$53))+INDIRECT(ADDRESS($B188,Plots!$H$3,,,Plots!$A$54))+INDIRECT(ADDRESS($B188,Plots!$H$3,,,Plots!$A$55))+INDIRECT(ADDRESS($B188,Plots!$H$3,,,Plots!$A$56))</f>
        <v>0</v>
      </c>
      <c r="G188" cm="1">
        <f t="array" aca="1" ref="G188" ca="1">INDIRECT(ADDRESS($B188,Plots!$H$3,,,Plots!$A$57))+INDIRECT(ADDRESS($B188,Plots!$H$3,,,Plots!$A$58))+INDIRECT(ADDRESS($B188,Plots!$H$3,,,Plots!$A$59))+INDIRECT(ADDRESS($B188,Plots!$H$3,,,Plots!$A$60))+INDIRECT(ADDRESS($B188,Plots!$H$3,,,Plots!$A$61))</f>
        <v>0</v>
      </c>
      <c r="H188" cm="1">
        <f t="array" aca="1" ref="H188" ca="1">INDIRECT(ADDRESS($B188,Plots!$H$3,,,Plots!$A$62))+INDIRECT(ADDRESS($B188,Plots!$H$3,,,Plots!$A$63))+INDIRECT(ADDRESS($B188,Plots!$H$3,,,Plots!$A$64))+INDIRECT(ADDRESS($B188,Plots!$H$3,,,Plots!$A$65))+INDIRECT(ADDRESS($B188,Plots!$H$3,,,Plots!$A$66))+INDIRECT(ADDRESS($B188,Plots!$H$3,,,Plots!$A$67))</f>
        <v>0</v>
      </c>
      <c r="I188">
        <f>'AARnetCBR-CamDTN1_tcpmon_ts_81'!H192+'AARnetCBR-CamDTN1_tcpmon_ts_82'!H192+'AARnetCBR-CamDTN1_tcpmon_ts_83'!H192+'AARnetCBR-CamDTN1_tcpmon_ts_84'!H192+'AARnetCBR-CamDTN1_tcpmon_ts_85'!H192+'AARnetCBR-CamDTN1_tcpmon_ts_86'!H192+'AARnetCBR-CamDTN1_tcpmon_ts_87'!H192+'AARnetCBR-CamDTN1_tcpmon_ts_88'!H192</f>
        <v>0</v>
      </c>
      <c r="L188" cm="1">
        <f t="array" aca="1" ref="L188" ca="1">INDIRECT(ADDRESS($B188,Plots!$H$4,,,Plots!$A$47))</f>
        <v>0</v>
      </c>
      <c r="M188" cm="1">
        <f t="array" aca="1" ref="M188" ca="1">INDIRECT(ADDRESS($B188,Plots!$H$4,,,Plots!$A$48))+INDIRECT(ADDRESS($B188,Plots!$H$4,,,Plots!$A$49))</f>
        <v>0</v>
      </c>
      <c r="N188" cm="1">
        <f t="array" aca="1" ref="N188" ca="1">INDIRECT(ADDRESS($B188,Plots!$H$4,,,Plots!$A$50))+INDIRECT(ADDRESS($B188,Plots!$H$4,,,Plots!$A$51))+INDIRECT(ADDRESS($B188,Plots!$H$4,,,Plots!$A$52))</f>
        <v>0</v>
      </c>
      <c r="O188" cm="1">
        <f t="array" aca="1" ref="O188" ca="1">INDIRECT(ADDRESS($B188,Plots!$H$4,,,Plots!$A$53))+INDIRECT(ADDRESS($B188,Plots!$H$4,,,Plots!$A$54))+INDIRECT(ADDRESS($B188,Plots!$H$4,,,Plots!$A$55))+INDIRECT(ADDRESS($B188,Plots!$H$4,,,Plots!$A$56))</f>
        <v>0</v>
      </c>
      <c r="P188" cm="1">
        <f t="array" aca="1" ref="P188" ca="1">INDIRECT(ADDRESS($B188,Plots!$H$4,,,Plots!$A$57))+INDIRECT(ADDRESS($B188,Plots!$H$4,,,Plots!$A$58))+INDIRECT(ADDRESS($B188,Plots!$H$4,,,Plots!$A$59))+INDIRECT(ADDRESS($B188,Plots!$H$4,,,Plots!$A$60))+INDIRECT(ADDRESS($B188,Plots!$H$4,,,Plots!$A$61))</f>
        <v>0</v>
      </c>
      <c r="Q188" cm="1">
        <f t="array" aca="1" ref="Q188" ca="1">INDIRECT(ADDRESS($B188,Plots!$H$4,,,Plots!$A$62))+INDIRECT(ADDRESS($B188,Plots!$H$4,,,Plots!$A$63))+INDIRECT(ADDRESS($B188,Plots!$H$4,,,Plots!$A$64))+INDIRECT(ADDRESS($B188,Plots!$H$4,,,Plots!$A$65))+INDIRECT(ADDRESS($B188,Plots!$H$4,,,Plots!$A$66))+INDIRECT(ADDRESS($B188,Plots!$H$4,,,Plots!$A$67))</f>
        <v>0</v>
      </c>
    </row>
    <row r="189" spans="1:17">
      <c r="A189" t="str">
        <f>'AARnetCBR-CamDTN1_tcpmon_ts_11'!A189</f>
        <v xml:space="preserve">R16 </v>
      </c>
      <c r="B189">
        <f t="shared" si="0"/>
        <v>189</v>
      </c>
      <c r="C189" cm="1">
        <f t="array" aca="1" ref="C189" ca="1">INDIRECT(ADDRESS($B189,Plots!$H$3,,,Plots!$A$47))</f>
        <v>0</v>
      </c>
      <c r="D189" cm="1">
        <f t="array" aca="1" ref="D189" ca="1">INDIRECT(ADDRESS($B189,Plots!$H$3,,,Plots!$A$48))+INDIRECT(ADDRESS($B189,Plots!$H$3,,,Plots!$A$49))</f>
        <v>0</v>
      </c>
      <c r="E189" cm="1">
        <f t="array" aca="1" ref="E189" ca="1">INDIRECT(ADDRESS($B189,Plots!$H$3,,,Plots!$A$50))+INDIRECT(ADDRESS($B189,Plots!$H$3,,,Plots!$A$51))+INDIRECT(ADDRESS($B189,Plots!$H$3,,,Plots!$A$52))</f>
        <v>0</v>
      </c>
      <c r="F189" cm="1">
        <f t="array" aca="1" ref="F189" ca="1">INDIRECT(ADDRESS($B189,Plots!$H$3,,,Plots!$A$53))+INDIRECT(ADDRESS($B189,Plots!$H$3,,,Plots!$A$54))+INDIRECT(ADDRESS($B189,Plots!$H$3,,,Plots!$A$55))+INDIRECT(ADDRESS($B189,Plots!$H$3,,,Plots!$A$56))</f>
        <v>0</v>
      </c>
      <c r="G189" cm="1">
        <f t="array" aca="1" ref="G189" ca="1">INDIRECT(ADDRESS($B189,Plots!$H$3,,,Plots!$A$57))+INDIRECT(ADDRESS($B189,Plots!$H$3,,,Plots!$A$58))+INDIRECT(ADDRESS($B189,Plots!$H$3,,,Plots!$A$59))+INDIRECT(ADDRESS($B189,Plots!$H$3,,,Plots!$A$60))+INDIRECT(ADDRESS($B189,Plots!$H$3,,,Plots!$A$61))</f>
        <v>0</v>
      </c>
      <c r="H189" cm="1">
        <f t="array" aca="1" ref="H189" ca="1">INDIRECT(ADDRESS($B189,Plots!$H$3,,,Plots!$A$62))+INDIRECT(ADDRESS($B189,Plots!$H$3,,,Plots!$A$63))+INDIRECT(ADDRESS($B189,Plots!$H$3,,,Plots!$A$64))+INDIRECT(ADDRESS($B189,Plots!$H$3,,,Plots!$A$65))+INDIRECT(ADDRESS($B189,Plots!$H$3,,,Plots!$A$66))+INDIRECT(ADDRESS($B189,Plots!$H$3,,,Plots!$A$67))</f>
        <v>0</v>
      </c>
      <c r="I189">
        <f>'AARnetCBR-CamDTN1_tcpmon_ts_81'!H193+'AARnetCBR-CamDTN1_tcpmon_ts_82'!H193+'AARnetCBR-CamDTN1_tcpmon_ts_83'!H193+'AARnetCBR-CamDTN1_tcpmon_ts_84'!H193+'AARnetCBR-CamDTN1_tcpmon_ts_85'!H193+'AARnetCBR-CamDTN1_tcpmon_ts_86'!H193+'AARnetCBR-CamDTN1_tcpmon_ts_87'!H193+'AARnetCBR-CamDTN1_tcpmon_ts_88'!H193</f>
        <v>0</v>
      </c>
      <c r="L189" cm="1">
        <f t="array" aca="1" ref="L189" ca="1">INDIRECT(ADDRESS($B189,Plots!$H$4,,,Plots!$A$47))</f>
        <v>0</v>
      </c>
      <c r="M189" cm="1">
        <f t="array" aca="1" ref="M189" ca="1">INDIRECT(ADDRESS($B189,Plots!$H$4,,,Plots!$A$48))+INDIRECT(ADDRESS($B189,Plots!$H$4,,,Plots!$A$49))</f>
        <v>0</v>
      </c>
      <c r="N189" cm="1">
        <f t="array" aca="1" ref="N189" ca="1">INDIRECT(ADDRESS($B189,Plots!$H$4,,,Plots!$A$50))+INDIRECT(ADDRESS($B189,Plots!$H$4,,,Plots!$A$51))+INDIRECT(ADDRESS($B189,Plots!$H$4,,,Plots!$A$52))</f>
        <v>0</v>
      </c>
      <c r="O189" cm="1">
        <f t="array" aca="1" ref="O189" ca="1">INDIRECT(ADDRESS($B189,Plots!$H$4,,,Plots!$A$53))+INDIRECT(ADDRESS($B189,Plots!$H$4,,,Plots!$A$54))+INDIRECT(ADDRESS($B189,Plots!$H$4,,,Plots!$A$55))+INDIRECT(ADDRESS($B189,Plots!$H$4,,,Plots!$A$56))</f>
        <v>0</v>
      </c>
      <c r="P189" cm="1">
        <f t="array" aca="1" ref="P189" ca="1">INDIRECT(ADDRESS($B189,Plots!$H$4,,,Plots!$A$57))+INDIRECT(ADDRESS($B189,Plots!$H$4,,,Plots!$A$58))+INDIRECT(ADDRESS($B189,Plots!$H$4,,,Plots!$A$59))+INDIRECT(ADDRESS($B189,Plots!$H$4,,,Plots!$A$60))+INDIRECT(ADDRESS($B189,Plots!$H$4,,,Plots!$A$61))</f>
        <v>0</v>
      </c>
      <c r="Q189" cm="1">
        <f t="array" aca="1" ref="Q189" ca="1">INDIRECT(ADDRESS($B189,Plots!$H$4,,,Plots!$A$62))+INDIRECT(ADDRESS($B189,Plots!$H$4,,,Plots!$A$63))+INDIRECT(ADDRESS($B189,Plots!$H$4,,,Plots!$A$64))+INDIRECT(ADDRESS($B189,Plots!$H$4,,,Plots!$A$65))+INDIRECT(ADDRESS($B189,Plots!$H$4,,,Plots!$A$66))+INDIRECT(ADDRESS($B189,Plots!$H$4,,,Plots!$A$67))</f>
        <v>0</v>
      </c>
    </row>
    <row r="190" spans="1:17">
      <c r="A190" t="str">
        <f>'AARnetCBR-CamDTN1_tcpmon_ts_11'!A190</f>
        <v xml:space="preserve">R17 </v>
      </c>
      <c r="B190">
        <f t="shared" si="0"/>
        <v>190</v>
      </c>
      <c r="C190" cm="1">
        <f t="array" aca="1" ref="C190" ca="1">INDIRECT(ADDRESS($B190,Plots!$H$3,,,Plots!$A$47))</f>
        <v>0</v>
      </c>
      <c r="D190" cm="1">
        <f t="array" aca="1" ref="D190" ca="1">INDIRECT(ADDRESS($B190,Plots!$H$3,,,Plots!$A$48))+INDIRECT(ADDRESS($B190,Plots!$H$3,,,Plots!$A$49))</f>
        <v>0</v>
      </c>
      <c r="E190" cm="1">
        <f t="array" aca="1" ref="E190" ca="1">INDIRECT(ADDRESS($B190,Plots!$H$3,,,Plots!$A$50))+INDIRECT(ADDRESS($B190,Plots!$H$3,,,Plots!$A$51))+INDIRECT(ADDRESS($B190,Plots!$H$3,,,Plots!$A$52))</f>
        <v>0</v>
      </c>
      <c r="F190" cm="1">
        <f t="array" aca="1" ref="F190" ca="1">INDIRECT(ADDRESS($B190,Plots!$H$3,,,Plots!$A$53))+INDIRECT(ADDRESS($B190,Plots!$H$3,,,Plots!$A$54))+INDIRECT(ADDRESS($B190,Plots!$H$3,,,Plots!$A$55))+INDIRECT(ADDRESS($B190,Plots!$H$3,,,Plots!$A$56))</f>
        <v>0</v>
      </c>
      <c r="G190" cm="1">
        <f t="array" aca="1" ref="G190" ca="1">INDIRECT(ADDRESS($B190,Plots!$H$3,,,Plots!$A$57))+INDIRECT(ADDRESS($B190,Plots!$H$3,,,Plots!$A$58))+INDIRECT(ADDRESS($B190,Plots!$H$3,,,Plots!$A$59))+INDIRECT(ADDRESS($B190,Plots!$H$3,,,Plots!$A$60))+INDIRECT(ADDRESS($B190,Plots!$H$3,,,Plots!$A$61))</f>
        <v>0</v>
      </c>
      <c r="H190" cm="1">
        <f t="array" aca="1" ref="H190" ca="1">INDIRECT(ADDRESS($B190,Plots!$H$3,,,Plots!$A$62))+INDIRECT(ADDRESS($B190,Plots!$H$3,,,Plots!$A$63))+INDIRECT(ADDRESS($B190,Plots!$H$3,,,Plots!$A$64))+INDIRECT(ADDRESS($B190,Plots!$H$3,,,Plots!$A$65))+INDIRECT(ADDRESS($B190,Plots!$H$3,,,Plots!$A$66))+INDIRECT(ADDRESS($B190,Plots!$H$3,,,Plots!$A$67))</f>
        <v>0</v>
      </c>
      <c r="I190">
        <f>'AARnetCBR-CamDTN1_tcpmon_ts_81'!H194+'AARnetCBR-CamDTN1_tcpmon_ts_82'!H194+'AARnetCBR-CamDTN1_tcpmon_ts_83'!H194+'AARnetCBR-CamDTN1_tcpmon_ts_84'!H194+'AARnetCBR-CamDTN1_tcpmon_ts_85'!H194+'AARnetCBR-CamDTN1_tcpmon_ts_86'!H194+'AARnetCBR-CamDTN1_tcpmon_ts_87'!H194+'AARnetCBR-CamDTN1_tcpmon_ts_88'!H194</f>
        <v>0</v>
      </c>
      <c r="L190" cm="1">
        <f t="array" aca="1" ref="L190" ca="1">INDIRECT(ADDRESS($B190,Plots!$H$4,,,Plots!$A$47))</f>
        <v>0</v>
      </c>
      <c r="M190" cm="1">
        <f t="array" aca="1" ref="M190" ca="1">INDIRECT(ADDRESS($B190,Plots!$H$4,,,Plots!$A$48))+INDIRECT(ADDRESS($B190,Plots!$H$4,,,Plots!$A$49))</f>
        <v>0</v>
      </c>
      <c r="N190" cm="1">
        <f t="array" aca="1" ref="N190" ca="1">INDIRECT(ADDRESS($B190,Plots!$H$4,,,Plots!$A$50))+INDIRECT(ADDRESS($B190,Plots!$H$4,,,Plots!$A$51))+INDIRECT(ADDRESS($B190,Plots!$H$4,,,Plots!$A$52))</f>
        <v>0</v>
      </c>
      <c r="O190" cm="1">
        <f t="array" aca="1" ref="O190" ca="1">INDIRECT(ADDRESS($B190,Plots!$H$4,,,Plots!$A$53))+INDIRECT(ADDRESS($B190,Plots!$H$4,,,Plots!$A$54))+INDIRECT(ADDRESS($B190,Plots!$H$4,,,Plots!$A$55))+INDIRECT(ADDRESS($B190,Plots!$H$4,,,Plots!$A$56))</f>
        <v>0</v>
      </c>
      <c r="P190" cm="1">
        <f t="array" aca="1" ref="P190" ca="1">INDIRECT(ADDRESS($B190,Plots!$H$4,,,Plots!$A$57))+INDIRECT(ADDRESS($B190,Plots!$H$4,,,Plots!$A$58))+INDIRECT(ADDRESS($B190,Plots!$H$4,,,Plots!$A$59))+INDIRECT(ADDRESS($B190,Plots!$H$4,,,Plots!$A$60))+INDIRECT(ADDRESS($B190,Plots!$H$4,,,Plots!$A$61))</f>
        <v>0</v>
      </c>
      <c r="Q190" cm="1">
        <f t="array" aca="1" ref="Q190" ca="1">INDIRECT(ADDRESS($B190,Plots!$H$4,,,Plots!$A$62))+INDIRECT(ADDRESS($B190,Plots!$H$4,,,Plots!$A$63))+INDIRECT(ADDRESS($B190,Plots!$H$4,,,Plots!$A$64))+INDIRECT(ADDRESS($B190,Plots!$H$4,,,Plots!$A$65))+INDIRECT(ADDRESS($B190,Plots!$H$4,,,Plots!$A$66))+INDIRECT(ADDRESS($B190,Plots!$H$4,,,Plots!$A$67))</f>
        <v>0</v>
      </c>
    </row>
    <row r="191" spans="1:17">
      <c r="A191" t="str">
        <f>'AARnetCBR-CamDTN1_tcpmon_ts_11'!A191</f>
        <v xml:space="preserve">R18 </v>
      </c>
      <c r="B191">
        <f t="shared" si="0"/>
        <v>191</v>
      </c>
      <c r="C191" cm="1">
        <f t="array" aca="1" ref="C191" ca="1">INDIRECT(ADDRESS($B191,Plots!$H$3,,,Plots!$A$47))</f>
        <v>0</v>
      </c>
      <c r="D191" cm="1">
        <f t="array" aca="1" ref="D191" ca="1">INDIRECT(ADDRESS($B191,Plots!$H$3,,,Plots!$A$48))+INDIRECT(ADDRESS($B191,Plots!$H$3,,,Plots!$A$49))</f>
        <v>0</v>
      </c>
      <c r="E191" cm="1">
        <f t="array" aca="1" ref="E191" ca="1">INDIRECT(ADDRESS($B191,Plots!$H$3,,,Plots!$A$50))+INDIRECT(ADDRESS($B191,Plots!$H$3,,,Plots!$A$51))+INDIRECT(ADDRESS($B191,Plots!$H$3,,,Plots!$A$52))</f>
        <v>0</v>
      </c>
      <c r="F191" cm="1">
        <f t="array" aca="1" ref="F191" ca="1">INDIRECT(ADDRESS($B191,Plots!$H$3,,,Plots!$A$53))+INDIRECT(ADDRESS($B191,Plots!$H$3,,,Plots!$A$54))+INDIRECT(ADDRESS($B191,Plots!$H$3,,,Plots!$A$55))+INDIRECT(ADDRESS($B191,Plots!$H$3,,,Plots!$A$56))</f>
        <v>0</v>
      </c>
      <c r="G191" cm="1">
        <f t="array" aca="1" ref="G191" ca="1">INDIRECT(ADDRESS($B191,Plots!$H$3,,,Plots!$A$57))+INDIRECT(ADDRESS($B191,Plots!$H$3,,,Plots!$A$58))+INDIRECT(ADDRESS($B191,Plots!$H$3,,,Plots!$A$59))+INDIRECT(ADDRESS($B191,Plots!$H$3,,,Plots!$A$60))+INDIRECT(ADDRESS($B191,Plots!$H$3,,,Plots!$A$61))</f>
        <v>0</v>
      </c>
      <c r="H191" cm="1">
        <f t="array" aca="1" ref="H191" ca="1">INDIRECT(ADDRESS($B191,Plots!$H$3,,,Plots!$A$62))+INDIRECT(ADDRESS($B191,Plots!$H$3,,,Plots!$A$63))+INDIRECT(ADDRESS($B191,Plots!$H$3,,,Plots!$A$64))+INDIRECT(ADDRESS($B191,Plots!$H$3,,,Plots!$A$65))+INDIRECT(ADDRESS($B191,Plots!$H$3,,,Plots!$A$66))+INDIRECT(ADDRESS($B191,Plots!$H$3,,,Plots!$A$67))</f>
        <v>0</v>
      </c>
      <c r="I191">
        <f>'AARnetCBR-CamDTN1_tcpmon_ts_81'!H195+'AARnetCBR-CamDTN1_tcpmon_ts_82'!H195+'AARnetCBR-CamDTN1_tcpmon_ts_83'!H195+'AARnetCBR-CamDTN1_tcpmon_ts_84'!H195+'AARnetCBR-CamDTN1_tcpmon_ts_85'!H195+'AARnetCBR-CamDTN1_tcpmon_ts_86'!H195+'AARnetCBR-CamDTN1_tcpmon_ts_87'!H195+'AARnetCBR-CamDTN1_tcpmon_ts_88'!H195</f>
        <v>0</v>
      </c>
      <c r="L191" cm="1">
        <f t="array" aca="1" ref="L191" ca="1">INDIRECT(ADDRESS($B191,Plots!$H$4,,,Plots!$A$47))</f>
        <v>0</v>
      </c>
      <c r="M191" cm="1">
        <f t="array" aca="1" ref="M191" ca="1">INDIRECT(ADDRESS($B191,Plots!$H$4,,,Plots!$A$48))+INDIRECT(ADDRESS($B191,Plots!$H$4,,,Plots!$A$49))</f>
        <v>0</v>
      </c>
      <c r="N191" cm="1">
        <f t="array" aca="1" ref="N191" ca="1">INDIRECT(ADDRESS($B191,Plots!$H$4,,,Plots!$A$50))+INDIRECT(ADDRESS($B191,Plots!$H$4,,,Plots!$A$51))+INDIRECT(ADDRESS($B191,Plots!$H$4,,,Plots!$A$52))</f>
        <v>0</v>
      </c>
      <c r="O191" cm="1">
        <f t="array" aca="1" ref="O191" ca="1">INDIRECT(ADDRESS($B191,Plots!$H$4,,,Plots!$A$53))+INDIRECT(ADDRESS($B191,Plots!$H$4,,,Plots!$A$54))+INDIRECT(ADDRESS($B191,Plots!$H$4,,,Plots!$A$55))+INDIRECT(ADDRESS($B191,Plots!$H$4,,,Plots!$A$56))</f>
        <v>0</v>
      </c>
      <c r="P191" cm="1">
        <f t="array" aca="1" ref="P191" ca="1">INDIRECT(ADDRESS($B191,Plots!$H$4,,,Plots!$A$57))+INDIRECT(ADDRESS($B191,Plots!$H$4,,,Plots!$A$58))+INDIRECT(ADDRESS($B191,Plots!$H$4,,,Plots!$A$59))+INDIRECT(ADDRESS($B191,Plots!$H$4,,,Plots!$A$60))+INDIRECT(ADDRESS($B191,Plots!$H$4,,,Plots!$A$61))</f>
        <v>0</v>
      </c>
      <c r="Q191" cm="1">
        <f t="array" aca="1" ref="Q191" ca="1">INDIRECT(ADDRESS($B191,Plots!$H$4,,,Plots!$A$62))+INDIRECT(ADDRESS($B191,Plots!$H$4,,,Plots!$A$63))+INDIRECT(ADDRESS($B191,Plots!$H$4,,,Plots!$A$64))+INDIRECT(ADDRESS($B191,Plots!$H$4,,,Plots!$A$65))+INDIRECT(ADDRESS($B191,Plots!$H$4,,,Plots!$A$66))+INDIRECT(ADDRESS($B191,Plots!$H$4,,,Plots!$A$67))</f>
        <v>0</v>
      </c>
    </row>
    <row r="192" spans="1:17">
      <c r="A192" t="str">
        <f>'AARnetCBR-CamDTN1_tcpmon_ts_11'!A192</f>
        <v xml:space="preserve">R19 </v>
      </c>
      <c r="B192">
        <f t="shared" si="0"/>
        <v>192</v>
      </c>
      <c r="C192" cm="1">
        <f t="array" aca="1" ref="C192" ca="1">INDIRECT(ADDRESS($B192,Plots!$H$3,,,Plots!$A$47))</f>
        <v>0</v>
      </c>
      <c r="D192" cm="1">
        <f t="array" aca="1" ref="D192" ca="1">INDIRECT(ADDRESS($B192,Plots!$H$3,,,Plots!$A$48))+INDIRECT(ADDRESS($B192,Plots!$H$3,,,Plots!$A$49))</f>
        <v>0</v>
      </c>
      <c r="E192" cm="1">
        <f t="array" aca="1" ref="E192" ca="1">INDIRECT(ADDRESS($B192,Plots!$H$3,,,Plots!$A$50))+INDIRECT(ADDRESS($B192,Plots!$H$3,,,Plots!$A$51))+INDIRECT(ADDRESS($B192,Plots!$H$3,,,Plots!$A$52))</f>
        <v>0</v>
      </c>
      <c r="F192" cm="1">
        <f t="array" aca="1" ref="F192" ca="1">INDIRECT(ADDRESS($B192,Plots!$H$3,,,Plots!$A$53))+INDIRECT(ADDRESS($B192,Plots!$H$3,,,Plots!$A$54))+INDIRECT(ADDRESS($B192,Plots!$H$3,,,Plots!$A$55))+INDIRECT(ADDRESS($B192,Plots!$H$3,,,Plots!$A$56))</f>
        <v>0</v>
      </c>
      <c r="G192" cm="1">
        <f t="array" aca="1" ref="G192" ca="1">INDIRECT(ADDRESS($B192,Plots!$H$3,,,Plots!$A$57))+INDIRECT(ADDRESS($B192,Plots!$H$3,,,Plots!$A$58))+INDIRECT(ADDRESS($B192,Plots!$H$3,,,Plots!$A$59))+INDIRECT(ADDRESS($B192,Plots!$H$3,,,Plots!$A$60))+INDIRECT(ADDRESS($B192,Plots!$H$3,,,Plots!$A$61))</f>
        <v>0</v>
      </c>
      <c r="H192" cm="1">
        <f t="array" aca="1" ref="H192" ca="1">INDIRECT(ADDRESS($B192,Plots!$H$3,,,Plots!$A$62))+INDIRECT(ADDRESS($B192,Plots!$H$3,,,Plots!$A$63))+INDIRECT(ADDRESS($B192,Plots!$H$3,,,Plots!$A$64))+INDIRECT(ADDRESS($B192,Plots!$H$3,,,Plots!$A$65))+INDIRECT(ADDRESS($B192,Plots!$H$3,,,Plots!$A$66))+INDIRECT(ADDRESS($B192,Plots!$H$3,,,Plots!$A$67))</f>
        <v>0</v>
      </c>
      <c r="I192">
        <f>'AARnetCBR-CamDTN1_tcpmon_ts_81'!H196+'AARnetCBR-CamDTN1_tcpmon_ts_82'!H196+'AARnetCBR-CamDTN1_tcpmon_ts_83'!H196+'AARnetCBR-CamDTN1_tcpmon_ts_84'!H196+'AARnetCBR-CamDTN1_tcpmon_ts_85'!H196+'AARnetCBR-CamDTN1_tcpmon_ts_86'!H196+'AARnetCBR-CamDTN1_tcpmon_ts_87'!H196+'AARnetCBR-CamDTN1_tcpmon_ts_88'!H196</f>
        <v>0</v>
      </c>
      <c r="L192" cm="1">
        <f t="array" aca="1" ref="L192" ca="1">INDIRECT(ADDRESS($B192,Plots!$H$4,,,Plots!$A$47))</f>
        <v>0</v>
      </c>
      <c r="M192" cm="1">
        <f t="array" aca="1" ref="M192" ca="1">INDIRECT(ADDRESS($B192,Plots!$H$4,,,Plots!$A$48))+INDIRECT(ADDRESS($B192,Plots!$H$4,,,Plots!$A$49))</f>
        <v>0</v>
      </c>
      <c r="N192" cm="1">
        <f t="array" aca="1" ref="N192" ca="1">INDIRECT(ADDRESS($B192,Plots!$H$4,,,Plots!$A$50))+INDIRECT(ADDRESS($B192,Plots!$H$4,,,Plots!$A$51))+INDIRECT(ADDRESS($B192,Plots!$H$4,,,Plots!$A$52))</f>
        <v>0</v>
      </c>
      <c r="O192" cm="1">
        <f t="array" aca="1" ref="O192" ca="1">INDIRECT(ADDRESS($B192,Plots!$H$4,,,Plots!$A$53))+INDIRECT(ADDRESS($B192,Plots!$H$4,,,Plots!$A$54))+INDIRECT(ADDRESS($B192,Plots!$H$4,,,Plots!$A$55))+INDIRECT(ADDRESS($B192,Plots!$H$4,,,Plots!$A$56))</f>
        <v>0</v>
      </c>
      <c r="P192" cm="1">
        <f t="array" aca="1" ref="P192" ca="1">INDIRECT(ADDRESS($B192,Plots!$H$4,,,Plots!$A$57))+INDIRECT(ADDRESS($B192,Plots!$H$4,,,Plots!$A$58))+INDIRECT(ADDRESS($B192,Plots!$H$4,,,Plots!$A$59))+INDIRECT(ADDRESS($B192,Plots!$H$4,,,Plots!$A$60))+INDIRECT(ADDRESS($B192,Plots!$H$4,,,Plots!$A$61))</f>
        <v>0</v>
      </c>
      <c r="Q192" cm="1">
        <f t="array" aca="1" ref="Q192" ca="1">INDIRECT(ADDRESS($B192,Plots!$H$4,,,Plots!$A$62))+INDIRECT(ADDRESS($B192,Plots!$H$4,,,Plots!$A$63))+INDIRECT(ADDRESS($B192,Plots!$H$4,,,Plots!$A$64))+INDIRECT(ADDRESS($B192,Plots!$H$4,,,Plots!$A$65))+INDIRECT(ADDRESS($B192,Plots!$H$4,,,Plots!$A$66))+INDIRECT(ADDRESS($B192,Plots!$H$4,,,Plots!$A$67))</f>
        <v>0</v>
      </c>
    </row>
    <row r="193" spans="1:17">
      <c r="A193" t="str">
        <f>'AARnetCBR-CamDTN1_tcpmon_ts_11'!A193</f>
        <v xml:space="preserve">R20 </v>
      </c>
      <c r="B193">
        <f t="shared" si="0"/>
        <v>193</v>
      </c>
      <c r="C193" cm="1">
        <f t="array" aca="1" ref="C193" ca="1">INDIRECT(ADDRESS($B193,Plots!$H$3,,,Plots!$A$47))</f>
        <v>0</v>
      </c>
      <c r="D193" cm="1">
        <f t="array" aca="1" ref="D193" ca="1">INDIRECT(ADDRESS($B193,Plots!$H$3,,,Plots!$A$48))+INDIRECT(ADDRESS($B193,Plots!$H$3,,,Plots!$A$49))</f>
        <v>0</v>
      </c>
      <c r="E193" cm="1">
        <f t="array" aca="1" ref="E193" ca="1">INDIRECT(ADDRESS($B193,Plots!$H$3,,,Plots!$A$50))+INDIRECT(ADDRESS($B193,Plots!$H$3,,,Plots!$A$51))+INDIRECT(ADDRESS($B193,Plots!$H$3,,,Plots!$A$52))</f>
        <v>0</v>
      </c>
      <c r="F193" cm="1">
        <f t="array" aca="1" ref="F193" ca="1">INDIRECT(ADDRESS($B193,Plots!$H$3,,,Plots!$A$53))+INDIRECT(ADDRESS($B193,Plots!$H$3,,,Plots!$A$54))+INDIRECT(ADDRESS($B193,Plots!$H$3,,,Plots!$A$55))+INDIRECT(ADDRESS($B193,Plots!$H$3,,,Plots!$A$56))</f>
        <v>0</v>
      </c>
      <c r="G193" cm="1">
        <f t="array" aca="1" ref="G193" ca="1">INDIRECT(ADDRESS($B193,Plots!$H$3,,,Plots!$A$57))+INDIRECT(ADDRESS($B193,Plots!$H$3,,,Plots!$A$58))+INDIRECT(ADDRESS($B193,Plots!$H$3,,,Plots!$A$59))+INDIRECT(ADDRESS($B193,Plots!$H$3,,,Plots!$A$60))+INDIRECT(ADDRESS($B193,Plots!$H$3,,,Plots!$A$61))</f>
        <v>0</v>
      </c>
      <c r="H193" cm="1">
        <f t="array" aca="1" ref="H193" ca="1">INDIRECT(ADDRESS($B193,Plots!$H$3,,,Plots!$A$62))+INDIRECT(ADDRESS($B193,Plots!$H$3,,,Plots!$A$63))+INDIRECT(ADDRESS($B193,Plots!$H$3,,,Plots!$A$64))+INDIRECT(ADDRESS($B193,Plots!$H$3,,,Plots!$A$65))+INDIRECT(ADDRESS($B193,Plots!$H$3,,,Plots!$A$66))+INDIRECT(ADDRESS($B193,Plots!$H$3,,,Plots!$A$67))</f>
        <v>0</v>
      </c>
      <c r="I193">
        <f>'AARnetCBR-CamDTN1_tcpmon_ts_81'!H197+'AARnetCBR-CamDTN1_tcpmon_ts_82'!H197+'AARnetCBR-CamDTN1_tcpmon_ts_83'!H197+'AARnetCBR-CamDTN1_tcpmon_ts_84'!H197+'AARnetCBR-CamDTN1_tcpmon_ts_85'!H197+'AARnetCBR-CamDTN1_tcpmon_ts_86'!H197+'AARnetCBR-CamDTN1_tcpmon_ts_87'!H197+'AARnetCBR-CamDTN1_tcpmon_ts_88'!H197</f>
        <v>0</v>
      </c>
      <c r="L193" cm="1">
        <f t="array" aca="1" ref="L193" ca="1">INDIRECT(ADDRESS($B193,Plots!$H$4,,,Plots!$A$47))</f>
        <v>0</v>
      </c>
      <c r="M193" cm="1">
        <f t="array" aca="1" ref="M193" ca="1">INDIRECT(ADDRESS($B193,Plots!$H$4,,,Plots!$A$48))+INDIRECT(ADDRESS($B193,Plots!$H$4,,,Plots!$A$49))</f>
        <v>0</v>
      </c>
      <c r="N193" cm="1">
        <f t="array" aca="1" ref="N193" ca="1">INDIRECT(ADDRESS($B193,Plots!$H$4,,,Plots!$A$50))+INDIRECT(ADDRESS($B193,Plots!$H$4,,,Plots!$A$51))+INDIRECT(ADDRESS($B193,Plots!$H$4,,,Plots!$A$52))</f>
        <v>6</v>
      </c>
      <c r="O193" cm="1">
        <f t="array" aca="1" ref="O193" ca="1">INDIRECT(ADDRESS($B193,Plots!$H$4,,,Plots!$A$53))+INDIRECT(ADDRESS($B193,Plots!$H$4,,,Plots!$A$54))+INDIRECT(ADDRESS($B193,Plots!$H$4,,,Plots!$A$55))+INDIRECT(ADDRESS($B193,Plots!$H$4,,,Plots!$A$56))</f>
        <v>0</v>
      </c>
      <c r="P193" cm="1">
        <f t="array" aca="1" ref="P193" ca="1">INDIRECT(ADDRESS($B193,Plots!$H$4,,,Plots!$A$57))+INDIRECT(ADDRESS($B193,Plots!$H$4,,,Plots!$A$58))+INDIRECT(ADDRESS($B193,Plots!$H$4,,,Plots!$A$59))+INDIRECT(ADDRESS($B193,Plots!$H$4,,,Plots!$A$60))+INDIRECT(ADDRESS($B193,Plots!$H$4,,,Plots!$A$61))</f>
        <v>0</v>
      </c>
      <c r="Q193" cm="1">
        <f t="array" aca="1" ref="Q193" ca="1">INDIRECT(ADDRESS($B193,Plots!$H$4,,,Plots!$A$62))+INDIRECT(ADDRESS($B193,Plots!$H$4,,,Plots!$A$63))+INDIRECT(ADDRESS($B193,Plots!$H$4,,,Plots!$A$64))+INDIRECT(ADDRESS($B193,Plots!$H$4,,,Plots!$A$65))+INDIRECT(ADDRESS($B193,Plots!$H$4,,,Plots!$A$66))+INDIRECT(ADDRESS($B193,Plots!$H$4,,,Plots!$A$67))</f>
        <v>0</v>
      </c>
    </row>
    <row r="194" spans="1:17">
      <c r="A194" t="str">
        <f>'AARnetCBR-CamDTN1_tcpmon_ts_11'!A194</f>
        <v xml:space="preserve">R21 </v>
      </c>
      <c r="B194">
        <f t="shared" si="0"/>
        <v>194</v>
      </c>
      <c r="C194" cm="1">
        <f t="array" aca="1" ref="C194" ca="1">INDIRECT(ADDRESS($B194,Plots!$H$3,,,Plots!$A$47))</f>
        <v>0</v>
      </c>
      <c r="D194" cm="1">
        <f t="array" aca="1" ref="D194" ca="1">INDIRECT(ADDRESS($B194,Plots!$H$3,,,Plots!$A$48))+INDIRECT(ADDRESS($B194,Plots!$H$3,,,Plots!$A$49))</f>
        <v>0</v>
      </c>
      <c r="E194" cm="1">
        <f t="array" aca="1" ref="E194" ca="1">INDIRECT(ADDRESS($B194,Plots!$H$3,,,Plots!$A$50))+INDIRECT(ADDRESS($B194,Plots!$H$3,,,Plots!$A$51))+INDIRECT(ADDRESS($B194,Plots!$H$3,,,Plots!$A$52))</f>
        <v>0</v>
      </c>
      <c r="F194" cm="1">
        <f t="array" aca="1" ref="F194" ca="1">INDIRECT(ADDRESS($B194,Plots!$H$3,,,Plots!$A$53))+INDIRECT(ADDRESS($B194,Plots!$H$3,,,Plots!$A$54))+INDIRECT(ADDRESS($B194,Plots!$H$3,,,Plots!$A$55))+INDIRECT(ADDRESS($B194,Plots!$H$3,,,Plots!$A$56))</f>
        <v>0</v>
      </c>
      <c r="G194" cm="1">
        <f t="array" aca="1" ref="G194" ca="1">INDIRECT(ADDRESS($B194,Plots!$H$3,,,Plots!$A$57))+INDIRECT(ADDRESS($B194,Plots!$H$3,,,Plots!$A$58))+INDIRECT(ADDRESS($B194,Plots!$H$3,,,Plots!$A$59))+INDIRECT(ADDRESS($B194,Plots!$H$3,,,Plots!$A$60))+INDIRECT(ADDRESS($B194,Plots!$H$3,,,Plots!$A$61))</f>
        <v>0</v>
      </c>
      <c r="H194" cm="1">
        <f t="array" aca="1" ref="H194" ca="1">INDIRECT(ADDRESS($B194,Plots!$H$3,,,Plots!$A$62))+INDIRECT(ADDRESS($B194,Plots!$H$3,,,Plots!$A$63))+INDIRECT(ADDRESS($B194,Plots!$H$3,,,Plots!$A$64))+INDIRECT(ADDRESS($B194,Plots!$H$3,,,Plots!$A$65))+INDIRECT(ADDRESS($B194,Plots!$H$3,,,Plots!$A$66))+INDIRECT(ADDRESS($B194,Plots!$H$3,,,Plots!$A$67))</f>
        <v>0</v>
      </c>
      <c r="I194">
        <f>'AARnetCBR-CamDTN1_tcpmon_ts_81'!H198+'AARnetCBR-CamDTN1_tcpmon_ts_82'!H198+'AARnetCBR-CamDTN1_tcpmon_ts_83'!H198+'AARnetCBR-CamDTN1_tcpmon_ts_84'!H198+'AARnetCBR-CamDTN1_tcpmon_ts_85'!H198+'AARnetCBR-CamDTN1_tcpmon_ts_86'!H198+'AARnetCBR-CamDTN1_tcpmon_ts_87'!H198+'AARnetCBR-CamDTN1_tcpmon_ts_88'!H198</f>
        <v>0</v>
      </c>
      <c r="L194" cm="1">
        <f t="array" aca="1" ref="L194" ca="1">INDIRECT(ADDRESS($B194,Plots!$H$4,,,Plots!$A$47))</f>
        <v>0</v>
      </c>
      <c r="M194" cm="1">
        <f t="array" aca="1" ref="M194" ca="1">INDIRECT(ADDRESS($B194,Plots!$H$4,,,Plots!$A$48))+INDIRECT(ADDRESS($B194,Plots!$H$4,,,Plots!$A$49))</f>
        <v>0</v>
      </c>
      <c r="N194" cm="1">
        <f t="array" aca="1" ref="N194" ca="1">INDIRECT(ADDRESS($B194,Plots!$H$4,,,Plots!$A$50))+INDIRECT(ADDRESS($B194,Plots!$H$4,,,Plots!$A$51))+INDIRECT(ADDRESS($B194,Plots!$H$4,,,Plots!$A$52))</f>
        <v>0</v>
      </c>
      <c r="O194" cm="1">
        <f t="array" aca="1" ref="O194" ca="1">INDIRECT(ADDRESS($B194,Plots!$H$4,,,Plots!$A$53))+INDIRECT(ADDRESS($B194,Plots!$H$4,,,Plots!$A$54))+INDIRECT(ADDRESS($B194,Plots!$H$4,,,Plots!$A$55))+INDIRECT(ADDRESS($B194,Plots!$H$4,,,Plots!$A$56))</f>
        <v>0</v>
      </c>
      <c r="P194" cm="1">
        <f t="array" aca="1" ref="P194" ca="1">INDIRECT(ADDRESS($B194,Plots!$H$4,,,Plots!$A$57))+INDIRECT(ADDRESS($B194,Plots!$H$4,,,Plots!$A$58))+INDIRECT(ADDRESS($B194,Plots!$H$4,,,Plots!$A$59))+INDIRECT(ADDRESS($B194,Plots!$H$4,,,Plots!$A$60))+INDIRECT(ADDRESS($B194,Plots!$H$4,,,Plots!$A$61))</f>
        <v>0</v>
      </c>
      <c r="Q194" cm="1">
        <f t="array" aca="1" ref="Q194" ca="1">INDIRECT(ADDRESS($B194,Plots!$H$4,,,Plots!$A$62))+INDIRECT(ADDRESS($B194,Plots!$H$4,,,Plots!$A$63))+INDIRECT(ADDRESS($B194,Plots!$H$4,,,Plots!$A$64))+INDIRECT(ADDRESS($B194,Plots!$H$4,,,Plots!$A$65))+INDIRECT(ADDRESS($B194,Plots!$H$4,,,Plots!$A$66))+INDIRECT(ADDRESS($B194,Plots!$H$4,,,Plots!$A$67))</f>
        <v>0</v>
      </c>
    </row>
    <row r="195" spans="1:17">
      <c r="A195" t="str">
        <f>'AARnetCBR-CamDTN1_tcpmon_ts_11'!A195</f>
        <v xml:space="preserve">R22 </v>
      </c>
      <c r="B195">
        <f t="shared" si="0"/>
        <v>195</v>
      </c>
      <c r="C195" cm="1">
        <f t="array" aca="1" ref="C195" ca="1">INDIRECT(ADDRESS($B195,Plots!$H$3,,,Plots!$A$47))</f>
        <v>0</v>
      </c>
      <c r="D195" cm="1">
        <f t="array" aca="1" ref="D195" ca="1">INDIRECT(ADDRESS($B195,Plots!$H$3,,,Plots!$A$48))+INDIRECT(ADDRESS($B195,Plots!$H$3,,,Plots!$A$49))</f>
        <v>0</v>
      </c>
      <c r="E195" cm="1">
        <f t="array" aca="1" ref="E195" ca="1">INDIRECT(ADDRESS($B195,Plots!$H$3,,,Plots!$A$50))+INDIRECT(ADDRESS($B195,Plots!$H$3,,,Plots!$A$51))+INDIRECT(ADDRESS($B195,Plots!$H$3,,,Plots!$A$52))</f>
        <v>0</v>
      </c>
      <c r="F195" cm="1">
        <f t="array" aca="1" ref="F195" ca="1">INDIRECT(ADDRESS($B195,Plots!$H$3,,,Plots!$A$53))+INDIRECT(ADDRESS($B195,Plots!$H$3,,,Plots!$A$54))+INDIRECT(ADDRESS($B195,Plots!$H$3,,,Plots!$A$55))+INDIRECT(ADDRESS($B195,Plots!$H$3,,,Plots!$A$56))</f>
        <v>0</v>
      </c>
      <c r="G195" cm="1">
        <f t="array" aca="1" ref="G195" ca="1">INDIRECT(ADDRESS($B195,Plots!$H$3,,,Plots!$A$57))+INDIRECT(ADDRESS($B195,Plots!$H$3,,,Plots!$A$58))+INDIRECT(ADDRESS($B195,Plots!$H$3,,,Plots!$A$59))+INDIRECT(ADDRESS($B195,Plots!$H$3,,,Plots!$A$60))+INDIRECT(ADDRESS($B195,Plots!$H$3,,,Plots!$A$61))</f>
        <v>0</v>
      </c>
      <c r="H195" cm="1">
        <f t="array" aca="1" ref="H195" ca="1">INDIRECT(ADDRESS($B195,Plots!$H$3,,,Plots!$A$62))+INDIRECT(ADDRESS($B195,Plots!$H$3,,,Plots!$A$63))+INDIRECT(ADDRESS($B195,Plots!$H$3,,,Plots!$A$64))+INDIRECT(ADDRESS($B195,Plots!$H$3,,,Plots!$A$65))+INDIRECT(ADDRESS($B195,Plots!$H$3,,,Plots!$A$66))+INDIRECT(ADDRESS($B195,Plots!$H$3,,,Plots!$A$67))</f>
        <v>0</v>
      </c>
      <c r="I195">
        <f>'AARnetCBR-CamDTN1_tcpmon_ts_81'!H199+'AARnetCBR-CamDTN1_tcpmon_ts_82'!H199+'AARnetCBR-CamDTN1_tcpmon_ts_83'!H199+'AARnetCBR-CamDTN1_tcpmon_ts_84'!H199+'AARnetCBR-CamDTN1_tcpmon_ts_85'!H199+'AARnetCBR-CamDTN1_tcpmon_ts_86'!H199+'AARnetCBR-CamDTN1_tcpmon_ts_87'!H199+'AARnetCBR-CamDTN1_tcpmon_ts_88'!H199</f>
        <v>0</v>
      </c>
      <c r="L195" cm="1">
        <f t="array" aca="1" ref="L195" ca="1">INDIRECT(ADDRESS($B195,Plots!$H$4,,,Plots!$A$47))</f>
        <v>0</v>
      </c>
      <c r="M195" cm="1">
        <f t="array" aca="1" ref="M195" ca="1">INDIRECT(ADDRESS($B195,Plots!$H$4,,,Plots!$A$48))+INDIRECT(ADDRESS($B195,Plots!$H$4,,,Plots!$A$49))</f>
        <v>0</v>
      </c>
      <c r="N195" cm="1">
        <f t="array" aca="1" ref="N195" ca="1">INDIRECT(ADDRESS($B195,Plots!$H$4,,,Plots!$A$50))+INDIRECT(ADDRESS($B195,Plots!$H$4,,,Plots!$A$51))+INDIRECT(ADDRESS($B195,Plots!$H$4,,,Plots!$A$52))</f>
        <v>0</v>
      </c>
      <c r="O195" cm="1">
        <f t="array" aca="1" ref="O195" ca="1">INDIRECT(ADDRESS($B195,Plots!$H$4,,,Plots!$A$53))+INDIRECT(ADDRESS($B195,Plots!$H$4,,,Plots!$A$54))+INDIRECT(ADDRESS($B195,Plots!$H$4,,,Plots!$A$55))+INDIRECT(ADDRESS($B195,Plots!$H$4,,,Plots!$A$56))</f>
        <v>0</v>
      </c>
      <c r="P195" cm="1">
        <f t="array" aca="1" ref="P195" ca="1">INDIRECT(ADDRESS($B195,Plots!$H$4,,,Plots!$A$57))+INDIRECT(ADDRESS($B195,Plots!$H$4,,,Plots!$A$58))+INDIRECT(ADDRESS($B195,Plots!$H$4,,,Plots!$A$59))+INDIRECT(ADDRESS($B195,Plots!$H$4,,,Plots!$A$60))+INDIRECT(ADDRESS($B195,Plots!$H$4,,,Plots!$A$61))</f>
        <v>0</v>
      </c>
      <c r="Q195" cm="1">
        <f t="array" aca="1" ref="Q195" ca="1">INDIRECT(ADDRESS($B195,Plots!$H$4,,,Plots!$A$62))+INDIRECT(ADDRESS($B195,Plots!$H$4,,,Plots!$A$63))+INDIRECT(ADDRESS($B195,Plots!$H$4,,,Plots!$A$64))+INDIRECT(ADDRESS($B195,Plots!$H$4,,,Plots!$A$65))+INDIRECT(ADDRESS($B195,Plots!$H$4,,,Plots!$A$66))+INDIRECT(ADDRESS($B195,Plots!$H$4,,,Plots!$A$67))</f>
        <v>0</v>
      </c>
    </row>
    <row r="196" spans="1:17">
      <c r="A196" t="str">
        <f>'AARnetCBR-CamDTN1_tcpmon_ts_11'!A196</f>
        <v xml:space="preserve">R23 </v>
      </c>
      <c r="B196">
        <f t="shared" si="0"/>
        <v>196</v>
      </c>
      <c r="C196" cm="1">
        <f t="array" aca="1" ref="C196" ca="1">INDIRECT(ADDRESS($B196,Plots!$H$3,,,Plots!$A$47))</f>
        <v>0</v>
      </c>
      <c r="D196" cm="1">
        <f t="array" aca="1" ref="D196" ca="1">INDIRECT(ADDRESS($B196,Plots!$H$3,,,Plots!$A$48))+INDIRECT(ADDRESS($B196,Plots!$H$3,,,Plots!$A$49))</f>
        <v>0</v>
      </c>
      <c r="E196" cm="1">
        <f t="array" aca="1" ref="E196" ca="1">INDIRECT(ADDRESS($B196,Plots!$H$3,,,Plots!$A$50))+INDIRECT(ADDRESS($B196,Plots!$H$3,,,Plots!$A$51))+INDIRECT(ADDRESS($B196,Plots!$H$3,,,Plots!$A$52))</f>
        <v>0</v>
      </c>
      <c r="F196" cm="1">
        <f t="array" aca="1" ref="F196" ca="1">INDIRECT(ADDRESS($B196,Plots!$H$3,,,Plots!$A$53))+INDIRECT(ADDRESS($B196,Plots!$H$3,,,Plots!$A$54))+INDIRECT(ADDRESS($B196,Plots!$H$3,,,Plots!$A$55))+INDIRECT(ADDRESS($B196,Plots!$H$3,,,Plots!$A$56))</f>
        <v>0</v>
      </c>
      <c r="G196" cm="1">
        <f t="array" aca="1" ref="G196" ca="1">INDIRECT(ADDRESS($B196,Plots!$H$3,,,Plots!$A$57))+INDIRECT(ADDRESS($B196,Plots!$H$3,,,Plots!$A$58))+INDIRECT(ADDRESS($B196,Plots!$H$3,,,Plots!$A$59))+INDIRECT(ADDRESS($B196,Plots!$H$3,,,Plots!$A$60))+INDIRECT(ADDRESS($B196,Plots!$H$3,,,Plots!$A$61))</f>
        <v>0</v>
      </c>
      <c r="H196" cm="1">
        <f t="array" aca="1" ref="H196" ca="1">INDIRECT(ADDRESS($B196,Plots!$H$3,,,Plots!$A$62))+INDIRECT(ADDRESS($B196,Plots!$H$3,,,Plots!$A$63))+INDIRECT(ADDRESS($B196,Plots!$H$3,,,Plots!$A$64))+INDIRECT(ADDRESS($B196,Plots!$H$3,,,Plots!$A$65))+INDIRECT(ADDRESS($B196,Plots!$H$3,,,Plots!$A$66))+INDIRECT(ADDRESS($B196,Plots!$H$3,,,Plots!$A$67))</f>
        <v>0</v>
      </c>
      <c r="I196">
        <f>'AARnetCBR-CamDTN1_tcpmon_ts_81'!H200+'AARnetCBR-CamDTN1_tcpmon_ts_82'!H200+'AARnetCBR-CamDTN1_tcpmon_ts_83'!H200+'AARnetCBR-CamDTN1_tcpmon_ts_84'!H200+'AARnetCBR-CamDTN1_tcpmon_ts_85'!H200+'AARnetCBR-CamDTN1_tcpmon_ts_86'!H200+'AARnetCBR-CamDTN1_tcpmon_ts_87'!H200+'AARnetCBR-CamDTN1_tcpmon_ts_88'!H200</f>
        <v>0</v>
      </c>
      <c r="L196" cm="1">
        <f t="array" aca="1" ref="L196" ca="1">INDIRECT(ADDRESS($B196,Plots!$H$4,,,Plots!$A$47))</f>
        <v>0</v>
      </c>
      <c r="M196" cm="1">
        <f t="array" aca="1" ref="M196" ca="1">INDIRECT(ADDRESS($B196,Plots!$H$4,,,Plots!$A$48))+INDIRECT(ADDRESS($B196,Plots!$H$4,,,Plots!$A$49))</f>
        <v>0</v>
      </c>
      <c r="N196" cm="1">
        <f t="array" aca="1" ref="N196" ca="1">INDIRECT(ADDRESS($B196,Plots!$H$4,,,Plots!$A$50))+INDIRECT(ADDRESS($B196,Plots!$H$4,,,Plots!$A$51))+INDIRECT(ADDRESS($B196,Plots!$H$4,,,Plots!$A$52))</f>
        <v>0</v>
      </c>
      <c r="O196" cm="1">
        <f t="array" aca="1" ref="O196" ca="1">INDIRECT(ADDRESS($B196,Plots!$H$4,,,Plots!$A$53))+INDIRECT(ADDRESS($B196,Plots!$H$4,,,Plots!$A$54))+INDIRECT(ADDRESS($B196,Plots!$H$4,,,Plots!$A$55))+INDIRECT(ADDRESS($B196,Plots!$H$4,,,Plots!$A$56))</f>
        <v>0</v>
      </c>
      <c r="P196" cm="1">
        <f t="array" aca="1" ref="P196" ca="1">INDIRECT(ADDRESS($B196,Plots!$H$4,,,Plots!$A$57))+INDIRECT(ADDRESS($B196,Plots!$H$4,,,Plots!$A$58))+INDIRECT(ADDRESS($B196,Plots!$H$4,,,Plots!$A$59))+INDIRECT(ADDRESS($B196,Plots!$H$4,,,Plots!$A$60))+INDIRECT(ADDRESS($B196,Plots!$H$4,,,Plots!$A$61))</f>
        <v>0</v>
      </c>
      <c r="Q196" cm="1">
        <f t="array" aca="1" ref="Q196" ca="1">INDIRECT(ADDRESS($B196,Plots!$H$4,,,Plots!$A$62))+INDIRECT(ADDRESS($B196,Plots!$H$4,,,Plots!$A$63))+INDIRECT(ADDRESS($B196,Plots!$H$4,,,Plots!$A$64))+INDIRECT(ADDRESS($B196,Plots!$H$4,,,Plots!$A$65))+INDIRECT(ADDRESS($B196,Plots!$H$4,,,Plots!$A$66))+INDIRECT(ADDRESS($B196,Plots!$H$4,,,Plots!$A$67))</f>
        <v>0</v>
      </c>
    </row>
    <row r="197" spans="1:17">
      <c r="A197" t="str">
        <f>'AARnetCBR-CamDTN1_tcpmon_ts_11'!A197</f>
        <v xml:space="preserve">R24 </v>
      </c>
      <c r="B197">
        <f t="shared" si="0"/>
        <v>197</v>
      </c>
      <c r="C197" cm="1">
        <f t="array" aca="1" ref="C197" ca="1">INDIRECT(ADDRESS($B197,Plots!$H$3,,,Plots!$A$47))</f>
        <v>0</v>
      </c>
      <c r="D197" cm="1">
        <f t="array" aca="1" ref="D197" ca="1">INDIRECT(ADDRESS($B197,Plots!$H$3,,,Plots!$A$48))+INDIRECT(ADDRESS($B197,Plots!$H$3,,,Plots!$A$49))</f>
        <v>0</v>
      </c>
      <c r="E197" cm="1">
        <f t="array" aca="1" ref="E197" ca="1">INDIRECT(ADDRESS($B197,Plots!$H$3,,,Plots!$A$50))+INDIRECT(ADDRESS($B197,Plots!$H$3,,,Plots!$A$51))+INDIRECT(ADDRESS($B197,Plots!$H$3,,,Plots!$A$52))</f>
        <v>0</v>
      </c>
      <c r="F197" cm="1">
        <f t="array" aca="1" ref="F197" ca="1">INDIRECT(ADDRESS($B197,Plots!$H$3,,,Plots!$A$53))+INDIRECT(ADDRESS($B197,Plots!$H$3,,,Plots!$A$54))+INDIRECT(ADDRESS($B197,Plots!$H$3,,,Plots!$A$55))+INDIRECT(ADDRESS($B197,Plots!$H$3,,,Plots!$A$56))</f>
        <v>0</v>
      </c>
      <c r="G197" cm="1">
        <f t="array" aca="1" ref="G197" ca="1">INDIRECT(ADDRESS($B197,Plots!$H$3,,,Plots!$A$57))+INDIRECT(ADDRESS($B197,Plots!$H$3,,,Plots!$A$58))+INDIRECT(ADDRESS($B197,Plots!$H$3,,,Plots!$A$59))+INDIRECT(ADDRESS($B197,Plots!$H$3,,,Plots!$A$60))+INDIRECT(ADDRESS($B197,Plots!$H$3,,,Plots!$A$61))</f>
        <v>0</v>
      </c>
      <c r="H197" cm="1">
        <f t="array" aca="1" ref="H197" ca="1">INDIRECT(ADDRESS($B197,Plots!$H$3,,,Plots!$A$62))+INDIRECT(ADDRESS($B197,Plots!$H$3,,,Plots!$A$63))+INDIRECT(ADDRESS($B197,Plots!$H$3,,,Plots!$A$64))+INDIRECT(ADDRESS($B197,Plots!$H$3,,,Plots!$A$65))+INDIRECT(ADDRESS($B197,Plots!$H$3,,,Plots!$A$66))+INDIRECT(ADDRESS($B197,Plots!$H$3,,,Plots!$A$67))</f>
        <v>0</v>
      </c>
      <c r="I197">
        <f>'AARnetCBR-CamDTN1_tcpmon_ts_81'!H201+'AARnetCBR-CamDTN1_tcpmon_ts_82'!H201+'AARnetCBR-CamDTN1_tcpmon_ts_83'!H201+'AARnetCBR-CamDTN1_tcpmon_ts_84'!H201+'AARnetCBR-CamDTN1_tcpmon_ts_85'!H201+'AARnetCBR-CamDTN1_tcpmon_ts_86'!H201+'AARnetCBR-CamDTN1_tcpmon_ts_87'!H201+'AARnetCBR-CamDTN1_tcpmon_ts_88'!H201</f>
        <v>0</v>
      </c>
      <c r="L197" cm="1">
        <f t="array" aca="1" ref="L197" ca="1">INDIRECT(ADDRESS($B197,Plots!$H$4,,,Plots!$A$47))</f>
        <v>0</v>
      </c>
      <c r="M197" cm="1">
        <f t="array" aca="1" ref="M197" ca="1">INDIRECT(ADDRESS($B197,Plots!$H$4,,,Plots!$A$48))+INDIRECT(ADDRESS($B197,Plots!$H$4,,,Plots!$A$49))</f>
        <v>0</v>
      </c>
      <c r="N197" cm="1">
        <f t="array" aca="1" ref="N197" ca="1">INDIRECT(ADDRESS($B197,Plots!$H$4,,,Plots!$A$50))+INDIRECT(ADDRESS($B197,Plots!$H$4,,,Plots!$A$51))+INDIRECT(ADDRESS($B197,Plots!$H$4,,,Plots!$A$52))</f>
        <v>0</v>
      </c>
      <c r="O197" cm="1">
        <f t="array" aca="1" ref="O197" ca="1">INDIRECT(ADDRESS($B197,Plots!$H$4,,,Plots!$A$53))+INDIRECT(ADDRESS($B197,Plots!$H$4,,,Plots!$A$54))+INDIRECT(ADDRESS($B197,Plots!$H$4,,,Plots!$A$55))+INDIRECT(ADDRESS($B197,Plots!$H$4,,,Plots!$A$56))</f>
        <v>12</v>
      </c>
      <c r="P197" cm="1">
        <f t="array" aca="1" ref="P197" ca="1">INDIRECT(ADDRESS($B197,Plots!$H$4,,,Plots!$A$57))+INDIRECT(ADDRESS($B197,Plots!$H$4,,,Plots!$A$58))+INDIRECT(ADDRESS($B197,Plots!$H$4,,,Plots!$A$59))+INDIRECT(ADDRESS($B197,Plots!$H$4,,,Plots!$A$60))+INDIRECT(ADDRESS($B197,Plots!$H$4,,,Plots!$A$61))</f>
        <v>0</v>
      </c>
      <c r="Q197" cm="1">
        <f t="array" aca="1" ref="Q197" ca="1">INDIRECT(ADDRESS($B197,Plots!$H$4,,,Plots!$A$62))+INDIRECT(ADDRESS($B197,Plots!$H$4,,,Plots!$A$63))+INDIRECT(ADDRESS($B197,Plots!$H$4,,,Plots!$A$64))+INDIRECT(ADDRESS($B197,Plots!$H$4,,,Plots!$A$65))+INDIRECT(ADDRESS($B197,Plots!$H$4,,,Plots!$A$66))+INDIRECT(ADDRESS($B197,Plots!$H$4,,,Plots!$A$67))</f>
        <v>0</v>
      </c>
    </row>
    <row r="198" spans="1:17">
      <c r="A198" t="str">
        <f>'AARnetCBR-CamDTN1_tcpmon_ts_11'!A198</f>
        <v xml:space="preserve">R25 </v>
      </c>
      <c r="B198">
        <f t="shared" si="0"/>
        <v>198</v>
      </c>
      <c r="C198" cm="1">
        <f t="array" aca="1" ref="C198" ca="1">INDIRECT(ADDRESS($B198,Plots!$H$3,,,Plots!$A$47))</f>
        <v>0</v>
      </c>
      <c r="D198" cm="1">
        <f t="array" aca="1" ref="D198" ca="1">INDIRECT(ADDRESS($B198,Plots!$H$3,,,Plots!$A$48))+INDIRECT(ADDRESS($B198,Plots!$H$3,,,Plots!$A$49))</f>
        <v>0</v>
      </c>
      <c r="E198" cm="1">
        <f t="array" aca="1" ref="E198" ca="1">INDIRECT(ADDRESS($B198,Plots!$H$3,,,Plots!$A$50))+INDIRECT(ADDRESS($B198,Plots!$H$3,,,Plots!$A$51))+INDIRECT(ADDRESS($B198,Plots!$H$3,,,Plots!$A$52))</f>
        <v>0</v>
      </c>
      <c r="F198" cm="1">
        <f t="array" aca="1" ref="F198" ca="1">INDIRECT(ADDRESS($B198,Plots!$H$3,,,Plots!$A$53))+INDIRECT(ADDRESS($B198,Plots!$H$3,,,Plots!$A$54))+INDIRECT(ADDRESS($B198,Plots!$H$3,,,Plots!$A$55))+INDIRECT(ADDRESS($B198,Plots!$H$3,,,Plots!$A$56))</f>
        <v>0</v>
      </c>
      <c r="G198" cm="1">
        <f t="array" aca="1" ref="G198" ca="1">INDIRECT(ADDRESS($B198,Plots!$H$3,,,Plots!$A$57))+INDIRECT(ADDRESS($B198,Plots!$H$3,,,Plots!$A$58))+INDIRECT(ADDRESS($B198,Plots!$H$3,,,Plots!$A$59))+INDIRECT(ADDRESS($B198,Plots!$H$3,,,Plots!$A$60))+INDIRECT(ADDRESS($B198,Plots!$H$3,,,Plots!$A$61))</f>
        <v>0</v>
      </c>
      <c r="H198" cm="1">
        <f t="array" aca="1" ref="H198" ca="1">INDIRECT(ADDRESS($B198,Plots!$H$3,,,Plots!$A$62))+INDIRECT(ADDRESS($B198,Plots!$H$3,,,Plots!$A$63))+INDIRECT(ADDRESS($B198,Plots!$H$3,,,Plots!$A$64))+INDIRECT(ADDRESS($B198,Plots!$H$3,,,Plots!$A$65))+INDIRECT(ADDRESS($B198,Plots!$H$3,,,Plots!$A$66))+INDIRECT(ADDRESS($B198,Plots!$H$3,,,Plots!$A$67))</f>
        <v>0</v>
      </c>
      <c r="I198">
        <f>'AARnetCBR-CamDTN1_tcpmon_ts_81'!H202+'AARnetCBR-CamDTN1_tcpmon_ts_82'!H202+'AARnetCBR-CamDTN1_tcpmon_ts_83'!H202+'AARnetCBR-CamDTN1_tcpmon_ts_84'!H202+'AARnetCBR-CamDTN1_tcpmon_ts_85'!H202+'AARnetCBR-CamDTN1_tcpmon_ts_86'!H202+'AARnetCBR-CamDTN1_tcpmon_ts_87'!H202+'AARnetCBR-CamDTN1_tcpmon_ts_88'!H202</f>
        <v>0</v>
      </c>
      <c r="L198" cm="1">
        <f t="array" aca="1" ref="L198" ca="1">INDIRECT(ADDRESS($B198,Plots!$H$4,,,Plots!$A$47))</f>
        <v>0</v>
      </c>
      <c r="M198" cm="1">
        <f t="array" aca="1" ref="M198" ca="1">INDIRECT(ADDRESS($B198,Plots!$H$4,,,Plots!$A$48))+INDIRECT(ADDRESS($B198,Plots!$H$4,,,Plots!$A$49))</f>
        <v>0</v>
      </c>
      <c r="N198" cm="1">
        <f t="array" aca="1" ref="N198" ca="1">INDIRECT(ADDRESS($B198,Plots!$H$4,,,Plots!$A$50))+INDIRECT(ADDRESS($B198,Plots!$H$4,,,Plots!$A$51))+INDIRECT(ADDRESS($B198,Plots!$H$4,,,Plots!$A$52))</f>
        <v>0</v>
      </c>
      <c r="O198" cm="1">
        <f t="array" aca="1" ref="O198" ca="1">INDIRECT(ADDRESS($B198,Plots!$H$4,,,Plots!$A$53))+INDIRECT(ADDRESS($B198,Plots!$H$4,,,Plots!$A$54))+INDIRECT(ADDRESS($B198,Plots!$H$4,,,Plots!$A$55))+INDIRECT(ADDRESS($B198,Plots!$H$4,,,Plots!$A$56))</f>
        <v>0</v>
      </c>
      <c r="P198" cm="1">
        <f t="array" aca="1" ref="P198" ca="1">INDIRECT(ADDRESS($B198,Plots!$H$4,,,Plots!$A$57))+INDIRECT(ADDRESS($B198,Plots!$H$4,,,Plots!$A$58))+INDIRECT(ADDRESS($B198,Plots!$H$4,,,Plots!$A$59))+INDIRECT(ADDRESS($B198,Plots!$H$4,,,Plots!$A$60))+INDIRECT(ADDRESS($B198,Plots!$H$4,,,Plots!$A$61))</f>
        <v>0</v>
      </c>
      <c r="Q198" cm="1">
        <f t="array" aca="1" ref="Q198" ca="1">INDIRECT(ADDRESS($B198,Plots!$H$4,,,Plots!$A$62))+INDIRECT(ADDRESS($B198,Plots!$H$4,,,Plots!$A$63))+INDIRECT(ADDRESS($B198,Plots!$H$4,,,Plots!$A$64))+INDIRECT(ADDRESS($B198,Plots!$H$4,,,Plots!$A$65))+INDIRECT(ADDRESS($B198,Plots!$H$4,,,Plots!$A$66))+INDIRECT(ADDRESS($B198,Plots!$H$4,,,Plots!$A$67))</f>
        <v>0</v>
      </c>
    </row>
    <row r="199" spans="1:17">
      <c r="A199" t="str">
        <f>'AARnetCBR-CamDTN1_tcpmon_ts_11'!A199</f>
        <v xml:space="preserve">R26 </v>
      </c>
      <c r="B199">
        <f t="shared" si="0"/>
        <v>199</v>
      </c>
      <c r="C199" cm="1">
        <f t="array" aca="1" ref="C199" ca="1">INDIRECT(ADDRESS($B199,Plots!$H$3,,,Plots!$A$47))</f>
        <v>0</v>
      </c>
      <c r="D199" cm="1">
        <f t="array" aca="1" ref="D199" ca="1">INDIRECT(ADDRESS($B199,Plots!$H$3,,,Plots!$A$48))+INDIRECT(ADDRESS($B199,Plots!$H$3,,,Plots!$A$49))</f>
        <v>0</v>
      </c>
      <c r="E199" cm="1">
        <f t="array" aca="1" ref="E199" ca="1">INDIRECT(ADDRESS($B199,Plots!$H$3,,,Plots!$A$50))+INDIRECT(ADDRESS($B199,Plots!$H$3,,,Plots!$A$51))+INDIRECT(ADDRESS($B199,Plots!$H$3,,,Plots!$A$52))</f>
        <v>0</v>
      </c>
      <c r="F199" cm="1">
        <f t="array" aca="1" ref="F199" ca="1">INDIRECT(ADDRESS($B199,Plots!$H$3,,,Plots!$A$53))+INDIRECT(ADDRESS($B199,Plots!$H$3,,,Plots!$A$54))+INDIRECT(ADDRESS($B199,Plots!$H$3,,,Plots!$A$55))+INDIRECT(ADDRESS($B199,Plots!$H$3,,,Plots!$A$56))</f>
        <v>0</v>
      </c>
      <c r="G199" cm="1">
        <f t="array" aca="1" ref="G199" ca="1">INDIRECT(ADDRESS($B199,Plots!$H$3,,,Plots!$A$57))+INDIRECT(ADDRESS($B199,Plots!$H$3,,,Plots!$A$58))+INDIRECT(ADDRESS($B199,Plots!$H$3,,,Plots!$A$59))+INDIRECT(ADDRESS($B199,Plots!$H$3,,,Plots!$A$60))+INDIRECT(ADDRESS($B199,Plots!$H$3,,,Plots!$A$61))</f>
        <v>0</v>
      </c>
      <c r="H199" cm="1">
        <f t="array" aca="1" ref="H199" ca="1">INDIRECT(ADDRESS($B199,Plots!$H$3,,,Plots!$A$62))+INDIRECT(ADDRESS($B199,Plots!$H$3,,,Plots!$A$63))+INDIRECT(ADDRESS($B199,Plots!$H$3,,,Plots!$A$64))+INDIRECT(ADDRESS($B199,Plots!$H$3,,,Plots!$A$65))+INDIRECT(ADDRESS($B199,Plots!$H$3,,,Plots!$A$66))+INDIRECT(ADDRESS($B199,Plots!$H$3,,,Plots!$A$67))</f>
        <v>0</v>
      </c>
      <c r="I199">
        <f>'AARnetCBR-CamDTN1_tcpmon_ts_81'!H203+'AARnetCBR-CamDTN1_tcpmon_ts_82'!H203+'AARnetCBR-CamDTN1_tcpmon_ts_83'!H203+'AARnetCBR-CamDTN1_tcpmon_ts_84'!H203+'AARnetCBR-CamDTN1_tcpmon_ts_85'!H203+'AARnetCBR-CamDTN1_tcpmon_ts_86'!H203+'AARnetCBR-CamDTN1_tcpmon_ts_87'!H203+'AARnetCBR-CamDTN1_tcpmon_ts_88'!H203</f>
        <v>0</v>
      </c>
      <c r="L199" cm="1">
        <f t="array" aca="1" ref="L199" ca="1">INDIRECT(ADDRESS($B199,Plots!$H$4,,,Plots!$A$47))</f>
        <v>0</v>
      </c>
      <c r="M199" cm="1">
        <f t="array" aca="1" ref="M199" ca="1">INDIRECT(ADDRESS($B199,Plots!$H$4,,,Plots!$A$48))+INDIRECT(ADDRESS($B199,Plots!$H$4,,,Plots!$A$49))</f>
        <v>0</v>
      </c>
      <c r="N199" cm="1">
        <f t="array" aca="1" ref="N199" ca="1">INDIRECT(ADDRESS($B199,Plots!$H$4,,,Plots!$A$50))+INDIRECT(ADDRESS($B199,Plots!$H$4,,,Plots!$A$51))+INDIRECT(ADDRESS($B199,Plots!$H$4,,,Plots!$A$52))</f>
        <v>0</v>
      </c>
      <c r="O199" cm="1">
        <f t="array" aca="1" ref="O199" ca="1">INDIRECT(ADDRESS($B199,Plots!$H$4,,,Plots!$A$53))+INDIRECT(ADDRESS($B199,Plots!$H$4,,,Plots!$A$54))+INDIRECT(ADDRESS($B199,Plots!$H$4,,,Plots!$A$55))+INDIRECT(ADDRESS($B199,Plots!$H$4,,,Plots!$A$56))</f>
        <v>0</v>
      </c>
      <c r="P199" cm="1">
        <f t="array" aca="1" ref="P199" ca="1">INDIRECT(ADDRESS($B199,Plots!$H$4,,,Plots!$A$57))+INDIRECT(ADDRESS($B199,Plots!$H$4,,,Plots!$A$58))+INDIRECT(ADDRESS($B199,Plots!$H$4,,,Plots!$A$59))+INDIRECT(ADDRESS($B199,Plots!$H$4,,,Plots!$A$60))+INDIRECT(ADDRESS($B199,Plots!$H$4,,,Plots!$A$61))</f>
        <v>0</v>
      </c>
      <c r="Q199" cm="1">
        <f t="array" aca="1" ref="Q199" ca="1">INDIRECT(ADDRESS($B199,Plots!$H$4,,,Plots!$A$62))+INDIRECT(ADDRESS($B199,Plots!$H$4,,,Plots!$A$63))+INDIRECT(ADDRESS($B199,Plots!$H$4,,,Plots!$A$64))+INDIRECT(ADDRESS($B199,Plots!$H$4,,,Plots!$A$65))+INDIRECT(ADDRESS($B199,Plots!$H$4,,,Plots!$A$66))+INDIRECT(ADDRESS($B199,Plots!$H$4,,,Plots!$A$67))</f>
        <v>0</v>
      </c>
    </row>
    <row r="200" spans="1:17">
      <c r="A200" t="str">
        <f>'AARnetCBR-CamDTN1_tcpmon_ts_11'!A200</f>
        <v xml:space="preserve">R27 </v>
      </c>
      <c r="B200">
        <f t="shared" si="0"/>
        <v>200</v>
      </c>
      <c r="C200" cm="1">
        <f t="array" aca="1" ref="C200" ca="1">INDIRECT(ADDRESS($B200,Plots!$H$3,,,Plots!$A$47))</f>
        <v>0</v>
      </c>
      <c r="D200" cm="1">
        <f t="array" aca="1" ref="D200" ca="1">INDIRECT(ADDRESS($B200,Plots!$H$3,,,Plots!$A$48))+INDIRECT(ADDRESS($B200,Plots!$H$3,,,Plots!$A$49))</f>
        <v>0</v>
      </c>
      <c r="E200" cm="1">
        <f t="array" aca="1" ref="E200" ca="1">INDIRECT(ADDRESS($B200,Plots!$H$3,,,Plots!$A$50))+INDIRECT(ADDRESS($B200,Plots!$H$3,,,Plots!$A$51))+INDIRECT(ADDRESS($B200,Plots!$H$3,,,Plots!$A$52))</f>
        <v>0</v>
      </c>
      <c r="F200" cm="1">
        <f t="array" aca="1" ref="F200" ca="1">INDIRECT(ADDRESS($B200,Plots!$H$3,,,Plots!$A$53))+INDIRECT(ADDRESS($B200,Plots!$H$3,,,Plots!$A$54))+INDIRECT(ADDRESS($B200,Plots!$H$3,,,Plots!$A$55))+INDIRECT(ADDRESS($B200,Plots!$H$3,,,Plots!$A$56))</f>
        <v>0</v>
      </c>
      <c r="G200" cm="1">
        <f t="array" aca="1" ref="G200" ca="1">INDIRECT(ADDRESS($B200,Plots!$H$3,,,Plots!$A$57))+INDIRECT(ADDRESS($B200,Plots!$H$3,,,Plots!$A$58))+INDIRECT(ADDRESS($B200,Plots!$H$3,,,Plots!$A$59))+INDIRECT(ADDRESS($B200,Plots!$H$3,,,Plots!$A$60))+INDIRECT(ADDRESS($B200,Plots!$H$3,,,Plots!$A$61))</f>
        <v>0</v>
      </c>
      <c r="H200" cm="1">
        <f t="array" aca="1" ref="H200" ca="1">INDIRECT(ADDRESS($B200,Plots!$H$3,,,Plots!$A$62))+INDIRECT(ADDRESS($B200,Plots!$H$3,,,Plots!$A$63))+INDIRECT(ADDRESS($B200,Plots!$H$3,,,Plots!$A$64))+INDIRECT(ADDRESS($B200,Plots!$H$3,,,Plots!$A$65))+INDIRECT(ADDRESS($B200,Plots!$H$3,,,Plots!$A$66))+INDIRECT(ADDRESS($B200,Plots!$H$3,,,Plots!$A$67))</f>
        <v>0</v>
      </c>
      <c r="I200">
        <f>'AARnetCBR-CamDTN1_tcpmon_ts_81'!H204+'AARnetCBR-CamDTN1_tcpmon_ts_82'!H204+'AARnetCBR-CamDTN1_tcpmon_ts_83'!H204+'AARnetCBR-CamDTN1_tcpmon_ts_84'!H204+'AARnetCBR-CamDTN1_tcpmon_ts_85'!H204+'AARnetCBR-CamDTN1_tcpmon_ts_86'!H204+'AARnetCBR-CamDTN1_tcpmon_ts_87'!H204+'AARnetCBR-CamDTN1_tcpmon_ts_88'!H204</f>
        <v>0</v>
      </c>
      <c r="L200" cm="1">
        <f t="array" aca="1" ref="L200" ca="1">INDIRECT(ADDRESS($B200,Plots!$H$4,,,Plots!$A$47))</f>
        <v>0</v>
      </c>
      <c r="M200" cm="1">
        <f t="array" aca="1" ref="M200" ca="1">INDIRECT(ADDRESS($B200,Plots!$H$4,,,Plots!$A$48))+INDIRECT(ADDRESS($B200,Plots!$H$4,,,Plots!$A$49))</f>
        <v>0</v>
      </c>
      <c r="N200" cm="1">
        <f t="array" aca="1" ref="N200" ca="1">INDIRECT(ADDRESS($B200,Plots!$H$4,,,Plots!$A$50))+INDIRECT(ADDRESS($B200,Plots!$H$4,,,Plots!$A$51))+INDIRECT(ADDRESS($B200,Plots!$H$4,,,Plots!$A$52))</f>
        <v>0</v>
      </c>
      <c r="O200" cm="1">
        <f t="array" aca="1" ref="O200" ca="1">INDIRECT(ADDRESS($B200,Plots!$H$4,,,Plots!$A$53))+INDIRECT(ADDRESS($B200,Plots!$H$4,,,Plots!$A$54))+INDIRECT(ADDRESS($B200,Plots!$H$4,,,Plots!$A$55))+INDIRECT(ADDRESS($B200,Plots!$H$4,,,Plots!$A$56))</f>
        <v>0</v>
      </c>
      <c r="P200" cm="1">
        <f t="array" aca="1" ref="P200" ca="1">INDIRECT(ADDRESS($B200,Plots!$H$4,,,Plots!$A$57))+INDIRECT(ADDRESS($B200,Plots!$H$4,,,Plots!$A$58))+INDIRECT(ADDRESS($B200,Plots!$H$4,,,Plots!$A$59))+INDIRECT(ADDRESS($B200,Plots!$H$4,,,Plots!$A$60))+INDIRECT(ADDRESS($B200,Plots!$H$4,,,Plots!$A$61))</f>
        <v>0</v>
      </c>
      <c r="Q200" cm="1">
        <f t="array" aca="1" ref="Q200" ca="1">INDIRECT(ADDRESS($B200,Plots!$H$4,,,Plots!$A$62))+INDIRECT(ADDRESS($B200,Plots!$H$4,,,Plots!$A$63))+INDIRECT(ADDRESS($B200,Plots!$H$4,,,Plots!$A$64))+INDIRECT(ADDRESS($B200,Plots!$H$4,,,Plots!$A$65))+INDIRECT(ADDRESS($B200,Plots!$H$4,,,Plots!$A$66))+INDIRECT(ADDRESS($B200,Plots!$H$4,,,Plots!$A$67))</f>
        <v>0</v>
      </c>
    </row>
    <row r="201" spans="1:17">
      <c r="A201" t="str">
        <f>'AARnetCBR-CamDTN1_tcpmon_ts_11'!A201</f>
        <v xml:space="preserve">R28 </v>
      </c>
      <c r="B201">
        <f t="shared" si="0"/>
        <v>201</v>
      </c>
      <c r="C201" cm="1">
        <f t="array" aca="1" ref="C201" ca="1">INDIRECT(ADDRESS($B201,Plots!$H$3,,,Plots!$A$47))</f>
        <v>0</v>
      </c>
      <c r="D201" cm="1">
        <f t="array" aca="1" ref="D201" ca="1">INDIRECT(ADDRESS($B201,Plots!$H$3,,,Plots!$A$48))+INDIRECT(ADDRESS($B201,Plots!$H$3,,,Plots!$A$49))</f>
        <v>0</v>
      </c>
      <c r="E201" cm="1">
        <f t="array" aca="1" ref="E201" ca="1">INDIRECT(ADDRESS($B201,Plots!$H$3,,,Plots!$A$50))+INDIRECT(ADDRESS($B201,Plots!$H$3,,,Plots!$A$51))+INDIRECT(ADDRESS($B201,Plots!$H$3,,,Plots!$A$52))</f>
        <v>0</v>
      </c>
      <c r="F201" cm="1">
        <f t="array" aca="1" ref="F201" ca="1">INDIRECT(ADDRESS($B201,Plots!$H$3,,,Plots!$A$53))+INDIRECT(ADDRESS($B201,Plots!$H$3,,,Plots!$A$54))+INDIRECT(ADDRESS($B201,Plots!$H$3,,,Plots!$A$55))+INDIRECT(ADDRESS($B201,Plots!$H$3,,,Plots!$A$56))</f>
        <v>0</v>
      </c>
      <c r="G201" cm="1">
        <f t="array" aca="1" ref="G201" ca="1">INDIRECT(ADDRESS($B201,Plots!$H$3,,,Plots!$A$57))+INDIRECT(ADDRESS($B201,Plots!$H$3,,,Plots!$A$58))+INDIRECT(ADDRESS($B201,Plots!$H$3,,,Plots!$A$59))+INDIRECT(ADDRESS($B201,Plots!$H$3,,,Plots!$A$60))+INDIRECT(ADDRESS($B201,Plots!$H$3,,,Plots!$A$61))</f>
        <v>0</v>
      </c>
      <c r="H201" cm="1">
        <f t="array" aca="1" ref="H201" ca="1">INDIRECT(ADDRESS($B201,Plots!$H$3,,,Plots!$A$62))+INDIRECT(ADDRESS($B201,Plots!$H$3,,,Plots!$A$63))+INDIRECT(ADDRESS($B201,Plots!$H$3,,,Plots!$A$64))+INDIRECT(ADDRESS($B201,Plots!$H$3,,,Plots!$A$65))+INDIRECT(ADDRESS($B201,Plots!$H$3,,,Plots!$A$66))+INDIRECT(ADDRESS($B201,Plots!$H$3,,,Plots!$A$67))</f>
        <v>0</v>
      </c>
      <c r="I201">
        <f>'AARnetCBR-CamDTN1_tcpmon_ts_81'!H205+'AARnetCBR-CamDTN1_tcpmon_ts_82'!H205+'AARnetCBR-CamDTN1_tcpmon_ts_83'!H205+'AARnetCBR-CamDTN1_tcpmon_ts_84'!H205+'AARnetCBR-CamDTN1_tcpmon_ts_85'!H205+'AARnetCBR-CamDTN1_tcpmon_ts_86'!H205+'AARnetCBR-CamDTN1_tcpmon_ts_87'!H205+'AARnetCBR-CamDTN1_tcpmon_ts_88'!H205</f>
        <v>0</v>
      </c>
      <c r="L201" cm="1">
        <f t="array" aca="1" ref="L201" ca="1">INDIRECT(ADDRESS($B201,Plots!$H$4,,,Plots!$A$47))</f>
        <v>0</v>
      </c>
      <c r="M201" cm="1">
        <f t="array" aca="1" ref="M201" ca="1">INDIRECT(ADDRESS($B201,Plots!$H$4,,,Plots!$A$48))+INDIRECT(ADDRESS($B201,Plots!$H$4,,,Plots!$A$49))</f>
        <v>0</v>
      </c>
      <c r="N201" cm="1">
        <f t="array" aca="1" ref="N201" ca="1">INDIRECT(ADDRESS($B201,Plots!$H$4,,,Plots!$A$50))+INDIRECT(ADDRESS($B201,Plots!$H$4,,,Plots!$A$51))+INDIRECT(ADDRESS($B201,Plots!$H$4,,,Plots!$A$52))</f>
        <v>0</v>
      </c>
      <c r="O201" cm="1">
        <f t="array" aca="1" ref="O201" ca="1">INDIRECT(ADDRESS($B201,Plots!$H$4,,,Plots!$A$53))+INDIRECT(ADDRESS($B201,Plots!$H$4,,,Plots!$A$54))+INDIRECT(ADDRESS($B201,Plots!$H$4,,,Plots!$A$55))+INDIRECT(ADDRESS($B201,Plots!$H$4,,,Plots!$A$56))</f>
        <v>0</v>
      </c>
      <c r="P201" cm="1">
        <f t="array" aca="1" ref="P201" ca="1">INDIRECT(ADDRESS($B201,Plots!$H$4,,,Plots!$A$57))+INDIRECT(ADDRESS($B201,Plots!$H$4,,,Plots!$A$58))+INDIRECT(ADDRESS($B201,Plots!$H$4,,,Plots!$A$59))+INDIRECT(ADDRESS($B201,Plots!$H$4,,,Plots!$A$60))+INDIRECT(ADDRESS($B201,Plots!$H$4,,,Plots!$A$61))</f>
        <v>0</v>
      </c>
      <c r="Q201" cm="1">
        <f t="array" aca="1" ref="Q201" ca="1">INDIRECT(ADDRESS($B201,Plots!$H$4,,,Plots!$A$62))+INDIRECT(ADDRESS($B201,Plots!$H$4,,,Plots!$A$63))+INDIRECT(ADDRESS($B201,Plots!$H$4,,,Plots!$A$64))+INDIRECT(ADDRESS($B201,Plots!$H$4,,,Plots!$A$65))+INDIRECT(ADDRESS($B201,Plots!$H$4,,,Plots!$A$66))+INDIRECT(ADDRESS($B201,Plots!$H$4,,,Plots!$A$67))</f>
        <v>0</v>
      </c>
    </row>
    <row r="202" spans="1:17">
      <c r="A202" t="str">
        <f>'AARnetCBR-CamDTN1_tcpmon_ts_11'!A202</f>
        <v xml:space="preserve">R29 </v>
      </c>
      <c r="B202">
        <f t="shared" si="0"/>
        <v>202</v>
      </c>
      <c r="C202" cm="1">
        <f t="array" aca="1" ref="C202" ca="1">INDIRECT(ADDRESS($B202,Plots!$H$3,,,Plots!$A$47))</f>
        <v>0</v>
      </c>
      <c r="D202" cm="1">
        <f t="array" aca="1" ref="D202" ca="1">INDIRECT(ADDRESS($B202,Plots!$H$3,,,Plots!$A$48))+INDIRECT(ADDRESS($B202,Plots!$H$3,,,Plots!$A$49))</f>
        <v>0</v>
      </c>
      <c r="E202" cm="1">
        <f t="array" aca="1" ref="E202" ca="1">INDIRECT(ADDRESS($B202,Plots!$H$3,,,Plots!$A$50))+INDIRECT(ADDRESS($B202,Plots!$H$3,,,Plots!$A$51))+INDIRECT(ADDRESS($B202,Plots!$H$3,,,Plots!$A$52))</f>
        <v>0</v>
      </c>
      <c r="F202" cm="1">
        <f t="array" aca="1" ref="F202" ca="1">INDIRECT(ADDRESS($B202,Plots!$H$3,,,Plots!$A$53))+INDIRECT(ADDRESS($B202,Plots!$H$3,,,Plots!$A$54))+INDIRECT(ADDRESS($B202,Plots!$H$3,,,Plots!$A$55))+INDIRECT(ADDRESS($B202,Plots!$H$3,,,Plots!$A$56))</f>
        <v>0</v>
      </c>
      <c r="G202" cm="1">
        <f t="array" aca="1" ref="G202" ca="1">INDIRECT(ADDRESS($B202,Plots!$H$3,,,Plots!$A$57))+INDIRECT(ADDRESS($B202,Plots!$H$3,,,Plots!$A$58))+INDIRECT(ADDRESS($B202,Plots!$H$3,,,Plots!$A$59))+INDIRECT(ADDRESS($B202,Plots!$H$3,,,Plots!$A$60))+INDIRECT(ADDRESS($B202,Plots!$H$3,,,Plots!$A$61))</f>
        <v>0</v>
      </c>
      <c r="H202" cm="1">
        <f t="array" aca="1" ref="H202" ca="1">INDIRECT(ADDRESS($B202,Plots!$H$3,,,Plots!$A$62))+INDIRECT(ADDRESS($B202,Plots!$H$3,,,Plots!$A$63))+INDIRECT(ADDRESS($B202,Plots!$H$3,,,Plots!$A$64))+INDIRECT(ADDRESS($B202,Plots!$H$3,,,Plots!$A$65))+INDIRECT(ADDRESS($B202,Plots!$H$3,,,Plots!$A$66))+INDIRECT(ADDRESS($B202,Plots!$H$3,,,Plots!$A$67))</f>
        <v>0</v>
      </c>
      <c r="I202">
        <f>'AARnetCBR-CamDTN1_tcpmon_ts_81'!H206+'AARnetCBR-CamDTN1_tcpmon_ts_82'!H206+'AARnetCBR-CamDTN1_tcpmon_ts_83'!H206+'AARnetCBR-CamDTN1_tcpmon_ts_84'!H206+'AARnetCBR-CamDTN1_tcpmon_ts_85'!H206+'AARnetCBR-CamDTN1_tcpmon_ts_86'!H206+'AARnetCBR-CamDTN1_tcpmon_ts_87'!H206+'AARnetCBR-CamDTN1_tcpmon_ts_88'!H206</f>
        <v>0</v>
      </c>
      <c r="L202" cm="1">
        <f t="array" aca="1" ref="L202" ca="1">INDIRECT(ADDRESS($B202,Plots!$H$4,,,Plots!$A$47))</f>
        <v>0</v>
      </c>
      <c r="M202" cm="1">
        <f t="array" aca="1" ref="M202" ca="1">INDIRECT(ADDRESS($B202,Plots!$H$4,,,Plots!$A$48))+INDIRECT(ADDRESS($B202,Plots!$H$4,,,Plots!$A$49))</f>
        <v>0</v>
      </c>
      <c r="N202" cm="1">
        <f t="array" aca="1" ref="N202" ca="1">INDIRECT(ADDRESS($B202,Plots!$H$4,,,Plots!$A$50))+INDIRECT(ADDRESS($B202,Plots!$H$4,,,Plots!$A$51))+INDIRECT(ADDRESS($B202,Plots!$H$4,,,Plots!$A$52))</f>
        <v>0</v>
      </c>
      <c r="O202" cm="1">
        <f t="array" aca="1" ref="O202" ca="1">INDIRECT(ADDRESS($B202,Plots!$H$4,,,Plots!$A$53))+INDIRECT(ADDRESS($B202,Plots!$H$4,,,Plots!$A$54))+INDIRECT(ADDRESS($B202,Plots!$H$4,,,Plots!$A$55))+INDIRECT(ADDRESS($B202,Plots!$H$4,,,Plots!$A$56))</f>
        <v>0</v>
      </c>
      <c r="P202" cm="1">
        <f t="array" aca="1" ref="P202" ca="1">INDIRECT(ADDRESS($B202,Plots!$H$4,,,Plots!$A$57))+INDIRECT(ADDRESS($B202,Plots!$H$4,,,Plots!$A$58))+INDIRECT(ADDRESS($B202,Plots!$H$4,,,Plots!$A$59))+INDIRECT(ADDRESS($B202,Plots!$H$4,,,Plots!$A$60))+INDIRECT(ADDRESS($B202,Plots!$H$4,,,Plots!$A$61))</f>
        <v>0</v>
      </c>
      <c r="Q202" cm="1">
        <f t="array" aca="1" ref="Q202" ca="1">INDIRECT(ADDRESS($B202,Plots!$H$4,,,Plots!$A$62))+INDIRECT(ADDRESS($B202,Plots!$H$4,,,Plots!$A$63))+INDIRECT(ADDRESS($B202,Plots!$H$4,,,Plots!$A$64))+INDIRECT(ADDRESS($B202,Plots!$H$4,,,Plots!$A$65))+INDIRECT(ADDRESS($B202,Plots!$H$4,,,Plots!$A$66))+INDIRECT(ADDRESS($B202,Plots!$H$4,,,Plots!$A$67))</f>
        <v>0</v>
      </c>
    </row>
    <row r="203" spans="1:17">
      <c r="A203" t="str">
        <f>'AARnetCBR-CamDTN1_tcpmon_ts_11'!A203</f>
        <v xml:space="preserve">R30 </v>
      </c>
      <c r="B203">
        <f t="shared" si="0"/>
        <v>203</v>
      </c>
      <c r="C203" cm="1">
        <f t="array" aca="1" ref="C203" ca="1">INDIRECT(ADDRESS($B203,Plots!$H$3,,,Plots!$A$47))</f>
        <v>0</v>
      </c>
      <c r="D203" cm="1">
        <f t="array" aca="1" ref="D203" ca="1">INDIRECT(ADDRESS($B203,Plots!$H$3,,,Plots!$A$48))+INDIRECT(ADDRESS($B203,Plots!$H$3,,,Plots!$A$49))</f>
        <v>0</v>
      </c>
      <c r="E203" cm="1">
        <f t="array" aca="1" ref="E203" ca="1">INDIRECT(ADDRESS($B203,Plots!$H$3,,,Plots!$A$50))+INDIRECT(ADDRESS($B203,Plots!$H$3,,,Plots!$A$51))+INDIRECT(ADDRESS($B203,Plots!$H$3,,,Plots!$A$52))</f>
        <v>0</v>
      </c>
      <c r="F203" cm="1">
        <f t="array" aca="1" ref="F203" ca="1">INDIRECT(ADDRESS($B203,Plots!$H$3,,,Plots!$A$53))+INDIRECT(ADDRESS($B203,Plots!$H$3,,,Plots!$A$54))+INDIRECT(ADDRESS($B203,Plots!$H$3,,,Plots!$A$55))+INDIRECT(ADDRESS($B203,Plots!$H$3,,,Plots!$A$56))</f>
        <v>0</v>
      </c>
      <c r="G203" cm="1">
        <f t="array" aca="1" ref="G203" ca="1">INDIRECT(ADDRESS($B203,Plots!$H$3,,,Plots!$A$57))+INDIRECT(ADDRESS($B203,Plots!$H$3,,,Plots!$A$58))+INDIRECT(ADDRESS($B203,Plots!$H$3,,,Plots!$A$59))+INDIRECT(ADDRESS($B203,Plots!$H$3,,,Plots!$A$60))+INDIRECT(ADDRESS($B203,Plots!$H$3,,,Plots!$A$61))</f>
        <v>0</v>
      </c>
      <c r="H203" cm="1">
        <f t="array" aca="1" ref="H203" ca="1">INDIRECT(ADDRESS($B203,Plots!$H$3,,,Plots!$A$62))+INDIRECT(ADDRESS($B203,Plots!$H$3,,,Plots!$A$63))+INDIRECT(ADDRESS($B203,Plots!$H$3,,,Plots!$A$64))+INDIRECT(ADDRESS($B203,Plots!$H$3,,,Plots!$A$65))+INDIRECT(ADDRESS($B203,Plots!$H$3,,,Plots!$A$66))+INDIRECT(ADDRESS($B203,Plots!$H$3,,,Plots!$A$67))</f>
        <v>0</v>
      </c>
      <c r="I203">
        <f>'AARnetCBR-CamDTN1_tcpmon_ts_81'!H207+'AARnetCBR-CamDTN1_tcpmon_ts_82'!H207+'AARnetCBR-CamDTN1_tcpmon_ts_83'!H207+'AARnetCBR-CamDTN1_tcpmon_ts_84'!H207+'AARnetCBR-CamDTN1_tcpmon_ts_85'!H207+'AARnetCBR-CamDTN1_tcpmon_ts_86'!H207+'AARnetCBR-CamDTN1_tcpmon_ts_87'!H207+'AARnetCBR-CamDTN1_tcpmon_ts_88'!H207</f>
        <v>0</v>
      </c>
      <c r="L203" cm="1">
        <f t="array" aca="1" ref="L203" ca="1">INDIRECT(ADDRESS($B203,Plots!$H$4,,,Plots!$A$47))</f>
        <v>0</v>
      </c>
      <c r="M203" cm="1">
        <f t="array" aca="1" ref="M203" ca="1">INDIRECT(ADDRESS($B203,Plots!$H$4,,,Plots!$A$48))+INDIRECT(ADDRESS($B203,Plots!$H$4,,,Plots!$A$49))</f>
        <v>0</v>
      </c>
      <c r="N203" cm="1">
        <f t="array" aca="1" ref="N203" ca="1">INDIRECT(ADDRESS($B203,Plots!$H$4,,,Plots!$A$50))+INDIRECT(ADDRESS($B203,Plots!$H$4,,,Plots!$A$51))+INDIRECT(ADDRESS($B203,Plots!$H$4,,,Plots!$A$52))</f>
        <v>0</v>
      </c>
      <c r="O203" cm="1">
        <f t="array" aca="1" ref="O203" ca="1">INDIRECT(ADDRESS($B203,Plots!$H$4,,,Plots!$A$53))+INDIRECT(ADDRESS($B203,Plots!$H$4,,,Plots!$A$54))+INDIRECT(ADDRESS($B203,Plots!$H$4,,,Plots!$A$55))+INDIRECT(ADDRESS($B203,Plots!$H$4,,,Plots!$A$56))</f>
        <v>0</v>
      </c>
      <c r="P203" cm="1">
        <f t="array" aca="1" ref="P203" ca="1">INDIRECT(ADDRESS($B203,Plots!$H$4,,,Plots!$A$57))+INDIRECT(ADDRESS($B203,Plots!$H$4,,,Plots!$A$58))+INDIRECT(ADDRESS($B203,Plots!$H$4,,,Plots!$A$59))+INDIRECT(ADDRESS($B203,Plots!$H$4,,,Plots!$A$60))+INDIRECT(ADDRESS($B203,Plots!$H$4,,,Plots!$A$61))</f>
        <v>0</v>
      </c>
      <c r="Q203" cm="1">
        <f t="array" aca="1" ref="Q203" ca="1">INDIRECT(ADDRESS($B203,Plots!$H$4,,,Plots!$A$62))+INDIRECT(ADDRESS($B203,Plots!$H$4,,,Plots!$A$63))+INDIRECT(ADDRESS($B203,Plots!$H$4,,,Plots!$A$64))+INDIRECT(ADDRESS($B203,Plots!$H$4,,,Plots!$A$65))+INDIRECT(ADDRESS($B203,Plots!$H$4,,,Plots!$A$66))+INDIRECT(ADDRESS($B203,Plots!$H$4,,,Plots!$A$67))</f>
        <v>0</v>
      </c>
    </row>
    <row r="204" spans="1:17">
      <c r="A204" t="str">
        <f>'AARnetCBR-CamDTN1_tcpmon_ts_11'!A204</f>
        <v xml:space="preserve">R31 </v>
      </c>
      <c r="B204">
        <f t="shared" si="0"/>
        <v>204</v>
      </c>
      <c r="C204" cm="1">
        <f t="array" aca="1" ref="C204" ca="1">INDIRECT(ADDRESS($B204,Plots!$H$3,,,Plots!$A$47))</f>
        <v>0</v>
      </c>
      <c r="D204" cm="1">
        <f t="array" aca="1" ref="D204" ca="1">INDIRECT(ADDRESS($B204,Plots!$H$3,,,Plots!$A$48))+INDIRECT(ADDRESS($B204,Plots!$H$3,,,Plots!$A$49))</f>
        <v>0</v>
      </c>
      <c r="E204" cm="1">
        <f t="array" aca="1" ref="E204" ca="1">INDIRECT(ADDRESS($B204,Plots!$H$3,,,Plots!$A$50))+INDIRECT(ADDRESS($B204,Plots!$H$3,,,Plots!$A$51))+INDIRECT(ADDRESS($B204,Plots!$H$3,,,Plots!$A$52))</f>
        <v>0</v>
      </c>
      <c r="F204" cm="1">
        <f t="array" aca="1" ref="F204" ca="1">INDIRECT(ADDRESS($B204,Plots!$H$3,,,Plots!$A$53))+INDIRECT(ADDRESS($B204,Plots!$H$3,,,Plots!$A$54))+INDIRECT(ADDRESS($B204,Plots!$H$3,,,Plots!$A$55))+INDIRECT(ADDRESS($B204,Plots!$H$3,,,Plots!$A$56))</f>
        <v>0</v>
      </c>
      <c r="G204" cm="1">
        <f t="array" aca="1" ref="G204" ca="1">INDIRECT(ADDRESS($B204,Plots!$H$3,,,Plots!$A$57))+INDIRECT(ADDRESS($B204,Plots!$H$3,,,Plots!$A$58))+INDIRECT(ADDRESS($B204,Plots!$H$3,,,Plots!$A$59))+INDIRECT(ADDRESS($B204,Plots!$H$3,,,Plots!$A$60))+INDIRECT(ADDRESS($B204,Plots!$H$3,,,Plots!$A$61))</f>
        <v>0</v>
      </c>
      <c r="H204" cm="1">
        <f t="array" aca="1" ref="H204" ca="1">INDIRECT(ADDRESS($B204,Plots!$H$3,,,Plots!$A$62))+INDIRECT(ADDRESS($B204,Plots!$H$3,,,Plots!$A$63))+INDIRECT(ADDRESS($B204,Plots!$H$3,,,Plots!$A$64))+INDIRECT(ADDRESS($B204,Plots!$H$3,,,Plots!$A$65))+INDIRECT(ADDRESS($B204,Plots!$H$3,,,Plots!$A$66))+INDIRECT(ADDRESS($B204,Plots!$H$3,,,Plots!$A$67))</f>
        <v>0</v>
      </c>
      <c r="I204">
        <f>'AARnetCBR-CamDTN1_tcpmon_ts_81'!H208+'AARnetCBR-CamDTN1_tcpmon_ts_82'!H208+'AARnetCBR-CamDTN1_tcpmon_ts_83'!H208+'AARnetCBR-CamDTN1_tcpmon_ts_84'!H208+'AARnetCBR-CamDTN1_tcpmon_ts_85'!H208+'AARnetCBR-CamDTN1_tcpmon_ts_86'!H208+'AARnetCBR-CamDTN1_tcpmon_ts_87'!H208+'AARnetCBR-CamDTN1_tcpmon_ts_88'!H208</f>
        <v>0</v>
      </c>
      <c r="L204" cm="1">
        <f t="array" aca="1" ref="L204" ca="1">INDIRECT(ADDRESS($B204,Plots!$H$4,,,Plots!$A$47))</f>
        <v>0</v>
      </c>
      <c r="M204" cm="1">
        <f t="array" aca="1" ref="M204" ca="1">INDIRECT(ADDRESS($B204,Plots!$H$4,,,Plots!$A$48))+INDIRECT(ADDRESS($B204,Plots!$H$4,,,Plots!$A$49))</f>
        <v>0</v>
      </c>
      <c r="N204" cm="1">
        <f t="array" aca="1" ref="N204" ca="1">INDIRECT(ADDRESS($B204,Plots!$H$4,,,Plots!$A$50))+INDIRECT(ADDRESS($B204,Plots!$H$4,,,Plots!$A$51))+INDIRECT(ADDRESS($B204,Plots!$H$4,,,Plots!$A$52))</f>
        <v>0</v>
      </c>
      <c r="O204" cm="1">
        <f t="array" aca="1" ref="O204" ca="1">INDIRECT(ADDRESS($B204,Plots!$H$4,,,Plots!$A$53))+INDIRECT(ADDRESS($B204,Plots!$H$4,,,Plots!$A$54))+INDIRECT(ADDRESS($B204,Plots!$H$4,,,Plots!$A$55))+INDIRECT(ADDRESS($B204,Plots!$H$4,,,Plots!$A$56))</f>
        <v>0</v>
      </c>
      <c r="P204" cm="1">
        <f t="array" aca="1" ref="P204" ca="1">INDIRECT(ADDRESS($B204,Plots!$H$4,,,Plots!$A$57))+INDIRECT(ADDRESS($B204,Plots!$H$4,,,Plots!$A$58))+INDIRECT(ADDRESS($B204,Plots!$H$4,,,Plots!$A$59))+INDIRECT(ADDRESS($B204,Plots!$H$4,,,Plots!$A$60))+INDIRECT(ADDRESS($B204,Plots!$H$4,,,Plots!$A$61))</f>
        <v>0</v>
      </c>
      <c r="Q204" cm="1">
        <f t="array" aca="1" ref="Q204" ca="1">INDIRECT(ADDRESS($B204,Plots!$H$4,,,Plots!$A$62))+INDIRECT(ADDRESS($B204,Plots!$H$4,,,Plots!$A$63))+INDIRECT(ADDRESS($B204,Plots!$H$4,,,Plots!$A$64))+INDIRECT(ADDRESS($B204,Plots!$H$4,,,Plots!$A$65))+INDIRECT(ADDRESS($B204,Plots!$H$4,,,Plots!$A$66))+INDIRECT(ADDRESS($B204,Plots!$H$4,,,Plots!$A$67))</f>
        <v>0</v>
      </c>
    </row>
    <row r="205" spans="1:17">
      <c r="A205" t="str">
        <f>'AARnetCBR-CamDTN1_tcpmon_ts_11'!A205</f>
        <v xml:space="preserve">R32 </v>
      </c>
      <c r="B205">
        <f t="shared" si="0"/>
        <v>205</v>
      </c>
      <c r="C205" cm="1">
        <f t="array" aca="1" ref="C205" ca="1">INDIRECT(ADDRESS($B205,Plots!$H$3,,,Plots!$A$47))</f>
        <v>0</v>
      </c>
      <c r="D205" cm="1">
        <f t="array" aca="1" ref="D205" ca="1">INDIRECT(ADDRESS($B205,Plots!$H$3,,,Plots!$A$48))+INDIRECT(ADDRESS($B205,Plots!$H$3,,,Plots!$A$49))</f>
        <v>0</v>
      </c>
      <c r="E205" cm="1">
        <f t="array" aca="1" ref="E205" ca="1">INDIRECT(ADDRESS($B205,Plots!$H$3,,,Plots!$A$50))+INDIRECT(ADDRESS($B205,Plots!$H$3,,,Plots!$A$51))+INDIRECT(ADDRESS($B205,Plots!$H$3,,,Plots!$A$52))</f>
        <v>0</v>
      </c>
      <c r="F205" cm="1">
        <f t="array" aca="1" ref="F205" ca="1">INDIRECT(ADDRESS($B205,Plots!$H$3,,,Plots!$A$53))+INDIRECT(ADDRESS($B205,Plots!$H$3,,,Plots!$A$54))+INDIRECT(ADDRESS($B205,Plots!$H$3,,,Plots!$A$55))+INDIRECT(ADDRESS($B205,Plots!$H$3,,,Plots!$A$56))</f>
        <v>0</v>
      </c>
      <c r="G205" cm="1">
        <f t="array" aca="1" ref="G205" ca="1">INDIRECT(ADDRESS($B205,Plots!$H$3,,,Plots!$A$57))+INDIRECT(ADDRESS($B205,Plots!$H$3,,,Plots!$A$58))+INDIRECT(ADDRESS($B205,Plots!$H$3,,,Plots!$A$59))+INDIRECT(ADDRESS($B205,Plots!$H$3,,,Plots!$A$60))+INDIRECT(ADDRESS($B205,Plots!$H$3,,,Plots!$A$61))</f>
        <v>0</v>
      </c>
      <c r="H205" cm="1">
        <f t="array" aca="1" ref="H205" ca="1">INDIRECT(ADDRESS($B205,Plots!$H$3,,,Plots!$A$62))+INDIRECT(ADDRESS($B205,Plots!$H$3,,,Plots!$A$63))+INDIRECT(ADDRESS($B205,Plots!$H$3,,,Plots!$A$64))+INDIRECT(ADDRESS($B205,Plots!$H$3,,,Plots!$A$65))+INDIRECT(ADDRESS($B205,Plots!$H$3,,,Plots!$A$66))+INDIRECT(ADDRESS($B205,Plots!$H$3,,,Plots!$A$67))</f>
        <v>0</v>
      </c>
      <c r="I205">
        <f>'AARnetCBR-CamDTN1_tcpmon_ts_81'!H209+'AARnetCBR-CamDTN1_tcpmon_ts_82'!H209+'AARnetCBR-CamDTN1_tcpmon_ts_83'!H209+'AARnetCBR-CamDTN1_tcpmon_ts_84'!H209+'AARnetCBR-CamDTN1_tcpmon_ts_85'!H209+'AARnetCBR-CamDTN1_tcpmon_ts_86'!H209+'AARnetCBR-CamDTN1_tcpmon_ts_87'!H209+'AARnetCBR-CamDTN1_tcpmon_ts_88'!H209</f>
        <v>0</v>
      </c>
      <c r="L205" cm="1">
        <f t="array" aca="1" ref="L205" ca="1">INDIRECT(ADDRESS($B205,Plots!$H$4,,,Plots!$A$47))</f>
        <v>1</v>
      </c>
      <c r="M205" cm="1">
        <f t="array" aca="1" ref="M205" ca="1">INDIRECT(ADDRESS($B205,Plots!$H$4,,,Plots!$A$48))+INDIRECT(ADDRESS($B205,Plots!$H$4,,,Plots!$A$49))</f>
        <v>0</v>
      </c>
      <c r="N205" cm="1">
        <f t="array" aca="1" ref="N205" ca="1">INDIRECT(ADDRESS($B205,Plots!$H$4,,,Plots!$A$50))+INDIRECT(ADDRESS($B205,Plots!$H$4,,,Plots!$A$51))+INDIRECT(ADDRESS($B205,Plots!$H$4,,,Plots!$A$52))</f>
        <v>0</v>
      </c>
      <c r="O205" cm="1">
        <f t="array" aca="1" ref="O205" ca="1">INDIRECT(ADDRESS($B205,Plots!$H$4,,,Plots!$A$53))+INDIRECT(ADDRESS($B205,Plots!$H$4,,,Plots!$A$54))+INDIRECT(ADDRESS($B205,Plots!$H$4,,,Plots!$A$55))+INDIRECT(ADDRESS($B205,Plots!$H$4,,,Plots!$A$56))</f>
        <v>0</v>
      </c>
      <c r="P205" cm="1">
        <f t="array" aca="1" ref="P205" ca="1">INDIRECT(ADDRESS($B205,Plots!$H$4,,,Plots!$A$57))+INDIRECT(ADDRESS($B205,Plots!$H$4,,,Plots!$A$58))+INDIRECT(ADDRESS($B205,Plots!$H$4,,,Plots!$A$59))+INDIRECT(ADDRESS($B205,Plots!$H$4,,,Plots!$A$60))+INDIRECT(ADDRESS($B205,Plots!$H$4,,,Plots!$A$61))</f>
        <v>0</v>
      </c>
      <c r="Q205" cm="1">
        <f t="array" aca="1" ref="Q205" ca="1">INDIRECT(ADDRESS($B205,Plots!$H$4,,,Plots!$A$62))+INDIRECT(ADDRESS($B205,Plots!$H$4,,,Plots!$A$63))+INDIRECT(ADDRESS($B205,Plots!$H$4,,,Plots!$A$64))+INDIRECT(ADDRESS($B205,Plots!$H$4,,,Plots!$A$65))+INDIRECT(ADDRESS($B205,Plots!$H$4,,,Plots!$A$66))+INDIRECT(ADDRESS($B205,Plots!$H$4,,,Plots!$A$67))</f>
        <v>0</v>
      </c>
    </row>
    <row r="206" spans="1:17">
      <c r="A206" t="str">
        <f>'AARnetCBR-CamDTN1_tcpmon_ts_11'!A206</f>
        <v xml:space="preserve">R33 </v>
      </c>
      <c r="B206">
        <f t="shared" si="0"/>
        <v>206</v>
      </c>
      <c r="C206" cm="1">
        <f t="array" aca="1" ref="C206" ca="1">INDIRECT(ADDRESS($B206,Plots!$H$3,,,Plots!$A$47))</f>
        <v>0</v>
      </c>
      <c r="D206" cm="1">
        <f t="array" aca="1" ref="D206" ca="1">INDIRECT(ADDRESS($B206,Plots!$H$3,,,Plots!$A$48))+INDIRECT(ADDRESS($B206,Plots!$H$3,,,Plots!$A$49))</f>
        <v>0</v>
      </c>
      <c r="E206" cm="1">
        <f t="array" aca="1" ref="E206" ca="1">INDIRECT(ADDRESS($B206,Plots!$H$3,,,Plots!$A$50))+INDIRECT(ADDRESS($B206,Plots!$H$3,,,Plots!$A$51))+INDIRECT(ADDRESS($B206,Plots!$H$3,,,Plots!$A$52))</f>
        <v>0</v>
      </c>
      <c r="F206" cm="1">
        <f t="array" aca="1" ref="F206" ca="1">INDIRECT(ADDRESS($B206,Plots!$H$3,,,Plots!$A$53))+INDIRECT(ADDRESS($B206,Plots!$H$3,,,Plots!$A$54))+INDIRECT(ADDRESS($B206,Plots!$H$3,,,Plots!$A$55))+INDIRECT(ADDRESS($B206,Plots!$H$3,,,Plots!$A$56))</f>
        <v>0</v>
      </c>
      <c r="G206" cm="1">
        <f t="array" aca="1" ref="G206" ca="1">INDIRECT(ADDRESS($B206,Plots!$H$3,,,Plots!$A$57))+INDIRECT(ADDRESS($B206,Plots!$H$3,,,Plots!$A$58))+INDIRECT(ADDRESS($B206,Plots!$H$3,,,Plots!$A$59))+INDIRECT(ADDRESS($B206,Plots!$H$3,,,Plots!$A$60))+INDIRECT(ADDRESS($B206,Plots!$H$3,,,Plots!$A$61))</f>
        <v>0</v>
      </c>
      <c r="H206" cm="1">
        <f t="array" aca="1" ref="H206" ca="1">INDIRECT(ADDRESS($B206,Plots!$H$3,,,Plots!$A$62))+INDIRECT(ADDRESS($B206,Plots!$H$3,,,Plots!$A$63))+INDIRECT(ADDRESS($B206,Plots!$H$3,,,Plots!$A$64))+INDIRECT(ADDRESS($B206,Plots!$H$3,,,Plots!$A$65))+INDIRECT(ADDRESS($B206,Plots!$H$3,,,Plots!$A$66))+INDIRECT(ADDRESS($B206,Plots!$H$3,,,Plots!$A$67))</f>
        <v>0</v>
      </c>
      <c r="I206">
        <f>'AARnetCBR-CamDTN1_tcpmon_ts_81'!H210+'AARnetCBR-CamDTN1_tcpmon_ts_82'!H210+'AARnetCBR-CamDTN1_tcpmon_ts_83'!H210+'AARnetCBR-CamDTN1_tcpmon_ts_84'!H210+'AARnetCBR-CamDTN1_tcpmon_ts_85'!H210+'AARnetCBR-CamDTN1_tcpmon_ts_86'!H210+'AARnetCBR-CamDTN1_tcpmon_ts_87'!H210+'AARnetCBR-CamDTN1_tcpmon_ts_88'!H210</f>
        <v>0</v>
      </c>
      <c r="L206" cm="1">
        <f t="array" aca="1" ref="L206" ca="1">INDIRECT(ADDRESS($B206,Plots!$H$4,,,Plots!$A$47))</f>
        <v>0</v>
      </c>
      <c r="M206" cm="1">
        <f t="array" aca="1" ref="M206" ca="1">INDIRECT(ADDRESS($B206,Plots!$H$4,,,Plots!$A$48))+INDIRECT(ADDRESS($B206,Plots!$H$4,,,Plots!$A$49))</f>
        <v>0</v>
      </c>
      <c r="N206" cm="1">
        <f t="array" aca="1" ref="N206" ca="1">INDIRECT(ADDRESS($B206,Plots!$H$4,,,Plots!$A$50))+INDIRECT(ADDRESS($B206,Plots!$H$4,,,Plots!$A$51))+INDIRECT(ADDRESS($B206,Plots!$H$4,,,Plots!$A$52))</f>
        <v>0</v>
      </c>
      <c r="O206" cm="1">
        <f t="array" aca="1" ref="O206" ca="1">INDIRECT(ADDRESS($B206,Plots!$H$4,,,Plots!$A$53))+INDIRECT(ADDRESS($B206,Plots!$H$4,,,Plots!$A$54))+INDIRECT(ADDRESS($B206,Plots!$H$4,,,Plots!$A$55))+INDIRECT(ADDRESS($B206,Plots!$H$4,,,Plots!$A$56))</f>
        <v>0</v>
      </c>
      <c r="P206" cm="1">
        <f t="array" aca="1" ref="P206" ca="1">INDIRECT(ADDRESS($B206,Plots!$H$4,,,Plots!$A$57))+INDIRECT(ADDRESS($B206,Plots!$H$4,,,Plots!$A$58))+INDIRECT(ADDRESS($B206,Plots!$H$4,,,Plots!$A$59))+INDIRECT(ADDRESS($B206,Plots!$H$4,,,Plots!$A$60))+INDIRECT(ADDRESS($B206,Plots!$H$4,,,Plots!$A$61))</f>
        <v>0</v>
      </c>
      <c r="Q206" cm="1">
        <f t="array" aca="1" ref="Q206" ca="1">INDIRECT(ADDRESS($B206,Plots!$H$4,,,Plots!$A$62))+INDIRECT(ADDRESS($B206,Plots!$H$4,,,Plots!$A$63))+INDIRECT(ADDRESS($B206,Plots!$H$4,,,Plots!$A$64))+INDIRECT(ADDRESS($B206,Plots!$H$4,,,Plots!$A$65))+INDIRECT(ADDRESS($B206,Plots!$H$4,,,Plots!$A$66))+INDIRECT(ADDRESS($B206,Plots!$H$4,,,Plots!$A$67))</f>
        <v>0</v>
      </c>
    </row>
    <row r="207" spans="1:17">
      <c r="A207" t="str">
        <f>'AARnetCBR-CamDTN1_tcpmon_ts_11'!A207</f>
        <v xml:space="preserve">R34 </v>
      </c>
      <c r="B207">
        <f t="shared" si="0"/>
        <v>207</v>
      </c>
      <c r="C207" cm="1">
        <f t="array" aca="1" ref="C207" ca="1">INDIRECT(ADDRESS($B207,Plots!$H$3,,,Plots!$A$47))</f>
        <v>0</v>
      </c>
      <c r="D207" cm="1">
        <f t="array" aca="1" ref="D207" ca="1">INDIRECT(ADDRESS($B207,Plots!$H$3,,,Plots!$A$48))+INDIRECT(ADDRESS($B207,Plots!$H$3,,,Plots!$A$49))</f>
        <v>0</v>
      </c>
      <c r="E207" cm="1">
        <f t="array" aca="1" ref="E207" ca="1">INDIRECT(ADDRESS($B207,Plots!$H$3,,,Plots!$A$50))+INDIRECT(ADDRESS($B207,Plots!$H$3,,,Plots!$A$51))+INDIRECT(ADDRESS($B207,Plots!$H$3,,,Plots!$A$52))</f>
        <v>0</v>
      </c>
      <c r="F207" cm="1">
        <f t="array" aca="1" ref="F207" ca="1">INDIRECT(ADDRESS($B207,Plots!$H$3,,,Plots!$A$53))+INDIRECT(ADDRESS($B207,Plots!$H$3,,,Plots!$A$54))+INDIRECT(ADDRESS($B207,Plots!$H$3,,,Plots!$A$55))+INDIRECT(ADDRESS($B207,Plots!$H$3,,,Plots!$A$56))</f>
        <v>0</v>
      </c>
      <c r="G207" cm="1">
        <f t="array" aca="1" ref="G207" ca="1">INDIRECT(ADDRESS($B207,Plots!$H$3,,,Plots!$A$57))+INDIRECT(ADDRESS($B207,Plots!$H$3,,,Plots!$A$58))+INDIRECT(ADDRESS($B207,Plots!$H$3,,,Plots!$A$59))+INDIRECT(ADDRESS($B207,Plots!$H$3,,,Plots!$A$60))+INDIRECT(ADDRESS($B207,Plots!$H$3,,,Plots!$A$61))</f>
        <v>0</v>
      </c>
      <c r="H207" cm="1">
        <f t="array" aca="1" ref="H207" ca="1">INDIRECT(ADDRESS($B207,Plots!$H$3,,,Plots!$A$62))+INDIRECT(ADDRESS($B207,Plots!$H$3,,,Plots!$A$63))+INDIRECT(ADDRESS($B207,Plots!$H$3,,,Plots!$A$64))+INDIRECT(ADDRESS($B207,Plots!$H$3,,,Plots!$A$65))+INDIRECT(ADDRESS($B207,Plots!$H$3,,,Plots!$A$66))+INDIRECT(ADDRESS($B207,Plots!$H$3,,,Plots!$A$67))</f>
        <v>0</v>
      </c>
      <c r="I207">
        <f>'AARnetCBR-CamDTN1_tcpmon_ts_81'!H211+'AARnetCBR-CamDTN1_tcpmon_ts_82'!H211+'AARnetCBR-CamDTN1_tcpmon_ts_83'!H211+'AARnetCBR-CamDTN1_tcpmon_ts_84'!H211+'AARnetCBR-CamDTN1_tcpmon_ts_85'!H211+'AARnetCBR-CamDTN1_tcpmon_ts_86'!H211+'AARnetCBR-CamDTN1_tcpmon_ts_87'!H211+'AARnetCBR-CamDTN1_tcpmon_ts_88'!H211</f>
        <v>0</v>
      </c>
      <c r="L207" cm="1">
        <f t="array" aca="1" ref="L207" ca="1">INDIRECT(ADDRESS($B207,Plots!$H$4,,,Plots!$A$47))</f>
        <v>0</v>
      </c>
      <c r="M207" cm="1">
        <f t="array" aca="1" ref="M207" ca="1">INDIRECT(ADDRESS($B207,Plots!$H$4,,,Plots!$A$48))+INDIRECT(ADDRESS($B207,Plots!$H$4,,,Plots!$A$49))</f>
        <v>0</v>
      </c>
      <c r="N207" cm="1">
        <f t="array" aca="1" ref="N207" ca="1">INDIRECT(ADDRESS($B207,Plots!$H$4,,,Plots!$A$50))+INDIRECT(ADDRESS($B207,Plots!$H$4,,,Plots!$A$51))+INDIRECT(ADDRESS($B207,Plots!$H$4,,,Plots!$A$52))</f>
        <v>0</v>
      </c>
      <c r="O207" cm="1">
        <f t="array" aca="1" ref="O207" ca="1">INDIRECT(ADDRESS($B207,Plots!$H$4,,,Plots!$A$53))+INDIRECT(ADDRESS($B207,Plots!$H$4,,,Plots!$A$54))+INDIRECT(ADDRESS($B207,Plots!$H$4,,,Plots!$A$55))+INDIRECT(ADDRESS($B207,Plots!$H$4,,,Plots!$A$56))</f>
        <v>0</v>
      </c>
      <c r="P207" cm="1">
        <f t="array" aca="1" ref="P207" ca="1">INDIRECT(ADDRESS($B207,Plots!$H$4,,,Plots!$A$57))+INDIRECT(ADDRESS($B207,Plots!$H$4,,,Plots!$A$58))+INDIRECT(ADDRESS($B207,Plots!$H$4,,,Plots!$A$59))+INDIRECT(ADDRESS($B207,Plots!$H$4,,,Plots!$A$60))+INDIRECT(ADDRESS($B207,Plots!$H$4,,,Plots!$A$61))</f>
        <v>0</v>
      </c>
      <c r="Q207" cm="1">
        <f t="array" aca="1" ref="Q207" ca="1">INDIRECT(ADDRESS($B207,Plots!$H$4,,,Plots!$A$62))+INDIRECT(ADDRESS($B207,Plots!$H$4,,,Plots!$A$63))+INDIRECT(ADDRESS($B207,Plots!$H$4,,,Plots!$A$64))+INDIRECT(ADDRESS($B207,Plots!$H$4,,,Plots!$A$65))+INDIRECT(ADDRESS($B207,Plots!$H$4,,,Plots!$A$66))+INDIRECT(ADDRESS($B207,Plots!$H$4,,,Plots!$A$67))</f>
        <v>0</v>
      </c>
    </row>
    <row r="208" spans="1:17">
      <c r="A208" t="str">
        <f>'AARnetCBR-CamDTN1_tcpmon_ts_11'!A208</f>
        <v xml:space="preserve">R35 </v>
      </c>
      <c r="B208">
        <f t="shared" si="0"/>
        <v>208</v>
      </c>
      <c r="C208" cm="1">
        <f t="array" aca="1" ref="C208" ca="1">INDIRECT(ADDRESS($B208,Plots!$H$3,,,Plots!$A$47))</f>
        <v>0</v>
      </c>
      <c r="D208" cm="1">
        <f t="array" aca="1" ref="D208" ca="1">INDIRECT(ADDRESS($B208,Plots!$H$3,,,Plots!$A$48))+INDIRECT(ADDRESS($B208,Plots!$H$3,,,Plots!$A$49))</f>
        <v>0</v>
      </c>
      <c r="E208" cm="1">
        <f t="array" aca="1" ref="E208" ca="1">INDIRECT(ADDRESS($B208,Plots!$H$3,,,Plots!$A$50))+INDIRECT(ADDRESS($B208,Plots!$H$3,,,Plots!$A$51))+INDIRECT(ADDRESS($B208,Plots!$H$3,,,Plots!$A$52))</f>
        <v>0</v>
      </c>
      <c r="F208" cm="1">
        <f t="array" aca="1" ref="F208" ca="1">INDIRECT(ADDRESS($B208,Plots!$H$3,,,Plots!$A$53))+INDIRECT(ADDRESS($B208,Plots!$H$3,,,Plots!$A$54))+INDIRECT(ADDRESS($B208,Plots!$H$3,,,Plots!$A$55))+INDIRECT(ADDRESS($B208,Plots!$H$3,,,Plots!$A$56))</f>
        <v>0</v>
      </c>
      <c r="G208" cm="1">
        <f t="array" aca="1" ref="G208" ca="1">INDIRECT(ADDRESS($B208,Plots!$H$3,,,Plots!$A$57))+INDIRECT(ADDRESS($B208,Plots!$H$3,,,Plots!$A$58))+INDIRECT(ADDRESS($B208,Plots!$H$3,,,Plots!$A$59))+INDIRECT(ADDRESS($B208,Plots!$H$3,,,Plots!$A$60))+INDIRECT(ADDRESS($B208,Plots!$H$3,,,Plots!$A$61))</f>
        <v>0</v>
      </c>
      <c r="H208" cm="1">
        <f t="array" aca="1" ref="H208" ca="1">INDIRECT(ADDRESS($B208,Plots!$H$3,,,Plots!$A$62))+INDIRECT(ADDRESS($B208,Plots!$H$3,,,Plots!$A$63))+INDIRECT(ADDRESS($B208,Plots!$H$3,,,Plots!$A$64))+INDIRECT(ADDRESS($B208,Plots!$H$3,,,Plots!$A$65))+INDIRECT(ADDRESS($B208,Plots!$H$3,,,Plots!$A$66))+INDIRECT(ADDRESS($B208,Plots!$H$3,,,Plots!$A$67))</f>
        <v>0</v>
      </c>
      <c r="I208">
        <f>'AARnetCBR-CamDTN1_tcpmon_ts_81'!H212+'AARnetCBR-CamDTN1_tcpmon_ts_82'!H212+'AARnetCBR-CamDTN1_tcpmon_ts_83'!H212+'AARnetCBR-CamDTN1_tcpmon_ts_84'!H212+'AARnetCBR-CamDTN1_tcpmon_ts_85'!H212+'AARnetCBR-CamDTN1_tcpmon_ts_86'!H212+'AARnetCBR-CamDTN1_tcpmon_ts_87'!H212+'AARnetCBR-CamDTN1_tcpmon_ts_88'!H212</f>
        <v>0</v>
      </c>
      <c r="L208" cm="1">
        <f t="array" aca="1" ref="L208" ca="1">INDIRECT(ADDRESS($B208,Plots!$H$4,,,Plots!$A$47))</f>
        <v>0</v>
      </c>
      <c r="M208" cm="1">
        <f t="array" aca="1" ref="M208" ca="1">INDIRECT(ADDRESS($B208,Plots!$H$4,,,Plots!$A$48))+INDIRECT(ADDRESS($B208,Plots!$H$4,,,Plots!$A$49))</f>
        <v>0</v>
      </c>
      <c r="N208" cm="1">
        <f t="array" aca="1" ref="N208" ca="1">INDIRECT(ADDRESS($B208,Plots!$H$4,,,Plots!$A$50))+INDIRECT(ADDRESS($B208,Plots!$H$4,,,Plots!$A$51))+INDIRECT(ADDRESS($B208,Plots!$H$4,,,Plots!$A$52))</f>
        <v>0</v>
      </c>
      <c r="O208" cm="1">
        <f t="array" aca="1" ref="O208" ca="1">INDIRECT(ADDRESS($B208,Plots!$H$4,,,Plots!$A$53))+INDIRECT(ADDRESS($B208,Plots!$H$4,,,Plots!$A$54))+INDIRECT(ADDRESS($B208,Plots!$H$4,,,Plots!$A$55))+INDIRECT(ADDRESS($B208,Plots!$H$4,,,Plots!$A$56))</f>
        <v>0</v>
      </c>
      <c r="P208" cm="1">
        <f t="array" aca="1" ref="P208" ca="1">INDIRECT(ADDRESS($B208,Plots!$H$4,,,Plots!$A$57))+INDIRECT(ADDRESS($B208,Plots!$H$4,,,Plots!$A$58))+INDIRECT(ADDRESS($B208,Plots!$H$4,,,Plots!$A$59))+INDIRECT(ADDRESS($B208,Plots!$H$4,,,Plots!$A$60))+INDIRECT(ADDRESS($B208,Plots!$H$4,,,Plots!$A$61))</f>
        <v>0</v>
      </c>
      <c r="Q208" cm="1">
        <f t="array" aca="1" ref="Q208" ca="1">INDIRECT(ADDRESS($B208,Plots!$H$4,,,Plots!$A$62))+INDIRECT(ADDRESS($B208,Plots!$H$4,,,Plots!$A$63))+INDIRECT(ADDRESS($B208,Plots!$H$4,,,Plots!$A$64))+INDIRECT(ADDRESS($B208,Plots!$H$4,,,Plots!$A$65))+INDIRECT(ADDRESS($B208,Plots!$H$4,,,Plots!$A$66))+INDIRECT(ADDRESS($B208,Plots!$H$4,,,Plots!$A$67))</f>
        <v>0</v>
      </c>
    </row>
    <row r="209" spans="1:17">
      <c r="A209" t="str">
        <f>'AARnetCBR-CamDTN1_tcpmon_ts_11'!A209</f>
        <v xml:space="preserve">R36 </v>
      </c>
      <c r="B209">
        <f t="shared" si="0"/>
        <v>209</v>
      </c>
      <c r="C209" cm="1">
        <f t="array" aca="1" ref="C209" ca="1">INDIRECT(ADDRESS($B209,Plots!$H$3,,,Plots!$A$47))</f>
        <v>0</v>
      </c>
      <c r="D209" cm="1">
        <f t="array" aca="1" ref="D209" ca="1">INDIRECT(ADDRESS($B209,Plots!$H$3,,,Plots!$A$48))+INDIRECT(ADDRESS($B209,Plots!$H$3,,,Plots!$A$49))</f>
        <v>0</v>
      </c>
      <c r="E209" cm="1">
        <f t="array" aca="1" ref="E209" ca="1">INDIRECT(ADDRESS($B209,Plots!$H$3,,,Plots!$A$50))+INDIRECT(ADDRESS($B209,Plots!$H$3,,,Plots!$A$51))+INDIRECT(ADDRESS($B209,Plots!$H$3,,,Plots!$A$52))</f>
        <v>0</v>
      </c>
      <c r="F209" cm="1">
        <f t="array" aca="1" ref="F209" ca="1">INDIRECT(ADDRESS($B209,Plots!$H$3,,,Plots!$A$53))+INDIRECT(ADDRESS($B209,Plots!$H$3,,,Plots!$A$54))+INDIRECT(ADDRESS($B209,Plots!$H$3,,,Plots!$A$55))+INDIRECT(ADDRESS($B209,Plots!$H$3,,,Plots!$A$56))</f>
        <v>0</v>
      </c>
      <c r="G209" cm="1">
        <f t="array" aca="1" ref="G209" ca="1">INDIRECT(ADDRESS($B209,Plots!$H$3,,,Plots!$A$57))+INDIRECT(ADDRESS($B209,Plots!$H$3,,,Plots!$A$58))+INDIRECT(ADDRESS($B209,Plots!$H$3,,,Plots!$A$59))+INDIRECT(ADDRESS($B209,Plots!$H$3,,,Plots!$A$60))+INDIRECT(ADDRESS($B209,Plots!$H$3,,,Plots!$A$61))</f>
        <v>0</v>
      </c>
      <c r="H209" cm="1">
        <f t="array" aca="1" ref="H209" ca="1">INDIRECT(ADDRESS($B209,Plots!$H$3,,,Plots!$A$62))+INDIRECT(ADDRESS($B209,Plots!$H$3,,,Plots!$A$63))+INDIRECT(ADDRESS($B209,Plots!$H$3,,,Plots!$A$64))+INDIRECT(ADDRESS($B209,Plots!$H$3,,,Plots!$A$65))+INDIRECT(ADDRESS($B209,Plots!$H$3,,,Plots!$A$66))+INDIRECT(ADDRESS($B209,Plots!$H$3,,,Plots!$A$67))</f>
        <v>0</v>
      </c>
      <c r="I209">
        <f>'AARnetCBR-CamDTN1_tcpmon_ts_81'!H213+'AARnetCBR-CamDTN1_tcpmon_ts_82'!H213+'AARnetCBR-CamDTN1_tcpmon_ts_83'!H213+'AARnetCBR-CamDTN1_tcpmon_ts_84'!H213+'AARnetCBR-CamDTN1_tcpmon_ts_85'!H213+'AARnetCBR-CamDTN1_tcpmon_ts_86'!H213+'AARnetCBR-CamDTN1_tcpmon_ts_87'!H213+'AARnetCBR-CamDTN1_tcpmon_ts_88'!H213</f>
        <v>0</v>
      </c>
      <c r="L209" cm="1">
        <f t="array" aca="1" ref="L209" ca="1">INDIRECT(ADDRESS($B209,Plots!$H$4,,,Plots!$A$47))</f>
        <v>0</v>
      </c>
      <c r="M209" cm="1">
        <f t="array" aca="1" ref="M209" ca="1">INDIRECT(ADDRESS($B209,Plots!$H$4,,,Plots!$A$48))+INDIRECT(ADDRESS($B209,Plots!$H$4,,,Plots!$A$49))</f>
        <v>0</v>
      </c>
      <c r="N209" cm="1">
        <f t="array" aca="1" ref="N209" ca="1">INDIRECT(ADDRESS($B209,Plots!$H$4,,,Plots!$A$50))+INDIRECT(ADDRESS($B209,Plots!$H$4,,,Plots!$A$51))+INDIRECT(ADDRESS($B209,Plots!$H$4,,,Plots!$A$52))</f>
        <v>0</v>
      </c>
      <c r="O209" cm="1">
        <f t="array" aca="1" ref="O209" ca="1">INDIRECT(ADDRESS($B209,Plots!$H$4,,,Plots!$A$53))+INDIRECT(ADDRESS($B209,Plots!$H$4,,,Plots!$A$54))+INDIRECT(ADDRESS($B209,Plots!$H$4,,,Plots!$A$55))+INDIRECT(ADDRESS($B209,Plots!$H$4,,,Plots!$A$56))</f>
        <v>0</v>
      </c>
      <c r="P209" cm="1">
        <f t="array" aca="1" ref="P209" ca="1">INDIRECT(ADDRESS($B209,Plots!$H$4,,,Plots!$A$57))+INDIRECT(ADDRESS($B209,Plots!$H$4,,,Plots!$A$58))+INDIRECT(ADDRESS($B209,Plots!$H$4,,,Plots!$A$59))+INDIRECT(ADDRESS($B209,Plots!$H$4,,,Plots!$A$60))+INDIRECT(ADDRESS($B209,Plots!$H$4,,,Plots!$A$61))</f>
        <v>0</v>
      </c>
      <c r="Q209" cm="1">
        <f t="array" aca="1" ref="Q209" ca="1">INDIRECT(ADDRESS($B209,Plots!$H$4,,,Plots!$A$62))+INDIRECT(ADDRESS($B209,Plots!$H$4,,,Plots!$A$63))+INDIRECT(ADDRESS($B209,Plots!$H$4,,,Plots!$A$64))+INDIRECT(ADDRESS($B209,Plots!$H$4,,,Plots!$A$65))+INDIRECT(ADDRESS($B209,Plots!$H$4,,,Plots!$A$66))+INDIRECT(ADDRESS($B209,Plots!$H$4,,,Plots!$A$67))</f>
        <v>0</v>
      </c>
    </row>
    <row r="210" spans="1:17">
      <c r="A210" t="str">
        <f>'AARnetCBR-CamDTN1_tcpmon_ts_11'!A210</f>
        <v xml:space="preserve">R37 </v>
      </c>
      <c r="B210">
        <f t="shared" si="0"/>
        <v>210</v>
      </c>
      <c r="C210" cm="1">
        <f t="array" aca="1" ref="C210" ca="1">INDIRECT(ADDRESS($B210,Plots!$H$3,,,Plots!$A$47))</f>
        <v>0</v>
      </c>
      <c r="D210" cm="1">
        <f t="array" aca="1" ref="D210" ca="1">INDIRECT(ADDRESS($B210,Plots!$H$3,,,Plots!$A$48))+INDIRECT(ADDRESS($B210,Plots!$H$3,,,Plots!$A$49))</f>
        <v>0</v>
      </c>
      <c r="E210" cm="1">
        <f t="array" aca="1" ref="E210" ca="1">INDIRECT(ADDRESS($B210,Plots!$H$3,,,Plots!$A$50))+INDIRECT(ADDRESS($B210,Plots!$H$3,,,Plots!$A$51))+INDIRECT(ADDRESS($B210,Plots!$H$3,,,Plots!$A$52))</f>
        <v>0</v>
      </c>
      <c r="F210" cm="1">
        <f t="array" aca="1" ref="F210" ca="1">INDIRECT(ADDRESS($B210,Plots!$H$3,,,Plots!$A$53))+INDIRECT(ADDRESS($B210,Plots!$H$3,,,Plots!$A$54))+INDIRECT(ADDRESS($B210,Plots!$H$3,,,Plots!$A$55))+INDIRECT(ADDRESS($B210,Plots!$H$3,,,Plots!$A$56))</f>
        <v>0</v>
      </c>
      <c r="G210" cm="1">
        <f t="array" aca="1" ref="G210" ca="1">INDIRECT(ADDRESS($B210,Plots!$H$3,,,Plots!$A$57))+INDIRECT(ADDRESS($B210,Plots!$H$3,,,Plots!$A$58))+INDIRECT(ADDRESS($B210,Plots!$H$3,,,Plots!$A$59))+INDIRECT(ADDRESS($B210,Plots!$H$3,,,Plots!$A$60))+INDIRECT(ADDRESS($B210,Plots!$H$3,,,Plots!$A$61))</f>
        <v>0</v>
      </c>
      <c r="H210" cm="1">
        <f t="array" aca="1" ref="H210" ca="1">INDIRECT(ADDRESS($B210,Plots!$H$3,,,Plots!$A$62))+INDIRECT(ADDRESS($B210,Plots!$H$3,,,Plots!$A$63))+INDIRECT(ADDRESS($B210,Plots!$H$3,,,Plots!$A$64))+INDIRECT(ADDRESS($B210,Plots!$H$3,,,Plots!$A$65))+INDIRECT(ADDRESS($B210,Plots!$H$3,,,Plots!$A$66))+INDIRECT(ADDRESS($B210,Plots!$H$3,,,Plots!$A$67))</f>
        <v>0</v>
      </c>
      <c r="I210">
        <f>'AARnetCBR-CamDTN1_tcpmon_ts_81'!H214+'AARnetCBR-CamDTN1_tcpmon_ts_82'!H214+'AARnetCBR-CamDTN1_tcpmon_ts_83'!H214+'AARnetCBR-CamDTN1_tcpmon_ts_84'!H214+'AARnetCBR-CamDTN1_tcpmon_ts_85'!H214+'AARnetCBR-CamDTN1_tcpmon_ts_86'!H214+'AARnetCBR-CamDTN1_tcpmon_ts_87'!H214+'AARnetCBR-CamDTN1_tcpmon_ts_88'!H214</f>
        <v>0</v>
      </c>
      <c r="L210" cm="1">
        <f t="array" aca="1" ref="L210" ca="1">INDIRECT(ADDRESS($B210,Plots!$H$4,,,Plots!$A$47))</f>
        <v>0</v>
      </c>
      <c r="M210" cm="1">
        <f t="array" aca="1" ref="M210" ca="1">INDIRECT(ADDRESS($B210,Plots!$H$4,,,Plots!$A$48))+INDIRECT(ADDRESS($B210,Plots!$H$4,,,Plots!$A$49))</f>
        <v>0</v>
      </c>
      <c r="N210" cm="1">
        <f t="array" aca="1" ref="N210" ca="1">INDIRECT(ADDRESS($B210,Plots!$H$4,,,Plots!$A$50))+INDIRECT(ADDRESS($B210,Plots!$H$4,,,Plots!$A$51))+INDIRECT(ADDRESS($B210,Plots!$H$4,,,Plots!$A$52))</f>
        <v>0</v>
      </c>
      <c r="O210" cm="1">
        <f t="array" aca="1" ref="O210" ca="1">INDIRECT(ADDRESS($B210,Plots!$H$4,,,Plots!$A$53))+INDIRECT(ADDRESS($B210,Plots!$H$4,,,Plots!$A$54))+INDIRECT(ADDRESS($B210,Plots!$H$4,,,Plots!$A$55))+INDIRECT(ADDRESS($B210,Plots!$H$4,,,Plots!$A$56))</f>
        <v>0</v>
      </c>
      <c r="P210" cm="1">
        <f t="array" aca="1" ref="P210" ca="1">INDIRECT(ADDRESS($B210,Plots!$H$4,,,Plots!$A$57))+INDIRECT(ADDRESS($B210,Plots!$H$4,,,Plots!$A$58))+INDIRECT(ADDRESS($B210,Plots!$H$4,,,Plots!$A$59))+INDIRECT(ADDRESS($B210,Plots!$H$4,,,Plots!$A$60))+INDIRECT(ADDRESS($B210,Plots!$H$4,,,Plots!$A$61))</f>
        <v>0</v>
      </c>
      <c r="Q210" cm="1">
        <f t="array" aca="1" ref="Q210" ca="1">INDIRECT(ADDRESS($B210,Plots!$H$4,,,Plots!$A$62))+INDIRECT(ADDRESS($B210,Plots!$H$4,,,Plots!$A$63))+INDIRECT(ADDRESS($B210,Plots!$H$4,,,Plots!$A$64))+INDIRECT(ADDRESS($B210,Plots!$H$4,,,Plots!$A$65))+INDIRECT(ADDRESS($B210,Plots!$H$4,,,Plots!$A$66))+INDIRECT(ADDRESS($B210,Plots!$H$4,,,Plots!$A$67))</f>
        <v>0</v>
      </c>
    </row>
    <row r="211" spans="1:17">
      <c r="A211" t="str">
        <f>'AARnetCBR-CamDTN1_tcpmon_ts_11'!A211</f>
        <v xml:space="preserve">R38 </v>
      </c>
      <c r="B211">
        <f t="shared" si="0"/>
        <v>211</v>
      </c>
      <c r="C211" cm="1">
        <f t="array" aca="1" ref="C211" ca="1">INDIRECT(ADDRESS($B211,Plots!$H$3,,,Plots!$A$47))</f>
        <v>0</v>
      </c>
      <c r="D211" cm="1">
        <f t="array" aca="1" ref="D211" ca="1">INDIRECT(ADDRESS($B211,Plots!$H$3,,,Plots!$A$48))+INDIRECT(ADDRESS($B211,Plots!$H$3,,,Plots!$A$49))</f>
        <v>0</v>
      </c>
      <c r="E211" cm="1">
        <f t="array" aca="1" ref="E211" ca="1">INDIRECT(ADDRESS($B211,Plots!$H$3,,,Plots!$A$50))+INDIRECT(ADDRESS($B211,Plots!$H$3,,,Plots!$A$51))+INDIRECT(ADDRESS($B211,Plots!$H$3,,,Plots!$A$52))</f>
        <v>0</v>
      </c>
      <c r="F211" cm="1">
        <f t="array" aca="1" ref="F211" ca="1">INDIRECT(ADDRESS($B211,Plots!$H$3,,,Plots!$A$53))+INDIRECT(ADDRESS($B211,Plots!$H$3,,,Plots!$A$54))+INDIRECT(ADDRESS($B211,Plots!$H$3,,,Plots!$A$55))+INDIRECT(ADDRESS($B211,Plots!$H$3,,,Plots!$A$56))</f>
        <v>0</v>
      </c>
      <c r="G211" cm="1">
        <f t="array" aca="1" ref="G211" ca="1">INDIRECT(ADDRESS($B211,Plots!$H$3,,,Plots!$A$57))+INDIRECT(ADDRESS($B211,Plots!$H$3,,,Plots!$A$58))+INDIRECT(ADDRESS($B211,Plots!$H$3,,,Plots!$A$59))+INDIRECT(ADDRESS($B211,Plots!$H$3,,,Plots!$A$60))+INDIRECT(ADDRESS($B211,Plots!$H$3,,,Plots!$A$61))</f>
        <v>0</v>
      </c>
      <c r="H211" cm="1">
        <f t="array" aca="1" ref="H211" ca="1">INDIRECT(ADDRESS($B211,Plots!$H$3,,,Plots!$A$62))+INDIRECT(ADDRESS($B211,Plots!$H$3,,,Plots!$A$63))+INDIRECT(ADDRESS($B211,Plots!$H$3,,,Plots!$A$64))+INDIRECT(ADDRESS($B211,Plots!$H$3,,,Plots!$A$65))+INDIRECT(ADDRESS($B211,Plots!$H$3,,,Plots!$A$66))+INDIRECT(ADDRESS($B211,Plots!$H$3,,,Plots!$A$67))</f>
        <v>0</v>
      </c>
      <c r="I211">
        <f>'AARnetCBR-CamDTN1_tcpmon_ts_81'!H215+'AARnetCBR-CamDTN1_tcpmon_ts_82'!H215+'AARnetCBR-CamDTN1_tcpmon_ts_83'!H215+'AARnetCBR-CamDTN1_tcpmon_ts_84'!H215+'AARnetCBR-CamDTN1_tcpmon_ts_85'!H215+'AARnetCBR-CamDTN1_tcpmon_ts_86'!H215+'AARnetCBR-CamDTN1_tcpmon_ts_87'!H215+'AARnetCBR-CamDTN1_tcpmon_ts_88'!H215</f>
        <v>0</v>
      </c>
      <c r="L211" cm="1">
        <f t="array" aca="1" ref="L211" ca="1">INDIRECT(ADDRESS($B211,Plots!$H$4,,,Plots!$A$47))</f>
        <v>0</v>
      </c>
      <c r="M211" cm="1">
        <f t="array" aca="1" ref="M211" ca="1">INDIRECT(ADDRESS($B211,Plots!$H$4,,,Plots!$A$48))+INDIRECT(ADDRESS($B211,Plots!$H$4,,,Plots!$A$49))</f>
        <v>0</v>
      </c>
      <c r="N211" cm="1">
        <f t="array" aca="1" ref="N211" ca="1">INDIRECT(ADDRESS($B211,Plots!$H$4,,,Plots!$A$50))+INDIRECT(ADDRESS($B211,Plots!$H$4,,,Plots!$A$51))+INDIRECT(ADDRESS($B211,Plots!$H$4,,,Plots!$A$52))</f>
        <v>21</v>
      </c>
      <c r="O211" cm="1">
        <f t="array" aca="1" ref="O211" ca="1">INDIRECT(ADDRESS($B211,Plots!$H$4,,,Plots!$A$53))+INDIRECT(ADDRESS($B211,Plots!$H$4,,,Plots!$A$54))+INDIRECT(ADDRESS($B211,Plots!$H$4,,,Plots!$A$55))+INDIRECT(ADDRESS($B211,Plots!$H$4,,,Plots!$A$56))</f>
        <v>0</v>
      </c>
      <c r="P211" cm="1">
        <f t="array" aca="1" ref="P211" ca="1">INDIRECT(ADDRESS($B211,Plots!$H$4,,,Plots!$A$57))+INDIRECT(ADDRESS($B211,Plots!$H$4,,,Plots!$A$58))+INDIRECT(ADDRESS($B211,Plots!$H$4,,,Plots!$A$59))+INDIRECT(ADDRESS($B211,Plots!$H$4,,,Plots!$A$60))+INDIRECT(ADDRESS($B211,Plots!$H$4,,,Plots!$A$61))</f>
        <v>0</v>
      </c>
      <c r="Q211" cm="1">
        <f t="array" aca="1" ref="Q211" ca="1">INDIRECT(ADDRESS($B211,Plots!$H$4,,,Plots!$A$62))+INDIRECT(ADDRESS($B211,Plots!$H$4,,,Plots!$A$63))+INDIRECT(ADDRESS($B211,Plots!$H$4,,,Plots!$A$64))+INDIRECT(ADDRESS($B211,Plots!$H$4,,,Plots!$A$65))+INDIRECT(ADDRESS($B211,Plots!$H$4,,,Plots!$A$66))+INDIRECT(ADDRESS($B211,Plots!$H$4,,,Plots!$A$67))</f>
        <v>0</v>
      </c>
    </row>
    <row r="212" spans="1:17">
      <c r="A212" t="str">
        <f>'AARnetCBR-CamDTN1_tcpmon_ts_11'!A212</f>
        <v xml:space="preserve">R39 </v>
      </c>
      <c r="B212">
        <f t="shared" si="0"/>
        <v>212</v>
      </c>
      <c r="C212" cm="1">
        <f t="array" aca="1" ref="C212" ca="1">INDIRECT(ADDRESS($B212,Plots!$H$3,,,Plots!$A$47))</f>
        <v>0</v>
      </c>
      <c r="D212" cm="1">
        <f t="array" aca="1" ref="D212" ca="1">INDIRECT(ADDRESS($B212,Plots!$H$3,,,Plots!$A$48))+INDIRECT(ADDRESS($B212,Plots!$H$3,,,Plots!$A$49))</f>
        <v>0</v>
      </c>
      <c r="E212" cm="1">
        <f t="array" aca="1" ref="E212" ca="1">INDIRECT(ADDRESS($B212,Plots!$H$3,,,Plots!$A$50))+INDIRECT(ADDRESS($B212,Plots!$H$3,,,Plots!$A$51))+INDIRECT(ADDRESS($B212,Plots!$H$3,,,Plots!$A$52))</f>
        <v>0</v>
      </c>
      <c r="F212" cm="1">
        <f t="array" aca="1" ref="F212" ca="1">INDIRECT(ADDRESS($B212,Plots!$H$3,,,Plots!$A$53))+INDIRECT(ADDRESS($B212,Plots!$H$3,,,Plots!$A$54))+INDIRECT(ADDRESS($B212,Plots!$H$3,,,Plots!$A$55))+INDIRECT(ADDRESS($B212,Plots!$H$3,,,Plots!$A$56))</f>
        <v>0</v>
      </c>
      <c r="G212" cm="1">
        <f t="array" aca="1" ref="G212" ca="1">INDIRECT(ADDRESS($B212,Plots!$H$3,,,Plots!$A$57))+INDIRECT(ADDRESS($B212,Plots!$H$3,,,Plots!$A$58))+INDIRECT(ADDRESS($B212,Plots!$H$3,,,Plots!$A$59))+INDIRECT(ADDRESS($B212,Plots!$H$3,,,Plots!$A$60))+INDIRECT(ADDRESS($B212,Plots!$H$3,,,Plots!$A$61))</f>
        <v>0</v>
      </c>
      <c r="H212" cm="1">
        <f t="array" aca="1" ref="H212" ca="1">INDIRECT(ADDRESS($B212,Plots!$H$3,,,Plots!$A$62))+INDIRECT(ADDRESS($B212,Plots!$H$3,,,Plots!$A$63))+INDIRECT(ADDRESS($B212,Plots!$H$3,,,Plots!$A$64))+INDIRECT(ADDRESS($B212,Plots!$H$3,,,Plots!$A$65))+INDIRECT(ADDRESS($B212,Plots!$H$3,,,Plots!$A$66))+INDIRECT(ADDRESS($B212,Plots!$H$3,,,Plots!$A$67))</f>
        <v>0</v>
      </c>
      <c r="I212">
        <f>'AARnetCBR-CamDTN1_tcpmon_ts_81'!H216+'AARnetCBR-CamDTN1_tcpmon_ts_82'!H216+'AARnetCBR-CamDTN1_tcpmon_ts_83'!H216+'AARnetCBR-CamDTN1_tcpmon_ts_84'!H216+'AARnetCBR-CamDTN1_tcpmon_ts_85'!H216+'AARnetCBR-CamDTN1_tcpmon_ts_86'!H216+'AARnetCBR-CamDTN1_tcpmon_ts_87'!H216+'AARnetCBR-CamDTN1_tcpmon_ts_88'!H216</f>
        <v>0</v>
      </c>
      <c r="L212" cm="1">
        <f t="array" aca="1" ref="L212" ca="1">INDIRECT(ADDRESS($B212,Plots!$H$4,,,Plots!$A$47))</f>
        <v>0</v>
      </c>
      <c r="M212" cm="1">
        <f t="array" aca="1" ref="M212" ca="1">INDIRECT(ADDRESS($B212,Plots!$H$4,,,Plots!$A$48))+INDIRECT(ADDRESS($B212,Plots!$H$4,,,Plots!$A$49))</f>
        <v>0</v>
      </c>
      <c r="N212" cm="1">
        <f t="array" aca="1" ref="N212" ca="1">INDIRECT(ADDRESS($B212,Plots!$H$4,,,Plots!$A$50))+INDIRECT(ADDRESS($B212,Plots!$H$4,,,Plots!$A$51))+INDIRECT(ADDRESS($B212,Plots!$H$4,,,Plots!$A$52))</f>
        <v>0</v>
      </c>
      <c r="O212" cm="1">
        <f t="array" aca="1" ref="O212" ca="1">INDIRECT(ADDRESS($B212,Plots!$H$4,,,Plots!$A$53))+INDIRECT(ADDRESS($B212,Plots!$H$4,,,Plots!$A$54))+INDIRECT(ADDRESS($B212,Plots!$H$4,,,Plots!$A$55))+INDIRECT(ADDRESS($B212,Plots!$H$4,,,Plots!$A$56))</f>
        <v>0</v>
      </c>
      <c r="P212" cm="1">
        <f t="array" aca="1" ref="P212" ca="1">INDIRECT(ADDRESS($B212,Plots!$H$4,,,Plots!$A$57))+INDIRECT(ADDRESS($B212,Plots!$H$4,,,Plots!$A$58))+INDIRECT(ADDRESS($B212,Plots!$H$4,,,Plots!$A$59))+INDIRECT(ADDRESS($B212,Plots!$H$4,,,Plots!$A$60))+INDIRECT(ADDRESS($B212,Plots!$H$4,,,Plots!$A$61))</f>
        <v>0</v>
      </c>
      <c r="Q212" cm="1">
        <f t="array" aca="1" ref="Q212" ca="1">INDIRECT(ADDRESS($B212,Plots!$H$4,,,Plots!$A$62))+INDIRECT(ADDRESS($B212,Plots!$H$4,,,Plots!$A$63))+INDIRECT(ADDRESS($B212,Plots!$H$4,,,Plots!$A$64))+INDIRECT(ADDRESS($B212,Plots!$H$4,,,Plots!$A$65))+INDIRECT(ADDRESS($B212,Plots!$H$4,,,Plots!$A$66))+INDIRECT(ADDRESS($B212,Plots!$H$4,,,Plots!$A$67))</f>
        <v>0</v>
      </c>
    </row>
    <row r="213" spans="1:17">
      <c r="A213" t="str">
        <f>'AARnetCBR-CamDTN1_tcpmon_ts_11'!A213</f>
        <v xml:space="preserve">R40 </v>
      </c>
      <c r="B213">
        <f t="shared" si="0"/>
        <v>213</v>
      </c>
      <c r="C213" cm="1">
        <f t="array" aca="1" ref="C213" ca="1">INDIRECT(ADDRESS($B213,Plots!$H$3,,,Plots!$A$47))</f>
        <v>0</v>
      </c>
      <c r="D213" cm="1">
        <f t="array" aca="1" ref="D213" ca="1">INDIRECT(ADDRESS($B213,Plots!$H$3,,,Plots!$A$48))+INDIRECT(ADDRESS($B213,Plots!$H$3,,,Plots!$A$49))</f>
        <v>0</v>
      </c>
      <c r="E213" cm="1">
        <f t="array" aca="1" ref="E213" ca="1">INDIRECT(ADDRESS($B213,Plots!$H$3,,,Plots!$A$50))+INDIRECT(ADDRESS($B213,Plots!$H$3,,,Plots!$A$51))+INDIRECT(ADDRESS($B213,Plots!$H$3,,,Plots!$A$52))</f>
        <v>0</v>
      </c>
      <c r="F213" cm="1">
        <f t="array" aca="1" ref="F213" ca="1">INDIRECT(ADDRESS($B213,Plots!$H$3,,,Plots!$A$53))+INDIRECT(ADDRESS($B213,Plots!$H$3,,,Plots!$A$54))+INDIRECT(ADDRESS($B213,Plots!$H$3,,,Plots!$A$55))+INDIRECT(ADDRESS($B213,Plots!$H$3,,,Plots!$A$56))</f>
        <v>0</v>
      </c>
      <c r="G213" cm="1">
        <f t="array" aca="1" ref="G213" ca="1">INDIRECT(ADDRESS($B213,Plots!$H$3,,,Plots!$A$57))+INDIRECT(ADDRESS($B213,Plots!$H$3,,,Plots!$A$58))+INDIRECT(ADDRESS($B213,Plots!$H$3,,,Plots!$A$59))+INDIRECT(ADDRESS($B213,Plots!$H$3,,,Plots!$A$60))+INDIRECT(ADDRESS($B213,Plots!$H$3,,,Plots!$A$61))</f>
        <v>0</v>
      </c>
      <c r="H213" cm="1">
        <f t="array" aca="1" ref="H213" ca="1">INDIRECT(ADDRESS($B213,Plots!$H$3,,,Plots!$A$62))+INDIRECT(ADDRESS($B213,Plots!$H$3,,,Plots!$A$63))+INDIRECT(ADDRESS($B213,Plots!$H$3,,,Plots!$A$64))+INDIRECT(ADDRESS($B213,Plots!$H$3,,,Plots!$A$65))+INDIRECT(ADDRESS($B213,Plots!$H$3,,,Plots!$A$66))+INDIRECT(ADDRESS($B213,Plots!$H$3,,,Plots!$A$67))</f>
        <v>0</v>
      </c>
      <c r="I213">
        <f>'AARnetCBR-CamDTN1_tcpmon_ts_81'!H217+'AARnetCBR-CamDTN1_tcpmon_ts_82'!H217+'AARnetCBR-CamDTN1_tcpmon_ts_83'!H217+'AARnetCBR-CamDTN1_tcpmon_ts_84'!H217+'AARnetCBR-CamDTN1_tcpmon_ts_85'!H217+'AARnetCBR-CamDTN1_tcpmon_ts_86'!H217+'AARnetCBR-CamDTN1_tcpmon_ts_87'!H217+'AARnetCBR-CamDTN1_tcpmon_ts_88'!H217</f>
        <v>0</v>
      </c>
      <c r="L213" cm="1">
        <f t="array" aca="1" ref="L213" ca="1">INDIRECT(ADDRESS($B213,Plots!$H$4,,,Plots!$A$47))</f>
        <v>0</v>
      </c>
      <c r="M213" cm="1">
        <f t="array" aca="1" ref="M213" ca="1">INDIRECT(ADDRESS($B213,Plots!$H$4,,,Plots!$A$48))+INDIRECT(ADDRESS($B213,Plots!$H$4,,,Plots!$A$49))</f>
        <v>0</v>
      </c>
      <c r="N213" cm="1">
        <f t="array" aca="1" ref="N213" ca="1">INDIRECT(ADDRESS($B213,Plots!$H$4,,,Plots!$A$50))+INDIRECT(ADDRESS($B213,Plots!$H$4,,,Plots!$A$51))+INDIRECT(ADDRESS($B213,Plots!$H$4,,,Plots!$A$52))</f>
        <v>0</v>
      </c>
      <c r="O213" cm="1">
        <f t="array" aca="1" ref="O213" ca="1">INDIRECT(ADDRESS($B213,Plots!$H$4,,,Plots!$A$53))+INDIRECT(ADDRESS($B213,Plots!$H$4,,,Plots!$A$54))+INDIRECT(ADDRESS($B213,Plots!$H$4,,,Plots!$A$55))+INDIRECT(ADDRESS($B213,Plots!$H$4,,,Plots!$A$56))</f>
        <v>0</v>
      </c>
      <c r="P213" cm="1">
        <f t="array" aca="1" ref="P213" ca="1">INDIRECT(ADDRESS($B213,Plots!$H$4,,,Plots!$A$57))+INDIRECT(ADDRESS($B213,Plots!$H$4,,,Plots!$A$58))+INDIRECT(ADDRESS($B213,Plots!$H$4,,,Plots!$A$59))+INDIRECT(ADDRESS($B213,Plots!$H$4,,,Plots!$A$60))+INDIRECT(ADDRESS($B213,Plots!$H$4,,,Plots!$A$61))</f>
        <v>0</v>
      </c>
      <c r="Q213" cm="1">
        <f t="array" aca="1" ref="Q213" ca="1">INDIRECT(ADDRESS($B213,Plots!$H$4,,,Plots!$A$62))+INDIRECT(ADDRESS($B213,Plots!$H$4,,,Plots!$A$63))+INDIRECT(ADDRESS($B213,Plots!$H$4,,,Plots!$A$64))+INDIRECT(ADDRESS($B213,Plots!$H$4,,,Plots!$A$65))+INDIRECT(ADDRESS($B213,Plots!$H$4,,,Plots!$A$66))+INDIRECT(ADDRESS($B213,Plots!$H$4,,,Plots!$A$67))</f>
        <v>0</v>
      </c>
    </row>
    <row r="214" spans="1:17">
      <c r="A214" t="str">
        <f>'AARnetCBR-CamDTN1_tcpmon_ts_11'!A214</f>
        <v xml:space="preserve">R41 </v>
      </c>
      <c r="B214">
        <f t="shared" si="0"/>
        <v>214</v>
      </c>
      <c r="C214" cm="1">
        <f t="array" aca="1" ref="C214" ca="1">INDIRECT(ADDRESS($B214,Plots!$H$3,,,Plots!$A$47))</f>
        <v>0</v>
      </c>
      <c r="D214" cm="1">
        <f t="array" aca="1" ref="D214" ca="1">INDIRECT(ADDRESS($B214,Plots!$H$3,,,Plots!$A$48))+INDIRECT(ADDRESS($B214,Plots!$H$3,,,Plots!$A$49))</f>
        <v>0</v>
      </c>
      <c r="E214" cm="1">
        <f t="array" aca="1" ref="E214" ca="1">INDIRECT(ADDRESS($B214,Plots!$H$3,,,Plots!$A$50))+INDIRECT(ADDRESS($B214,Plots!$H$3,,,Plots!$A$51))+INDIRECT(ADDRESS($B214,Plots!$H$3,,,Plots!$A$52))</f>
        <v>0</v>
      </c>
      <c r="F214" cm="1">
        <f t="array" aca="1" ref="F214" ca="1">INDIRECT(ADDRESS($B214,Plots!$H$3,,,Plots!$A$53))+INDIRECT(ADDRESS($B214,Plots!$H$3,,,Plots!$A$54))+INDIRECT(ADDRESS($B214,Plots!$H$3,,,Plots!$A$55))+INDIRECT(ADDRESS($B214,Plots!$H$3,,,Plots!$A$56))</f>
        <v>0</v>
      </c>
      <c r="G214" cm="1">
        <f t="array" aca="1" ref="G214" ca="1">INDIRECT(ADDRESS($B214,Plots!$H$3,,,Plots!$A$57))+INDIRECT(ADDRESS($B214,Plots!$H$3,,,Plots!$A$58))+INDIRECT(ADDRESS($B214,Plots!$H$3,,,Plots!$A$59))+INDIRECT(ADDRESS($B214,Plots!$H$3,,,Plots!$A$60))+INDIRECT(ADDRESS($B214,Plots!$H$3,,,Plots!$A$61))</f>
        <v>0</v>
      </c>
      <c r="H214" cm="1">
        <f t="array" aca="1" ref="H214" ca="1">INDIRECT(ADDRESS($B214,Plots!$H$3,,,Plots!$A$62))+INDIRECT(ADDRESS($B214,Plots!$H$3,,,Plots!$A$63))+INDIRECT(ADDRESS($B214,Plots!$H$3,,,Plots!$A$64))+INDIRECT(ADDRESS($B214,Plots!$H$3,,,Plots!$A$65))+INDIRECT(ADDRESS($B214,Plots!$H$3,,,Plots!$A$66))+INDIRECT(ADDRESS($B214,Plots!$H$3,,,Plots!$A$67))</f>
        <v>0</v>
      </c>
      <c r="I214">
        <f>'AARnetCBR-CamDTN1_tcpmon_ts_81'!H218+'AARnetCBR-CamDTN1_tcpmon_ts_82'!H218+'AARnetCBR-CamDTN1_tcpmon_ts_83'!H218+'AARnetCBR-CamDTN1_tcpmon_ts_84'!H218+'AARnetCBR-CamDTN1_tcpmon_ts_85'!H218+'AARnetCBR-CamDTN1_tcpmon_ts_86'!H218+'AARnetCBR-CamDTN1_tcpmon_ts_87'!H218+'AARnetCBR-CamDTN1_tcpmon_ts_88'!H218</f>
        <v>0</v>
      </c>
      <c r="L214" cm="1">
        <f t="array" aca="1" ref="L214" ca="1">INDIRECT(ADDRESS($B214,Plots!$H$4,,,Plots!$A$47))</f>
        <v>0</v>
      </c>
      <c r="M214" cm="1">
        <f t="array" aca="1" ref="M214" ca="1">INDIRECT(ADDRESS($B214,Plots!$H$4,,,Plots!$A$48))+INDIRECT(ADDRESS($B214,Plots!$H$4,,,Plots!$A$49))</f>
        <v>0</v>
      </c>
      <c r="N214" cm="1">
        <f t="array" aca="1" ref="N214" ca="1">INDIRECT(ADDRESS($B214,Plots!$H$4,,,Plots!$A$50))+INDIRECT(ADDRESS($B214,Plots!$H$4,,,Plots!$A$51))+INDIRECT(ADDRESS($B214,Plots!$H$4,,,Plots!$A$52))</f>
        <v>0</v>
      </c>
      <c r="O214" cm="1">
        <f t="array" aca="1" ref="O214" ca="1">INDIRECT(ADDRESS($B214,Plots!$H$4,,,Plots!$A$53))+INDIRECT(ADDRESS($B214,Plots!$H$4,,,Plots!$A$54))+INDIRECT(ADDRESS($B214,Plots!$H$4,,,Plots!$A$55))+INDIRECT(ADDRESS($B214,Plots!$H$4,,,Plots!$A$56))</f>
        <v>0</v>
      </c>
      <c r="P214" cm="1">
        <f t="array" aca="1" ref="P214" ca="1">INDIRECT(ADDRESS($B214,Plots!$H$4,,,Plots!$A$57))+INDIRECT(ADDRESS($B214,Plots!$H$4,,,Plots!$A$58))+INDIRECT(ADDRESS($B214,Plots!$H$4,,,Plots!$A$59))+INDIRECT(ADDRESS($B214,Plots!$H$4,,,Plots!$A$60))+INDIRECT(ADDRESS($B214,Plots!$H$4,,,Plots!$A$61))</f>
        <v>0</v>
      </c>
      <c r="Q214" cm="1">
        <f t="array" aca="1" ref="Q214" ca="1">INDIRECT(ADDRESS($B214,Plots!$H$4,,,Plots!$A$62))+INDIRECT(ADDRESS($B214,Plots!$H$4,,,Plots!$A$63))+INDIRECT(ADDRESS($B214,Plots!$H$4,,,Plots!$A$64))+INDIRECT(ADDRESS($B214,Plots!$H$4,,,Plots!$A$65))+INDIRECT(ADDRESS($B214,Plots!$H$4,,,Plots!$A$66))+INDIRECT(ADDRESS($B214,Plots!$H$4,,,Plots!$A$67))</f>
        <v>0</v>
      </c>
    </row>
    <row r="215" spans="1:17">
      <c r="A215" t="str">
        <f>'AARnetCBR-CamDTN1_tcpmon_ts_11'!A215</f>
        <v xml:space="preserve">R42 </v>
      </c>
      <c r="B215">
        <f t="shared" si="0"/>
        <v>215</v>
      </c>
      <c r="C215" cm="1">
        <f t="array" aca="1" ref="C215" ca="1">INDIRECT(ADDRESS($B215,Plots!$H$3,,,Plots!$A$47))</f>
        <v>0</v>
      </c>
      <c r="D215" cm="1">
        <f t="array" aca="1" ref="D215" ca="1">INDIRECT(ADDRESS($B215,Plots!$H$3,,,Plots!$A$48))+INDIRECT(ADDRESS($B215,Plots!$H$3,,,Plots!$A$49))</f>
        <v>0</v>
      </c>
      <c r="E215" cm="1">
        <f t="array" aca="1" ref="E215" ca="1">INDIRECT(ADDRESS($B215,Plots!$H$3,,,Plots!$A$50))+INDIRECT(ADDRESS($B215,Plots!$H$3,,,Plots!$A$51))+INDIRECT(ADDRESS($B215,Plots!$H$3,,,Plots!$A$52))</f>
        <v>0</v>
      </c>
      <c r="F215" cm="1">
        <f t="array" aca="1" ref="F215" ca="1">INDIRECT(ADDRESS($B215,Plots!$H$3,,,Plots!$A$53))+INDIRECT(ADDRESS($B215,Plots!$H$3,,,Plots!$A$54))+INDIRECT(ADDRESS($B215,Plots!$H$3,,,Plots!$A$55))+INDIRECT(ADDRESS($B215,Plots!$H$3,,,Plots!$A$56))</f>
        <v>0</v>
      </c>
      <c r="G215" cm="1">
        <f t="array" aca="1" ref="G215" ca="1">INDIRECT(ADDRESS($B215,Plots!$H$3,,,Plots!$A$57))+INDIRECT(ADDRESS($B215,Plots!$H$3,,,Plots!$A$58))+INDIRECT(ADDRESS($B215,Plots!$H$3,,,Plots!$A$59))+INDIRECT(ADDRESS($B215,Plots!$H$3,,,Plots!$A$60))+INDIRECT(ADDRESS($B215,Plots!$H$3,,,Plots!$A$61))</f>
        <v>0</v>
      </c>
      <c r="H215" cm="1">
        <f t="array" aca="1" ref="H215" ca="1">INDIRECT(ADDRESS($B215,Plots!$H$3,,,Plots!$A$62))+INDIRECT(ADDRESS($B215,Plots!$H$3,,,Plots!$A$63))+INDIRECT(ADDRESS($B215,Plots!$H$3,,,Plots!$A$64))+INDIRECT(ADDRESS($B215,Plots!$H$3,,,Plots!$A$65))+INDIRECT(ADDRESS($B215,Plots!$H$3,,,Plots!$A$66))+INDIRECT(ADDRESS($B215,Plots!$H$3,,,Plots!$A$67))</f>
        <v>0</v>
      </c>
      <c r="I215">
        <f>'AARnetCBR-CamDTN1_tcpmon_ts_81'!H219+'AARnetCBR-CamDTN1_tcpmon_ts_82'!H219+'AARnetCBR-CamDTN1_tcpmon_ts_83'!H219+'AARnetCBR-CamDTN1_tcpmon_ts_84'!H219+'AARnetCBR-CamDTN1_tcpmon_ts_85'!H219+'AARnetCBR-CamDTN1_tcpmon_ts_86'!H219+'AARnetCBR-CamDTN1_tcpmon_ts_87'!H219+'AARnetCBR-CamDTN1_tcpmon_ts_88'!H219</f>
        <v>0</v>
      </c>
      <c r="L215" cm="1">
        <f t="array" aca="1" ref="L215" ca="1">INDIRECT(ADDRESS($B215,Plots!$H$4,,,Plots!$A$47))</f>
        <v>0</v>
      </c>
      <c r="M215" cm="1">
        <f t="array" aca="1" ref="M215" ca="1">INDIRECT(ADDRESS($B215,Plots!$H$4,,,Plots!$A$48))+INDIRECT(ADDRESS($B215,Plots!$H$4,,,Plots!$A$49))</f>
        <v>0</v>
      </c>
      <c r="N215" cm="1">
        <f t="array" aca="1" ref="N215" ca="1">INDIRECT(ADDRESS($B215,Plots!$H$4,,,Plots!$A$50))+INDIRECT(ADDRESS($B215,Plots!$H$4,,,Plots!$A$51))+INDIRECT(ADDRESS($B215,Plots!$H$4,,,Plots!$A$52))</f>
        <v>0</v>
      </c>
      <c r="O215" cm="1">
        <f t="array" aca="1" ref="O215" ca="1">INDIRECT(ADDRESS($B215,Plots!$H$4,,,Plots!$A$53))+INDIRECT(ADDRESS($B215,Plots!$H$4,,,Plots!$A$54))+INDIRECT(ADDRESS($B215,Plots!$H$4,,,Plots!$A$55))+INDIRECT(ADDRESS($B215,Plots!$H$4,,,Plots!$A$56))</f>
        <v>0</v>
      </c>
      <c r="P215" cm="1">
        <f t="array" aca="1" ref="P215" ca="1">INDIRECT(ADDRESS($B215,Plots!$H$4,,,Plots!$A$57))+INDIRECT(ADDRESS($B215,Plots!$H$4,,,Plots!$A$58))+INDIRECT(ADDRESS($B215,Plots!$H$4,,,Plots!$A$59))+INDIRECT(ADDRESS($B215,Plots!$H$4,,,Plots!$A$60))+INDIRECT(ADDRESS($B215,Plots!$H$4,,,Plots!$A$61))</f>
        <v>0</v>
      </c>
      <c r="Q215" cm="1">
        <f t="array" aca="1" ref="Q215" ca="1">INDIRECT(ADDRESS($B215,Plots!$H$4,,,Plots!$A$62))+INDIRECT(ADDRESS($B215,Plots!$H$4,,,Plots!$A$63))+INDIRECT(ADDRESS($B215,Plots!$H$4,,,Plots!$A$64))+INDIRECT(ADDRESS($B215,Plots!$H$4,,,Plots!$A$65))+INDIRECT(ADDRESS($B215,Plots!$H$4,,,Plots!$A$66))+INDIRECT(ADDRESS($B215,Plots!$H$4,,,Plots!$A$67))</f>
        <v>0</v>
      </c>
    </row>
    <row r="216" spans="1:17">
      <c r="A216" t="str">
        <f>'AARnetCBR-CamDTN1_tcpmon_ts_11'!A216</f>
        <v xml:space="preserve">R43 </v>
      </c>
      <c r="B216">
        <f t="shared" si="0"/>
        <v>216</v>
      </c>
      <c r="C216" cm="1">
        <f t="array" aca="1" ref="C216" ca="1">INDIRECT(ADDRESS($B216,Plots!$H$3,,,Plots!$A$47))</f>
        <v>0</v>
      </c>
      <c r="D216" cm="1">
        <f t="array" aca="1" ref="D216" ca="1">INDIRECT(ADDRESS($B216,Plots!$H$3,,,Plots!$A$48))+INDIRECT(ADDRESS($B216,Plots!$H$3,,,Plots!$A$49))</f>
        <v>0</v>
      </c>
      <c r="E216" cm="1">
        <f t="array" aca="1" ref="E216" ca="1">INDIRECT(ADDRESS($B216,Plots!$H$3,,,Plots!$A$50))+INDIRECT(ADDRESS($B216,Plots!$H$3,,,Plots!$A$51))+INDIRECT(ADDRESS($B216,Plots!$H$3,,,Plots!$A$52))</f>
        <v>0</v>
      </c>
      <c r="F216" cm="1">
        <f t="array" aca="1" ref="F216" ca="1">INDIRECT(ADDRESS($B216,Plots!$H$3,,,Plots!$A$53))+INDIRECT(ADDRESS($B216,Plots!$H$3,,,Plots!$A$54))+INDIRECT(ADDRESS($B216,Plots!$H$3,,,Plots!$A$55))+INDIRECT(ADDRESS($B216,Plots!$H$3,,,Plots!$A$56))</f>
        <v>0</v>
      </c>
      <c r="G216" cm="1">
        <f t="array" aca="1" ref="G216" ca="1">INDIRECT(ADDRESS($B216,Plots!$H$3,,,Plots!$A$57))+INDIRECT(ADDRESS($B216,Plots!$H$3,,,Plots!$A$58))+INDIRECT(ADDRESS($B216,Plots!$H$3,,,Plots!$A$59))+INDIRECT(ADDRESS($B216,Plots!$H$3,,,Plots!$A$60))+INDIRECT(ADDRESS($B216,Plots!$H$3,,,Plots!$A$61))</f>
        <v>0</v>
      </c>
      <c r="H216" cm="1">
        <f t="array" aca="1" ref="H216" ca="1">INDIRECT(ADDRESS($B216,Plots!$H$3,,,Plots!$A$62))+INDIRECT(ADDRESS($B216,Plots!$H$3,,,Plots!$A$63))+INDIRECT(ADDRESS($B216,Plots!$H$3,,,Plots!$A$64))+INDIRECT(ADDRESS($B216,Plots!$H$3,,,Plots!$A$65))+INDIRECT(ADDRESS($B216,Plots!$H$3,,,Plots!$A$66))+INDIRECT(ADDRESS($B216,Plots!$H$3,,,Plots!$A$67))</f>
        <v>0</v>
      </c>
      <c r="I216">
        <f>'AARnetCBR-CamDTN1_tcpmon_ts_81'!H220+'AARnetCBR-CamDTN1_tcpmon_ts_82'!H220+'AARnetCBR-CamDTN1_tcpmon_ts_83'!H220+'AARnetCBR-CamDTN1_tcpmon_ts_84'!H220+'AARnetCBR-CamDTN1_tcpmon_ts_85'!H220+'AARnetCBR-CamDTN1_tcpmon_ts_86'!H220+'AARnetCBR-CamDTN1_tcpmon_ts_87'!H220+'AARnetCBR-CamDTN1_tcpmon_ts_88'!H220</f>
        <v>0</v>
      </c>
      <c r="L216" cm="1">
        <f t="array" aca="1" ref="L216" ca="1">INDIRECT(ADDRESS($B216,Plots!$H$4,,,Plots!$A$47))</f>
        <v>0</v>
      </c>
      <c r="M216" cm="1">
        <f t="array" aca="1" ref="M216" ca="1">INDIRECT(ADDRESS($B216,Plots!$H$4,,,Plots!$A$48))+INDIRECT(ADDRESS($B216,Plots!$H$4,,,Plots!$A$49))</f>
        <v>0</v>
      </c>
      <c r="N216" cm="1">
        <f t="array" aca="1" ref="N216" ca="1">INDIRECT(ADDRESS($B216,Plots!$H$4,,,Plots!$A$50))+INDIRECT(ADDRESS($B216,Plots!$H$4,,,Plots!$A$51))+INDIRECT(ADDRESS($B216,Plots!$H$4,,,Plots!$A$52))</f>
        <v>0</v>
      </c>
      <c r="O216" cm="1">
        <f t="array" aca="1" ref="O216" ca="1">INDIRECT(ADDRESS($B216,Plots!$H$4,,,Plots!$A$53))+INDIRECT(ADDRESS($B216,Plots!$H$4,,,Plots!$A$54))+INDIRECT(ADDRESS($B216,Plots!$H$4,,,Plots!$A$55))+INDIRECT(ADDRESS($B216,Plots!$H$4,,,Plots!$A$56))</f>
        <v>0</v>
      </c>
      <c r="P216" cm="1">
        <f t="array" aca="1" ref="P216" ca="1">INDIRECT(ADDRESS($B216,Plots!$H$4,,,Plots!$A$57))+INDIRECT(ADDRESS($B216,Plots!$H$4,,,Plots!$A$58))+INDIRECT(ADDRESS($B216,Plots!$H$4,,,Plots!$A$59))+INDIRECT(ADDRESS($B216,Plots!$H$4,,,Plots!$A$60))+INDIRECT(ADDRESS($B216,Plots!$H$4,,,Plots!$A$61))</f>
        <v>0</v>
      </c>
      <c r="Q216" cm="1">
        <f t="array" aca="1" ref="Q216" ca="1">INDIRECT(ADDRESS($B216,Plots!$H$4,,,Plots!$A$62))+INDIRECT(ADDRESS($B216,Plots!$H$4,,,Plots!$A$63))+INDIRECT(ADDRESS($B216,Plots!$H$4,,,Plots!$A$64))+INDIRECT(ADDRESS($B216,Plots!$H$4,,,Plots!$A$65))+INDIRECT(ADDRESS($B216,Plots!$H$4,,,Plots!$A$66))+INDIRECT(ADDRESS($B216,Plots!$H$4,,,Plots!$A$67))</f>
        <v>0</v>
      </c>
    </row>
    <row r="217" spans="1:17">
      <c r="A217" t="str">
        <f>'AARnetCBR-CamDTN1_tcpmon_ts_11'!A217</f>
        <v xml:space="preserve">R44 </v>
      </c>
      <c r="B217">
        <f t="shared" si="0"/>
        <v>217</v>
      </c>
      <c r="C217" cm="1">
        <f t="array" aca="1" ref="C217" ca="1">INDIRECT(ADDRESS($B217,Plots!$H$3,,,Plots!$A$47))</f>
        <v>0</v>
      </c>
      <c r="D217" cm="1">
        <f t="array" aca="1" ref="D217" ca="1">INDIRECT(ADDRESS($B217,Plots!$H$3,,,Plots!$A$48))+INDIRECT(ADDRESS($B217,Plots!$H$3,,,Plots!$A$49))</f>
        <v>0</v>
      </c>
      <c r="E217" cm="1">
        <f t="array" aca="1" ref="E217" ca="1">INDIRECT(ADDRESS($B217,Plots!$H$3,,,Plots!$A$50))+INDIRECT(ADDRESS($B217,Plots!$H$3,,,Plots!$A$51))+INDIRECT(ADDRESS($B217,Plots!$H$3,,,Plots!$A$52))</f>
        <v>0</v>
      </c>
      <c r="F217" cm="1">
        <f t="array" aca="1" ref="F217" ca="1">INDIRECT(ADDRESS($B217,Plots!$H$3,,,Plots!$A$53))+INDIRECT(ADDRESS($B217,Plots!$H$3,,,Plots!$A$54))+INDIRECT(ADDRESS($B217,Plots!$H$3,,,Plots!$A$55))+INDIRECT(ADDRESS($B217,Plots!$H$3,,,Plots!$A$56))</f>
        <v>0</v>
      </c>
      <c r="G217" cm="1">
        <f t="array" aca="1" ref="G217" ca="1">INDIRECT(ADDRESS($B217,Plots!$H$3,,,Plots!$A$57))+INDIRECT(ADDRESS($B217,Plots!$H$3,,,Plots!$A$58))+INDIRECT(ADDRESS($B217,Plots!$H$3,,,Plots!$A$59))+INDIRECT(ADDRESS($B217,Plots!$H$3,,,Plots!$A$60))+INDIRECT(ADDRESS($B217,Plots!$H$3,,,Plots!$A$61))</f>
        <v>0</v>
      </c>
      <c r="H217" cm="1">
        <f t="array" aca="1" ref="H217" ca="1">INDIRECT(ADDRESS($B217,Plots!$H$3,,,Plots!$A$62))+INDIRECT(ADDRESS($B217,Plots!$H$3,,,Plots!$A$63))+INDIRECT(ADDRESS($B217,Plots!$H$3,,,Plots!$A$64))+INDIRECT(ADDRESS($B217,Plots!$H$3,,,Plots!$A$65))+INDIRECT(ADDRESS($B217,Plots!$H$3,,,Plots!$A$66))+INDIRECT(ADDRESS($B217,Plots!$H$3,,,Plots!$A$67))</f>
        <v>0</v>
      </c>
      <c r="I217">
        <f>'AARnetCBR-CamDTN1_tcpmon_ts_81'!H221+'AARnetCBR-CamDTN1_tcpmon_ts_82'!H221+'AARnetCBR-CamDTN1_tcpmon_ts_83'!H221+'AARnetCBR-CamDTN1_tcpmon_ts_84'!H221+'AARnetCBR-CamDTN1_tcpmon_ts_85'!H221+'AARnetCBR-CamDTN1_tcpmon_ts_86'!H221+'AARnetCBR-CamDTN1_tcpmon_ts_87'!H221+'AARnetCBR-CamDTN1_tcpmon_ts_88'!H221</f>
        <v>0</v>
      </c>
      <c r="L217" cm="1">
        <f t="array" aca="1" ref="L217" ca="1">INDIRECT(ADDRESS($B217,Plots!$H$4,,,Plots!$A$47))</f>
        <v>0</v>
      </c>
      <c r="M217" cm="1">
        <f t="array" aca="1" ref="M217" ca="1">INDIRECT(ADDRESS($B217,Plots!$H$4,,,Plots!$A$48))+INDIRECT(ADDRESS($B217,Plots!$H$4,,,Plots!$A$49))</f>
        <v>0</v>
      </c>
      <c r="N217" cm="1">
        <f t="array" aca="1" ref="N217" ca="1">INDIRECT(ADDRESS($B217,Plots!$H$4,,,Plots!$A$50))+INDIRECT(ADDRESS($B217,Plots!$H$4,,,Plots!$A$51))+INDIRECT(ADDRESS($B217,Plots!$H$4,,,Plots!$A$52))</f>
        <v>0</v>
      </c>
      <c r="O217" cm="1">
        <f t="array" aca="1" ref="O217" ca="1">INDIRECT(ADDRESS($B217,Plots!$H$4,,,Plots!$A$53))+INDIRECT(ADDRESS($B217,Plots!$H$4,,,Plots!$A$54))+INDIRECT(ADDRESS($B217,Plots!$H$4,,,Plots!$A$55))+INDIRECT(ADDRESS($B217,Plots!$H$4,,,Plots!$A$56))</f>
        <v>0</v>
      </c>
      <c r="P217" cm="1">
        <f t="array" aca="1" ref="P217" ca="1">INDIRECT(ADDRESS($B217,Plots!$H$4,,,Plots!$A$57))+INDIRECT(ADDRESS($B217,Plots!$H$4,,,Plots!$A$58))+INDIRECT(ADDRESS($B217,Plots!$H$4,,,Plots!$A$59))+INDIRECT(ADDRESS($B217,Plots!$H$4,,,Plots!$A$60))+INDIRECT(ADDRESS($B217,Plots!$H$4,,,Plots!$A$61))</f>
        <v>0</v>
      </c>
      <c r="Q217" cm="1">
        <f t="array" aca="1" ref="Q217" ca="1">INDIRECT(ADDRESS($B217,Plots!$H$4,,,Plots!$A$62))+INDIRECT(ADDRESS($B217,Plots!$H$4,,,Plots!$A$63))+INDIRECT(ADDRESS($B217,Plots!$H$4,,,Plots!$A$64))+INDIRECT(ADDRESS($B217,Plots!$H$4,,,Plots!$A$65))+INDIRECT(ADDRESS($B217,Plots!$H$4,,,Plots!$A$66))+INDIRECT(ADDRESS($B217,Plots!$H$4,,,Plots!$A$67))</f>
        <v>0</v>
      </c>
    </row>
    <row r="218" spans="1:17">
      <c r="A218" t="str">
        <f>'AARnetCBR-CamDTN1_tcpmon_ts_11'!A218</f>
        <v xml:space="preserve">R45 </v>
      </c>
      <c r="B218">
        <f t="shared" si="0"/>
        <v>218</v>
      </c>
      <c r="C218" cm="1">
        <f t="array" aca="1" ref="C218" ca="1">INDIRECT(ADDRESS($B218,Plots!$H$3,,,Plots!$A$47))</f>
        <v>0</v>
      </c>
      <c r="D218" cm="1">
        <f t="array" aca="1" ref="D218" ca="1">INDIRECT(ADDRESS($B218,Plots!$H$3,,,Plots!$A$48))+INDIRECT(ADDRESS($B218,Plots!$H$3,,,Plots!$A$49))</f>
        <v>0</v>
      </c>
      <c r="E218" cm="1">
        <f t="array" aca="1" ref="E218" ca="1">INDIRECT(ADDRESS($B218,Plots!$H$3,,,Plots!$A$50))+INDIRECT(ADDRESS($B218,Plots!$H$3,,,Plots!$A$51))+INDIRECT(ADDRESS($B218,Plots!$H$3,,,Plots!$A$52))</f>
        <v>0</v>
      </c>
      <c r="F218" cm="1">
        <f t="array" aca="1" ref="F218" ca="1">INDIRECT(ADDRESS($B218,Plots!$H$3,,,Plots!$A$53))+INDIRECT(ADDRESS($B218,Plots!$H$3,,,Plots!$A$54))+INDIRECT(ADDRESS($B218,Plots!$H$3,,,Plots!$A$55))+INDIRECT(ADDRESS($B218,Plots!$H$3,,,Plots!$A$56))</f>
        <v>0</v>
      </c>
      <c r="G218" cm="1">
        <f t="array" aca="1" ref="G218" ca="1">INDIRECT(ADDRESS($B218,Plots!$H$3,,,Plots!$A$57))+INDIRECT(ADDRESS($B218,Plots!$H$3,,,Plots!$A$58))+INDIRECT(ADDRESS($B218,Plots!$H$3,,,Plots!$A$59))+INDIRECT(ADDRESS($B218,Plots!$H$3,,,Plots!$A$60))+INDIRECT(ADDRESS($B218,Plots!$H$3,,,Plots!$A$61))</f>
        <v>0</v>
      </c>
      <c r="H218" cm="1">
        <f t="array" aca="1" ref="H218" ca="1">INDIRECT(ADDRESS($B218,Plots!$H$3,,,Plots!$A$62))+INDIRECT(ADDRESS($B218,Plots!$H$3,,,Plots!$A$63))+INDIRECT(ADDRESS($B218,Plots!$H$3,,,Plots!$A$64))+INDIRECT(ADDRESS($B218,Plots!$H$3,,,Plots!$A$65))+INDIRECT(ADDRESS($B218,Plots!$H$3,,,Plots!$A$66))+INDIRECT(ADDRESS($B218,Plots!$H$3,,,Plots!$A$67))</f>
        <v>0</v>
      </c>
      <c r="I218">
        <f>'AARnetCBR-CamDTN1_tcpmon_ts_81'!H222+'AARnetCBR-CamDTN1_tcpmon_ts_82'!H222+'AARnetCBR-CamDTN1_tcpmon_ts_83'!H222+'AARnetCBR-CamDTN1_tcpmon_ts_84'!H222+'AARnetCBR-CamDTN1_tcpmon_ts_85'!H222+'AARnetCBR-CamDTN1_tcpmon_ts_86'!H222+'AARnetCBR-CamDTN1_tcpmon_ts_87'!H222+'AARnetCBR-CamDTN1_tcpmon_ts_88'!H222</f>
        <v>0</v>
      </c>
      <c r="L218" cm="1">
        <f t="array" aca="1" ref="L218" ca="1">INDIRECT(ADDRESS($B218,Plots!$H$4,,,Plots!$A$47))</f>
        <v>0</v>
      </c>
      <c r="M218" cm="1">
        <f t="array" aca="1" ref="M218" ca="1">INDIRECT(ADDRESS($B218,Plots!$H$4,,,Plots!$A$48))+INDIRECT(ADDRESS($B218,Plots!$H$4,,,Plots!$A$49))</f>
        <v>0</v>
      </c>
      <c r="N218" cm="1">
        <f t="array" aca="1" ref="N218" ca="1">INDIRECT(ADDRESS($B218,Plots!$H$4,,,Plots!$A$50))+INDIRECT(ADDRESS($B218,Plots!$H$4,,,Plots!$A$51))+INDIRECT(ADDRESS($B218,Plots!$H$4,,,Plots!$A$52))</f>
        <v>0</v>
      </c>
      <c r="O218" cm="1">
        <f t="array" aca="1" ref="O218" ca="1">INDIRECT(ADDRESS($B218,Plots!$H$4,,,Plots!$A$53))+INDIRECT(ADDRESS($B218,Plots!$H$4,,,Plots!$A$54))+INDIRECT(ADDRESS($B218,Plots!$H$4,,,Plots!$A$55))+INDIRECT(ADDRESS($B218,Plots!$H$4,,,Plots!$A$56))</f>
        <v>0</v>
      </c>
      <c r="P218" cm="1">
        <f t="array" aca="1" ref="P218" ca="1">INDIRECT(ADDRESS($B218,Plots!$H$4,,,Plots!$A$57))+INDIRECT(ADDRESS($B218,Plots!$H$4,,,Plots!$A$58))+INDIRECT(ADDRESS($B218,Plots!$H$4,,,Plots!$A$59))+INDIRECT(ADDRESS($B218,Plots!$H$4,,,Plots!$A$60))+INDIRECT(ADDRESS($B218,Plots!$H$4,,,Plots!$A$61))</f>
        <v>0</v>
      </c>
      <c r="Q218" cm="1">
        <f t="array" aca="1" ref="Q218" ca="1">INDIRECT(ADDRESS($B218,Plots!$H$4,,,Plots!$A$62))+INDIRECT(ADDRESS($B218,Plots!$H$4,,,Plots!$A$63))+INDIRECT(ADDRESS($B218,Plots!$H$4,,,Plots!$A$64))+INDIRECT(ADDRESS($B218,Plots!$H$4,,,Plots!$A$65))+INDIRECT(ADDRESS($B218,Plots!$H$4,,,Plots!$A$66))+INDIRECT(ADDRESS($B218,Plots!$H$4,,,Plots!$A$67))</f>
        <v>0</v>
      </c>
    </row>
    <row r="219" spans="1:17">
      <c r="A219" t="str">
        <f>'AARnetCBR-CamDTN1_tcpmon_ts_11'!A219</f>
        <v xml:space="preserve">R46 </v>
      </c>
      <c r="B219">
        <f t="shared" si="0"/>
        <v>219</v>
      </c>
      <c r="C219" cm="1">
        <f t="array" aca="1" ref="C219" ca="1">INDIRECT(ADDRESS($B219,Plots!$H$3,,,Plots!$A$47))</f>
        <v>0</v>
      </c>
      <c r="D219" cm="1">
        <f t="array" aca="1" ref="D219" ca="1">INDIRECT(ADDRESS($B219,Plots!$H$3,,,Plots!$A$48))+INDIRECT(ADDRESS($B219,Plots!$H$3,,,Plots!$A$49))</f>
        <v>0</v>
      </c>
      <c r="E219" cm="1">
        <f t="array" aca="1" ref="E219" ca="1">INDIRECT(ADDRESS($B219,Plots!$H$3,,,Plots!$A$50))+INDIRECT(ADDRESS($B219,Plots!$H$3,,,Plots!$A$51))+INDIRECT(ADDRESS($B219,Plots!$H$3,,,Plots!$A$52))</f>
        <v>0</v>
      </c>
      <c r="F219" cm="1">
        <f t="array" aca="1" ref="F219" ca="1">INDIRECT(ADDRESS($B219,Plots!$H$3,,,Plots!$A$53))+INDIRECT(ADDRESS($B219,Plots!$H$3,,,Plots!$A$54))+INDIRECT(ADDRESS($B219,Plots!$H$3,,,Plots!$A$55))+INDIRECT(ADDRESS($B219,Plots!$H$3,,,Plots!$A$56))</f>
        <v>0</v>
      </c>
      <c r="G219" cm="1">
        <f t="array" aca="1" ref="G219" ca="1">INDIRECT(ADDRESS($B219,Plots!$H$3,,,Plots!$A$57))+INDIRECT(ADDRESS($B219,Plots!$H$3,,,Plots!$A$58))+INDIRECT(ADDRESS($B219,Plots!$H$3,,,Plots!$A$59))+INDIRECT(ADDRESS($B219,Plots!$H$3,,,Plots!$A$60))+INDIRECT(ADDRESS($B219,Plots!$H$3,,,Plots!$A$61))</f>
        <v>0</v>
      </c>
      <c r="H219" cm="1">
        <f t="array" aca="1" ref="H219" ca="1">INDIRECT(ADDRESS($B219,Plots!$H$3,,,Plots!$A$62))+INDIRECT(ADDRESS($B219,Plots!$H$3,,,Plots!$A$63))+INDIRECT(ADDRESS($B219,Plots!$H$3,,,Plots!$A$64))+INDIRECT(ADDRESS($B219,Plots!$H$3,,,Plots!$A$65))+INDIRECT(ADDRESS($B219,Plots!$H$3,,,Plots!$A$66))+INDIRECT(ADDRESS($B219,Plots!$H$3,,,Plots!$A$67))</f>
        <v>0</v>
      </c>
      <c r="I219">
        <f>'AARnetCBR-CamDTN1_tcpmon_ts_81'!H223+'AARnetCBR-CamDTN1_tcpmon_ts_82'!H223+'AARnetCBR-CamDTN1_tcpmon_ts_83'!H223+'AARnetCBR-CamDTN1_tcpmon_ts_84'!H223+'AARnetCBR-CamDTN1_tcpmon_ts_85'!H223+'AARnetCBR-CamDTN1_tcpmon_ts_86'!H223+'AARnetCBR-CamDTN1_tcpmon_ts_87'!H223+'AARnetCBR-CamDTN1_tcpmon_ts_88'!H223</f>
        <v>0</v>
      </c>
      <c r="L219" cm="1">
        <f t="array" aca="1" ref="L219" ca="1">INDIRECT(ADDRESS($B219,Plots!$H$4,,,Plots!$A$47))</f>
        <v>0</v>
      </c>
      <c r="M219" cm="1">
        <f t="array" aca="1" ref="M219" ca="1">INDIRECT(ADDRESS($B219,Plots!$H$4,,,Plots!$A$48))+INDIRECT(ADDRESS($B219,Plots!$H$4,,,Plots!$A$49))</f>
        <v>0</v>
      </c>
      <c r="N219" cm="1">
        <f t="array" aca="1" ref="N219" ca="1">INDIRECT(ADDRESS($B219,Plots!$H$4,,,Plots!$A$50))+INDIRECT(ADDRESS($B219,Plots!$H$4,,,Plots!$A$51))+INDIRECT(ADDRESS($B219,Plots!$H$4,,,Plots!$A$52))</f>
        <v>0</v>
      </c>
      <c r="O219" cm="1">
        <f t="array" aca="1" ref="O219" ca="1">INDIRECT(ADDRESS($B219,Plots!$H$4,,,Plots!$A$53))+INDIRECT(ADDRESS($B219,Plots!$H$4,,,Plots!$A$54))+INDIRECT(ADDRESS($B219,Plots!$H$4,,,Plots!$A$55))+INDIRECT(ADDRESS($B219,Plots!$H$4,,,Plots!$A$56))</f>
        <v>0</v>
      </c>
      <c r="P219" cm="1">
        <f t="array" aca="1" ref="P219" ca="1">INDIRECT(ADDRESS($B219,Plots!$H$4,,,Plots!$A$57))+INDIRECT(ADDRESS($B219,Plots!$H$4,,,Plots!$A$58))+INDIRECT(ADDRESS($B219,Plots!$H$4,,,Plots!$A$59))+INDIRECT(ADDRESS($B219,Plots!$H$4,,,Plots!$A$60))+INDIRECT(ADDRESS($B219,Plots!$H$4,,,Plots!$A$61))</f>
        <v>0</v>
      </c>
      <c r="Q219" cm="1">
        <f t="array" aca="1" ref="Q219" ca="1">INDIRECT(ADDRESS($B219,Plots!$H$4,,,Plots!$A$62))+INDIRECT(ADDRESS($B219,Plots!$H$4,,,Plots!$A$63))+INDIRECT(ADDRESS($B219,Plots!$H$4,,,Plots!$A$64))+INDIRECT(ADDRESS($B219,Plots!$H$4,,,Plots!$A$65))+INDIRECT(ADDRESS($B219,Plots!$H$4,,,Plots!$A$66))+INDIRECT(ADDRESS($B219,Plots!$H$4,,,Plots!$A$67))</f>
        <v>0</v>
      </c>
    </row>
    <row r="220" spans="1:17">
      <c r="A220" t="str">
        <f>'AARnetCBR-CamDTN1_tcpmon_ts_11'!A220</f>
        <v xml:space="preserve">R47 </v>
      </c>
      <c r="B220">
        <f t="shared" si="0"/>
        <v>220</v>
      </c>
      <c r="C220" cm="1">
        <f t="array" aca="1" ref="C220" ca="1">INDIRECT(ADDRESS($B220,Plots!$H$3,,,Plots!$A$47))</f>
        <v>0</v>
      </c>
      <c r="D220" cm="1">
        <f t="array" aca="1" ref="D220" ca="1">INDIRECT(ADDRESS($B220,Plots!$H$3,,,Plots!$A$48))+INDIRECT(ADDRESS($B220,Plots!$H$3,,,Plots!$A$49))</f>
        <v>0</v>
      </c>
      <c r="E220" cm="1">
        <f t="array" aca="1" ref="E220" ca="1">INDIRECT(ADDRESS($B220,Plots!$H$3,,,Plots!$A$50))+INDIRECT(ADDRESS($B220,Plots!$H$3,,,Plots!$A$51))+INDIRECT(ADDRESS($B220,Plots!$H$3,,,Plots!$A$52))</f>
        <v>0</v>
      </c>
      <c r="F220" cm="1">
        <f t="array" aca="1" ref="F220" ca="1">INDIRECT(ADDRESS($B220,Plots!$H$3,,,Plots!$A$53))+INDIRECT(ADDRESS($B220,Plots!$H$3,,,Plots!$A$54))+INDIRECT(ADDRESS($B220,Plots!$H$3,,,Plots!$A$55))+INDIRECT(ADDRESS($B220,Plots!$H$3,,,Plots!$A$56))</f>
        <v>0</v>
      </c>
      <c r="G220" cm="1">
        <f t="array" aca="1" ref="G220" ca="1">INDIRECT(ADDRESS($B220,Plots!$H$3,,,Plots!$A$57))+INDIRECT(ADDRESS($B220,Plots!$H$3,,,Plots!$A$58))+INDIRECT(ADDRESS($B220,Plots!$H$3,,,Plots!$A$59))+INDIRECT(ADDRESS($B220,Plots!$H$3,,,Plots!$A$60))+INDIRECT(ADDRESS($B220,Plots!$H$3,,,Plots!$A$61))</f>
        <v>0</v>
      </c>
      <c r="H220" cm="1">
        <f t="array" aca="1" ref="H220" ca="1">INDIRECT(ADDRESS($B220,Plots!$H$3,,,Plots!$A$62))+INDIRECT(ADDRESS($B220,Plots!$H$3,,,Plots!$A$63))+INDIRECT(ADDRESS($B220,Plots!$H$3,,,Plots!$A$64))+INDIRECT(ADDRESS($B220,Plots!$H$3,,,Plots!$A$65))+INDIRECT(ADDRESS($B220,Plots!$H$3,,,Plots!$A$66))+INDIRECT(ADDRESS($B220,Plots!$H$3,,,Plots!$A$67))</f>
        <v>0</v>
      </c>
      <c r="I220">
        <f>'AARnetCBR-CamDTN1_tcpmon_ts_81'!H224+'AARnetCBR-CamDTN1_tcpmon_ts_82'!H224+'AARnetCBR-CamDTN1_tcpmon_ts_83'!H224+'AARnetCBR-CamDTN1_tcpmon_ts_84'!H224+'AARnetCBR-CamDTN1_tcpmon_ts_85'!H224+'AARnetCBR-CamDTN1_tcpmon_ts_86'!H224+'AARnetCBR-CamDTN1_tcpmon_ts_87'!H224+'AARnetCBR-CamDTN1_tcpmon_ts_88'!H224</f>
        <v>0</v>
      </c>
      <c r="L220" cm="1">
        <f t="array" aca="1" ref="L220" ca="1">INDIRECT(ADDRESS($B220,Plots!$H$4,,,Plots!$A$47))</f>
        <v>0</v>
      </c>
      <c r="M220" cm="1">
        <f t="array" aca="1" ref="M220" ca="1">INDIRECT(ADDRESS($B220,Plots!$H$4,,,Plots!$A$48))+INDIRECT(ADDRESS($B220,Plots!$H$4,,,Plots!$A$49))</f>
        <v>0</v>
      </c>
      <c r="N220" cm="1">
        <f t="array" aca="1" ref="N220" ca="1">INDIRECT(ADDRESS($B220,Plots!$H$4,,,Plots!$A$50))+INDIRECT(ADDRESS($B220,Plots!$H$4,,,Plots!$A$51))+INDIRECT(ADDRESS($B220,Plots!$H$4,,,Plots!$A$52))</f>
        <v>0</v>
      </c>
      <c r="O220" cm="1">
        <f t="array" aca="1" ref="O220" ca="1">INDIRECT(ADDRESS($B220,Plots!$H$4,,,Plots!$A$53))+INDIRECT(ADDRESS($B220,Plots!$H$4,,,Plots!$A$54))+INDIRECT(ADDRESS($B220,Plots!$H$4,,,Plots!$A$55))+INDIRECT(ADDRESS($B220,Plots!$H$4,,,Plots!$A$56))</f>
        <v>0</v>
      </c>
      <c r="P220" cm="1">
        <f t="array" aca="1" ref="P220" ca="1">INDIRECT(ADDRESS($B220,Plots!$H$4,,,Plots!$A$57))+INDIRECT(ADDRESS($B220,Plots!$H$4,,,Plots!$A$58))+INDIRECT(ADDRESS($B220,Plots!$H$4,,,Plots!$A$59))+INDIRECT(ADDRESS($B220,Plots!$H$4,,,Plots!$A$60))+INDIRECT(ADDRESS($B220,Plots!$H$4,,,Plots!$A$61))</f>
        <v>0</v>
      </c>
      <c r="Q220" cm="1">
        <f t="array" aca="1" ref="Q220" ca="1">INDIRECT(ADDRESS($B220,Plots!$H$4,,,Plots!$A$62))+INDIRECT(ADDRESS($B220,Plots!$H$4,,,Plots!$A$63))+INDIRECT(ADDRESS($B220,Plots!$H$4,,,Plots!$A$64))+INDIRECT(ADDRESS($B220,Plots!$H$4,,,Plots!$A$65))+INDIRECT(ADDRESS($B220,Plots!$H$4,,,Plots!$A$66))+INDIRECT(ADDRESS($B220,Plots!$H$4,,,Plots!$A$67))</f>
        <v>0</v>
      </c>
    </row>
    <row r="221" spans="1:17">
      <c r="A221" t="str">
        <f>'AARnetCBR-CamDTN1_tcpmon_ts_11'!A221</f>
        <v xml:space="preserve">R48 </v>
      </c>
      <c r="B221">
        <f t="shared" si="0"/>
        <v>221</v>
      </c>
      <c r="C221" cm="1">
        <f t="array" aca="1" ref="C221" ca="1">INDIRECT(ADDRESS($B221,Plots!$H$3,,,Plots!$A$47))</f>
        <v>0</v>
      </c>
      <c r="D221" cm="1">
        <f t="array" aca="1" ref="D221" ca="1">INDIRECT(ADDRESS($B221,Plots!$H$3,,,Plots!$A$48))+INDIRECT(ADDRESS($B221,Plots!$H$3,,,Plots!$A$49))</f>
        <v>0</v>
      </c>
      <c r="E221" cm="1">
        <f t="array" aca="1" ref="E221" ca="1">INDIRECT(ADDRESS($B221,Plots!$H$3,,,Plots!$A$50))+INDIRECT(ADDRESS($B221,Plots!$H$3,,,Plots!$A$51))+INDIRECT(ADDRESS($B221,Plots!$H$3,,,Plots!$A$52))</f>
        <v>0</v>
      </c>
      <c r="F221" cm="1">
        <f t="array" aca="1" ref="F221" ca="1">INDIRECT(ADDRESS($B221,Plots!$H$3,,,Plots!$A$53))+INDIRECT(ADDRESS($B221,Plots!$H$3,,,Plots!$A$54))+INDIRECT(ADDRESS($B221,Plots!$H$3,,,Plots!$A$55))+INDIRECT(ADDRESS($B221,Plots!$H$3,,,Plots!$A$56))</f>
        <v>0</v>
      </c>
      <c r="G221" cm="1">
        <f t="array" aca="1" ref="G221" ca="1">INDIRECT(ADDRESS($B221,Plots!$H$3,,,Plots!$A$57))+INDIRECT(ADDRESS($B221,Plots!$H$3,,,Plots!$A$58))+INDIRECT(ADDRESS($B221,Plots!$H$3,,,Plots!$A$59))+INDIRECT(ADDRESS($B221,Plots!$H$3,,,Plots!$A$60))+INDIRECT(ADDRESS($B221,Plots!$H$3,,,Plots!$A$61))</f>
        <v>0</v>
      </c>
      <c r="H221" cm="1">
        <f t="array" aca="1" ref="H221" ca="1">INDIRECT(ADDRESS($B221,Plots!$H$3,,,Plots!$A$62))+INDIRECT(ADDRESS($B221,Plots!$H$3,,,Plots!$A$63))+INDIRECT(ADDRESS($B221,Plots!$H$3,,,Plots!$A$64))+INDIRECT(ADDRESS($B221,Plots!$H$3,,,Plots!$A$65))+INDIRECT(ADDRESS($B221,Plots!$H$3,,,Plots!$A$66))+INDIRECT(ADDRESS($B221,Plots!$H$3,,,Plots!$A$67))</f>
        <v>0</v>
      </c>
      <c r="I221">
        <f>'AARnetCBR-CamDTN1_tcpmon_ts_81'!H225+'AARnetCBR-CamDTN1_tcpmon_ts_82'!H225+'AARnetCBR-CamDTN1_tcpmon_ts_83'!H225+'AARnetCBR-CamDTN1_tcpmon_ts_84'!H225+'AARnetCBR-CamDTN1_tcpmon_ts_85'!H225+'AARnetCBR-CamDTN1_tcpmon_ts_86'!H225+'AARnetCBR-CamDTN1_tcpmon_ts_87'!H225+'AARnetCBR-CamDTN1_tcpmon_ts_88'!H225</f>
        <v>0</v>
      </c>
      <c r="L221" cm="1">
        <f t="array" aca="1" ref="L221" ca="1">INDIRECT(ADDRESS($B221,Plots!$H$4,,,Plots!$A$47))</f>
        <v>0</v>
      </c>
      <c r="M221" cm="1">
        <f t="array" aca="1" ref="M221" ca="1">INDIRECT(ADDRESS($B221,Plots!$H$4,,,Plots!$A$48))+INDIRECT(ADDRESS($B221,Plots!$H$4,,,Plots!$A$49))</f>
        <v>0</v>
      </c>
      <c r="N221" cm="1">
        <f t="array" aca="1" ref="N221" ca="1">INDIRECT(ADDRESS($B221,Plots!$H$4,,,Plots!$A$50))+INDIRECT(ADDRESS($B221,Plots!$H$4,,,Plots!$A$51))+INDIRECT(ADDRESS($B221,Plots!$H$4,,,Plots!$A$52))</f>
        <v>0</v>
      </c>
      <c r="O221" cm="1">
        <f t="array" aca="1" ref="O221" ca="1">INDIRECT(ADDRESS($B221,Plots!$H$4,,,Plots!$A$53))+INDIRECT(ADDRESS($B221,Plots!$H$4,,,Plots!$A$54))+INDIRECT(ADDRESS($B221,Plots!$H$4,,,Plots!$A$55))+INDIRECT(ADDRESS($B221,Plots!$H$4,,,Plots!$A$56))</f>
        <v>0</v>
      </c>
      <c r="P221" cm="1">
        <f t="array" aca="1" ref="P221" ca="1">INDIRECT(ADDRESS($B221,Plots!$H$4,,,Plots!$A$57))+INDIRECT(ADDRESS($B221,Plots!$H$4,,,Plots!$A$58))+INDIRECT(ADDRESS($B221,Plots!$H$4,,,Plots!$A$59))+INDIRECT(ADDRESS($B221,Plots!$H$4,,,Plots!$A$60))+INDIRECT(ADDRESS($B221,Plots!$H$4,,,Plots!$A$61))</f>
        <v>0</v>
      </c>
      <c r="Q221" cm="1">
        <f t="array" aca="1" ref="Q221" ca="1">INDIRECT(ADDRESS($B221,Plots!$H$4,,,Plots!$A$62))+INDIRECT(ADDRESS($B221,Plots!$H$4,,,Plots!$A$63))+INDIRECT(ADDRESS($B221,Plots!$H$4,,,Plots!$A$64))+INDIRECT(ADDRESS($B221,Plots!$H$4,,,Plots!$A$65))+INDIRECT(ADDRESS($B221,Plots!$H$4,,,Plots!$A$66))+INDIRECT(ADDRESS($B221,Plots!$H$4,,,Plots!$A$67))</f>
        <v>0</v>
      </c>
    </row>
    <row r="222" spans="1:17">
      <c r="A222" t="str">
        <f>'AARnetCBR-CamDTN1_tcpmon_ts_11'!A222</f>
        <v xml:space="preserve">R49 </v>
      </c>
      <c r="B222">
        <f t="shared" si="0"/>
        <v>222</v>
      </c>
      <c r="C222" cm="1">
        <f t="array" aca="1" ref="C222" ca="1">INDIRECT(ADDRESS($B222,Plots!$H$3,,,Plots!$A$47))</f>
        <v>0</v>
      </c>
      <c r="D222" cm="1">
        <f t="array" aca="1" ref="D222" ca="1">INDIRECT(ADDRESS($B222,Plots!$H$3,,,Plots!$A$48))+INDIRECT(ADDRESS($B222,Plots!$H$3,,,Plots!$A$49))</f>
        <v>0</v>
      </c>
      <c r="E222" cm="1">
        <f t="array" aca="1" ref="E222" ca="1">INDIRECT(ADDRESS($B222,Plots!$H$3,,,Plots!$A$50))+INDIRECT(ADDRESS($B222,Plots!$H$3,,,Plots!$A$51))+INDIRECT(ADDRESS($B222,Plots!$H$3,,,Plots!$A$52))</f>
        <v>0</v>
      </c>
      <c r="F222" cm="1">
        <f t="array" aca="1" ref="F222" ca="1">INDIRECT(ADDRESS($B222,Plots!$H$3,,,Plots!$A$53))+INDIRECT(ADDRESS($B222,Plots!$H$3,,,Plots!$A$54))+INDIRECT(ADDRESS($B222,Plots!$H$3,,,Plots!$A$55))+INDIRECT(ADDRESS($B222,Plots!$H$3,,,Plots!$A$56))</f>
        <v>0</v>
      </c>
      <c r="G222" cm="1">
        <f t="array" aca="1" ref="G222" ca="1">INDIRECT(ADDRESS($B222,Plots!$H$3,,,Plots!$A$57))+INDIRECT(ADDRESS($B222,Plots!$H$3,,,Plots!$A$58))+INDIRECT(ADDRESS($B222,Plots!$H$3,,,Plots!$A$59))+INDIRECT(ADDRESS($B222,Plots!$H$3,,,Plots!$A$60))+INDIRECT(ADDRESS($B222,Plots!$H$3,,,Plots!$A$61))</f>
        <v>0</v>
      </c>
      <c r="H222" cm="1">
        <f t="array" aca="1" ref="H222" ca="1">INDIRECT(ADDRESS($B222,Plots!$H$3,,,Plots!$A$62))+INDIRECT(ADDRESS($B222,Plots!$H$3,,,Plots!$A$63))+INDIRECT(ADDRESS($B222,Plots!$H$3,,,Plots!$A$64))+INDIRECT(ADDRESS($B222,Plots!$H$3,,,Plots!$A$65))+INDIRECT(ADDRESS($B222,Plots!$H$3,,,Plots!$A$66))+INDIRECT(ADDRESS($B222,Plots!$H$3,,,Plots!$A$67))</f>
        <v>0</v>
      </c>
      <c r="I222">
        <f>'AARnetCBR-CamDTN1_tcpmon_ts_81'!H226+'AARnetCBR-CamDTN1_tcpmon_ts_82'!H226+'AARnetCBR-CamDTN1_tcpmon_ts_83'!H226+'AARnetCBR-CamDTN1_tcpmon_ts_84'!H226+'AARnetCBR-CamDTN1_tcpmon_ts_85'!H226+'AARnetCBR-CamDTN1_tcpmon_ts_86'!H226+'AARnetCBR-CamDTN1_tcpmon_ts_87'!H226+'AARnetCBR-CamDTN1_tcpmon_ts_88'!H226</f>
        <v>0</v>
      </c>
      <c r="L222" cm="1">
        <f t="array" aca="1" ref="L222" ca="1">INDIRECT(ADDRESS($B222,Plots!$H$4,,,Plots!$A$47))</f>
        <v>0</v>
      </c>
      <c r="M222" cm="1">
        <f t="array" aca="1" ref="M222" ca="1">INDIRECT(ADDRESS($B222,Plots!$H$4,,,Plots!$A$48))+INDIRECT(ADDRESS($B222,Plots!$H$4,,,Plots!$A$49))</f>
        <v>0</v>
      </c>
      <c r="N222" cm="1">
        <f t="array" aca="1" ref="N222" ca="1">INDIRECT(ADDRESS($B222,Plots!$H$4,,,Plots!$A$50))+INDIRECT(ADDRESS($B222,Plots!$H$4,,,Plots!$A$51))+INDIRECT(ADDRESS($B222,Plots!$H$4,,,Plots!$A$52))</f>
        <v>0</v>
      </c>
      <c r="O222" cm="1">
        <f t="array" aca="1" ref="O222" ca="1">INDIRECT(ADDRESS($B222,Plots!$H$4,,,Plots!$A$53))+INDIRECT(ADDRESS($B222,Plots!$H$4,,,Plots!$A$54))+INDIRECT(ADDRESS($B222,Plots!$H$4,,,Plots!$A$55))+INDIRECT(ADDRESS($B222,Plots!$H$4,,,Plots!$A$56))</f>
        <v>0</v>
      </c>
      <c r="P222" cm="1">
        <f t="array" aca="1" ref="P222" ca="1">INDIRECT(ADDRESS($B222,Plots!$H$4,,,Plots!$A$57))+INDIRECT(ADDRESS($B222,Plots!$H$4,,,Plots!$A$58))+INDIRECT(ADDRESS($B222,Plots!$H$4,,,Plots!$A$59))+INDIRECT(ADDRESS($B222,Plots!$H$4,,,Plots!$A$60))+INDIRECT(ADDRESS($B222,Plots!$H$4,,,Plots!$A$61))</f>
        <v>0</v>
      </c>
      <c r="Q222" cm="1">
        <f t="array" aca="1" ref="Q222" ca="1">INDIRECT(ADDRESS($B222,Plots!$H$4,,,Plots!$A$62))+INDIRECT(ADDRESS($B222,Plots!$H$4,,,Plots!$A$63))+INDIRECT(ADDRESS($B222,Plots!$H$4,,,Plots!$A$64))+INDIRECT(ADDRESS($B222,Plots!$H$4,,,Plots!$A$65))+INDIRECT(ADDRESS($B222,Plots!$H$4,,,Plots!$A$66))+INDIRECT(ADDRESS($B222,Plots!$H$4,,,Plots!$A$67))</f>
        <v>0</v>
      </c>
    </row>
    <row r="223" spans="1:17">
      <c r="A223" t="str">
        <f>'AARnetCBR-CamDTN1_tcpmon_ts_11'!A223</f>
        <v xml:space="preserve">R50 </v>
      </c>
      <c r="B223">
        <f t="shared" si="0"/>
        <v>223</v>
      </c>
      <c r="C223" cm="1">
        <f t="array" aca="1" ref="C223" ca="1">INDIRECT(ADDRESS($B223,Plots!$H$3,,,Plots!$A$47))</f>
        <v>0</v>
      </c>
      <c r="D223" cm="1">
        <f t="array" aca="1" ref="D223" ca="1">INDIRECT(ADDRESS($B223,Plots!$H$3,,,Plots!$A$48))+INDIRECT(ADDRESS($B223,Plots!$H$3,,,Plots!$A$49))</f>
        <v>0</v>
      </c>
      <c r="E223" cm="1">
        <f t="array" aca="1" ref="E223" ca="1">INDIRECT(ADDRESS($B223,Plots!$H$3,,,Plots!$A$50))+INDIRECT(ADDRESS($B223,Plots!$H$3,,,Plots!$A$51))+INDIRECT(ADDRESS($B223,Plots!$H$3,,,Plots!$A$52))</f>
        <v>0</v>
      </c>
      <c r="F223" cm="1">
        <f t="array" aca="1" ref="F223" ca="1">INDIRECT(ADDRESS($B223,Plots!$H$3,,,Plots!$A$53))+INDIRECT(ADDRESS($B223,Plots!$H$3,,,Plots!$A$54))+INDIRECT(ADDRESS($B223,Plots!$H$3,,,Plots!$A$55))+INDIRECT(ADDRESS($B223,Plots!$H$3,,,Plots!$A$56))</f>
        <v>0</v>
      </c>
      <c r="G223" cm="1">
        <f t="array" aca="1" ref="G223" ca="1">INDIRECT(ADDRESS($B223,Plots!$H$3,,,Plots!$A$57))+INDIRECT(ADDRESS($B223,Plots!$H$3,,,Plots!$A$58))+INDIRECT(ADDRESS($B223,Plots!$H$3,,,Plots!$A$59))+INDIRECT(ADDRESS($B223,Plots!$H$3,,,Plots!$A$60))+INDIRECT(ADDRESS($B223,Plots!$H$3,,,Plots!$A$61))</f>
        <v>0</v>
      </c>
      <c r="H223" cm="1">
        <f t="array" aca="1" ref="H223" ca="1">INDIRECT(ADDRESS($B223,Plots!$H$3,,,Plots!$A$62))+INDIRECT(ADDRESS($B223,Plots!$H$3,,,Plots!$A$63))+INDIRECT(ADDRESS($B223,Plots!$H$3,,,Plots!$A$64))+INDIRECT(ADDRESS($B223,Plots!$H$3,,,Plots!$A$65))+INDIRECT(ADDRESS($B223,Plots!$H$3,,,Plots!$A$66))+INDIRECT(ADDRESS($B223,Plots!$H$3,,,Plots!$A$67))</f>
        <v>0</v>
      </c>
      <c r="I223">
        <f>'AARnetCBR-CamDTN1_tcpmon_ts_81'!H227+'AARnetCBR-CamDTN1_tcpmon_ts_82'!H227+'AARnetCBR-CamDTN1_tcpmon_ts_83'!H227+'AARnetCBR-CamDTN1_tcpmon_ts_84'!H227+'AARnetCBR-CamDTN1_tcpmon_ts_85'!H227+'AARnetCBR-CamDTN1_tcpmon_ts_86'!H227+'AARnetCBR-CamDTN1_tcpmon_ts_87'!H227+'AARnetCBR-CamDTN1_tcpmon_ts_88'!H227</f>
        <v>0</v>
      </c>
      <c r="L223" cm="1">
        <f t="array" aca="1" ref="L223" ca="1">INDIRECT(ADDRESS($B223,Plots!$H$4,,,Plots!$A$47))</f>
        <v>0</v>
      </c>
      <c r="M223" cm="1">
        <f t="array" aca="1" ref="M223" ca="1">INDIRECT(ADDRESS($B223,Plots!$H$4,,,Plots!$A$48))+INDIRECT(ADDRESS($B223,Plots!$H$4,,,Plots!$A$49))</f>
        <v>0</v>
      </c>
      <c r="N223" cm="1">
        <f t="array" aca="1" ref="N223" ca="1">INDIRECT(ADDRESS($B223,Plots!$H$4,,,Plots!$A$50))+INDIRECT(ADDRESS($B223,Plots!$H$4,,,Plots!$A$51))+INDIRECT(ADDRESS($B223,Plots!$H$4,,,Plots!$A$52))</f>
        <v>0</v>
      </c>
      <c r="O223" cm="1">
        <f t="array" aca="1" ref="O223" ca="1">INDIRECT(ADDRESS($B223,Plots!$H$4,,,Plots!$A$53))+INDIRECT(ADDRESS($B223,Plots!$H$4,,,Plots!$A$54))+INDIRECT(ADDRESS($B223,Plots!$H$4,,,Plots!$A$55))+INDIRECT(ADDRESS($B223,Plots!$H$4,,,Plots!$A$56))</f>
        <v>0</v>
      </c>
      <c r="P223" cm="1">
        <f t="array" aca="1" ref="P223" ca="1">INDIRECT(ADDRESS($B223,Plots!$H$4,,,Plots!$A$57))+INDIRECT(ADDRESS($B223,Plots!$H$4,,,Plots!$A$58))+INDIRECT(ADDRESS($B223,Plots!$H$4,,,Plots!$A$59))+INDIRECT(ADDRESS($B223,Plots!$H$4,,,Plots!$A$60))+INDIRECT(ADDRESS($B223,Plots!$H$4,,,Plots!$A$61))</f>
        <v>0</v>
      </c>
      <c r="Q223" cm="1">
        <f t="array" aca="1" ref="Q223" ca="1">INDIRECT(ADDRESS($B223,Plots!$H$4,,,Plots!$A$62))+INDIRECT(ADDRESS($B223,Plots!$H$4,,,Plots!$A$63))+INDIRECT(ADDRESS($B223,Plots!$H$4,,,Plots!$A$64))+INDIRECT(ADDRESS($B223,Plots!$H$4,,,Plots!$A$65))+INDIRECT(ADDRESS($B223,Plots!$H$4,,,Plots!$A$66))+INDIRECT(ADDRESS($B223,Plots!$H$4,,,Plots!$A$67))</f>
        <v>0</v>
      </c>
    </row>
    <row r="224" spans="1:17">
      <c r="A224" t="str">
        <f>'AARnetCBR-CamDTN1_tcpmon_ts_11'!A224</f>
        <v xml:space="preserve">R51 </v>
      </c>
      <c r="B224">
        <f t="shared" si="0"/>
        <v>224</v>
      </c>
      <c r="C224" cm="1">
        <f t="array" aca="1" ref="C224" ca="1">INDIRECT(ADDRESS($B224,Plots!$H$3,,,Plots!$A$47))</f>
        <v>0</v>
      </c>
      <c r="D224" cm="1">
        <f t="array" aca="1" ref="D224" ca="1">INDIRECT(ADDRESS($B224,Plots!$H$3,,,Plots!$A$48))+INDIRECT(ADDRESS($B224,Plots!$H$3,,,Plots!$A$49))</f>
        <v>0</v>
      </c>
      <c r="E224" cm="1">
        <f t="array" aca="1" ref="E224" ca="1">INDIRECT(ADDRESS($B224,Plots!$H$3,,,Plots!$A$50))+INDIRECT(ADDRESS($B224,Plots!$H$3,,,Plots!$A$51))+INDIRECT(ADDRESS($B224,Plots!$H$3,,,Plots!$A$52))</f>
        <v>0</v>
      </c>
      <c r="F224" cm="1">
        <f t="array" aca="1" ref="F224" ca="1">INDIRECT(ADDRESS($B224,Plots!$H$3,,,Plots!$A$53))+INDIRECT(ADDRESS($B224,Plots!$H$3,,,Plots!$A$54))+INDIRECT(ADDRESS($B224,Plots!$H$3,,,Plots!$A$55))+INDIRECT(ADDRESS($B224,Plots!$H$3,,,Plots!$A$56))</f>
        <v>0</v>
      </c>
      <c r="G224" cm="1">
        <f t="array" aca="1" ref="G224" ca="1">INDIRECT(ADDRESS($B224,Plots!$H$3,,,Plots!$A$57))+INDIRECT(ADDRESS($B224,Plots!$H$3,,,Plots!$A$58))+INDIRECT(ADDRESS($B224,Plots!$H$3,,,Plots!$A$59))+INDIRECT(ADDRESS($B224,Plots!$H$3,,,Plots!$A$60))+INDIRECT(ADDRESS($B224,Plots!$H$3,,,Plots!$A$61))</f>
        <v>0</v>
      </c>
      <c r="H224" cm="1">
        <f t="array" aca="1" ref="H224" ca="1">INDIRECT(ADDRESS($B224,Plots!$H$3,,,Plots!$A$62))+INDIRECT(ADDRESS($B224,Plots!$H$3,,,Plots!$A$63))+INDIRECT(ADDRESS($B224,Plots!$H$3,,,Plots!$A$64))+INDIRECT(ADDRESS($B224,Plots!$H$3,,,Plots!$A$65))+INDIRECT(ADDRESS($B224,Plots!$H$3,,,Plots!$A$66))+INDIRECT(ADDRESS($B224,Plots!$H$3,,,Plots!$A$67))</f>
        <v>0</v>
      </c>
      <c r="I224">
        <f>'AARnetCBR-CamDTN1_tcpmon_ts_81'!H228+'AARnetCBR-CamDTN1_tcpmon_ts_82'!H228+'AARnetCBR-CamDTN1_tcpmon_ts_83'!H228+'AARnetCBR-CamDTN1_tcpmon_ts_84'!H228+'AARnetCBR-CamDTN1_tcpmon_ts_85'!H228+'AARnetCBR-CamDTN1_tcpmon_ts_86'!H228+'AARnetCBR-CamDTN1_tcpmon_ts_87'!H228+'AARnetCBR-CamDTN1_tcpmon_ts_88'!H228</f>
        <v>0</v>
      </c>
      <c r="L224" cm="1">
        <f t="array" aca="1" ref="L224" ca="1">INDIRECT(ADDRESS($B224,Plots!$H$4,,,Plots!$A$47))</f>
        <v>0</v>
      </c>
      <c r="M224" cm="1">
        <f t="array" aca="1" ref="M224" ca="1">INDIRECT(ADDRESS($B224,Plots!$H$4,,,Plots!$A$48))+INDIRECT(ADDRESS($B224,Plots!$H$4,,,Plots!$A$49))</f>
        <v>0</v>
      </c>
      <c r="N224" cm="1">
        <f t="array" aca="1" ref="N224" ca="1">INDIRECT(ADDRESS($B224,Plots!$H$4,,,Plots!$A$50))+INDIRECT(ADDRESS($B224,Plots!$H$4,,,Plots!$A$51))+INDIRECT(ADDRESS($B224,Plots!$H$4,,,Plots!$A$52))</f>
        <v>0</v>
      </c>
      <c r="O224" cm="1">
        <f t="array" aca="1" ref="O224" ca="1">INDIRECT(ADDRESS($B224,Plots!$H$4,,,Plots!$A$53))+INDIRECT(ADDRESS($B224,Plots!$H$4,,,Plots!$A$54))+INDIRECT(ADDRESS($B224,Plots!$H$4,,,Plots!$A$55))+INDIRECT(ADDRESS($B224,Plots!$H$4,,,Plots!$A$56))</f>
        <v>0</v>
      </c>
      <c r="P224" cm="1">
        <f t="array" aca="1" ref="P224" ca="1">INDIRECT(ADDRESS($B224,Plots!$H$4,,,Plots!$A$57))+INDIRECT(ADDRESS($B224,Plots!$H$4,,,Plots!$A$58))+INDIRECT(ADDRESS($B224,Plots!$H$4,,,Plots!$A$59))+INDIRECT(ADDRESS($B224,Plots!$H$4,,,Plots!$A$60))+INDIRECT(ADDRESS($B224,Plots!$H$4,,,Plots!$A$61))</f>
        <v>0</v>
      </c>
      <c r="Q224" cm="1">
        <f t="array" aca="1" ref="Q224" ca="1">INDIRECT(ADDRESS($B224,Plots!$H$4,,,Plots!$A$62))+INDIRECT(ADDRESS($B224,Plots!$H$4,,,Plots!$A$63))+INDIRECT(ADDRESS($B224,Plots!$H$4,,,Plots!$A$64))+INDIRECT(ADDRESS($B224,Plots!$H$4,,,Plots!$A$65))+INDIRECT(ADDRESS($B224,Plots!$H$4,,,Plots!$A$66))+INDIRECT(ADDRESS($B224,Plots!$H$4,,,Plots!$A$67))</f>
        <v>0</v>
      </c>
    </row>
    <row r="225" spans="1:17">
      <c r="A225" t="str">
        <f>'AARnetCBR-CamDTN1_tcpmon_ts_11'!A225</f>
        <v xml:space="preserve">R52 </v>
      </c>
      <c r="B225">
        <f t="shared" si="0"/>
        <v>225</v>
      </c>
      <c r="C225" cm="1">
        <f t="array" aca="1" ref="C225" ca="1">INDIRECT(ADDRESS($B225,Plots!$H$3,,,Plots!$A$47))</f>
        <v>0</v>
      </c>
      <c r="D225" cm="1">
        <f t="array" aca="1" ref="D225" ca="1">INDIRECT(ADDRESS($B225,Plots!$H$3,,,Plots!$A$48))+INDIRECT(ADDRESS($B225,Plots!$H$3,,,Plots!$A$49))</f>
        <v>0</v>
      </c>
      <c r="E225" cm="1">
        <f t="array" aca="1" ref="E225" ca="1">INDIRECT(ADDRESS($B225,Plots!$H$3,,,Plots!$A$50))+INDIRECT(ADDRESS($B225,Plots!$H$3,,,Plots!$A$51))+INDIRECT(ADDRESS($B225,Plots!$H$3,,,Plots!$A$52))</f>
        <v>0</v>
      </c>
      <c r="F225" cm="1">
        <f t="array" aca="1" ref="F225" ca="1">INDIRECT(ADDRESS($B225,Plots!$H$3,,,Plots!$A$53))+INDIRECT(ADDRESS($B225,Plots!$H$3,,,Plots!$A$54))+INDIRECT(ADDRESS($B225,Plots!$H$3,,,Plots!$A$55))+INDIRECT(ADDRESS($B225,Plots!$H$3,,,Plots!$A$56))</f>
        <v>0</v>
      </c>
      <c r="G225" cm="1">
        <f t="array" aca="1" ref="G225" ca="1">INDIRECT(ADDRESS($B225,Plots!$H$3,,,Plots!$A$57))+INDIRECT(ADDRESS($B225,Plots!$H$3,,,Plots!$A$58))+INDIRECT(ADDRESS($B225,Plots!$H$3,,,Plots!$A$59))+INDIRECT(ADDRESS($B225,Plots!$H$3,,,Plots!$A$60))+INDIRECT(ADDRESS($B225,Plots!$H$3,,,Plots!$A$61))</f>
        <v>0</v>
      </c>
      <c r="H225" cm="1">
        <f t="array" aca="1" ref="H225" ca="1">INDIRECT(ADDRESS($B225,Plots!$H$3,,,Plots!$A$62))+INDIRECT(ADDRESS($B225,Plots!$H$3,,,Plots!$A$63))+INDIRECT(ADDRESS($B225,Plots!$H$3,,,Plots!$A$64))+INDIRECT(ADDRESS($B225,Plots!$H$3,,,Plots!$A$65))+INDIRECT(ADDRESS($B225,Plots!$H$3,,,Plots!$A$66))+INDIRECT(ADDRESS($B225,Plots!$H$3,,,Plots!$A$67))</f>
        <v>0</v>
      </c>
      <c r="I225">
        <f>'AARnetCBR-CamDTN1_tcpmon_ts_81'!H229+'AARnetCBR-CamDTN1_tcpmon_ts_82'!H229+'AARnetCBR-CamDTN1_tcpmon_ts_83'!H229+'AARnetCBR-CamDTN1_tcpmon_ts_84'!H229+'AARnetCBR-CamDTN1_tcpmon_ts_85'!H229+'AARnetCBR-CamDTN1_tcpmon_ts_86'!H229+'AARnetCBR-CamDTN1_tcpmon_ts_87'!H229+'AARnetCBR-CamDTN1_tcpmon_ts_88'!H229</f>
        <v>0</v>
      </c>
      <c r="L225" cm="1">
        <f t="array" aca="1" ref="L225" ca="1">INDIRECT(ADDRESS($B225,Plots!$H$4,,,Plots!$A$47))</f>
        <v>0</v>
      </c>
      <c r="M225" cm="1">
        <f t="array" aca="1" ref="M225" ca="1">INDIRECT(ADDRESS($B225,Plots!$H$4,,,Plots!$A$48))+INDIRECT(ADDRESS($B225,Plots!$H$4,,,Plots!$A$49))</f>
        <v>0</v>
      </c>
      <c r="N225" cm="1">
        <f t="array" aca="1" ref="N225" ca="1">INDIRECT(ADDRESS($B225,Plots!$H$4,,,Plots!$A$50))+INDIRECT(ADDRESS($B225,Plots!$H$4,,,Plots!$A$51))+INDIRECT(ADDRESS($B225,Plots!$H$4,,,Plots!$A$52))</f>
        <v>6</v>
      </c>
      <c r="O225" cm="1">
        <f t="array" aca="1" ref="O225" ca="1">INDIRECT(ADDRESS($B225,Plots!$H$4,,,Plots!$A$53))+INDIRECT(ADDRESS($B225,Plots!$H$4,,,Plots!$A$54))+INDIRECT(ADDRESS($B225,Plots!$H$4,,,Plots!$A$55))+INDIRECT(ADDRESS($B225,Plots!$H$4,,,Plots!$A$56))</f>
        <v>0</v>
      </c>
      <c r="P225" cm="1">
        <f t="array" aca="1" ref="P225" ca="1">INDIRECT(ADDRESS($B225,Plots!$H$4,,,Plots!$A$57))+INDIRECT(ADDRESS($B225,Plots!$H$4,,,Plots!$A$58))+INDIRECT(ADDRESS($B225,Plots!$H$4,,,Plots!$A$59))+INDIRECT(ADDRESS($B225,Plots!$H$4,,,Plots!$A$60))+INDIRECT(ADDRESS($B225,Plots!$H$4,,,Plots!$A$61))</f>
        <v>0</v>
      </c>
      <c r="Q225" cm="1">
        <f t="array" aca="1" ref="Q225" ca="1">INDIRECT(ADDRESS($B225,Plots!$H$4,,,Plots!$A$62))+INDIRECT(ADDRESS($B225,Plots!$H$4,,,Plots!$A$63))+INDIRECT(ADDRESS($B225,Plots!$H$4,,,Plots!$A$64))+INDIRECT(ADDRESS($B225,Plots!$H$4,,,Plots!$A$65))+INDIRECT(ADDRESS($B225,Plots!$H$4,,,Plots!$A$66))+INDIRECT(ADDRESS($B225,Plots!$H$4,,,Plots!$A$67))</f>
        <v>0</v>
      </c>
    </row>
    <row r="226" spans="1:17">
      <c r="A226" t="str">
        <f>'AARnetCBR-CamDTN1_tcpmon_ts_11'!A226</f>
        <v xml:space="preserve">R53 </v>
      </c>
      <c r="B226">
        <f t="shared" si="0"/>
        <v>226</v>
      </c>
      <c r="C226" cm="1">
        <f t="array" aca="1" ref="C226" ca="1">INDIRECT(ADDRESS($B226,Plots!$H$3,,,Plots!$A$47))</f>
        <v>0</v>
      </c>
      <c r="D226" cm="1">
        <f t="array" aca="1" ref="D226" ca="1">INDIRECT(ADDRESS($B226,Plots!$H$3,,,Plots!$A$48))+INDIRECT(ADDRESS($B226,Plots!$H$3,,,Plots!$A$49))</f>
        <v>0</v>
      </c>
      <c r="E226" cm="1">
        <f t="array" aca="1" ref="E226" ca="1">INDIRECT(ADDRESS($B226,Plots!$H$3,,,Plots!$A$50))+INDIRECT(ADDRESS($B226,Plots!$H$3,,,Plots!$A$51))+INDIRECT(ADDRESS($B226,Plots!$H$3,,,Plots!$A$52))</f>
        <v>0</v>
      </c>
      <c r="F226" cm="1">
        <f t="array" aca="1" ref="F226" ca="1">INDIRECT(ADDRESS($B226,Plots!$H$3,,,Plots!$A$53))+INDIRECT(ADDRESS($B226,Plots!$H$3,,,Plots!$A$54))+INDIRECT(ADDRESS($B226,Plots!$H$3,,,Plots!$A$55))+INDIRECT(ADDRESS($B226,Plots!$H$3,,,Plots!$A$56))</f>
        <v>0</v>
      </c>
      <c r="G226" cm="1">
        <f t="array" aca="1" ref="G226" ca="1">INDIRECT(ADDRESS($B226,Plots!$H$3,,,Plots!$A$57))+INDIRECT(ADDRESS($B226,Plots!$H$3,,,Plots!$A$58))+INDIRECT(ADDRESS($B226,Plots!$H$3,,,Plots!$A$59))+INDIRECT(ADDRESS($B226,Plots!$H$3,,,Plots!$A$60))+INDIRECT(ADDRESS($B226,Plots!$H$3,,,Plots!$A$61))</f>
        <v>0</v>
      </c>
      <c r="H226" cm="1">
        <f t="array" aca="1" ref="H226" ca="1">INDIRECT(ADDRESS($B226,Plots!$H$3,,,Plots!$A$62))+INDIRECT(ADDRESS($B226,Plots!$H$3,,,Plots!$A$63))+INDIRECT(ADDRESS($B226,Plots!$H$3,,,Plots!$A$64))+INDIRECT(ADDRESS($B226,Plots!$H$3,,,Plots!$A$65))+INDIRECT(ADDRESS($B226,Plots!$H$3,,,Plots!$A$66))+INDIRECT(ADDRESS($B226,Plots!$H$3,,,Plots!$A$67))</f>
        <v>0</v>
      </c>
      <c r="I226">
        <f>'AARnetCBR-CamDTN1_tcpmon_ts_81'!H230+'AARnetCBR-CamDTN1_tcpmon_ts_82'!H230+'AARnetCBR-CamDTN1_tcpmon_ts_83'!H230+'AARnetCBR-CamDTN1_tcpmon_ts_84'!H230+'AARnetCBR-CamDTN1_tcpmon_ts_85'!H230+'AARnetCBR-CamDTN1_tcpmon_ts_86'!H230+'AARnetCBR-CamDTN1_tcpmon_ts_87'!H230+'AARnetCBR-CamDTN1_tcpmon_ts_88'!H230</f>
        <v>0</v>
      </c>
      <c r="L226" cm="1">
        <f t="array" aca="1" ref="L226" ca="1">INDIRECT(ADDRESS($B226,Plots!$H$4,,,Plots!$A$47))</f>
        <v>0</v>
      </c>
      <c r="M226" cm="1">
        <f t="array" aca="1" ref="M226" ca="1">INDIRECT(ADDRESS($B226,Plots!$H$4,,,Plots!$A$48))+INDIRECT(ADDRESS($B226,Plots!$H$4,,,Plots!$A$49))</f>
        <v>0</v>
      </c>
      <c r="N226" cm="1">
        <f t="array" aca="1" ref="N226" ca="1">INDIRECT(ADDRESS($B226,Plots!$H$4,,,Plots!$A$50))+INDIRECT(ADDRESS($B226,Plots!$H$4,,,Plots!$A$51))+INDIRECT(ADDRESS($B226,Plots!$H$4,,,Plots!$A$52))</f>
        <v>0</v>
      </c>
      <c r="O226" cm="1">
        <f t="array" aca="1" ref="O226" ca="1">INDIRECT(ADDRESS($B226,Plots!$H$4,,,Plots!$A$53))+INDIRECT(ADDRESS($B226,Plots!$H$4,,,Plots!$A$54))+INDIRECT(ADDRESS($B226,Plots!$H$4,,,Plots!$A$55))+INDIRECT(ADDRESS($B226,Plots!$H$4,,,Plots!$A$56))</f>
        <v>0</v>
      </c>
      <c r="P226" cm="1">
        <f t="array" aca="1" ref="P226" ca="1">INDIRECT(ADDRESS($B226,Plots!$H$4,,,Plots!$A$57))+INDIRECT(ADDRESS($B226,Plots!$H$4,,,Plots!$A$58))+INDIRECT(ADDRESS($B226,Plots!$H$4,,,Plots!$A$59))+INDIRECT(ADDRESS($B226,Plots!$H$4,,,Plots!$A$60))+INDIRECT(ADDRESS($B226,Plots!$H$4,,,Plots!$A$61))</f>
        <v>0</v>
      </c>
      <c r="Q226" cm="1">
        <f t="array" aca="1" ref="Q226" ca="1">INDIRECT(ADDRESS($B226,Plots!$H$4,,,Plots!$A$62))+INDIRECT(ADDRESS($B226,Plots!$H$4,,,Plots!$A$63))+INDIRECT(ADDRESS($B226,Plots!$H$4,,,Plots!$A$64))+INDIRECT(ADDRESS($B226,Plots!$H$4,,,Plots!$A$65))+INDIRECT(ADDRESS($B226,Plots!$H$4,,,Plots!$A$66))+INDIRECT(ADDRESS($B226,Plots!$H$4,,,Plots!$A$67))</f>
        <v>0</v>
      </c>
    </row>
    <row r="227" spans="1:17">
      <c r="A227" t="str">
        <f>'AARnetCBR-CamDTN1_tcpmon_ts_11'!A227</f>
        <v xml:space="preserve">R54 </v>
      </c>
      <c r="B227">
        <f t="shared" si="0"/>
        <v>227</v>
      </c>
      <c r="C227" cm="1">
        <f t="array" aca="1" ref="C227" ca="1">INDIRECT(ADDRESS($B227,Plots!$H$3,,,Plots!$A$47))</f>
        <v>0</v>
      </c>
      <c r="D227" cm="1">
        <f t="array" aca="1" ref="D227" ca="1">INDIRECT(ADDRESS($B227,Plots!$H$3,,,Plots!$A$48))+INDIRECT(ADDRESS($B227,Plots!$H$3,,,Plots!$A$49))</f>
        <v>0</v>
      </c>
      <c r="E227" cm="1">
        <f t="array" aca="1" ref="E227" ca="1">INDIRECT(ADDRESS($B227,Plots!$H$3,,,Plots!$A$50))+INDIRECT(ADDRESS($B227,Plots!$H$3,,,Plots!$A$51))+INDIRECT(ADDRESS($B227,Plots!$H$3,,,Plots!$A$52))</f>
        <v>0</v>
      </c>
      <c r="F227" cm="1">
        <f t="array" aca="1" ref="F227" ca="1">INDIRECT(ADDRESS($B227,Plots!$H$3,,,Plots!$A$53))+INDIRECT(ADDRESS($B227,Plots!$H$3,,,Plots!$A$54))+INDIRECT(ADDRESS($B227,Plots!$H$3,,,Plots!$A$55))+INDIRECT(ADDRESS($B227,Plots!$H$3,,,Plots!$A$56))</f>
        <v>0</v>
      </c>
      <c r="G227" cm="1">
        <f t="array" aca="1" ref="G227" ca="1">INDIRECT(ADDRESS($B227,Plots!$H$3,,,Plots!$A$57))+INDIRECT(ADDRESS($B227,Plots!$H$3,,,Plots!$A$58))+INDIRECT(ADDRESS($B227,Plots!$H$3,,,Plots!$A$59))+INDIRECT(ADDRESS($B227,Plots!$H$3,,,Plots!$A$60))+INDIRECT(ADDRESS($B227,Plots!$H$3,,,Plots!$A$61))</f>
        <v>0</v>
      </c>
      <c r="H227" cm="1">
        <f t="array" aca="1" ref="H227" ca="1">INDIRECT(ADDRESS($B227,Plots!$H$3,,,Plots!$A$62))+INDIRECT(ADDRESS($B227,Plots!$H$3,,,Plots!$A$63))+INDIRECT(ADDRESS($B227,Plots!$H$3,,,Plots!$A$64))+INDIRECT(ADDRESS($B227,Plots!$H$3,,,Plots!$A$65))+INDIRECT(ADDRESS($B227,Plots!$H$3,,,Plots!$A$66))+INDIRECT(ADDRESS($B227,Plots!$H$3,,,Plots!$A$67))</f>
        <v>0</v>
      </c>
      <c r="I227">
        <f>'AARnetCBR-CamDTN1_tcpmon_ts_81'!H231+'AARnetCBR-CamDTN1_tcpmon_ts_82'!H231+'AARnetCBR-CamDTN1_tcpmon_ts_83'!H231+'AARnetCBR-CamDTN1_tcpmon_ts_84'!H231+'AARnetCBR-CamDTN1_tcpmon_ts_85'!H231+'AARnetCBR-CamDTN1_tcpmon_ts_86'!H231+'AARnetCBR-CamDTN1_tcpmon_ts_87'!H231+'AARnetCBR-CamDTN1_tcpmon_ts_88'!H231</f>
        <v>0</v>
      </c>
      <c r="L227" cm="1">
        <f t="array" aca="1" ref="L227" ca="1">INDIRECT(ADDRESS($B227,Plots!$H$4,,,Plots!$A$47))</f>
        <v>0</v>
      </c>
      <c r="M227" cm="1">
        <f t="array" aca="1" ref="M227" ca="1">INDIRECT(ADDRESS($B227,Plots!$H$4,,,Plots!$A$48))+INDIRECT(ADDRESS($B227,Plots!$H$4,,,Plots!$A$49))</f>
        <v>0</v>
      </c>
      <c r="N227" cm="1">
        <f t="array" aca="1" ref="N227" ca="1">INDIRECT(ADDRESS($B227,Plots!$H$4,,,Plots!$A$50))+INDIRECT(ADDRESS($B227,Plots!$H$4,,,Plots!$A$51))+INDIRECT(ADDRESS($B227,Plots!$H$4,,,Plots!$A$52))</f>
        <v>0</v>
      </c>
      <c r="O227" cm="1">
        <f t="array" aca="1" ref="O227" ca="1">INDIRECT(ADDRESS($B227,Plots!$H$4,,,Plots!$A$53))+INDIRECT(ADDRESS($B227,Plots!$H$4,,,Plots!$A$54))+INDIRECT(ADDRESS($B227,Plots!$H$4,,,Plots!$A$55))+INDIRECT(ADDRESS($B227,Plots!$H$4,,,Plots!$A$56))</f>
        <v>0</v>
      </c>
      <c r="P227" cm="1">
        <f t="array" aca="1" ref="P227" ca="1">INDIRECT(ADDRESS($B227,Plots!$H$4,,,Plots!$A$57))+INDIRECT(ADDRESS($B227,Plots!$H$4,,,Plots!$A$58))+INDIRECT(ADDRESS($B227,Plots!$H$4,,,Plots!$A$59))+INDIRECT(ADDRESS($B227,Plots!$H$4,,,Plots!$A$60))+INDIRECT(ADDRESS($B227,Plots!$H$4,,,Plots!$A$61))</f>
        <v>0</v>
      </c>
      <c r="Q227" cm="1">
        <f t="array" aca="1" ref="Q227" ca="1">INDIRECT(ADDRESS($B227,Plots!$H$4,,,Plots!$A$62))+INDIRECT(ADDRESS($B227,Plots!$H$4,,,Plots!$A$63))+INDIRECT(ADDRESS($B227,Plots!$H$4,,,Plots!$A$64))+INDIRECT(ADDRESS($B227,Plots!$H$4,,,Plots!$A$65))+INDIRECT(ADDRESS($B227,Plots!$H$4,,,Plots!$A$66))+INDIRECT(ADDRESS($B227,Plots!$H$4,,,Plots!$A$67))</f>
        <v>0</v>
      </c>
    </row>
    <row r="228" spans="1:17">
      <c r="A228" t="str">
        <f>'AARnetCBR-CamDTN1_tcpmon_ts_11'!A228</f>
        <v xml:space="preserve">R55 </v>
      </c>
      <c r="B228">
        <f t="shared" si="0"/>
        <v>228</v>
      </c>
      <c r="C228" cm="1">
        <f t="array" aca="1" ref="C228" ca="1">INDIRECT(ADDRESS($B228,Plots!$H$3,,,Plots!$A$47))</f>
        <v>0</v>
      </c>
      <c r="D228" cm="1">
        <f t="array" aca="1" ref="D228" ca="1">INDIRECT(ADDRESS($B228,Plots!$H$3,,,Plots!$A$48))+INDIRECT(ADDRESS($B228,Plots!$H$3,,,Plots!$A$49))</f>
        <v>0</v>
      </c>
      <c r="E228" cm="1">
        <f t="array" aca="1" ref="E228" ca="1">INDIRECT(ADDRESS($B228,Plots!$H$3,,,Plots!$A$50))+INDIRECT(ADDRESS($B228,Plots!$H$3,,,Plots!$A$51))+INDIRECT(ADDRESS($B228,Plots!$H$3,,,Plots!$A$52))</f>
        <v>0</v>
      </c>
      <c r="F228" cm="1">
        <f t="array" aca="1" ref="F228" ca="1">INDIRECT(ADDRESS($B228,Plots!$H$3,,,Plots!$A$53))+INDIRECT(ADDRESS($B228,Plots!$H$3,,,Plots!$A$54))+INDIRECT(ADDRESS($B228,Plots!$H$3,,,Plots!$A$55))+INDIRECT(ADDRESS($B228,Plots!$H$3,,,Plots!$A$56))</f>
        <v>0</v>
      </c>
      <c r="G228" cm="1">
        <f t="array" aca="1" ref="G228" ca="1">INDIRECT(ADDRESS($B228,Plots!$H$3,,,Plots!$A$57))+INDIRECT(ADDRESS($B228,Plots!$H$3,,,Plots!$A$58))+INDIRECT(ADDRESS($B228,Plots!$H$3,,,Plots!$A$59))+INDIRECT(ADDRESS($B228,Plots!$H$3,,,Plots!$A$60))+INDIRECT(ADDRESS($B228,Plots!$H$3,,,Plots!$A$61))</f>
        <v>0</v>
      </c>
      <c r="H228" cm="1">
        <f t="array" aca="1" ref="H228" ca="1">INDIRECT(ADDRESS($B228,Plots!$H$3,,,Plots!$A$62))+INDIRECT(ADDRESS($B228,Plots!$H$3,,,Plots!$A$63))+INDIRECT(ADDRESS($B228,Plots!$H$3,,,Plots!$A$64))+INDIRECT(ADDRESS($B228,Plots!$H$3,,,Plots!$A$65))+INDIRECT(ADDRESS($B228,Plots!$H$3,,,Plots!$A$66))+INDIRECT(ADDRESS($B228,Plots!$H$3,,,Plots!$A$67))</f>
        <v>0</v>
      </c>
      <c r="I228">
        <f>'AARnetCBR-CamDTN1_tcpmon_ts_81'!H232+'AARnetCBR-CamDTN1_tcpmon_ts_82'!H232+'AARnetCBR-CamDTN1_tcpmon_ts_83'!H232+'AARnetCBR-CamDTN1_tcpmon_ts_84'!H232+'AARnetCBR-CamDTN1_tcpmon_ts_85'!H232+'AARnetCBR-CamDTN1_tcpmon_ts_86'!H232+'AARnetCBR-CamDTN1_tcpmon_ts_87'!H232+'AARnetCBR-CamDTN1_tcpmon_ts_88'!H232</f>
        <v>0</v>
      </c>
      <c r="L228" cm="1">
        <f t="array" aca="1" ref="L228" ca="1">INDIRECT(ADDRESS($B228,Plots!$H$4,,,Plots!$A$47))</f>
        <v>0</v>
      </c>
      <c r="M228" cm="1">
        <f t="array" aca="1" ref="M228" ca="1">INDIRECT(ADDRESS($B228,Plots!$H$4,,,Plots!$A$48))+INDIRECT(ADDRESS($B228,Plots!$H$4,,,Plots!$A$49))</f>
        <v>0</v>
      </c>
      <c r="N228" cm="1">
        <f t="array" aca="1" ref="N228" ca="1">INDIRECT(ADDRESS($B228,Plots!$H$4,,,Plots!$A$50))+INDIRECT(ADDRESS($B228,Plots!$H$4,,,Plots!$A$51))+INDIRECT(ADDRESS($B228,Plots!$H$4,,,Plots!$A$52))</f>
        <v>0</v>
      </c>
      <c r="O228" cm="1">
        <f t="array" aca="1" ref="O228" ca="1">INDIRECT(ADDRESS($B228,Plots!$H$4,,,Plots!$A$53))+INDIRECT(ADDRESS($B228,Plots!$H$4,,,Plots!$A$54))+INDIRECT(ADDRESS($B228,Plots!$H$4,,,Plots!$A$55))+INDIRECT(ADDRESS($B228,Plots!$H$4,,,Plots!$A$56))</f>
        <v>0</v>
      </c>
      <c r="P228" cm="1">
        <f t="array" aca="1" ref="P228" ca="1">INDIRECT(ADDRESS($B228,Plots!$H$4,,,Plots!$A$57))+INDIRECT(ADDRESS($B228,Plots!$H$4,,,Plots!$A$58))+INDIRECT(ADDRESS($B228,Plots!$H$4,,,Plots!$A$59))+INDIRECT(ADDRESS($B228,Plots!$H$4,,,Plots!$A$60))+INDIRECT(ADDRESS($B228,Plots!$H$4,,,Plots!$A$61))</f>
        <v>0</v>
      </c>
      <c r="Q228" cm="1">
        <f t="array" aca="1" ref="Q228" ca="1">INDIRECT(ADDRESS($B228,Plots!$H$4,,,Plots!$A$62))+INDIRECT(ADDRESS($B228,Plots!$H$4,,,Plots!$A$63))+INDIRECT(ADDRESS($B228,Plots!$H$4,,,Plots!$A$64))+INDIRECT(ADDRESS($B228,Plots!$H$4,,,Plots!$A$65))+INDIRECT(ADDRESS($B228,Plots!$H$4,,,Plots!$A$66))+INDIRECT(ADDRESS($B228,Plots!$H$4,,,Plots!$A$67))</f>
        <v>0</v>
      </c>
    </row>
    <row r="229" spans="1:17">
      <c r="A229">
        <f>'AARnetCBR-CamDTN1_tcpmon_ts_11'!A229</f>
        <v>0</v>
      </c>
      <c r="B229">
        <f t="shared" si="0"/>
        <v>229</v>
      </c>
      <c r="C229" cm="1">
        <f t="array" aca="1" ref="C229" ca="1">INDIRECT(ADDRESS($B229,Plots!$H$3,,,Plots!$A$47))</f>
        <v>0</v>
      </c>
      <c r="D229" cm="1">
        <f t="array" aca="1" ref="D229" ca="1">INDIRECT(ADDRESS($B229,Plots!$H$3,,,Plots!$A$48))+INDIRECT(ADDRESS($B229,Plots!$H$3,,,Plots!$A$49))</f>
        <v>0</v>
      </c>
      <c r="E229" cm="1">
        <f t="array" aca="1" ref="E229" ca="1">INDIRECT(ADDRESS($B229,Plots!$H$3,,,Plots!$A$50))+INDIRECT(ADDRESS($B229,Plots!$H$3,,,Plots!$A$51))+INDIRECT(ADDRESS($B229,Plots!$H$3,,,Plots!$A$52))</f>
        <v>0</v>
      </c>
      <c r="F229" cm="1">
        <f t="array" aca="1" ref="F229" ca="1">INDIRECT(ADDRESS($B229,Plots!$H$3,,,Plots!$A$53))+INDIRECT(ADDRESS($B229,Plots!$H$3,,,Plots!$A$54))+INDIRECT(ADDRESS($B229,Plots!$H$3,,,Plots!$A$55))+INDIRECT(ADDRESS($B229,Plots!$H$3,,,Plots!$A$56))</f>
        <v>0</v>
      </c>
      <c r="G229" cm="1">
        <f t="array" aca="1" ref="G229" ca="1">INDIRECT(ADDRESS($B229,Plots!$H$3,,,Plots!$A$57))+INDIRECT(ADDRESS($B229,Plots!$H$3,,,Plots!$A$58))+INDIRECT(ADDRESS($B229,Plots!$H$3,,,Plots!$A$59))+INDIRECT(ADDRESS($B229,Plots!$H$3,,,Plots!$A$60))+INDIRECT(ADDRESS($B229,Plots!$H$3,,,Plots!$A$61))</f>
        <v>0</v>
      </c>
      <c r="H229" cm="1">
        <f t="array" aca="1" ref="H229" ca="1">INDIRECT(ADDRESS($B229,Plots!$H$3,,,Plots!$A$62))+INDIRECT(ADDRESS($B229,Plots!$H$3,,,Plots!$A$63))+INDIRECT(ADDRESS($B229,Plots!$H$3,,,Plots!$A$64))+INDIRECT(ADDRESS($B229,Plots!$H$3,,,Plots!$A$65))+INDIRECT(ADDRESS($B229,Plots!$H$3,,,Plots!$A$66))+INDIRECT(ADDRESS($B229,Plots!$H$3,,,Plots!$A$67))</f>
        <v>0</v>
      </c>
      <c r="I229">
        <f>'AARnetCBR-CamDTN1_tcpmon_ts_81'!H233+'AARnetCBR-CamDTN1_tcpmon_ts_82'!H233+'AARnetCBR-CamDTN1_tcpmon_ts_83'!H233+'AARnetCBR-CamDTN1_tcpmon_ts_84'!H233+'AARnetCBR-CamDTN1_tcpmon_ts_85'!H233+'AARnetCBR-CamDTN1_tcpmon_ts_86'!H233+'AARnetCBR-CamDTN1_tcpmon_ts_87'!H233+'AARnetCBR-CamDTN1_tcpmon_ts_88'!H233</f>
        <v>0</v>
      </c>
      <c r="L229" cm="1">
        <f t="array" aca="1" ref="L229" ca="1">INDIRECT(ADDRESS($B229,Plots!$H$4,,,Plots!$A$47))</f>
        <v>0</v>
      </c>
      <c r="M229" cm="1">
        <f t="array" aca="1" ref="M229" ca="1">INDIRECT(ADDRESS($B229,Plots!$H$4,,,Plots!$A$48))+INDIRECT(ADDRESS($B229,Plots!$H$4,,,Plots!$A$49))</f>
        <v>0</v>
      </c>
      <c r="N229" cm="1">
        <f t="array" aca="1" ref="N229" ca="1">INDIRECT(ADDRESS($B229,Plots!$H$4,,,Plots!$A$50))+INDIRECT(ADDRESS($B229,Plots!$H$4,,,Plots!$A$51))+INDIRECT(ADDRESS($B229,Plots!$H$4,,,Plots!$A$52))</f>
        <v>0</v>
      </c>
      <c r="O229" cm="1">
        <f t="array" aca="1" ref="O229" ca="1">INDIRECT(ADDRESS($B229,Plots!$H$4,,,Plots!$A$53))+INDIRECT(ADDRESS($B229,Plots!$H$4,,,Plots!$A$54))+INDIRECT(ADDRESS($B229,Plots!$H$4,,,Plots!$A$55))+INDIRECT(ADDRESS($B229,Plots!$H$4,,,Plots!$A$56))</f>
        <v>0</v>
      </c>
      <c r="P229" cm="1">
        <f t="array" aca="1" ref="P229" ca="1">INDIRECT(ADDRESS($B229,Plots!$H$4,,,Plots!$A$57))+INDIRECT(ADDRESS($B229,Plots!$H$4,,,Plots!$A$58))+INDIRECT(ADDRESS($B229,Plots!$H$4,,,Plots!$A$59))+INDIRECT(ADDRESS($B229,Plots!$H$4,,,Plots!$A$60))+INDIRECT(ADDRESS($B229,Plots!$H$4,,,Plots!$A$61))</f>
        <v>0</v>
      </c>
      <c r="Q229" cm="1">
        <f t="array" aca="1" ref="Q229" ca="1">INDIRECT(ADDRESS($B229,Plots!$H$4,,,Plots!$A$62))+INDIRECT(ADDRESS($B229,Plots!$H$4,,,Plots!$A$63))+INDIRECT(ADDRESS($B229,Plots!$H$4,,,Plots!$A$64))+INDIRECT(ADDRESS($B229,Plots!$H$4,,,Plots!$A$65))+INDIRECT(ADDRESS($B229,Plots!$H$4,,,Plots!$A$66))+INDIRECT(ADDRESS($B229,Plots!$H$4,,,Plots!$A$67))</f>
        <v>0</v>
      </c>
    </row>
    <row r="230" spans="1:17">
      <c r="A230">
        <f>'AARnetCBR-CamDTN1_tcpmon_ts_11'!A230</f>
        <v>0</v>
      </c>
      <c r="B230">
        <f t="shared" si="0"/>
        <v>230</v>
      </c>
      <c r="C230" cm="1">
        <f t="array" aca="1" ref="C230" ca="1">INDIRECT(ADDRESS($B230,Plots!$H$3,,,Plots!$A$47))</f>
        <v>0</v>
      </c>
      <c r="D230" cm="1">
        <f t="array" aca="1" ref="D230" ca="1">INDIRECT(ADDRESS($B230,Plots!$H$3,,,Plots!$A$48))+INDIRECT(ADDRESS($B230,Plots!$H$3,,,Plots!$A$49))</f>
        <v>0</v>
      </c>
      <c r="E230" cm="1">
        <f t="array" aca="1" ref="E230" ca="1">INDIRECT(ADDRESS($B230,Plots!$H$3,,,Plots!$A$50))+INDIRECT(ADDRESS($B230,Plots!$H$3,,,Plots!$A$51))+INDIRECT(ADDRESS($B230,Plots!$H$3,,,Plots!$A$52))</f>
        <v>0</v>
      </c>
      <c r="F230" cm="1">
        <f t="array" aca="1" ref="F230" ca="1">INDIRECT(ADDRESS($B230,Plots!$H$3,,,Plots!$A$53))+INDIRECT(ADDRESS($B230,Plots!$H$3,,,Plots!$A$54))+INDIRECT(ADDRESS($B230,Plots!$H$3,,,Plots!$A$55))+INDIRECT(ADDRESS($B230,Plots!$H$3,,,Plots!$A$56))</f>
        <v>0</v>
      </c>
      <c r="G230" cm="1">
        <f t="array" aca="1" ref="G230" ca="1">INDIRECT(ADDRESS($B230,Plots!$H$3,,,Plots!$A$57))+INDIRECT(ADDRESS($B230,Plots!$H$3,,,Plots!$A$58))+INDIRECT(ADDRESS($B230,Plots!$H$3,,,Plots!$A$59))+INDIRECT(ADDRESS($B230,Plots!$H$3,,,Plots!$A$60))+INDIRECT(ADDRESS($B230,Plots!$H$3,,,Plots!$A$61))</f>
        <v>0</v>
      </c>
      <c r="H230" cm="1">
        <f t="array" aca="1" ref="H230" ca="1">INDIRECT(ADDRESS($B230,Plots!$H$3,,,Plots!$A$62))+INDIRECT(ADDRESS($B230,Plots!$H$3,,,Plots!$A$63))+INDIRECT(ADDRESS($B230,Plots!$H$3,,,Plots!$A$64))+INDIRECT(ADDRESS($B230,Plots!$H$3,,,Plots!$A$65))+INDIRECT(ADDRESS($B230,Plots!$H$3,,,Plots!$A$66))+INDIRECT(ADDRESS($B230,Plots!$H$3,,,Plots!$A$67))</f>
        <v>0</v>
      </c>
      <c r="I230">
        <f>'AARnetCBR-CamDTN1_tcpmon_ts_81'!H234+'AARnetCBR-CamDTN1_tcpmon_ts_82'!H234+'AARnetCBR-CamDTN1_tcpmon_ts_83'!H234+'AARnetCBR-CamDTN1_tcpmon_ts_84'!H234+'AARnetCBR-CamDTN1_tcpmon_ts_85'!H234+'AARnetCBR-CamDTN1_tcpmon_ts_86'!H234+'AARnetCBR-CamDTN1_tcpmon_ts_87'!H234+'AARnetCBR-CamDTN1_tcpmon_ts_88'!H234</f>
        <v>0</v>
      </c>
      <c r="L230" cm="1">
        <f t="array" aca="1" ref="L230" ca="1">INDIRECT(ADDRESS($B230,Plots!$H$4,,,Plots!$A$47))</f>
        <v>0</v>
      </c>
      <c r="M230" cm="1">
        <f t="array" aca="1" ref="M230" ca="1">INDIRECT(ADDRESS($B230,Plots!$H$4,,,Plots!$A$48))+INDIRECT(ADDRESS($B230,Plots!$H$4,,,Plots!$A$49))</f>
        <v>0</v>
      </c>
      <c r="N230" cm="1">
        <f t="array" aca="1" ref="N230" ca="1">INDIRECT(ADDRESS($B230,Plots!$H$4,,,Plots!$A$50))+INDIRECT(ADDRESS($B230,Plots!$H$4,,,Plots!$A$51))+INDIRECT(ADDRESS($B230,Plots!$H$4,,,Plots!$A$52))</f>
        <v>0</v>
      </c>
      <c r="O230" cm="1">
        <f t="array" aca="1" ref="O230" ca="1">INDIRECT(ADDRESS($B230,Plots!$H$4,,,Plots!$A$53))+INDIRECT(ADDRESS($B230,Plots!$H$4,,,Plots!$A$54))+INDIRECT(ADDRESS($B230,Plots!$H$4,,,Plots!$A$55))+INDIRECT(ADDRESS($B230,Plots!$H$4,,,Plots!$A$56))</f>
        <v>0</v>
      </c>
      <c r="P230" cm="1">
        <f t="array" aca="1" ref="P230" ca="1">INDIRECT(ADDRESS($B230,Plots!$H$4,,,Plots!$A$57))+INDIRECT(ADDRESS($B230,Plots!$H$4,,,Plots!$A$58))+INDIRECT(ADDRESS($B230,Plots!$H$4,,,Plots!$A$59))+INDIRECT(ADDRESS($B230,Plots!$H$4,,,Plots!$A$60))+INDIRECT(ADDRESS($B230,Plots!$H$4,,,Plots!$A$61))</f>
        <v>0</v>
      </c>
      <c r="Q230" cm="1">
        <f t="array" aca="1" ref="Q230" ca="1">INDIRECT(ADDRESS($B230,Plots!$H$4,,,Plots!$A$62))+INDIRECT(ADDRESS($B230,Plots!$H$4,,,Plots!$A$63))+INDIRECT(ADDRESS($B230,Plots!$H$4,,,Plots!$A$64))+INDIRECT(ADDRESS($B230,Plots!$H$4,,,Plots!$A$65))+INDIRECT(ADDRESS($B230,Plots!$H$4,,,Plots!$A$66))+INDIRECT(ADDRESS($B230,Plots!$H$4,,,Plots!$A$67))</f>
        <v>0</v>
      </c>
    </row>
    <row r="231" spans="1:17">
      <c r="A231">
        <f>'AARnetCBR-CamDTN1_tcpmon_ts_11'!A231</f>
        <v>0</v>
      </c>
      <c r="B231">
        <f t="shared" si="0"/>
        <v>231</v>
      </c>
      <c r="C231" cm="1">
        <f t="array" aca="1" ref="C231" ca="1">INDIRECT(ADDRESS($B231,Plots!$H$3,,,Plots!$A$47))</f>
        <v>0</v>
      </c>
      <c r="D231" cm="1">
        <f t="array" aca="1" ref="D231" ca="1">INDIRECT(ADDRESS($B231,Plots!$H$3,,,Plots!$A$48))+INDIRECT(ADDRESS($B231,Plots!$H$3,,,Plots!$A$49))</f>
        <v>0</v>
      </c>
      <c r="E231" cm="1">
        <f t="array" aca="1" ref="E231" ca="1">INDIRECT(ADDRESS($B231,Plots!$H$3,,,Plots!$A$50))+INDIRECT(ADDRESS($B231,Plots!$H$3,,,Plots!$A$51))+INDIRECT(ADDRESS($B231,Plots!$H$3,,,Plots!$A$52))</f>
        <v>0</v>
      </c>
      <c r="F231" cm="1">
        <f t="array" aca="1" ref="F231" ca="1">INDIRECT(ADDRESS($B231,Plots!$H$3,,,Plots!$A$53))+INDIRECT(ADDRESS($B231,Plots!$H$3,,,Plots!$A$54))+INDIRECT(ADDRESS($B231,Plots!$H$3,,,Plots!$A$55))+INDIRECT(ADDRESS($B231,Plots!$H$3,,,Plots!$A$56))</f>
        <v>0</v>
      </c>
      <c r="G231" cm="1">
        <f t="array" aca="1" ref="G231" ca="1">INDIRECT(ADDRESS($B231,Plots!$H$3,,,Plots!$A$57))+INDIRECT(ADDRESS($B231,Plots!$H$3,,,Plots!$A$58))+INDIRECT(ADDRESS($B231,Plots!$H$3,,,Plots!$A$59))+INDIRECT(ADDRESS($B231,Plots!$H$3,,,Plots!$A$60))+INDIRECT(ADDRESS($B231,Plots!$H$3,,,Plots!$A$61))</f>
        <v>0</v>
      </c>
      <c r="H231" cm="1">
        <f t="array" aca="1" ref="H231" ca="1">INDIRECT(ADDRESS($B231,Plots!$H$3,,,Plots!$A$62))+INDIRECT(ADDRESS($B231,Plots!$H$3,,,Plots!$A$63))+INDIRECT(ADDRESS($B231,Plots!$H$3,,,Plots!$A$64))+INDIRECT(ADDRESS($B231,Plots!$H$3,,,Plots!$A$65))+INDIRECT(ADDRESS($B231,Plots!$H$3,,,Plots!$A$66))+INDIRECT(ADDRESS($B231,Plots!$H$3,,,Plots!$A$67))</f>
        <v>0</v>
      </c>
      <c r="I231">
        <f>'AARnetCBR-CamDTN1_tcpmon_ts_81'!H235+'AARnetCBR-CamDTN1_tcpmon_ts_82'!H235+'AARnetCBR-CamDTN1_tcpmon_ts_83'!H235+'AARnetCBR-CamDTN1_tcpmon_ts_84'!H235+'AARnetCBR-CamDTN1_tcpmon_ts_85'!H235+'AARnetCBR-CamDTN1_tcpmon_ts_86'!H235+'AARnetCBR-CamDTN1_tcpmon_ts_87'!H235+'AARnetCBR-CamDTN1_tcpmon_ts_88'!H235</f>
        <v>0</v>
      </c>
      <c r="L231" cm="1">
        <f t="array" aca="1" ref="L231" ca="1">INDIRECT(ADDRESS($B231,Plots!$H$4,,,Plots!$A$47))</f>
        <v>0</v>
      </c>
      <c r="M231" cm="1">
        <f t="array" aca="1" ref="M231" ca="1">INDIRECT(ADDRESS($B231,Plots!$H$4,,,Plots!$A$48))+INDIRECT(ADDRESS($B231,Plots!$H$4,,,Plots!$A$49))</f>
        <v>0</v>
      </c>
      <c r="N231" cm="1">
        <f t="array" aca="1" ref="N231" ca="1">INDIRECT(ADDRESS($B231,Plots!$H$4,,,Plots!$A$50))+INDIRECT(ADDRESS($B231,Plots!$H$4,,,Plots!$A$51))+INDIRECT(ADDRESS($B231,Plots!$H$4,,,Plots!$A$52))</f>
        <v>0</v>
      </c>
      <c r="O231" cm="1">
        <f t="array" aca="1" ref="O231" ca="1">INDIRECT(ADDRESS($B231,Plots!$H$4,,,Plots!$A$53))+INDIRECT(ADDRESS($B231,Plots!$H$4,,,Plots!$A$54))+INDIRECT(ADDRESS($B231,Plots!$H$4,,,Plots!$A$55))+INDIRECT(ADDRESS($B231,Plots!$H$4,,,Plots!$A$56))</f>
        <v>0</v>
      </c>
      <c r="P231" cm="1">
        <f t="array" aca="1" ref="P231" ca="1">INDIRECT(ADDRESS($B231,Plots!$H$4,,,Plots!$A$57))+INDIRECT(ADDRESS($B231,Plots!$H$4,,,Plots!$A$58))+INDIRECT(ADDRESS($B231,Plots!$H$4,,,Plots!$A$59))+INDIRECT(ADDRESS($B231,Plots!$H$4,,,Plots!$A$60))+INDIRECT(ADDRESS($B231,Plots!$H$4,,,Plots!$A$61))</f>
        <v>0</v>
      </c>
      <c r="Q231" cm="1">
        <f t="array" aca="1" ref="Q231" ca="1">INDIRECT(ADDRESS($B231,Plots!$H$4,,,Plots!$A$62))+INDIRECT(ADDRESS($B231,Plots!$H$4,,,Plots!$A$63))+INDIRECT(ADDRESS($B231,Plots!$H$4,,,Plots!$A$64))+INDIRECT(ADDRESS($B231,Plots!$H$4,,,Plots!$A$65))+INDIRECT(ADDRESS($B231,Plots!$H$4,,,Plots!$A$66))+INDIRECT(ADDRESS($B231,Plots!$H$4,,,Plots!$A$67))</f>
        <v>0</v>
      </c>
    </row>
    <row r="232" spans="1:17">
      <c r="A232">
        <f>'AARnetCBR-CamDTN1_tcpmon_ts_11'!A232</f>
        <v>0</v>
      </c>
      <c r="B232">
        <f t="shared" si="0"/>
        <v>232</v>
      </c>
      <c r="C232" cm="1">
        <f t="array" aca="1" ref="C232" ca="1">INDIRECT(ADDRESS($B232,Plots!$H$3,,,Plots!$A$47))</f>
        <v>0</v>
      </c>
      <c r="D232" cm="1">
        <f t="array" aca="1" ref="D232" ca="1">INDIRECT(ADDRESS($B232,Plots!$H$3,,,Plots!$A$48))+INDIRECT(ADDRESS($B232,Plots!$H$3,,,Plots!$A$49))</f>
        <v>0</v>
      </c>
      <c r="E232" cm="1">
        <f t="array" aca="1" ref="E232" ca="1">INDIRECT(ADDRESS($B232,Plots!$H$3,,,Plots!$A$50))+INDIRECT(ADDRESS($B232,Plots!$H$3,,,Plots!$A$51))+INDIRECT(ADDRESS($B232,Plots!$H$3,,,Plots!$A$52))</f>
        <v>0</v>
      </c>
      <c r="F232" cm="1">
        <f t="array" aca="1" ref="F232" ca="1">INDIRECT(ADDRESS($B232,Plots!$H$3,,,Plots!$A$53))+INDIRECT(ADDRESS($B232,Plots!$H$3,,,Plots!$A$54))+INDIRECT(ADDRESS($B232,Plots!$H$3,,,Plots!$A$55))+INDIRECT(ADDRESS($B232,Plots!$H$3,,,Plots!$A$56))</f>
        <v>0</v>
      </c>
      <c r="G232" cm="1">
        <f t="array" aca="1" ref="G232" ca="1">INDIRECT(ADDRESS($B232,Plots!$H$3,,,Plots!$A$57))+INDIRECT(ADDRESS($B232,Plots!$H$3,,,Plots!$A$58))+INDIRECT(ADDRESS($B232,Plots!$H$3,,,Plots!$A$59))+INDIRECT(ADDRESS($B232,Plots!$H$3,,,Plots!$A$60))+INDIRECT(ADDRESS($B232,Plots!$H$3,,,Plots!$A$61))</f>
        <v>0</v>
      </c>
      <c r="H232" cm="1">
        <f t="array" aca="1" ref="H232" ca="1">INDIRECT(ADDRESS($B232,Plots!$H$3,,,Plots!$A$62))+INDIRECT(ADDRESS($B232,Plots!$H$3,,,Plots!$A$63))+INDIRECT(ADDRESS($B232,Plots!$H$3,,,Plots!$A$64))+INDIRECT(ADDRESS($B232,Plots!$H$3,,,Plots!$A$65))+INDIRECT(ADDRESS($B232,Plots!$H$3,,,Plots!$A$66))+INDIRECT(ADDRESS($B232,Plots!$H$3,,,Plots!$A$67))</f>
        <v>0</v>
      </c>
      <c r="I232">
        <f>'AARnetCBR-CamDTN1_tcpmon_ts_81'!H236+'AARnetCBR-CamDTN1_tcpmon_ts_82'!H236+'AARnetCBR-CamDTN1_tcpmon_ts_83'!H236+'AARnetCBR-CamDTN1_tcpmon_ts_84'!H236+'AARnetCBR-CamDTN1_tcpmon_ts_85'!H236+'AARnetCBR-CamDTN1_tcpmon_ts_86'!H236+'AARnetCBR-CamDTN1_tcpmon_ts_87'!H236+'AARnetCBR-CamDTN1_tcpmon_ts_88'!H236</f>
        <v>0</v>
      </c>
      <c r="L232" cm="1">
        <f t="array" aca="1" ref="L232" ca="1">INDIRECT(ADDRESS($B232,Plots!$H$4,,,Plots!$A$47))</f>
        <v>0</v>
      </c>
      <c r="M232" cm="1">
        <f t="array" aca="1" ref="M232" ca="1">INDIRECT(ADDRESS($B232,Plots!$H$4,,,Plots!$A$48))+INDIRECT(ADDRESS($B232,Plots!$H$4,,,Plots!$A$49))</f>
        <v>0</v>
      </c>
      <c r="N232" cm="1">
        <f t="array" aca="1" ref="N232" ca="1">INDIRECT(ADDRESS($B232,Plots!$H$4,,,Plots!$A$50))+INDIRECT(ADDRESS($B232,Plots!$H$4,,,Plots!$A$51))+INDIRECT(ADDRESS($B232,Plots!$H$4,,,Plots!$A$52))</f>
        <v>0</v>
      </c>
      <c r="O232" cm="1">
        <f t="array" aca="1" ref="O232" ca="1">INDIRECT(ADDRESS($B232,Plots!$H$4,,,Plots!$A$53))+INDIRECT(ADDRESS($B232,Plots!$H$4,,,Plots!$A$54))+INDIRECT(ADDRESS($B232,Plots!$H$4,,,Plots!$A$55))+INDIRECT(ADDRESS($B232,Plots!$H$4,,,Plots!$A$56))</f>
        <v>0</v>
      </c>
      <c r="P232" cm="1">
        <f t="array" aca="1" ref="P232" ca="1">INDIRECT(ADDRESS($B232,Plots!$H$4,,,Plots!$A$57))+INDIRECT(ADDRESS($B232,Plots!$H$4,,,Plots!$A$58))+INDIRECT(ADDRESS($B232,Plots!$H$4,,,Plots!$A$59))+INDIRECT(ADDRESS($B232,Plots!$H$4,,,Plots!$A$60))+INDIRECT(ADDRESS($B232,Plots!$H$4,,,Plots!$A$61))</f>
        <v>0</v>
      </c>
      <c r="Q232" cm="1">
        <f t="array" aca="1" ref="Q232" ca="1">INDIRECT(ADDRESS($B232,Plots!$H$4,,,Plots!$A$62))+INDIRECT(ADDRESS($B232,Plots!$H$4,,,Plots!$A$63))+INDIRECT(ADDRESS($B232,Plots!$H$4,,,Plots!$A$64))+INDIRECT(ADDRESS($B232,Plots!$H$4,,,Plots!$A$65))+INDIRECT(ADDRESS($B232,Plots!$H$4,,,Plots!$A$66))+INDIRECT(ADDRESS($B232,Plots!$H$4,,,Plots!$A$67))</f>
        <v>0</v>
      </c>
    </row>
    <row r="233" spans="1:17">
      <c r="A233">
        <f>'AARnetCBR-CamDTN1_tcpmon_ts_11'!A233</f>
        <v>0</v>
      </c>
      <c r="B233">
        <f t="shared" si="0"/>
        <v>233</v>
      </c>
      <c r="C233" cm="1">
        <f t="array" aca="1" ref="C233" ca="1">INDIRECT(ADDRESS($B233,Plots!$H$3,,,Plots!$A$47))</f>
        <v>0</v>
      </c>
      <c r="D233" cm="1">
        <f t="array" aca="1" ref="D233" ca="1">INDIRECT(ADDRESS($B233,Plots!$H$3,,,Plots!$A$48))+INDIRECT(ADDRESS($B233,Plots!$H$3,,,Plots!$A$49))</f>
        <v>0</v>
      </c>
      <c r="E233" cm="1">
        <f t="array" aca="1" ref="E233" ca="1">INDIRECT(ADDRESS($B233,Plots!$H$3,,,Plots!$A$50))+INDIRECT(ADDRESS($B233,Plots!$H$3,,,Plots!$A$51))+INDIRECT(ADDRESS($B233,Plots!$H$3,,,Plots!$A$52))</f>
        <v>0</v>
      </c>
      <c r="F233" cm="1">
        <f t="array" aca="1" ref="F233" ca="1">INDIRECT(ADDRESS($B233,Plots!$H$3,,,Plots!$A$53))+INDIRECT(ADDRESS($B233,Plots!$H$3,,,Plots!$A$54))+INDIRECT(ADDRESS($B233,Plots!$H$3,,,Plots!$A$55))+INDIRECT(ADDRESS($B233,Plots!$H$3,,,Plots!$A$56))</f>
        <v>0</v>
      </c>
      <c r="G233" cm="1">
        <f t="array" aca="1" ref="G233" ca="1">INDIRECT(ADDRESS($B233,Plots!$H$3,,,Plots!$A$57))+INDIRECT(ADDRESS($B233,Plots!$H$3,,,Plots!$A$58))+INDIRECT(ADDRESS($B233,Plots!$H$3,,,Plots!$A$59))+INDIRECT(ADDRESS($B233,Plots!$H$3,,,Plots!$A$60))+INDIRECT(ADDRESS($B233,Plots!$H$3,,,Plots!$A$61))</f>
        <v>0</v>
      </c>
      <c r="H233" cm="1">
        <f t="array" aca="1" ref="H233" ca="1">INDIRECT(ADDRESS($B233,Plots!$H$3,,,Plots!$A$62))+INDIRECT(ADDRESS($B233,Plots!$H$3,,,Plots!$A$63))+INDIRECT(ADDRESS($B233,Plots!$H$3,,,Plots!$A$64))+INDIRECT(ADDRESS($B233,Plots!$H$3,,,Plots!$A$65))+INDIRECT(ADDRESS($B233,Plots!$H$3,,,Plots!$A$66))+INDIRECT(ADDRESS($B233,Plots!$H$3,,,Plots!$A$67))</f>
        <v>0</v>
      </c>
      <c r="I233">
        <f>'AARnetCBR-CamDTN1_tcpmon_ts_81'!H237+'AARnetCBR-CamDTN1_tcpmon_ts_82'!H237+'AARnetCBR-CamDTN1_tcpmon_ts_83'!H237+'AARnetCBR-CamDTN1_tcpmon_ts_84'!H237+'AARnetCBR-CamDTN1_tcpmon_ts_85'!H237+'AARnetCBR-CamDTN1_tcpmon_ts_86'!H237+'AARnetCBR-CamDTN1_tcpmon_ts_87'!H237+'AARnetCBR-CamDTN1_tcpmon_ts_88'!H237</f>
        <v>0</v>
      </c>
      <c r="L233" cm="1">
        <f t="array" aca="1" ref="L233" ca="1">INDIRECT(ADDRESS($B233,Plots!$H$4,,,Plots!$A$47))</f>
        <v>0</v>
      </c>
      <c r="M233" cm="1">
        <f t="array" aca="1" ref="M233" ca="1">INDIRECT(ADDRESS($B233,Plots!$H$4,,,Plots!$A$48))+INDIRECT(ADDRESS($B233,Plots!$H$4,,,Plots!$A$49))</f>
        <v>0</v>
      </c>
      <c r="N233" cm="1">
        <f t="array" aca="1" ref="N233" ca="1">INDIRECT(ADDRESS($B233,Plots!$H$4,,,Plots!$A$50))+INDIRECT(ADDRESS($B233,Plots!$H$4,,,Plots!$A$51))+INDIRECT(ADDRESS($B233,Plots!$H$4,,,Plots!$A$52))</f>
        <v>0</v>
      </c>
      <c r="O233" cm="1">
        <f t="array" aca="1" ref="O233" ca="1">INDIRECT(ADDRESS($B233,Plots!$H$4,,,Plots!$A$53))+INDIRECT(ADDRESS($B233,Plots!$H$4,,,Plots!$A$54))+INDIRECT(ADDRESS($B233,Plots!$H$4,,,Plots!$A$55))+INDIRECT(ADDRESS($B233,Plots!$H$4,,,Plots!$A$56))</f>
        <v>0</v>
      </c>
      <c r="P233" cm="1">
        <f t="array" aca="1" ref="P233" ca="1">INDIRECT(ADDRESS($B233,Plots!$H$4,,,Plots!$A$57))+INDIRECT(ADDRESS($B233,Plots!$H$4,,,Plots!$A$58))+INDIRECT(ADDRESS($B233,Plots!$H$4,,,Plots!$A$59))+INDIRECT(ADDRESS($B233,Plots!$H$4,,,Plots!$A$60))+INDIRECT(ADDRESS($B233,Plots!$H$4,,,Plots!$A$61))</f>
        <v>0</v>
      </c>
      <c r="Q233" cm="1">
        <f t="array" aca="1" ref="Q233" ca="1">INDIRECT(ADDRESS($B233,Plots!$H$4,,,Plots!$A$62))+INDIRECT(ADDRESS($B233,Plots!$H$4,,,Plots!$A$63))+INDIRECT(ADDRESS($B233,Plots!$H$4,,,Plots!$A$64))+INDIRECT(ADDRESS($B233,Plots!$H$4,,,Plots!$A$65))+INDIRECT(ADDRESS($B233,Plots!$H$4,,,Plots!$A$66))+INDIRECT(ADDRESS($B233,Plots!$H$4,,,Plots!$A$67))</f>
        <v>0</v>
      </c>
    </row>
    <row r="234" spans="1:17">
      <c r="A234">
        <f>'AARnetCBR-CamDTN1_tcpmon_ts_11'!A234</f>
        <v>0</v>
      </c>
      <c r="B234">
        <f t="shared" si="0"/>
        <v>234</v>
      </c>
      <c r="C234" cm="1">
        <f t="array" aca="1" ref="C234" ca="1">INDIRECT(ADDRESS($B234,Plots!$H$3,,,Plots!$A$47))</f>
        <v>0</v>
      </c>
      <c r="D234" cm="1">
        <f t="array" aca="1" ref="D234" ca="1">INDIRECT(ADDRESS($B234,Plots!$H$3,,,Plots!$A$48))+INDIRECT(ADDRESS($B234,Plots!$H$3,,,Plots!$A$49))</f>
        <v>0</v>
      </c>
      <c r="E234" cm="1">
        <f t="array" aca="1" ref="E234" ca="1">INDIRECT(ADDRESS($B234,Plots!$H$3,,,Plots!$A$50))+INDIRECT(ADDRESS($B234,Plots!$H$3,,,Plots!$A$51))+INDIRECT(ADDRESS($B234,Plots!$H$3,,,Plots!$A$52))</f>
        <v>0</v>
      </c>
      <c r="F234" cm="1">
        <f t="array" aca="1" ref="F234" ca="1">INDIRECT(ADDRESS($B234,Plots!$H$3,,,Plots!$A$53))+INDIRECT(ADDRESS($B234,Plots!$H$3,,,Plots!$A$54))+INDIRECT(ADDRESS($B234,Plots!$H$3,,,Plots!$A$55))+INDIRECT(ADDRESS($B234,Plots!$H$3,,,Plots!$A$56))</f>
        <v>0</v>
      </c>
      <c r="G234" cm="1">
        <f t="array" aca="1" ref="G234" ca="1">INDIRECT(ADDRESS($B234,Plots!$H$3,,,Plots!$A$57))+INDIRECT(ADDRESS($B234,Plots!$H$3,,,Plots!$A$58))+INDIRECT(ADDRESS($B234,Plots!$H$3,,,Plots!$A$59))+INDIRECT(ADDRESS($B234,Plots!$H$3,,,Plots!$A$60))+INDIRECT(ADDRESS($B234,Plots!$H$3,,,Plots!$A$61))</f>
        <v>0</v>
      </c>
      <c r="H234" cm="1">
        <f t="array" aca="1" ref="H234" ca="1">INDIRECT(ADDRESS($B234,Plots!$H$3,,,Plots!$A$62))+INDIRECT(ADDRESS($B234,Plots!$H$3,,,Plots!$A$63))+INDIRECT(ADDRESS($B234,Plots!$H$3,,,Plots!$A$64))+INDIRECT(ADDRESS($B234,Plots!$H$3,,,Plots!$A$65))+INDIRECT(ADDRESS($B234,Plots!$H$3,,,Plots!$A$66))+INDIRECT(ADDRESS($B234,Plots!$H$3,,,Plots!$A$67))</f>
        <v>0</v>
      </c>
      <c r="I234">
        <f>'AARnetCBR-CamDTN1_tcpmon_ts_81'!H238+'AARnetCBR-CamDTN1_tcpmon_ts_82'!H238+'AARnetCBR-CamDTN1_tcpmon_ts_83'!H238+'AARnetCBR-CamDTN1_tcpmon_ts_84'!H238+'AARnetCBR-CamDTN1_tcpmon_ts_85'!H238+'AARnetCBR-CamDTN1_tcpmon_ts_86'!H238+'AARnetCBR-CamDTN1_tcpmon_ts_87'!H238+'AARnetCBR-CamDTN1_tcpmon_ts_88'!H238</f>
        <v>0</v>
      </c>
      <c r="L234" cm="1">
        <f t="array" aca="1" ref="L234" ca="1">INDIRECT(ADDRESS($B234,Plots!$H$4,,,Plots!$A$47))</f>
        <v>0</v>
      </c>
      <c r="M234" cm="1">
        <f t="array" aca="1" ref="M234" ca="1">INDIRECT(ADDRESS($B234,Plots!$H$4,,,Plots!$A$48))+INDIRECT(ADDRESS($B234,Plots!$H$4,,,Plots!$A$49))</f>
        <v>0</v>
      </c>
      <c r="N234" cm="1">
        <f t="array" aca="1" ref="N234" ca="1">INDIRECT(ADDRESS($B234,Plots!$H$4,,,Plots!$A$50))+INDIRECT(ADDRESS($B234,Plots!$H$4,,,Plots!$A$51))+INDIRECT(ADDRESS($B234,Plots!$H$4,,,Plots!$A$52))</f>
        <v>0</v>
      </c>
      <c r="O234" cm="1">
        <f t="array" aca="1" ref="O234" ca="1">INDIRECT(ADDRESS($B234,Plots!$H$4,,,Plots!$A$53))+INDIRECT(ADDRESS($B234,Plots!$H$4,,,Plots!$A$54))+INDIRECT(ADDRESS($B234,Plots!$H$4,,,Plots!$A$55))+INDIRECT(ADDRESS($B234,Plots!$H$4,,,Plots!$A$56))</f>
        <v>0</v>
      </c>
      <c r="P234" cm="1">
        <f t="array" aca="1" ref="P234" ca="1">INDIRECT(ADDRESS($B234,Plots!$H$4,,,Plots!$A$57))+INDIRECT(ADDRESS($B234,Plots!$H$4,,,Plots!$A$58))+INDIRECT(ADDRESS($B234,Plots!$H$4,,,Plots!$A$59))+INDIRECT(ADDRESS($B234,Plots!$H$4,,,Plots!$A$60))+INDIRECT(ADDRESS($B234,Plots!$H$4,,,Plots!$A$61))</f>
        <v>0</v>
      </c>
      <c r="Q234" cm="1">
        <f t="array" aca="1" ref="Q234" ca="1">INDIRECT(ADDRESS($B234,Plots!$H$4,,,Plots!$A$62))+INDIRECT(ADDRESS($B234,Plots!$H$4,,,Plots!$A$63))+INDIRECT(ADDRESS($B234,Plots!$H$4,,,Plots!$A$64))+INDIRECT(ADDRESS($B234,Plots!$H$4,,,Plots!$A$65))+INDIRECT(ADDRESS($B234,Plots!$H$4,,,Plots!$A$66))+INDIRECT(ADDRESS($B234,Plots!$H$4,,,Plots!$A$67))</f>
        <v>0</v>
      </c>
    </row>
    <row r="235" spans="1:17">
      <c r="A235">
        <f>'AARnetCBR-CamDTN1_tcpmon_ts_11'!A235</f>
        <v>0</v>
      </c>
      <c r="B235">
        <f t="shared" si="0"/>
        <v>235</v>
      </c>
      <c r="C235" cm="1">
        <f t="array" aca="1" ref="C235" ca="1">INDIRECT(ADDRESS($B235,Plots!$H$3,,,Plots!$A$47))</f>
        <v>0</v>
      </c>
      <c r="D235" cm="1">
        <f t="array" aca="1" ref="D235" ca="1">INDIRECT(ADDRESS($B235,Plots!$H$3,,,Plots!$A$48))+INDIRECT(ADDRESS($B235,Plots!$H$3,,,Plots!$A$49))</f>
        <v>0</v>
      </c>
      <c r="E235" cm="1">
        <f t="array" aca="1" ref="E235" ca="1">INDIRECT(ADDRESS($B235,Plots!$H$3,,,Plots!$A$50))+INDIRECT(ADDRESS($B235,Plots!$H$3,,,Plots!$A$51))+INDIRECT(ADDRESS($B235,Plots!$H$3,,,Plots!$A$52))</f>
        <v>0</v>
      </c>
      <c r="F235" cm="1">
        <f t="array" aca="1" ref="F235" ca="1">INDIRECT(ADDRESS($B235,Plots!$H$3,,,Plots!$A$53))+INDIRECT(ADDRESS($B235,Plots!$H$3,,,Plots!$A$54))+INDIRECT(ADDRESS($B235,Plots!$H$3,,,Plots!$A$55))+INDIRECT(ADDRESS($B235,Plots!$H$3,,,Plots!$A$56))</f>
        <v>0</v>
      </c>
      <c r="G235" cm="1">
        <f t="array" aca="1" ref="G235" ca="1">INDIRECT(ADDRESS($B235,Plots!$H$3,,,Plots!$A$57))+INDIRECT(ADDRESS($B235,Plots!$H$3,,,Plots!$A$58))+INDIRECT(ADDRESS($B235,Plots!$H$3,,,Plots!$A$59))+INDIRECT(ADDRESS($B235,Plots!$H$3,,,Plots!$A$60))+INDIRECT(ADDRESS($B235,Plots!$H$3,,,Plots!$A$61))</f>
        <v>0</v>
      </c>
      <c r="H235" cm="1">
        <f t="array" aca="1" ref="H235" ca="1">INDIRECT(ADDRESS($B235,Plots!$H$3,,,Plots!$A$62))+INDIRECT(ADDRESS($B235,Plots!$H$3,,,Plots!$A$63))+INDIRECT(ADDRESS($B235,Plots!$H$3,,,Plots!$A$64))+INDIRECT(ADDRESS($B235,Plots!$H$3,,,Plots!$A$65))+INDIRECT(ADDRESS($B235,Plots!$H$3,,,Plots!$A$66))+INDIRECT(ADDRESS($B235,Plots!$H$3,,,Plots!$A$67))</f>
        <v>0</v>
      </c>
      <c r="I235">
        <f>'AARnetCBR-CamDTN1_tcpmon_ts_81'!H239+'AARnetCBR-CamDTN1_tcpmon_ts_82'!H239+'AARnetCBR-CamDTN1_tcpmon_ts_83'!H239+'AARnetCBR-CamDTN1_tcpmon_ts_84'!H239+'AARnetCBR-CamDTN1_tcpmon_ts_85'!H239+'AARnetCBR-CamDTN1_tcpmon_ts_86'!H239+'AARnetCBR-CamDTN1_tcpmon_ts_87'!H239+'AARnetCBR-CamDTN1_tcpmon_ts_88'!H239</f>
        <v>0</v>
      </c>
      <c r="L235" cm="1">
        <f t="array" aca="1" ref="L235" ca="1">INDIRECT(ADDRESS($B235,Plots!$H$4,,,Plots!$A$47))</f>
        <v>0</v>
      </c>
      <c r="M235" cm="1">
        <f t="array" aca="1" ref="M235" ca="1">INDIRECT(ADDRESS($B235,Plots!$H$4,,,Plots!$A$48))+INDIRECT(ADDRESS($B235,Plots!$H$4,,,Plots!$A$49))</f>
        <v>0</v>
      </c>
      <c r="N235" cm="1">
        <f t="array" aca="1" ref="N235" ca="1">INDIRECT(ADDRESS($B235,Plots!$H$4,,,Plots!$A$50))+INDIRECT(ADDRESS($B235,Plots!$H$4,,,Plots!$A$51))+INDIRECT(ADDRESS($B235,Plots!$H$4,,,Plots!$A$52))</f>
        <v>0</v>
      </c>
      <c r="O235" cm="1">
        <f t="array" aca="1" ref="O235" ca="1">INDIRECT(ADDRESS($B235,Plots!$H$4,,,Plots!$A$53))+INDIRECT(ADDRESS($B235,Plots!$H$4,,,Plots!$A$54))+INDIRECT(ADDRESS($B235,Plots!$H$4,,,Plots!$A$55))+INDIRECT(ADDRESS($B235,Plots!$H$4,,,Plots!$A$56))</f>
        <v>0</v>
      </c>
      <c r="P235" cm="1">
        <f t="array" aca="1" ref="P235" ca="1">INDIRECT(ADDRESS($B235,Plots!$H$4,,,Plots!$A$57))+INDIRECT(ADDRESS($B235,Plots!$H$4,,,Plots!$A$58))+INDIRECT(ADDRESS($B235,Plots!$H$4,,,Plots!$A$59))+INDIRECT(ADDRESS($B235,Plots!$H$4,,,Plots!$A$60))+INDIRECT(ADDRESS($B235,Plots!$H$4,,,Plots!$A$61))</f>
        <v>0</v>
      </c>
      <c r="Q235" cm="1">
        <f t="array" aca="1" ref="Q235" ca="1">INDIRECT(ADDRESS($B235,Plots!$H$4,,,Plots!$A$62))+INDIRECT(ADDRESS($B235,Plots!$H$4,,,Plots!$A$63))+INDIRECT(ADDRESS($B235,Plots!$H$4,,,Plots!$A$64))+INDIRECT(ADDRESS($B235,Plots!$H$4,,,Plots!$A$65))+INDIRECT(ADDRESS($B235,Plots!$H$4,,,Plots!$A$66))+INDIRECT(ADDRESS($B235,Plots!$H$4,,,Plots!$A$67))</f>
        <v>0</v>
      </c>
    </row>
    <row r="236" spans="1:17">
      <c r="A236">
        <f>'AARnetCBR-CamDTN1_tcpmon_ts_11'!A236</f>
        <v>0</v>
      </c>
      <c r="B236">
        <f t="shared" si="0"/>
        <v>236</v>
      </c>
      <c r="C236" cm="1">
        <f t="array" aca="1" ref="C236" ca="1">INDIRECT(ADDRESS($B236,Plots!$H$3,,,Plots!$A$47))</f>
        <v>0</v>
      </c>
      <c r="D236" cm="1">
        <f t="array" aca="1" ref="D236" ca="1">INDIRECT(ADDRESS($B236,Plots!$H$3,,,Plots!$A$48))+INDIRECT(ADDRESS($B236,Plots!$H$3,,,Plots!$A$49))</f>
        <v>0</v>
      </c>
      <c r="E236" cm="1">
        <f t="array" aca="1" ref="E236" ca="1">INDIRECT(ADDRESS($B236,Plots!$H$3,,,Plots!$A$50))+INDIRECT(ADDRESS($B236,Plots!$H$3,,,Plots!$A$51))+INDIRECT(ADDRESS($B236,Plots!$H$3,,,Plots!$A$52))</f>
        <v>0</v>
      </c>
      <c r="F236" cm="1">
        <f t="array" aca="1" ref="F236" ca="1">INDIRECT(ADDRESS($B236,Plots!$H$3,,,Plots!$A$53))+INDIRECT(ADDRESS($B236,Plots!$H$3,,,Plots!$A$54))+INDIRECT(ADDRESS($B236,Plots!$H$3,,,Plots!$A$55))+INDIRECT(ADDRESS($B236,Plots!$H$3,,,Plots!$A$56))</f>
        <v>0</v>
      </c>
      <c r="G236" cm="1">
        <f t="array" aca="1" ref="G236" ca="1">INDIRECT(ADDRESS($B236,Plots!$H$3,,,Plots!$A$57))+INDIRECT(ADDRESS($B236,Plots!$H$3,,,Plots!$A$58))+INDIRECT(ADDRESS($B236,Plots!$H$3,,,Plots!$A$59))+INDIRECT(ADDRESS($B236,Plots!$H$3,,,Plots!$A$60))+INDIRECT(ADDRESS($B236,Plots!$H$3,,,Plots!$A$61))</f>
        <v>0</v>
      </c>
      <c r="H236" cm="1">
        <f t="array" aca="1" ref="H236" ca="1">INDIRECT(ADDRESS($B236,Plots!$H$3,,,Plots!$A$62))+INDIRECT(ADDRESS($B236,Plots!$H$3,,,Plots!$A$63))+INDIRECT(ADDRESS($B236,Plots!$H$3,,,Plots!$A$64))+INDIRECT(ADDRESS($B236,Plots!$H$3,,,Plots!$A$65))+INDIRECT(ADDRESS($B236,Plots!$H$3,,,Plots!$A$66))+INDIRECT(ADDRESS($B236,Plots!$H$3,,,Plots!$A$67))</f>
        <v>0</v>
      </c>
      <c r="I236">
        <f>'AARnetCBR-CamDTN1_tcpmon_ts_81'!H240+'AARnetCBR-CamDTN1_tcpmon_ts_82'!H240+'AARnetCBR-CamDTN1_tcpmon_ts_83'!H240+'AARnetCBR-CamDTN1_tcpmon_ts_84'!H240+'AARnetCBR-CamDTN1_tcpmon_ts_85'!H240+'AARnetCBR-CamDTN1_tcpmon_ts_86'!H240+'AARnetCBR-CamDTN1_tcpmon_ts_87'!H240+'AARnetCBR-CamDTN1_tcpmon_ts_88'!H240</f>
        <v>0</v>
      </c>
      <c r="L236" cm="1">
        <f t="array" aca="1" ref="L236" ca="1">INDIRECT(ADDRESS($B236,Plots!$H$4,,,Plots!$A$47))</f>
        <v>0</v>
      </c>
      <c r="M236" cm="1">
        <f t="array" aca="1" ref="M236" ca="1">INDIRECT(ADDRESS($B236,Plots!$H$4,,,Plots!$A$48))+INDIRECT(ADDRESS($B236,Plots!$H$4,,,Plots!$A$49))</f>
        <v>0</v>
      </c>
      <c r="N236" cm="1">
        <f t="array" aca="1" ref="N236" ca="1">INDIRECT(ADDRESS($B236,Plots!$H$4,,,Plots!$A$50))+INDIRECT(ADDRESS($B236,Plots!$H$4,,,Plots!$A$51))+INDIRECT(ADDRESS($B236,Plots!$H$4,,,Plots!$A$52))</f>
        <v>0</v>
      </c>
      <c r="O236" cm="1">
        <f t="array" aca="1" ref="O236" ca="1">INDIRECT(ADDRESS($B236,Plots!$H$4,,,Plots!$A$53))+INDIRECT(ADDRESS($B236,Plots!$H$4,,,Plots!$A$54))+INDIRECT(ADDRESS($B236,Plots!$H$4,,,Plots!$A$55))+INDIRECT(ADDRESS($B236,Plots!$H$4,,,Plots!$A$56))</f>
        <v>0</v>
      </c>
      <c r="P236" cm="1">
        <f t="array" aca="1" ref="P236" ca="1">INDIRECT(ADDRESS($B236,Plots!$H$4,,,Plots!$A$57))+INDIRECT(ADDRESS($B236,Plots!$H$4,,,Plots!$A$58))+INDIRECT(ADDRESS($B236,Plots!$H$4,,,Plots!$A$59))+INDIRECT(ADDRESS($B236,Plots!$H$4,,,Plots!$A$60))+INDIRECT(ADDRESS($B236,Plots!$H$4,,,Plots!$A$61))</f>
        <v>0</v>
      </c>
      <c r="Q236" cm="1">
        <f t="array" aca="1" ref="Q236" ca="1">INDIRECT(ADDRESS($B236,Plots!$H$4,,,Plots!$A$62))+INDIRECT(ADDRESS($B236,Plots!$H$4,,,Plots!$A$63))+INDIRECT(ADDRESS($B236,Plots!$H$4,,,Plots!$A$64))+INDIRECT(ADDRESS($B236,Plots!$H$4,,,Plots!$A$65))+INDIRECT(ADDRESS($B236,Plots!$H$4,,,Plots!$A$66))+INDIRECT(ADDRESS($B236,Plots!$H$4,,,Plots!$A$67))</f>
        <v>0</v>
      </c>
    </row>
    <row r="237" spans="1:17">
      <c r="A237">
        <f>'AARnetCBR-CamDTN1_tcpmon_ts_11'!A237</f>
        <v>0</v>
      </c>
      <c r="B237">
        <f t="shared" si="0"/>
        <v>237</v>
      </c>
      <c r="C237" cm="1">
        <f t="array" aca="1" ref="C237" ca="1">INDIRECT(ADDRESS($B237,Plots!$H$3,,,Plots!$A$47))</f>
        <v>0</v>
      </c>
      <c r="D237" cm="1">
        <f t="array" aca="1" ref="D237" ca="1">INDIRECT(ADDRESS($B237,Plots!$H$3,,,Plots!$A$48))+INDIRECT(ADDRESS($B237,Plots!$H$3,,,Plots!$A$49))</f>
        <v>0</v>
      </c>
      <c r="E237" cm="1">
        <f t="array" aca="1" ref="E237" ca="1">INDIRECT(ADDRESS($B237,Plots!$H$3,,,Plots!$A$50))+INDIRECT(ADDRESS($B237,Plots!$H$3,,,Plots!$A$51))+INDIRECT(ADDRESS($B237,Plots!$H$3,,,Plots!$A$52))</f>
        <v>0</v>
      </c>
      <c r="F237" cm="1">
        <f t="array" aca="1" ref="F237" ca="1">INDIRECT(ADDRESS($B237,Plots!$H$3,,,Plots!$A$53))+INDIRECT(ADDRESS($B237,Plots!$H$3,,,Plots!$A$54))+INDIRECT(ADDRESS($B237,Plots!$H$3,,,Plots!$A$55))+INDIRECT(ADDRESS($B237,Plots!$H$3,,,Plots!$A$56))</f>
        <v>0</v>
      </c>
      <c r="G237" cm="1">
        <f t="array" aca="1" ref="G237" ca="1">INDIRECT(ADDRESS($B237,Plots!$H$3,,,Plots!$A$57))+INDIRECT(ADDRESS($B237,Plots!$H$3,,,Plots!$A$58))+INDIRECT(ADDRESS($B237,Plots!$H$3,,,Plots!$A$59))+INDIRECT(ADDRESS($B237,Plots!$H$3,,,Plots!$A$60))+INDIRECT(ADDRESS($B237,Plots!$H$3,,,Plots!$A$61))</f>
        <v>0</v>
      </c>
      <c r="H237" cm="1">
        <f t="array" aca="1" ref="H237" ca="1">INDIRECT(ADDRESS($B237,Plots!$H$3,,,Plots!$A$62))+INDIRECT(ADDRESS($B237,Plots!$H$3,,,Plots!$A$63))+INDIRECT(ADDRESS($B237,Plots!$H$3,,,Plots!$A$64))+INDIRECT(ADDRESS($B237,Plots!$H$3,,,Plots!$A$65))+INDIRECT(ADDRESS($B237,Plots!$H$3,,,Plots!$A$66))+INDIRECT(ADDRESS($B237,Plots!$H$3,,,Plots!$A$67))</f>
        <v>0</v>
      </c>
      <c r="I237">
        <f>'AARnetCBR-CamDTN1_tcpmon_ts_81'!H241+'AARnetCBR-CamDTN1_tcpmon_ts_82'!H241+'AARnetCBR-CamDTN1_tcpmon_ts_83'!H241+'AARnetCBR-CamDTN1_tcpmon_ts_84'!H241+'AARnetCBR-CamDTN1_tcpmon_ts_85'!H241+'AARnetCBR-CamDTN1_tcpmon_ts_86'!H241+'AARnetCBR-CamDTN1_tcpmon_ts_87'!H241+'AARnetCBR-CamDTN1_tcpmon_ts_88'!H241</f>
        <v>0</v>
      </c>
      <c r="L237" cm="1">
        <f t="array" aca="1" ref="L237" ca="1">INDIRECT(ADDRESS($B237,Plots!$H$4,,,Plots!$A$47))</f>
        <v>0</v>
      </c>
      <c r="M237" cm="1">
        <f t="array" aca="1" ref="M237" ca="1">INDIRECT(ADDRESS($B237,Plots!$H$4,,,Plots!$A$48))+INDIRECT(ADDRESS($B237,Plots!$H$4,,,Plots!$A$49))</f>
        <v>0</v>
      </c>
      <c r="N237" cm="1">
        <f t="array" aca="1" ref="N237" ca="1">INDIRECT(ADDRESS($B237,Plots!$H$4,,,Plots!$A$50))+INDIRECT(ADDRESS($B237,Plots!$H$4,,,Plots!$A$51))+INDIRECT(ADDRESS($B237,Plots!$H$4,,,Plots!$A$52))</f>
        <v>0</v>
      </c>
      <c r="O237" cm="1">
        <f t="array" aca="1" ref="O237" ca="1">INDIRECT(ADDRESS($B237,Plots!$H$4,,,Plots!$A$53))+INDIRECT(ADDRESS($B237,Plots!$H$4,,,Plots!$A$54))+INDIRECT(ADDRESS($B237,Plots!$H$4,,,Plots!$A$55))+INDIRECT(ADDRESS($B237,Plots!$H$4,,,Plots!$A$56))</f>
        <v>0</v>
      </c>
      <c r="P237" cm="1">
        <f t="array" aca="1" ref="P237" ca="1">INDIRECT(ADDRESS($B237,Plots!$H$4,,,Plots!$A$57))+INDIRECT(ADDRESS($B237,Plots!$H$4,,,Plots!$A$58))+INDIRECT(ADDRESS($B237,Plots!$H$4,,,Plots!$A$59))+INDIRECT(ADDRESS($B237,Plots!$H$4,,,Plots!$A$60))+INDIRECT(ADDRESS($B237,Plots!$H$4,,,Plots!$A$61))</f>
        <v>0</v>
      </c>
      <c r="Q237" cm="1">
        <f t="array" aca="1" ref="Q237" ca="1">INDIRECT(ADDRESS($B237,Plots!$H$4,,,Plots!$A$62))+INDIRECT(ADDRESS($B237,Plots!$H$4,,,Plots!$A$63))+INDIRECT(ADDRESS($B237,Plots!$H$4,,,Plots!$A$64))+INDIRECT(ADDRESS($B237,Plots!$H$4,,,Plots!$A$65))+INDIRECT(ADDRESS($B237,Plots!$H$4,,,Plots!$A$66))+INDIRECT(ADDRESS($B237,Plots!$H$4,,,Plots!$A$67))</f>
        <v>0</v>
      </c>
    </row>
    <row r="238" spans="1:17">
      <c r="A238">
        <f>'AARnetCBR-CamDTN1_tcpmon_ts_11'!A238</f>
        <v>0</v>
      </c>
      <c r="B238">
        <f t="shared" si="0"/>
        <v>238</v>
      </c>
      <c r="C238" cm="1">
        <f t="array" aca="1" ref="C238" ca="1">INDIRECT(ADDRESS($B238,Plots!$H$3,,,Plots!$A$47))</f>
        <v>0</v>
      </c>
      <c r="D238" cm="1">
        <f t="array" aca="1" ref="D238" ca="1">INDIRECT(ADDRESS($B238,Plots!$H$3,,,Plots!$A$48))+INDIRECT(ADDRESS($B238,Plots!$H$3,,,Plots!$A$49))</f>
        <v>0</v>
      </c>
      <c r="E238" cm="1">
        <f t="array" aca="1" ref="E238" ca="1">INDIRECT(ADDRESS($B238,Plots!$H$3,,,Plots!$A$50))+INDIRECT(ADDRESS($B238,Plots!$H$3,,,Plots!$A$51))+INDIRECT(ADDRESS($B238,Plots!$H$3,,,Plots!$A$52))</f>
        <v>0</v>
      </c>
      <c r="F238" cm="1">
        <f t="array" aca="1" ref="F238" ca="1">INDIRECT(ADDRESS($B238,Plots!$H$3,,,Plots!$A$53))+INDIRECT(ADDRESS($B238,Plots!$H$3,,,Plots!$A$54))+INDIRECT(ADDRESS($B238,Plots!$H$3,,,Plots!$A$55))+INDIRECT(ADDRESS($B238,Plots!$H$3,,,Plots!$A$56))</f>
        <v>0</v>
      </c>
      <c r="G238" cm="1">
        <f t="array" aca="1" ref="G238" ca="1">INDIRECT(ADDRESS($B238,Plots!$H$3,,,Plots!$A$57))+INDIRECT(ADDRESS($B238,Plots!$H$3,,,Plots!$A$58))+INDIRECT(ADDRESS($B238,Plots!$H$3,,,Plots!$A$59))+INDIRECT(ADDRESS($B238,Plots!$H$3,,,Plots!$A$60))+INDIRECT(ADDRESS($B238,Plots!$H$3,,,Plots!$A$61))</f>
        <v>0</v>
      </c>
      <c r="H238" cm="1">
        <f t="array" aca="1" ref="H238" ca="1">INDIRECT(ADDRESS($B238,Plots!$H$3,,,Plots!$A$62))+INDIRECT(ADDRESS($B238,Plots!$H$3,,,Plots!$A$63))+INDIRECT(ADDRESS($B238,Plots!$H$3,,,Plots!$A$64))+INDIRECT(ADDRESS($B238,Plots!$H$3,,,Plots!$A$65))+INDIRECT(ADDRESS($B238,Plots!$H$3,,,Plots!$A$66))+INDIRECT(ADDRESS($B238,Plots!$H$3,,,Plots!$A$67))</f>
        <v>0</v>
      </c>
      <c r="I238">
        <f>'AARnetCBR-CamDTN1_tcpmon_ts_81'!H242+'AARnetCBR-CamDTN1_tcpmon_ts_82'!H242+'AARnetCBR-CamDTN1_tcpmon_ts_83'!H242+'AARnetCBR-CamDTN1_tcpmon_ts_84'!H242+'AARnetCBR-CamDTN1_tcpmon_ts_85'!H242+'AARnetCBR-CamDTN1_tcpmon_ts_86'!H242+'AARnetCBR-CamDTN1_tcpmon_ts_87'!H242+'AARnetCBR-CamDTN1_tcpmon_ts_88'!H242</f>
        <v>0</v>
      </c>
      <c r="L238" cm="1">
        <f t="array" aca="1" ref="L238" ca="1">INDIRECT(ADDRESS($B238,Plots!$H$4,,,Plots!$A$47))</f>
        <v>0</v>
      </c>
      <c r="M238" cm="1">
        <f t="array" aca="1" ref="M238" ca="1">INDIRECT(ADDRESS($B238,Plots!$H$4,,,Plots!$A$48))+INDIRECT(ADDRESS($B238,Plots!$H$4,,,Plots!$A$49))</f>
        <v>0</v>
      </c>
      <c r="N238" cm="1">
        <f t="array" aca="1" ref="N238" ca="1">INDIRECT(ADDRESS($B238,Plots!$H$4,,,Plots!$A$50))+INDIRECT(ADDRESS($B238,Plots!$H$4,,,Plots!$A$51))+INDIRECT(ADDRESS($B238,Plots!$H$4,,,Plots!$A$52))</f>
        <v>0</v>
      </c>
      <c r="O238" cm="1">
        <f t="array" aca="1" ref="O238" ca="1">INDIRECT(ADDRESS($B238,Plots!$H$4,,,Plots!$A$53))+INDIRECT(ADDRESS($B238,Plots!$H$4,,,Plots!$A$54))+INDIRECT(ADDRESS($B238,Plots!$H$4,,,Plots!$A$55))+INDIRECT(ADDRESS($B238,Plots!$H$4,,,Plots!$A$56))</f>
        <v>0</v>
      </c>
      <c r="P238" cm="1">
        <f t="array" aca="1" ref="P238" ca="1">INDIRECT(ADDRESS($B238,Plots!$H$4,,,Plots!$A$57))+INDIRECT(ADDRESS($B238,Plots!$H$4,,,Plots!$A$58))+INDIRECT(ADDRESS($B238,Plots!$H$4,,,Plots!$A$59))+INDIRECT(ADDRESS($B238,Plots!$H$4,,,Plots!$A$60))+INDIRECT(ADDRESS($B238,Plots!$H$4,,,Plots!$A$61))</f>
        <v>0</v>
      </c>
      <c r="Q238" cm="1">
        <f t="array" aca="1" ref="Q238" ca="1">INDIRECT(ADDRESS($B238,Plots!$H$4,,,Plots!$A$62))+INDIRECT(ADDRESS($B238,Plots!$H$4,,,Plots!$A$63))+INDIRECT(ADDRESS($B238,Plots!$H$4,,,Plots!$A$64))+INDIRECT(ADDRESS($B238,Plots!$H$4,,,Plots!$A$65))+INDIRECT(ADDRESS($B238,Plots!$H$4,,,Plots!$A$66))+INDIRECT(ADDRESS($B238,Plots!$H$4,,,Plots!$A$67))</f>
        <v>0</v>
      </c>
    </row>
    <row r="239" spans="1:17">
      <c r="A239">
        <f>'AARnetCBR-CamDTN1_tcpmon_ts_11'!A239</f>
        <v>0</v>
      </c>
      <c r="B239">
        <f t="shared" si="0"/>
        <v>239</v>
      </c>
      <c r="C239" cm="1">
        <f t="array" aca="1" ref="C239" ca="1">INDIRECT(ADDRESS($B239,Plots!$H$3,,,Plots!$A$47))</f>
        <v>0</v>
      </c>
      <c r="D239" cm="1">
        <f t="array" aca="1" ref="D239" ca="1">INDIRECT(ADDRESS($B239,Plots!$H$3,,,Plots!$A$48))+INDIRECT(ADDRESS($B239,Plots!$H$3,,,Plots!$A$49))</f>
        <v>0</v>
      </c>
      <c r="E239" cm="1">
        <f t="array" aca="1" ref="E239" ca="1">INDIRECT(ADDRESS($B239,Plots!$H$3,,,Plots!$A$50))+INDIRECT(ADDRESS($B239,Plots!$H$3,,,Plots!$A$51))+INDIRECT(ADDRESS($B239,Plots!$H$3,,,Plots!$A$52))</f>
        <v>0</v>
      </c>
      <c r="F239" cm="1">
        <f t="array" aca="1" ref="F239" ca="1">INDIRECT(ADDRESS($B239,Plots!$H$3,,,Plots!$A$53))+INDIRECT(ADDRESS($B239,Plots!$H$3,,,Plots!$A$54))+INDIRECT(ADDRESS($B239,Plots!$H$3,,,Plots!$A$55))+INDIRECT(ADDRESS($B239,Plots!$H$3,,,Plots!$A$56))</f>
        <v>0</v>
      </c>
      <c r="G239" cm="1">
        <f t="array" aca="1" ref="G239" ca="1">INDIRECT(ADDRESS($B239,Plots!$H$3,,,Plots!$A$57))+INDIRECT(ADDRESS($B239,Plots!$H$3,,,Plots!$A$58))+INDIRECT(ADDRESS($B239,Plots!$H$3,,,Plots!$A$59))+INDIRECT(ADDRESS($B239,Plots!$H$3,,,Plots!$A$60))+INDIRECT(ADDRESS($B239,Plots!$H$3,,,Plots!$A$61))</f>
        <v>0</v>
      </c>
      <c r="H239" cm="1">
        <f t="array" aca="1" ref="H239" ca="1">INDIRECT(ADDRESS($B239,Plots!$H$3,,,Plots!$A$62))+INDIRECT(ADDRESS($B239,Plots!$H$3,,,Plots!$A$63))+INDIRECT(ADDRESS($B239,Plots!$H$3,,,Plots!$A$64))+INDIRECT(ADDRESS($B239,Plots!$H$3,,,Plots!$A$65))+INDIRECT(ADDRESS($B239,Plots!$H$3,,,Plots!$A$66))+INDIRECT(ADDRESS($B239,Plots!$H$3,,,Plots!$A$67))</f>
        <v>0</v>
      </c>
      <c r="I239">
        <f>'AARnetCBR-CamDTN1_tcpmon_ts_81'!H243+'AARnetCBR-CamDTN1_tcpmon_ts_82'!H243+'AARnetCBR-CamDTN1_tcpmon_ts_83'!H243+'AARnetCBR-CamDTN1_tcpmon_ts_84'!H243+'AARnetCBR-CamDTN1_tcpmon_ts_85'!H243+'AARnetCBR-CamDTN1_tcpmon_ts_86'!H243+'AARnetCBR-CamDTN1_tcpmon_ts_87'!H243+'AARnetCBR-CamDTN1_tcpmon_ts_88'!H243</f>
        <v>0</v>
      </c>
      <c r="L239" cm="1">
        <f t="array" aca="1" ref="L239" ca="1">INDIRECT(ADDRESS($B239,Plots!$H$4,,,Plots!$A$47))</f>
        <v>0</v>
      </c>
      <c r="M239" cm="1">
        <f t="array" aca="1" ref="M239" ca="1">INDIRECT(ADDRESS($B239,Plots!$H$4,,,Plots!$A$48))+INDIRECT(ADDRESS($B239,Plots!$H$4,,,Plots!$A$49))</f>
        <v>0</v>
      </c>
      <c r="N239" cm="1">
        <f t="array" aca="1" ref="N239" ca="1">INDIRECT(ADDRESS($B239,Plots!$H$4,,,Plots!$A$50))+INDIRECT(ADDRESS($B239,Plots!$H$4,,,Plots!$A$51))+INDIRECT(ADDRESS($B239,Plots!$H$4,,,Plots!$A$52))</f>
        <v>0</v>
      </c>
      <c r="O239" cm="1">
        <f t="array" aca="1" ref="O239" ca="1">INDIRECT(ADDRESS($B239,Plots!$H$4,,,Plots!$A$53))+INDIRECT(ADDRESS($B239,Plots!$H$4,,,Plots!$A$54))+INDIRECT(ADDRESS($B239,Plots!$H$4,,,Plots!$A$55))+INDIRECT(ADDRESS($B239,Plots!$H$4,,,Plots!$A$56))</f>
        <v>0</v>
      </c>
      <c r="P239" cm="1">
        <f t="array" aca="1" ref="P239" ca="1">INDIRECT(ADDRESS($B239,Plots!$H$4,,,Plots!$A$57))+INDIRECT(ADDRESS($B239,Plots!$H$4,,,Plots!$A$58))+INDIRECT(ADDRESS($B239,Plots!$H$4,,,Plots!$A$59))+INDIRECT(ADDRESS($B239,Plots!$H$4,,,Plots!$A$60))+INDIRECT(ADDRESS($B239,Plots!$H$4,,,Plots!$A$61))</f>
        <v>0</v>
      </c>
      <c r="Q239" cm="1">
        <f t="array" aca="1" ref="Q239" ca="1">INDIRECT(ADDRESS($B239,Plots!$H$4,,,Plots!$A$62))+INDIRECT(ADDRESS($B239,Plots!$H$4,,,Plots!$A$63))+INDIRECT(ADDRESS($B239,Plots!$H$4,,,Plots!$A$64))+INDIRECT(ADDRESS($B239,Plots!$H$4,,,Plots!$A$65))+INDIRECT(ADDRESS($B239,Plots!$H$4,,,Plots!$A$66))+INDIRECT(ADDRESS($B239,Plots!$H$4,,,Plots!$A$67))</f>
        <v>0</v>
      </c>
    </row>
    <row r="240" spans="1:17">
      <c r="A240">
        <f>'AARnetCBR-CamDTN1_tcpmon_ts_11'!A240</f>
        <v>0</v>
      </c>
      <c r="B240">
        <f t="shared" si="0"/>
        <v>240</v>
      </c>
      <c r="C240" cm="1">
        <f t="array" aca="1" ref="C240" ca="1">INDIRECT(ADDRESS($B240,Plots!$H$3,,,Plots!$A$47))</f>
        <v>0</v>
      </c>
      <c r="D240" cm="1">
        <f t="array" aca="1" ref="D240" ca="1">INDIRECT(ADDRESS($B240,Plots!$H$3,,,Plots!$A$48))+INDIRECT(ADDRESS($B240,Plots!$H$3,,,Plots!$A$49))</f>
        <v>0</v>
      </c>
      <c r="E240" cm="1">
        <f t="array" aca="1" ref="E240" ca="1">INDIRECT(ADDRESS($B240,Plots!$H$3,,,Plots!$A$50))+INDIRECT(ADDRESS($B240,Plots!$H$3,,,Plots!$A$51))+INDIRECT(ADDRESS($B240,Plots!$H$3,,,Plots!$A$52))</f>
        <v>0</v>
      </c>
      <c r="F240" cm="1">
        <f t="array" aca="1" ref="F240" ca="1">INDIRECT(ADDRESS($B240,Plots!$H$3,,,Plots!$A$53))+INDIRECT(ADDRESS($B240,Plots!$H$3,,,Plots!$A$54))+INDIRECT(ADDRESS($B240,Plots!$H$3,,,Plots!$A$55))+INDIRECT(ADDRESS($B240,Plots!$H$3,,,Plots!$A$56))</f>
        <v>0</v>
      </c>
      <c r="G240" cm="1">
        <f t="array" aca="1" ref="G240" ca="1">INDIRECT(ADDRESS($B240,Plots!$H$3,,,Plots!$A$57))+INDIRECT(ADDRESS($B240,Plots!$H$3,,,Plots!$A$58))+INDIRECT(ADDRESS($B240,Plots!$H$3,,,Plots!$A$59))+INDIRECT(ADDRESS($B240,Plots!$H$3,,,Plots!$A$60))+INDIRECT(ADDRESS($B240,Plots!$H$3,,,Plots!$A$61))</f>
        <v>0</v>
      </c>
      <c r="H240" cm="1">
        <f t="array" aca="1" ref="H240" ca="1">INDIRECT(ADDRESS($B240,Plots!$H$3,,,Plots!$A$62))+INDIRECT(ADDRESS($B240,Plots!$H$3,,,Plots!$A$63))+INDIRECT(ADDRESS($B240,Plots!$H$3,,,Plots!$A$64))+INDIRECT(ADDRESS($B240,Plots!$H$3,,,Plots!$A$65))+INDIRECT(ADDRESS($B240,Plots!$H$3,,,Plots!$A$66))+INDIRECT(ADDRESS($B240,Plots!$H$3,,,Plots!$A$67))</f>
        <v>0</v>
      </c>
      <c r="I240">
        <f>'AARnetCBR-CamDTN1_tcpmon_ts_81'!H244+'AARnetCBR-CamDTN1_tcpmon_ts_82'!H244+'AARnetCBR-CamDTN1_tcpmon_ts_83'!H244+'AARnetCBR-CamDTN1_tcpmon_ts_84'!H244+'AARnetCBR-CamDTN1_tcpmon_ts_85'!H244+'AARnetCBR-CamDTN1_tcpmon_ts_86'!H244+'AARnetCBR-CamDTN1_tcpmon_ts_87'!H244+'AARnetCBR-CamDTN1_tcpmon_ts_88'!H244</f>
        <v>0</v>
      </c>
      <c r="L240" cm="1">
        <f t="array" aca="1" ref="L240" ca="1">INDIRECT(ADDRESS($B240,Plots!$H$4,,,Plots!$A$47))</f>
        <v>0</v>
      </c>
      <c r="M240" cm="1">
        <f t="array" aca="1" ref="M240" ca="1">INDIRECT(ADDRESS($B240,Plots!$H$4,,,Plots!$A$48))+INDIRECT(ADDRESS($B240,Plots!$H$4,,,Plots!$A$49))</f>
        <v>0</v>
      </c>
      <c r="N240" cm="1">
        <f t="array" aca="1" ref="N240" ca="1">INDIRECT(ADDRESS($B240,Plots!$H$4,,,Plots!$A$50))+INDIRECT(ADDRESS($B240,Plots!$H$4,,,Plots!$A$51))+INDIRECT(ADDRESS($B240,Plots!$H$4,,,Plots!$A$52))</f>
        <v>0</v>
      </c>
      <c r="O240" cm="1">
        <f t="array" aca="1" ref="O240" ca="1">INDIRECT(ADDRESS($B240,Plots!$H$4,,,Plots!$A$53))+INDIRECT(ADDRESS($B240,Plots!$H$4,,,Plots!$A$54))+INDIRECT(ADDRESS($B240,Plots!$H$4,,,Plots!$A$55))+INDIRECT(ADDRESS($B240,Plots!$H$4,,,Plots!$A$56))</f>
        <v>0</v>
      </c>
      <c r="P240" cm="1">
        <f t="array" aca="1" ref="P240" ca="1">INDIRECT(ADDRESS($B240,Plots!$H$4,,,Plots!$A$57))+INDIRECT(ADDRESS($B240,Plots!$H$4,,,Plots!$A$58))+INDIRECT(ADDRESS($B240,Plots!$H$4,,,Plots!$A$59))+INDIRECT(ADDRESS($B240,Plots!$H$4,,,Plots!$A$60))+INDIRECT(ADDRESS($B240,Plots!$H$4,,,Plots!$A$61))</f>
        <v>0</v>
      </c>
      <c r="Q240" cm="1">
        <f t="array" aca="1" ref="Q240" ca="1">INDIRECT(ADDRESS($B240,Plots!$H$4,,,Plots!$A$62))+INDIRECT(ADDRESS($B240,Plots!$H$4,,,Plots!$A$63))+INDIRECT(ADDRESS($B240,Plots!$H$4,,,Plots!$A$64))+INDIRECT(ADDRESS($B240,Plots!$H$4,,,Plots!$A$65))+INDIRECT(ADDRESS($B240,Plots!$H$4,,,Plots!$A$66))+INDIRECT(ADDRESS($B240,Plots!$H$4,,,Plots!$A$67))</f>
        <v>0</v>
      </c>
    </row>
    <row r="241" spans="1:17">
      <c r="A241">
        <f>'AARnetCBR-CamDTN1_tcpmon_ts_11'!A241</f>
        <v>0</v>
      </c>
      <c r="B241">
        <f t="shared" si="0"/>
        <v>241</v>
      </c>
      <c r="C241" cm="1">
        <f t="array" aca="1" ref="C241" ca="1">INDIRECT(ADDRESS($B241,Plots!$H$3,,,Plots!$A$47))</f>
        <v>0</v>
      </c>
      <c r="D241" cm="1">
        <f t="array" aca="1" ref="D241" ca="1">INDIRECT(ADDRESS($B241,Plots!$H$3,,,Plots!$A$48))+INDIRECT(ADDRESS($B241,Plots!$H$3,,,Plots!$A$49))</f>
        <v>0</v>
      </c>
      <c r="E241" cm="1">
        <f t="array" aca="1" ref="E241" ca="1">INDIRECT(ADDRESS($B241,Plots!$H$3,,,Plots!$A$50))+INDIRECT(ADDRESS($B241,Plots!$H$3,,,Plots!$A$51))+INDIRECT(ADDRESS($B241,Plots!$H$3,,,Plots!$A$52))</f>
        <v>0</v>
      </c>
      <c r="F241" cm="1">
        <f t="array" aca="1" ref="F241" ca="1">INDIRECT(ADDRESS($B241,Plots!$H$3,,,Plots!$A$53))+INDIRECT(ADDRESS($B241,Plots!$H$3,,,Plots!$A$54))+INDIRECT(ADDRESS($B241,Plots!$H$3,,,Plots!$A$55))+INDIRECT(ADDRESS($B241,Plots!$H$3,,,Plots!$A$56))</f>
        <v>0</v>
      </c>
      <c r="G241" cm="1">
        <f t="array" aca="1" ref="G241" ca="1">INDIRECT(ADDRESS($B241,Plots!$H$3,,,Plots!$A$57))+INDIRECT(ADDRESS($B241,Plots!$H$3,,,Plots!$A$58))+INDIRECT(ADDRESS($B241,Plots!$H$3,,,Plots!$A$59))+INDIRECT(ADDRESS($B241,Plots!$H$3,,,Plots!$A$60))+INDIRECT(ADDRESS($B241,Plots!$H$3,,,Plots!$A$61))</f>
        <v>0</v>
      </c>
      <c r="H241" cm="1">
        <f t="array" aca="1" ref="H241" ca="1">INDIRECT(ADDRESS($B241,Plots!$H$3,,,Plots!$A$62))+INDIRECT(ADDRESS($B241,Plots!$H$3,,,Plots!$A$63))+INDIRECT(ADDRESS($B241,Plots!$H$3,,,Plots!$A$64))+INDIRECT(ADDRESS($B241,Plots!$H$3,,,Plots!$A$65))+INDIRECT(ADDRESS($B241,Plots!$H$3,,,Plots!$A$66))+INDIRECT(ADDRESS($B241,Plots!$H$3,,,Plots!$A$67))</f>
        <v>0</v>
      </c>
      <c r="I241">
        <f>'AARnetCBR-CamDTN1_tcpmon_ts_81'!H245+'AARnetCBR-CamDTN1_tcpmon_ts_82'!H245+'AARnetCBR-CamDTN1_tcpmon_ts_83'!H245+'AARnetCBR-CamDTN1_tcpmon_ts_84'!H245+'AARnetCBR-CamDTN1_tcpmon_ts_85'!H245+'AARnetCBR-CamDTN1_tcpmon_ts_86'!H245+'AARnetCBR-CamDTN1_tcpmon_ts_87'!H245+'AARnetCBR-CamDTN1_tcpmon_ts_88'!H245</f>
        <v>0</v>
      </c>
      <c r="L241" cm="1">
        <f t="array" aca="1" ref="L241" ca="1">INDIRECT(ADDRESS($B241,Plots!$H$4,,,Plots!$A$47))</f>
        <v>0</v>
      </c>
      <c r="M241" cm="1">
        <f t="array" aca="1" ref="M241" ca="1">INDIRECT(ADDRESS($B241,Plots!$H$4,,,Plots!$A$48))+INDIRECT(ADDRESS($B241,Plots!$H$4,,,Plots!$A$49))</f>
        <v>0</v>
      </c>
      <c r="N241" cm="1">
        <f t="array" aca="1" ref="N241" ca="1">INDIRECT(ADDRESS($B241,Plots!$H$4,,,Plots!$A$50))+INDIRECT(ADDRESS($B241,Plots!$H$4,,,Plots!$A$51))+INDIRECT(ADDRESS($B241,Plots!$H$4,,,Plots!$A$52))</f>
        <v>0</v>
      </c>
      <c r="O241" cm="1">
        <f t="array" aca="1" ref="O241" ca="1">INDIRECT(ADDRESS($B241,Plots!$H$4,,,Plots!$A$53))+INDIRECT(ADDRESS($B241,Plots!$H$4,,,Plots!$A$54))+INDIRECT(ADDRESS($B241,Plots!$H$4,,,Plots!$A$55))+INDIRECT(ADDRESS($B241,Plots!$H$4,,,Plots!$A$56))</f>
        <v>0</v>
      </c>
      <c r="P241" cm="1">
        <f t="array" aca="1" ref="P241" ca="1">INDIRECT(ADDRESS($B241,Plots!$H$4,,,Plots!$A$57))+INDIRECT(ADDRESS($B241,Plots!$H$4,,,Plots!$A$58))+INDIRECT(ADDRESS($B241,Plots!$H$4,,,Plots!$A$59))+INDIRECT(ADDRESS($B241,Plots!$H$4,,,Plots!$A$60))+INDIRECT(ADDRESS($B241,Plots!$H$4,,,Plots!$A$61))</f>
        <v>0</v>
      </c>
      <c r="Q241" cm="1">
        <f t="array" aca="1" ref="Q241" ca="1">INDIRECT(ADDRESS($B241,Plots!$H$4,,,Plots!$A$62))+INDIRECT(ADDRESS($B241,Plots!$H$4,,,Plots!$A$63))+INDIRECT(ADDRESS($B241,Plots!$H$4,,,Plots!$A$64))+INDIRECT(ADDRESS($B241,Plots!$H$4,,,Plots!$A$65))+INDIRECT(ADDRESS($B241,Plots!$H$4,,,Plots!$A$66))+INDIRECT(ADDRESS($B241,Plots!$H$4,,,Plots!$A$67))</f>
        <v>0</v>
      </c>
    </row>
    <row r="242" spans="1:17">
      <c r="A242">
        <f>'AARnetCBR-CamDTN1_tcpmon_ts_11'!A242</f>
        <v>0</v>
      </c>
      <c r="B242">
        <f t="shared" si="0"/>
        <v>242</v>
      </c>
      <c r="C242" cm="1">
        <f t="array" aca="1" ref="C242" ca="1">INDIRECT(ADDRESS($B242,Plots!$H$3,,,Plots!$A$47))</f>
        <v>0</v>
      </c>
      <c r="D242" cm="1">
        <f t="array" aca="1" ref="D242" ca="1">INDIRECT(ADDRESS($B242,Plots!$H$3,,,Plots!$A$48))+INDIRECT(ADDRESS($B242,Plots!$H$3,,,Plots!$A$49))</f>
        <v>0</v>
      </c>
      <c r="E242" cm="1">
        <f t="array" aca="1" ref="E242" ca="1">INDIRECT(ADDRESS($B242,Plots!$H$3,,,Plots!$A$50))+INDIRECT(ADDRESS($B242,Plots!$H$3,,,Plots!$A$51))+INDIRECT(ADDRESS($B242,Plots!$H$3,,,Plots!$A$52))</f>
        <v>0</v>
      </c>
      <c r="F242" cm="1">
        <f t="array" aca="1" ref="F242" ca="1">INDIRECT(ADDRESS($B242,Plots!$H$3,,,Plots!$A$53))+INDIRECT(ADDRESS($B242,Plots!$H$3,,,Plots!$A$54))+INDIRECT(ADDRESS($B242,Plots!$H$3,,,Plots!$A$55))+INDIRECT(ADDRESS($B242,Plots!$H$3,,,Plots!$A$56))</f>
        <v>0</v>
      </c>
      <c r="G242" cm="1">
        <f t="array" aca="1" ref="G242" ca="1">INDIRECT(ADDRESS($B242,Plots!$H$3,,,Plots!$A$57))+INDIRECT(ADDRESS($B242,Plots!$H$3,,,Plots!$A$58))+INDIRECT(ADDRESS($B242,Plots!$H$3,,,Plots!$A$59))+INDIRECT(ADDRESS($B242,Plots!$H$3,,,Plots!$A$60))+INDIRECT(ADDRESS($B242,Plots!$H$3,,,Plots!$A$61))</f>
        <v>0</v>
      </c>
      <c r="H242" cm="1">
        <f t="array" aca="1" ref="H242" ca="1">INDIRECT(ADDRESS($B242,Plots!$H$3,,,Plots!$A$62))+INDIRECT(ADDRESS($B242,Plots!$H$3,,,Plots!$A$63))+INDIRECT(ADDRESS($B242,Plots!$H$3,,,Plots!$A$64))+INDIRECT(ADDRESS($B242,Plots!$H$3,,,Plots!$A$65))+INDIRECT(ADDRESS($B242,Plots!$H$3,,,Plots!$A$66))+INDIRECT(ADDRESS($B242,Plots!$H$3,,,Plots!$A$67))</f>
        <v>0</v>
      </c>
      <c r="I242">
        <f>'AARnetCBR-CamDTN1_tcpmon_ts_81'!H246+'AARnetCBR-CamDTN1_tcpmon_ts_82'!H246+'AARnetCBR-CamDTN1_tcpmon_ts_83'!H246+'AARnetCBR-CamDTN1_tcpmon_ts_84'!H246+'AARnetCBR-CamDTN1_tcpmon_ts_85'!H246+'AARnetCBR-CamDTN1_tcpmon_ts_86'!H246+'AARnetCBR-CamDTN1_tcpmon_ts_87'!H246+'AARnetCBR-CamDTN1_tcpmon_ts_88'!H246</f>
        <v>0</v>
      </c>
      <c r="L242" cm="1">
        <f t="array" aca="1" ref="L242" ca="1">INDIRECT(ADDRESS($B242,Plots!$H$4,,,Plots!$A$47))</f>
        <v>0</v>
      </c>
      <c r="M242" cm="1">
        <f t="array" aca="1" ref="M242" ca="1">INDIRECT(ADDRESS($B242,Plots!$H$4,,,Plots!$A$48))+INDIRECT(ADDRESS($B242,Plots!$H$4,,,Plots!$A$49))</f>
        <v>0</v>
      </c>
      <c r="N242" cm="1">
        <f t="array" aca="1" ref="N242" ca="1">INDIRECT(ADDRESS($B242,Plots!$H$4,,,Plots!$A$50))+INDIRECT(ADDRESS($B242,Plots!$H$4,,,Plots!$A$51))+INDIRECT(ADDRESS($B242,Plots!$H$4,,,Plots!$A$52))</f>
        <v>0</v>
      </c>
      <c r="O242" cm="1">
        <f t="array" aca="1" ref="O242" ca="1">INDIRECT(ADDRESS($B242,Plots!$H$4,,,Plots!$A$53))+INDIRECT(ADDRESS($B242,Plots!$H$4,,,Plots!$A$54))+INDIRECT(ADDRESS($B242,Plots!$H$4,,,Plots!$A$55))+INDIRECT(ADDRESS($B242,Plots!$H$4,,,Plots!$A$56))</f>
        <v>0</v>
      </c>
      <c r="P242" cm="1">
        <f t="array" aca="1" ref="P242" ca="1">INDIRECT(ADDRESS($B242,Plots!$H$4,,,Plots!$A$57))+INDIRECT(ADDRESS($B242,Plots!$H$4,,,Plots!$A$58))+INDIRECT(ADDRESS($B242,Plots!$H$4,,,Plots!$A$59))+INDIRECT(ADDRESS($B242,Plots!$H$4,,,Plots!$A$60))+INDIRECT(ADDRESS($B242,Plots!$H$4,,,Plots!$A$61))</f>
        <v>0</v>
      </c>
      <c r="Q242" cm="1">
        <f t="array" aca="1" ref="Q242" ca="1">INDIRECT(ADDRESS($B242,Plots!$H$4,,,Plots!$A$62))+INDIRECT(ADDRESS($B242,Plots!$H$4,,,Plots!$A$63))+INDIRECT(ADDRESS($B242,Plots!$H$4,,,Plots!$A$64))+INDIRECT(ADDRESS($B242,Plots!$H$4,,,Plots!$A$65))+INDIRECT(ADDRESS($B242,Plots!$H$4,,,Plots!$A$66))+INDIRECT(ADDRESS($B242,Plots!$H$4,,,Plots!$A$67))</f>
        <v>0</v>
      </c>
    </row>
    <row r="243" spans="1:17">
      <c r="A243">
        <f>'AARnetCBR-CamDTN1_tcpmon_ts_11'!A243</f>
        <v>0</v>
      </c>
      <c r="B243">
        <f t="shared" si="0"/>
        <v>243</v>
      </c>
      <c r="C243" cm="1">
        <f t="array" aca="1" ref="C243" ca="1">INDIRECT(ADDRESS($B243,Plots!$H$3,,,Plots!$A$47))</f>
        <v>0</v>
      </c>
      <c r="D243" cm="1">
        <f t="array" aca="1" ref="D243" ca="1">INDIRECT(ADDRESS($B243,Plots!$H$3,,,Plots!$A$48))+INDIRECT(ADDRESS($B243,Plots!$H$3,,,Plots!$A$49))</f>
        <v>0</v>
      </c>
      <c r="E243" cm="1">
        <f t="array" aca="1" ref="E243" ca="1">INDIRECT(ADDRESS($B243,Plots!$H$3,,,Plots!$A$50))+INDIRECT(ADDRESS($B243,Plots!$H$3,,,Plots!$A$51))+INDIRECT(ADDRESS($B243,Plots!$H$3,,,Plots!$A$52))</f>
        <v>0</v>
      </c>
      <c r="F243" cm="1">
        <f t="array" aca="1" ref="F243" ca="1">INDIRECT(ADDRESS($B243,Plots!$H$3,,,Plots!$A$53))+INDIRECT(ADDRESS($B243,Plots!$H$3,,,Plots!$A$54))+INDIRECT(ADDRESS($B243,Plots!$H$3,,,Plots!$A$55))+INDIRECT(ADDRESS($B243,Plots!$H$3,,,Plots!$A$56))</f>
        <v>0</v>
      </c>
      <c r="G243" cm="1">
        <f t="array" aca="1" ref="G243" ca="1">INDIRECT(ADDRESS($B243,Plots!$H$3,,,Plots!$A$57))+INDIRECT(ADDRESS($B243,Plots!$H$3,,,Plots!$A$58))+INDIRECT(ADDRESS($B243,Plots!$H$3,,,Plots!$A$59))+INDIRECT(ADDRESS($B243,Plots!$H$3,,,Plots!$A$60))+INDIRECT(ADDRESS($B243,Plots!$H$3,,,Plots!$A$61))</f>
        <v>0</v>
      </c>
      <c r="H243" cm="1">
        <f t="array" aca="1" ref="H243" ca="1">INDIRECT(ADDRESS($B243,Plots!$H$3,,,Plots!$A$62))+INDIRECT(ADDRESS($B243,Plots!$H$3,,,Plots!$A$63))+INDIRECT(ADDRESS($B243,Plots!$H$3,,,Plots!$A$64))+INDIRECT(ADDRESS($B243,Plots!$H$3,,,Plots!$A$65))+INDIRECT(ADDRESS($B243,Plots!$H$3,,,Plots!$A$66))+INDIRECT(ADDRESS($B243,Plots!$H$3,,,Plots!$A$67))</f>
        <v>0</v>
      </c>
      <c r="I243">
        <f>'AARnetCBR-CamDTN1_tcpmon_ts_81'!H247+'AARnetCBR-CamDTN1_tcpmon_ts_82'!H247+'AARnetCBR-CamDTN1_tcpmon_ts_83'!H247+'AARnetCBR-CamDTN1_tcpmon_ts_84'!H247+'AARnetCBR-CamDTN1_tcpmon_ts_85'!H247+'AARnetCBR-CamDTN1_tcpmon_ts_86'!H247+'AARnetCBR-CamDTN1_tcpmon_ts_87'!H247+'AARnetCBR-CamDTN1_tcpmon_ts_88'!H247</f>
        <v>0</v>
      </c>
      <c r="L243" cm="1">
        <f t="array" aca="1" ref="L243" ca="1">INDIRECT(ADDRESS($B243,Plots!$H$4,,,Plots!$A$47))</f>
        <v>0</v>
      </c>
      <c r="M243" cm="1">
        <f t="array" aca="1" ref="M243" ca="1">INDIRECT(ADDRESS($B243,Plots!$H$4,,,Plots!$A$48))+INDIRECT(ADDRESS($B243,Plots!$H$4,,,Plots!$A$49))</f>
        <v>0</v>
      </c>
      <c r="N243" cm="1">
        <f t="array" aca="1" ref="N243" ca="1">INDIRECT(ADDRESS($B243,Plots!$H$4,,,Plots!$A$50))+INDIRECT(ADDRESS($B243,Plots!$H$4,,,Plots!$A$51))+INDIRECT(ADDRESS($B243,Plots!$H$4,,,Plots!$A$52))</f>
        <v>0</v>
      </c>
      <c r="O243" cm="1">
        <f t="array" aca="1" ref="O243" ca="1">INDIRECT(ADDRESS($B243,Plots!$H$4,,,Plots!$A$53))+INDIRECT(ADDRESS($B243,Plots!$H$4,,,Plots!$A$54))+INDIRECT(ADDRESS($B243,Plots!$H$4,,,Plots!$A$55))+INDIRECT(ADDRESS($B243,Plots!$H$4,,,Plots!$A$56))</f>
        <v>0</v>
      </c>
      <c r="P243" cm="1">
        <f t="array" aca="1" ref="P243" ca="1">INDIRECT(ADDRESS($B243,Plots!$H$4,,,Plots!$A$57))+INDIRECT(ADDRESS($B243,Plots!$H$4,,,Plots!$A$58))+INDIRECT(ADDRESS($B243,Plots!$H$4,,,Plots!$A$59))+INDIRECT(ADDRESS($B243,Plots!$H$4,,,Plots!$A$60))+INDIRECT(ADDRESS($B243,Plots!$H$4,,,Plots!$A$61))</f>
        <v>0</v>
      </c>
      <c r="Q243" cm="1">
        <f t="array" aca="1" ref="Q243" ca="1">INDIRECT(ADDRESS($B243,Plots!$H$4,,,Plots!$A$62))+INDIRECT(ADDRESS($B243,Plots!$H$4,,,Plots!$A$63))+INDIRECT(ADDRESS($B243,Plots!$H$4,,,Plots!$A$64))+INDIRECT(ADDRESS($B243,Plots!$H$4,,,Plots!$A$65))+INDIRECT(ADDRESS($B243,Plots!$H$4,,,Plots!$A$66))+INDIRECT(ADDRESS($B243,Plots!$H$4,,,Plots!$A$67))</f>
        <v>0</v>
      </c>
    </row>
    <row r="244" spans="1:17">
      <c r="A244">
        <f>'AARnetCBR-CamDTN1_tcpmon_ts_11'!A244</f>
        <v>0</v>
      </c>
      <c r="B244">
        <f t="shared" si="0"/>
        <v>244</v>
      </c>
      <c r="C244" cm="1">
        <f t="array" aca="1" ref="C244" ca="1">INDIRECT(ADDRESS($B244,Plots!$H$3,,,Plots!$A$47))</f>
        <v>0</v>
      </c>
      <c r="D244" cm="1">
        <f t="array" aca="1" ref="D244" ca="1">INDIRECT(ADDRESS($B244,Plots!$H$3,,,Plots!$A$48))+INDIRECT(ADDRESS($B244,Plots!$H$3,,,Plots!$A$49))</f>
        <v>0</v>
      </c>
      <c r="E244" cm="1">
        <f t="array" aca="1" ref="E244" ca="1">INDIRECT(ADDRESS($B244,Plots!$H$3,,,Plots!$A$50))+INDIRECT(ADDRESS($B244,Plots!$H$3,,,Plots!$A$51))+INDIRECT(ADDRESS($B244,Plots!$H$3,,,Plots!$A$52))</f>
        <v>0</v>
      </c>
      <c r="F244" cm="1">
        <f t="array" aca="1" ref="F244" ca="1">INDIRECT(ADDRESS($B244,Plots!$H$3,,,Plots!$A$53))+INDIRECT(ADDRESS($B244,Plots!$H$3,,,Plots!$A$54))+INDIRECT(ADDRESS($B244,Plots!$H$3,,,Plots!$A$55))+INDIRECT(ADDRESS($B244,Plots!$H$3,,,Plots!$A$56))</f>
        <v>0</v>
      </c>
      <c r="G244" cm="1">
        <f t="array" aca="1" ref="G244" ca="1">INDIRECT(ADDRESS($B244,Plots!$H$3,,,Plots!$A$57))+INDIRECT(ADDRESS($B244,Plots!$H$3,,,Plots!$A$58))+INDIRECT(ADDRESS($B244,Plots!$H$3,,,Plots!$A$59))+INDIRECT(ADDRESS($B244,Plots!$H$3,,,Plots!$A$60))+INDIRECT(ADDRESS($B244,Plots!$H$3,,,Plots!$A$61))</f>
        <v>0</v>
      </c>
      <c r="H244" cm="1">
        <f t="array" aca="1" ref="H244" ca="1">INDIRECT(ADDRESS($B244,Plots!$H$3,,,Plots!$A$62))+INDIRECT(ADDRESS($B244,Plots!$H$3,,,Plots!$A$63))+INDIRECT(ADDRESS($B244,Plots!$H$3,,,Plots!$A$64))+INDIRECT(ADDRESS($B244,Plots!$H$3,,,Plots!$A$65))+INDIRECT(ADDRESS($B244,Plots!$H$3,,,Plots!$A$66))+INDIRECT(ADDRESS($B244,Plots!$H$3,,,Plots!$A$67))</f>
        <v>0</v>
      </c>
      <c r="I244">
        <f>'AARnetCBR-CamDTN1_tcpmon_ts_81'!H248+'AARnetCBR-CamDTN1_tcpmon_ts_82'!H248+'AARnetCBR-CamDTN1_tcpmon_ts_83'!H248+'AARnetCBR-CamDTN1_tcpmon_ts_84'!H248+'AARnetCBR-CamDTN1_tcpmon_ts_85'!H248+'AARnetCBR-CamDTN1_tcpmon_ts_86'!H248+'AARnetCBR-CamDTN1_tcpmon_ts_87'!H248+'AARnetCBR-CamDTN1_tcpmon_ts_88'!H248</f>
        <v>0</v>
      </c>
      <c r="L244" cm="1">
        <f t="array" aca="1" ref="L244" ca="1">INDIRECT(ADDRESS($B244,Plots!$H$4,,,Plots!$A$47))</f>
        <v>0</v>
      </c>
      <c r="M244" cm="1">
        <f t="array" aca="1" ref="M244" ca="1">INDIRECT(ADDRESS($B244,Plots!$H$4,,,Plots!$A$48))+INDIRECT(ADDRESS($B244,Plots!$H$4,,,Plots!$A$49))</f>
        <v>0</v>
      </c>
      <c r="N244" cm="1">
        <f t="array" aca="1" ref="N244" ca="1">INDIRECT(ADDRESS($B244,Plots!$H$4,,,Plots!$A$50))+INDIRECT(ADDRESS($B244,Plots!$H$4,,,Plots!$A$51))+INDIRECT(ADDRESS($B244,Plots!$H$4,,,Plots!$A$52))</f>
        <v>0</v>
      </c>
      <c r="O244" cm="1">
        <f t="array" aca="1" ref="O244" ca="1">INDIRECT(ADDRESS($B244,Plots!$H$4,,,Plots!$A$53))+INDIRECT(ADDRESS($B244,Plots!$H$4,,,Plots!$A$54))+INDIRECT(ADDRESS($B244,Plots!$H$4,,,Plots!$A$55))+INDIRECT(ADDRESS($B244,Plots!$H$4,,,Plots!$A$56))</f>
        <v>0</v>
      </c>
      <c r="P244" cm="1">
        <f t="array" aca="1" ref="P244" ca="1">INDIRECT(ADDRESS($B244,Plots!$H$4,,,Plots!$A$57))+INDIRECT(ADDRESS($B244,Plots!$H$4,,,Plots!$A$58))+INDIRECT(ADDRESS($B244,Plots!$H$4,,,Plots!$A$59))+INDIRECT(ADDRESS($B244,Plots!$H$4,,,Plots!$A$60))+INDIRECT(ADDRESS($B244,Plots!$H$4,,,Plots!$A$61))</f>
        <v>0</v>
      </c>
      <c r="Q244" cm="1">
        <f t="array" aca="1" ref="Q244" ca="1">INDIRECT(ADDRESS($B244,Plots!$H$4,,,Plots!$A$62))+INDIRECT(ADDRESS($B244,Plots!$H$4,,,Plots!$A$63))+INDIRECT(ADDRESS($B244,Plots!$H$4,,,Plots!$A$64))+INDIRECT(ADDRESS($B244,Plots!$H$4,,,Plots!$A$65))+INDIRECT(ADDRESS($B244,Plots!$H$4,,,Plots!$A$66))+INDIRECT(ADDRESS($B244,Plots!$H$4,,,Plots!$A$67))</f>
        <v>0</v>
      </c>
    </row>
    <row r="245" spans="1:17">
      <c r="A245">
        <f>'AARnetCBR-CamDTN1_tcpmon_ts_11'!A245</f>
        <v>0</v>
      </c>
      <c r="B245">
        <f t="shared" si="0"/>
        <v>245</v>
      </c>
      <c r="C245" cm="1">
        <f t="array" aca="1" ref="C245" ca="1">INDIRECT(ADDRESS($B245,Plots!$H$3,,,Plots!$A$47))</f>
        <v>0</v>
      </c>
      <c r="D245" cm="1">
        <f t="array" aca="1" ref="D245" ca="1">INDIRECT(ADDRESS($B245,Plots!$H$3,,,Plots!$A$48))+INDIRECT(ADDRESS($B245,Plots!$H$3,,,Plots!$A$49))</f>
        <v>0</v>
      </c>
      <c r="E245" cm="1">
        <f t="array" aca="1" ref="E245" ca="1">INDIRECT(ADDRESS($B245,Plots!$H$3,,,Plots!$A$50))+INDIRECT(ADDRESS($B245,Plots!$H$3,,,Plots!$A$51))+INDIRECT(ADDRESS($B245,Plots!$H$3,,,Plots!$A$52))</f>
        <v>0</v>
      </c>
      <c r="F245" cm="1">
        <f t="array" aca="1" ref="F245" ca="1">INDIRECT(ADDRESS($B245,Plots!$H$3,,,Plots!$A$53))+INDIRECT(ADDRESS($B245,Plots!$H$3,,,Plots!$A$54))+INDIRECT(ADDRESS($B245,Plots!$H$3,,,Plots!$A$55))+INDIRECT(ADDRESS($B245,Plots!$H$3,,,Plots!$A$56))</f>
        <v>0</v>
      </c>
      <c r="G245" cm="1">
        <f t="array" aca="1" ref="G245" ca="1">INDIRECT(ADDRESS($B245,Plots!$H$3,,,Plots!$A$57))+INDIRECT(ADDRESS($B245,Plots!$H$3,,,Plots!$A$58))+INDIRECT(ADDRESS($B245,Plots!$H$3,,,Plots!$A$59))+INDIRECT(ADDRESS($B245,Plots!$H$3,,,Plots!$A$60))+INDIRECT(ADDRESS($B245,Plots!$H$3,,,Plots!$A$61))</f>
        <v>0</v>
      </c>
      <c r="H245" cm="1">
        <f t="array" aca="1" ref="H245" ca="1">INDIRECT(ADDRESS($B245,Plots!$H$3,,,Plots!$A$62))+INDIRECT(ADDRESS($B245,Plots!$H$3,,,Plots!$A$63))+INDIRECT(ADDRESS($B245,Plots!$H$3,,,Plots!$A$64))+INDIRECT(ADDRESS($B245,Plots!$H$3,,,Plots!$A$65))+INDIRECT(ADDRESS($B245,Plots!$H$3,,,Plots!$A$66))+INDIRECT(ADDRESS($B245,Plots!$H$3,,,Plots!$A$67))</f>
        <v>0</v>
      </c>
      <c r="I245">
        <f>'AARnetCBR-CamDTN1_tcpmon_ts_81'!H249+'AARnetCBR-CamDTN1_tcpmon_ts_82'!H249+'AARnetCBR-CamDTN1_tcpmon_ts_83'!H249+'AARnetCBR-CamDTN1_tcpmon_ts_84'!H249+'AARnetCBR-CamDTN1_tcpmon_ts_85'!H249+'AARnetCBR-CamDTN1_tcpmon_ts_86'!H249+'AARnetCBR-CamDTN1_tcpmon_ts_87'!H249+'AARnetCBR-CamDTN1_tcpmon_ts_88'!H249</f>
        <v>0</v>
      </c>
      <c r="L245" cm="1">
        <f t="array" aca="1" ref="L245" ca="1">INDIRECT(ADDRESS($B245,Plots!$H$4,,,Plots!$A$47))</f>
        <v>0</v>
      </c>
      <c r="M245" cm="1">
        <f t="array" aca="1" ref="M245" ca="1">INDIRECT(ADDRESS($B245,Plots!$H$4,,,Plots!$A$48))+INDIRECT(ADDRESS($B245,Plots!$H$4,,,Plots!$A$49))</f>
        <v>0</v>
      </c>
      <c r="N245" cm="1">
        <f t="array" aca="1" ref="N245" ca="1">INDIRECT(ADDRESS($B245,Plots!$H$4,,,Plots!$A$50))+INDIRECT(ADDRESS($B245,Plots!$H$4,,,Plots!$A$51))+INDIRECT(ADDRESS($B245,Plots!$H$4,,,Plots!$A$52))</f>
        <v>0</v>
      </c>
      <c r="O245" cm="1">
        <f t="array" aca="1" ref="O245" ca="1">INDIRECT(ADDRESS($B245,Plots!$H$4,,,Plots!$A$53))+INDIRECT(ADDRESS($B245,Plots!$H$4,,,Plots!$A$54))+INDIRECT(ADDRESS($B245,Plots!$H$4,,,Plots!$A$55))+INDIRECT(ADDRESS($B245,Plots!$H$4,,,Plots!$A$56))</f>
        <v>0</v>
      </c>
      <c r="P245" cm="1">
        <f t="array" aca="1" ref="P245" ca="1">INDIRECT(ADDRESS($B245,Plots!$H$4,,,Plots!$A$57))+INDIRECT(ADDRESS($B245,Plots!$H$4,,,Plots!$A$58))+INDIRECT(ADDRESS($B245,Plots!$H$4,,,Plots!$A$59))+INDIRECT(ADDRESS($B245,Plots!$H$4,,,Plots!$A$60))+INDIRECT(ADDRESS($B245,Plots!$H$4,,,Plots!$A$61))</f>
        <v>0</v>
      </c>
      <c r="Q245" cm="1">
        <f t="array" aca="1" ref="Q245" ca="1">INDIRECT(ADDRESS($B245,Plots!$H$4,,,Plots!$A$62))+INDIRECT(ADDRESS($B245,Plots!$H$4,,,Plots!$A$63))+INDIRECT(ADDRESS($B245,Plots!$H$4,,,Plots!$A$64))+INDIRECT(ADDRESS($B245,Plots!$H$4,,,Plots!$A$65))+INDIRECT(ADDRESS($B245,Plots!$H$4,,,Plots!$A$66))+INDIRECT(ADDRESS($B245,Plots!$H$4,,,Plots!$A$67))</f>
        <v>0</v>
      </c>
    </row>
    <row r="246" spans="1:17">
      <c r="A246">
        <f>'AARnetCBR-CamDTN1_tcpmon_ts_11'!A246</f>
        <v>0</v>
      </c>
      <c r="B246">
        <f t="shared" si="0"/>
        <v>246</v>
      </c>
      <c r="C246" cm="1">
        <f t="array" aca="1" ref="C246" ca="1">INDIRECT(ADDRESS($B246,Plots!$H$3,,,Plots!$A$47))</f>
        <v>0</v>
      </c>
      <c r="D246" cm="1">
        <f t="array" aca="1" ref="D246" ca="1">INDIRECT(ADDRESS($B246,Plots!$H$3,,,Plots!$A$48))+INDIRECT(ADDRESS($B246,Plots!$H$3,,,Plots!$A$49))</f>
        <v>0</v>
      </c>
      <c r="E246" cm="1">
        <f t="array" aca="1" ref="E246" ca="1">INDIRECT(ADDRESS($B246,Plots!$H$3,,,Plots!$A$50))+INDIRECT(ADDRESS($B246,Plots!$H$3,,,Plots!$A$51))+INDIRECT(ADDRESS($B246,Plots!$H$3,,,Plots!$A$52))</f>
        <v>0</v>
      </c>
      <c r="F246" cm="1">
        <f t="array" aca="1" ref="F246" ca="1">INDIRECT(ADDRESS($B246,Plots!$H$3,,,Plots!$A$53))+INDIRECT(ADDRESS($B246,Plots!$H$3,,,Plots!$A$54))+INDIRECT(ADDRESS($B246,Plots!$H$3,,,Plots!$A$55))+INDIRECT(ADDRESS($B246,Plots!$H$3,,,Plots!$A$56))</f>
        <v>0</v>
      </c>
      <c r="G246" cm="1">
        <f t="array" aca="1" ref="G246" ca="1">INDIRECT(ADDRESS($B246,Plots!$H$3,,,Plots!$A$57))+INDIRECT(ADDRESS($B246,Plots!$H$3,,,Plots!$A$58))+INDIRECT(ADDRESS($B246,Plots!$H$3,,,Plots!$A$59))+INDIRECT(ADDRESS($B246,Plots!$H$3,,,Plots!$A$60))+INDIRECT(ADDRESS($B246,Plots!$H$3,,,Plots!$A$61))</f>
        <v>0</v>
      </c>
      <c r="H246" cm="1">
        <f t="array" aca="1" ref="H246" ca="1">INDIRECT(ADDRESS($B246,Plots!$H$3,,,Plots!$A$62))+INDIRECT(ADDRESS($B246,Plots!$H$3,,,Plots!$A$63))+INDIRECT(ADDRESS($B246,Plots!$H$3,,,Plots!$A$64))+INDIRECT(ADDRESS($B246,Plots!$H$3,,,Plots!$A$65))+INDIRECT(ADDRESS($B246,Plots!$H$3,,,Plots!$A$66))+INDIRECT(ADDRESS($B246,Plots!$H$3,,,Plots!$A$67))</f>
        <v>0</v>
      </c>
      <c r="I246">
        <f>'AARnetCBR-CamDTN1_tcpmon_ts_81'!H250+'AARnetCBR-CamDTN1_tcpmon_ts_82'!H250+'AARnetCBR-CamDTN1_tcpmon_ts_83'!H250+'AARnetCBR-CamDTN1_tcpmon_ts_84'!H250+'AARnetCBR-CamDTN1_tcpmon_ts_85'!H250+'AARnetCBR-CamDTN1_tcpmon_ts_86'!H250+'AARnetCBR-CamDTN1_tcpmon_ts_87'!H250+'AARnetCBR-CamDTN1_tcpmon_ts_88'!H250</f>
        <v>0</v>
      </c>
      <c r="L246" cm="1">
        <f t="array" aca="1" ref="L246" ca="1">INDIRECT(ADDRESS($B246,Plots!$H$4,,,Plots!$A$47))</f>
        <v>0</v>
      </c>
      <c r="M246" cm="1">
        <f t="array" aca="1" ref="M246" ca="1">INDIRECT(ADDRESS($B246,Plots!$H$4,,,Plots!$A$48))+INDIRECT(ADDRESS($B246,Plots!$H$4,,,Plots!$A$49))</f>
        <v>0</v>
      </c>
      <c r="N246" cm="1">
        <f t="array" aca="1" ref="N246" ca="1">INDIRECT(ADDRESS($B246,Plots!$H$4,,,Plots!$A$50))+INDIRECT(ADDRESS($B246,Plots!$H$4,,,Plots!$A$51))+INDIRECT(ADDRESS($B246,Plots!$H$4,,,Plots!$A$52))</f>
        <v>0</v>
      </c>
      <c r="O246" cm="1">
        <f t="array" aca="1" ref="O246" ca="1">INDIRECT(ADDRESS($B246,Plots!$H$4,,,Plots!$A$53))+INDIRECT(ADDRESS($B246,Plots!$H$4,,,Plots!$A$54))+INDIRECT(ADDRESS($B246,Plots!$H$4,,,Plots!$A$55))+INDIRECT(ADDRESS($B246,Plots!$H$4,,,Plots!$A$56))</f>
        <v>0</v>
      </c>
      <c r="P246" cm="1">
        <f t="array" aca="1" ref="P246" ca="1">INDIRECT(ADDRESS($B246,Plots!$H$4,,,Plots!$A$57))+INDIRECT(ADDRESS($B246,Plots!$H$4,,,Plots!$A$58))+INDIRECT(ADDRESS($B246,Plots!$H$4,,,Plots!$A$59))+INDIRECT(ADDRESS($B246,Plots!$H$4,,,Plots!$A$60))+INDIRECT(ADDRESS($B246,Plots!$H$4,,,Plots!$A$61))</f>
        <v>0</v>
      </c>
      <c r="Q246" cm="1">
        <f t="array" aca="1" ref="Q246" ca="1">INDIRECT(ADDRESS($B246,Plots!$H$4,,,Plots!$A$62))+INDIRECT(ADDRESS($B246,Plots!$H$4,,,Plots!$A$63))+INDIRECT(ADDRESS($B246,Plots!$H$4,,,Plots!$A$64))+INDIRECT(ADDRESS($B246,Plots!$H$4,,,Plots!$A$65))+INDIRECT(ADDRESS($B246,Plots!$H$4,,,Plots!$A$66))+INDIRECT(ADDRESS($B246,Plots!$H$4,,,Plots!$A$67))</f>
        <v>0</v>
      </c>
    </row>
    <row r="247" spans="1:17">
      <c r="A247">
        <f>'AARnetCBR-CamDTN1_tcpmon_ts_11'!A247</f>
        <v>0</v>
      </c>
      <c r="B247">
        <f t="shared" si="0"/>
        <v>247</v>
      </c>
      <c r="C247" cm="1">
        <f t="array" aca="1" ref="C247" ca="1">INDIRECT(ADDRESS($B247,Plots!$H$3,,,Plots!$A$47))</f>
        <v>0</v>
      </c>
      <c r="D247" cm="1">
        <f t="array" aca="1" ref="D247" ca="1">INDIRECT(ADDRESS($B247,Plots!$H$3,,,Plots!$A$48))+INDIRECT(ADDRESS($B247,Plots!$H$3,,,Plots!$A$49))</f>
        <v>0</v>
      </c>
      <c r="E247" cm="1">
        <f t="array" aca="1" ref="E247" ca="1">INDIRECT(ADDRESS($B247,Plots!$H$3,,,Plots!$A$50))+INDIRECT(ADDRESS($B247,Plots!$H$3,,,Plots!$A$51))+INDIRECT(ADDRESS($B247,Plots!$H$3,,,Plots!$A$52))</f>
        <v>0</v>
      </c>
      <c r="F247" cm="1">
        <f t="array" aca="1" ref="F247" ca="1">INDIRECT(ADDRESS($B247,Plots!$H$3,,,Plots!$A$53))+INDIRECT(ADDRESS($B247,Plots!$H$3,,,Plots!$A$54))+INDIRECT(ADDRESS($B247,Plots!$H$3,,,Plots!$A$55))+INDIRECT(ADDRESS($B247,Plots!$H$3,,,Plots!$A$56))</f>
        <v>0</v>
      </c>
      <c r="G247" cm="1">
        <f t="array" aca="1" ref="G247" ca="1">INDIRECT(ADDRESS($B247,Plots!$H$3,,,Plots!$A$57))+INDIRECT(ADDRESS($B247,Plots!$H$3,,,Plots!$A$58))+INDIRECT(ADDRESS($B247,Plots!$H$3,,,Plots!$A$59))+INDIRECT(ADDRESS($B247,Plots!$H$3,,,Plots!$A$60))+INDIRECT(ADDRESS($B247,Plots!$H$3,,,Plots!$A$61))</f>
        <v>0</v>
      </c>
      <c r="H247" cm="1">
        <f t="array" aca="1" ref="H247" ca="1">INDIRECT(ADDRESS($B247,Plots!$H$3,,,Plots!$A$62))+INDIRECT(ADDRESS($B247,Plots!$H$3,,,Plots!$A$63))+INDIRECT(ADDRESS($B247,Plots!$H$3,,,Plots!$A$64))+INDIRECT(ADDRESS($B247,Plots!$H$3,,,Plots!$A$65))+INDIRECT(ADDRESS($B247,Plots!$H$3,,,Plots!$A$66))+INDIRECT(ADDRESS($B247,Plots!$H$3,,,Plots!$A$67))</f>
        <v>0</v>
      </c>
      <c r="I247">
        <f>'AARnetCBR-CamDTN1_tcpmon_ts_81'!H251+'AARnetCBR-CamDTN1_tcpmon_ts_82'!H251+'AARnetCBR-CamDTN1_tcpmon_ts_83'!H251+'AARnetCBR-CamDTN1_tcpmon_ts_84'!H251+'AARnetCBR-CamDTN1_tcpmon_ts_85'!H251+'AARnetCBR-CamDTN1_tcpmon_ts_86'!H251+'AARnetCBR-CamDTN1_tcpmon_ts_87'!H251+'AARnetCBR-CamDTN1_tcpmon_ts_88'!H251</f>
        <v>0</v>
      </c>
      <c r="L247" cm="1">
        <f t="array" aca="1" ref="L247" ca="1">INDIRECT(ADDRESS($B247,Plots!$H$4,,,Plots!$A$47))</f>
        <v>0</v>
      </c>
      <c r="M247" cm="1">
        <f t="array" aca="1" ref="M247" ca="1">INDIRECT(ADDRESS($B247,Plots!$H$4,,,Plots!$A$48))+INDIRECT(ADDRESS($B247,Plots!$H$4,,,Plots!$A$49))</f>
        <v>0</v>
      </c>
      <c r="N247" cm="1">
        <f t="array" aca="1" ref="N247" ca="1">INDIRECT(ADDRESS($B247,Plots!$H$4,,,Plots!$A$50))+INDIRECT(ADDRESS($B247,Plots!$H$4,,,Plots!$A$51))+INDIRECT(ADDRESS($B247,Plots!$H$4,,,Plots!$A$52))</f>
        <v>0</v>
      </c>
      <c r="O247" cm="1">
        <f t="array" aca="1" ref="O247" ca="1">INDIRECT(ADDRESS($B247,Plots!$H$4,,,Plots!$A$53))+INDIRECT(ADDRESS($B247,Plots!$H$4,,,Plots!$A$54))+INDIRECT(ADDRESS($B247,Plots!$H$4,,,Plots!$A$55))+INDIRECT(ADDRESS($B247,Plots!$H$4,,,Plots!$A$56))</f>
        <v>0</v>
      </c>
      <c r="P247" cm="1">
        <f t="array" aca="1" ref="P247" ca="1">INDIRECT(ADDRESS($B247,Plots!$H$4,,,Plots!$A$57))+INDIRECT(ADDRESS($B247,Plots!$H$4,,,Plots!$A$58))+INDIRECT(ADDRESS($B247,Plots!$H$4,,,Plots!$A$59))+INDIRECT(ADDRESS($B247,Plots!$H$4,,,Plots!$A$60))+INDIRECT(ADDRESS($B247,Plots!$H$4,,,Plots!$A$61))</f>
        <v>0</v>
      </c>
      <c r="Q247" cm="1">
        <f t="array" aca="1" ref="Q247" ca="1">INDIRECT(ADDRESS($B247,Plots!$H$4,,,Plots!$A$62))+INDIRECT(ADDRESS($B247,Plots!$H$4,,,Plots!$A$63))+INDIRECT(ADDRESS($B247,Plots!$H$4,,,Plots!$A$64))+INDIRECT(ADDRESS($B247,Plots!$H$4,,,Plots!$A$65))+INDIRECT(ADDRESS($B247,Plots!$H$4,,,Plots!$A$66))+INDIRECT(ADDRESS($B247,Plots!$H$4,,,Plots!$A$67))</f>
        <v>0</v>
      </c>
    </row>
    <row r="248" spans="1:17">
      <c r="A248">
        <f>'AARnetCBR-CamDTN1_tcpmon_ts_11'!A248</f>
        <v>0</v>
      </c>
      <c r="B248">
        <f t="shared" si="0"/>
        <v>248</v>
      </c>
      <c r="C248" cm="1">
        <f t="array" aca="1" ref="C248" ca="1">INDIRECT(ADDRESS($B248,Plots!$H$3,,,Plots!$A$47))</f>
        <v>0</v>
      </c>
      <c r="D248" cm="1">
        <f t="array" aca="1" ref="D248" ca="1">INDIRECT(ADDRESS($B248,Plots!$H$3,,,Plots!$A$48))+INDIRECT(ADDRESS($B248,Plots!$H$3,,,Plots!$A$49))</f>
        <v>0</v>
      </c>
      <c r="E248" cm="1">
        <f t="array" aca="1" ref="E248" ca="1">INDIRECT(ADDRESS($B248,Plots!$H$3,,,Plots!$A$50))+INDIRECT(ADDRESS($B248,Plots!$H$3,,,Plots!$A$51))+INDIRECT(ADDRESS($B248,Plots!$H$3,,,Plots!$A$52))</f>
        <v>0</v>
      </c>
      <c r="F248" cm="1">
        <f t="array" aca="1" ref="F248" ca="1">INDIRECT(ADDRESS($B248,Plots!$H$3,,,Plots!$A$53))+INDIRECT(ADDRESS($B248,Plots!$H$3,,,Plots!$A$54))+INDIRECT(ADDRESS($B248,Plots!$H$3,,,Plots!$A$55))+INDIRECT(ADDRESS($B248,Plots!$H$3,,,Plots!$A$56))</f>
        <v>0</v>
      </c>
      <c r="G248" cm="1">
        <f t="array" aca="1" ref="G248" ca="1">INDIRECT(ADDRESS($B248,Plots!$H$3,,,Plots!$A$57))+INDIRECT(ADDRESS($B248,Plots!$H$3,,,Plots!$A$58))+INDIRECT(ADDRESS($B248,Plots!$H$3,,,Plots!$A$59))+INDIRECT(ADDRESS($B248,Plots!$H$3,,,Plots!$A$60))+INDIRECT(ADDRESS($B248,Plots!$H$3,,,Plots!$A$61))</f>
        <v>0</v>
      </c>
      <c r="H248" cm="1">
        <f t="array" aca="1" ref="H248" ca="1">INDIRECT(ADDRESS($B248,Plots!$H$3,,,Plots!$A$62))+INDIRECT(ADDRESS($B248,Plots!$H$3,,,Plots!$A$63))+INDIRECT(ADDRESS($B248,Plots!$H$3,,,Plots!$A$64))+INDIRECT(ADDRESS($B248,Plots!$H$3,,,Plots!$A$65))+INDIRECT(ADDRESS($B248,Plots!$H$3,,,Plots!$A$66))+INDIRECT(ADDRESS($B248,Plots!$H$3,,,Plots!$A$67))</f>
        <v>0</v>
      </c>
      <c r="I248">
        <f>'AARnetCBR-CamDTN1_tcpmon_ts_81'!H252+'AARnetCBR-CamDTN1_tcpmon_ts_82'!H252+'AARnetCBR-CamDTN1_tcpmon_ts_83'!H252+'AARnetCBR-CamDTN1_tcpmon_ts_84'!H252+'AARnetCBR-CamDTN1_tcpmon_ts_85'!H252+'AARnetCBR-CamDTN1_tcpmon_ts_86'!H252+'AARnetCBR-CamDTN1_tcpmon_ts_87'!H252+'AARnetCBR-CamDTN1_tcpmon_ts_88'!H252</f>
        <v>0</v>
      </c>
      <c r="L248" cm="1">
        <f t="array" aca="1" ref="L248" ca="1">INDIRECT(ADDRESS($B248,Plots!$H$4,,,Plots!$A$47))</f>
        <v>0</v>
      </c>
      <c r="M248" cm="1">
        <f t="array" aca="1" ref="M248" ca="1">INDIRECT(ADDRESS($B248,Plots!$H$4,,,Plots!$A$48))+INDIRECT(ADDRESS($B248,Plots!$H$4,,,Plots!$A$49))</f>
        <v>0</v>
      </c>
      <c r="N248" cm="1">
        <f t="array" aca="1" ref="N248" ca="1">INDIRECT(ADDRESS($B248,Plots!$H$4,,,Plots!$A$50))+INDIRECT(ADDRESS($B248,Plots!$H$4,,,Plots!$A$51))+INDIRECT(ADDRESS($B248,Plots!$H$4,,,Plots!$A$52))</f>
        <v>0</v>
      </c>
      <c r="O248" cm="1">
        <f t="array" aca="1" ref="O248" ca="1">INDIRECT(ADDRESS($B248,Plots!$H$4,,,Plots!$A$53))+INDIRECT(ADDRESS($B248,Plots!$H$4,,,Plots!$A$54))+INDIRECT(ADDRESS($B248,Plots!$H$4,,,Plots!$A$55))+INDIRECT(ADDRESS($B248,Plots!$H$4,,,Plots!$A$56))</f>
        <v>0</v>
      </c>
      <c r="P248" cm="1">
        <f t="array" aca="1" ref="P248" ca="1">INDIRECT(ADDRESS($B248,Plots!$H$4,,,Plots!$A$57))+INDIRECT(ADDRESS($B248,Plots!$H$4,,,Plots!$A$58))+INDIRECT(ADDRESS($B248,Plots!$H$4,,,Plots!$A$59))+INDIRECT(ADDRESS($B248,Plots!$H$4,,,Plots!$A$60))+INDIRECT(ADDRESS($B248,Plots!$H$4,,,Plots!$A$61))</f>
        <v>0</v>
      </c>
      <c r="Q248" cm="1">
        <f t="array" aca="1" ref="Q248" ca="1">INDIRECT(ADDRESS($B248,Plots!$H$4,,,Plots!$A$62))+INDIRECT(ADDRESS($B248,Plots!$H$4,,,Plots!$A$63))+INDIRECT(ADDRESS($B248,Plots!$H$4,,,Plots!$A$64))+INDIRECT(ADDRESS($B248,Plots!$H$4,,,Plots!$A$65))+INDIRECT(ADDRESS($B248,Plots!$H$4,,,Plots!$A$66))+INDIRECT(ADDRESS($B248,Plots!$H$4,,,Plots!$A$67))</f>
        <v>0</v>
      </c>
    </row>
    <row r="249" spans="1:17">
      <c r="A249">
        <f>'AARnetCBR-CamDTN1_tcpmon_ts_11'!A249</f>
        <v>0</v>
      </c>
      <c r="B249">
        <f t="shared" si="0"/>
        <v>249</v>
      </c>
      <c r="C249" cm="1">
        <f t="array" aca="1" ref="C249" ca="1">INDIRECT(ADDRESS($B249,Plots!$H$3,,,Plots!$A$47))</f>
        <v>0</v>
      </c>
      <c r="D249" cm="1">
        <f t="array" aca="1" ref="D249" ca="1">INDIRECT(ADDRESS($B249,Plots!$H$3,,,Plots!$A$48))+INDIRECT(ADDRESS($B249,Plots!$H$3,,,Plots!$A$49))</f>
        <v>0</v>
      </c>
      <c r="E249" cm="1">
        <f t="array" aca="1" ref="E249" ca="1">INDIRECT(ADDRESS($B249,Plots!$H$3,,,Plots!$A$50))+INDIRECT(ADDRESS($B249,Plots!$H$3,,,Plots!$A$51))+INDIRECT(ADDRESS($B249,Plots!$H$3,,,Plots!$A$52))</f>
        <v>0</v>
      </c>
      <c r="F249" cm="1">
        <f t="array" aca="1" ref="F249" ca="1">INDIRECT(ADDRESS($B249,Plots!$H$3,,,Plots!$A$53))+INDIRECT(ADDRESS($B249,Plots!$H$3,,,Plots!$A$54))+INDIRECT(ADDRESS($B249,Plots!$H$3,,,Plots!$A$55))+INDIRECT(ADDRESS($B249,Plots!$H$3,,,Plots!$A$56))</f>
        <v>0</v>
      </c>
      <c r="G249" cm="1">
        <f t="array" aca="1" ref="G249" ca="1">INDIRECT(ADDRESS($B249,Plots!$H$3,,,Plots!$A$57))+INDIRECT(ADDRESS($B249,Plots!$H$3,,,Plots!$A$58))+INDIRECT(ADDRESS($B249,Plots!$H$3,,,Plots!$A$59))+INDIRECT(ADDRESS($B249,Plots!$H$3,,,Plots!$A$60))+INDIRECT(ADDRESS($B249,Plots!$H$3,,,Plots!$A$61))</f>
        <v>0</v>
      </c>
      <c r="H249" cm="1">
        <f t="array" aca="1" ref="H249" ca="1">INDIRECT(ADDRESS($B249,Plots!$H$3,,,Plots!$A$62))+INDIRECT(ADDRESS($B249,Plots!$H$3,,,Plots!$A$63))+INDIRECT(ADDRESS($B249,Plots!$H$3,,,Plots!$A$64))+INDIRECT(ADDRESS($B249,Plots!$H$3,,,Plots!$A$65))+INDIRECT(ADDRESS($B249,Plots!$H$3,,,Plots!$A$66))+INDIRECT(ADDRESS($B249,Plots!$H$3,,,Plots!$A$67))</f>
        <v>0</v>
      </c>
      <c r="I249">
        <f>'AARnetCBR-CamDTN1_tcpmon_ts_81'!H253+'AARnetCBR-CamDTN1_tcpmon_ts_82'!H253+'AARnetCBR-CamDTN1_tcpmon_ts_83'!H253+'AARnetCBR-CamDTN1_tcpmon_ts_84'!H253+'AARnetCBR-CamDTN1_tcpmon_ts_85'!H253+'AARnetCBR-CamDTN1_tcpmon_ts_86'!H253+'AARnetCBR-CamDTN1_tcpmon_ts_87'!H253+'AARnetCBR-CamDTN1_tcpmon_ts_88'!H253</f>
        <v>0</v>
      </c>
      <c r="L249" cm="1">
        <f t="array" aca="1" ref="L249" ca="1">INDIRECT(ADDRESS($B249,Plots!$H$4,,,Plots!$A$47))</f>
        <v>0</v>
      </c>
      <c r="M249" cm="1">
        <f t="array" aca="1" ref="M249" ca="1">INDIRECT(ADDRESS($B249,Plots!$H$4,,,Plots!$A$48))+INDIRECT(ADDRESS($B249,Plots!$H$4,,,Plots!$A$49))</f>
        <v>0</v>
      </c>
      <c r="N249" cm="1">
        <f t="array" aca="1" ref="N249" ca="1">INDIRECT(ADDRESS($B249,Plots!$H$4,,,Plots!$A$50))+INDIRECT(ADDRESS($B249,Plots!$H$4,,,Plots!$A$51))+INDIRECT(ADDRESS($B249,Plots!$H$4,,,Plots!$A$52))</f>
        <v>0</v>
      </c>
      <c r="O249" cm="1">
        <f t="array" aca="1" ref="O249" ca="1">INDIRECT(ADDRESS($B249,Plots!$H$4,,,Plots!$A$53))+INDIRECT(ADDRESS($B249,Plots!$H$4,,,Plots!$A$54))+INDIRECT(ADDRESS($B249,Plots!$H$4,,,Plots!$A$55))+INDIRECT(ADDRESS($B249,Plots!$H$4,,,Plots!$A$56))</f>
        <v>0</v>
      </c>
      <c r="P249" cm="1">
        <f t="array" aca="1" ref="P249" ca="1">INDIRECT(ADDRESS($B249,Plots!$H$4,,,Plots!$A$57))+INDIRECT(ADDRESS($B249,Plots!$H$4,,,Plots!$A$58))+INDIRECT(ADDRESS($B249,Plots!$H$4,,,Plots!$A$59))+INDIRECT(ADDRESS($B249,Plots!$H$4,,,Plots!$A$60))+INDIRECT(ADDRESS($B249,Plots!$H$4,,,Plots!$A$61))</f>
        <v>0</v>
      </c>
      <c r="Q249" cm="1">
        <f t="array" aca="1" ref="Q249" ca="1">INDIRECT(ADDRESS($B249,Plots!$H$4,,,Plots!$A$62))+INDIRECT(ADDRESS($B249,Plots!$H$4,,,Plots!$A$63))+INDIRECT(ADDRESS($B249,Plots!$H$4,,,Plots!$A$64))+INDIRECT(ADDRESS($B249,Plots!$H$4,,,Plots!$A$65))+INDIRECT(ADDRESS($B249,Plots!$H$4,,,Plots!$A$66))+INDIRECT(ADDRESS($B249,Plots!$H$4,,,Plots!$A$67))</f>
        <v>0</v>
      </c>
    </row>
    <row r="250" spans="1:17">
      <c r="A250">
        <f>'AARnetCBR-CamDTN1_tcpmon_ts_11'!A250</f>
        <v>0</v>
      </c>
      <c r="B250">
        <f t="shared" si="0"/>
        <v>250</v>
      </c>
      <c r="C250" cm="1">
        <f t="array" aca="1" ref="C250" ca="1">INDIRECT(ADDRESS($B250,Plots!$H$3,,,Plots!$A$47))</f>
        <v>0</v>
      </c>
      <c r="D250" cm="1">
        <f t="array" aca="1" ref="D250" ca="1">INDIRECT(ADDRESS($B250,Plots!$H$3,,,Plots!$A$48))+INDIRECT(ADDRESS($B250,Plots!$H$3,,,Plots!$A$49))</f>
        <v>0</v>
      </c>
      <c r="E250" cm="1">
        <f t="array" aca="1" ref="E250" ca="1">INDIRECT(ADDRESS($B250,Plots!$H$3,,,Plots!$A$50))+INDIRECT(ADDRESS($B250,Plots!$H$3,,,Plots!$A$51))+INDIRECT(ADDRESS($B250,Plots!$H$3,,,Plots!$A$52))</f>
        <v>0</v>
      </c>
      <c r="F250" cm="1">
        <f t="array" aca="1" ref="F250" ca="1">INDIRECT(ADDRESS($B250,Plots!$H$3,,,Plots!$A$53))+INDIRECT(ADDRESS($B250,Plots!$H$3,,,Plots!$A$54))+INDIRECT(ADDRESS($B250,Plots!$H$3,,,Plots!$A$55))+INDIRECT(ADDRESS($B250,Plots!$H$3,,,Plots!$A$56))</f>
        <v>0</v>
      </c>
      <c r="G250" cm="1">
        <f t="array" aca="1" ref="G250" ca="1">INDIRECT(ADDRESS($B250,Plots!$H$3,,,Plots!$A$57))+INDIRECT(ADDRESS($B250,Plots!$H$3,,,Plots!$A$58))+INDIRECT(ADDRESS($B250,Plots!$H$3,,,Plots!$A$59))+INDIRECT(ADDRESS($B250,Plots!$H$3,,,Plots!$A$60))+INDIRECT(ADDRESS($B250,Plots!$H$3,,,Plots!$A$61))</f>
        <v>0</v>
      </c>
      <c r="H250" cm="1">
        <f t="array" aca="1" ref="H250" ca="1">INDIRECT(ADDRESS($B250,Plots!$H$3,,,Plots!$A$62))+INDIRECT(ADDRESS($B250,Plots!$H$3,,,Plots!$A$63))+INDIRECT(ADDRESS($B250,Plots!$H$3,,,Plots!$A$64))+INDIRECT(ADDRESS($B250,Plots!$H$3,,,Plots!$A$65))+INDIRECT(ADDRESS($B250,Plots!$H$3,,,Plots!$A$66))+INDIRECT(ADDRESS($B250,Plots!$H$3,,,Plots!$A$67))</f>
        <v>0</v>
      </c>
      <c r="I250">
        <f>'AARnetCBR-CamDTN1_tcpmon_ts_81'!H254+'AARnetCBR-CamDTN1_tcpmon_ts_82'!H254+'AARnetCBR-CamDTN1_tcpmon_ts_83'!H254+'AARnetCBR-CamDTN1_tcpmon_ts_84'!H254+'AARnetCBR-CamDTN1_tcpmon_ts_85'!H254+'AARnetCBR-CamDTN1_tcpmon_ts_86'!H254+'AARnetCBR-CamDTN1_tcpmon_ts_87'!H254+'AARnetCBR-CamDTN1_tcpmon_ts_88'!H254</f>
        <v>0</v>
      </c>
      <c r="L250" cm="1">
        <f t="array" aca="1" ref="L250" ca="1">INDIRECT(ADDRESS($B250,Plots!$H$4,,,Plots!$A$47))</f>
        <v>0</v>
      </c>
      <c r="M250" cm="1">
        <f t="array" aca="1" ref="M250" ca="1">INDIRECT(ADDRESS($B250,Plots!$H$4,,,Plots!$A$48))+INDIRECT(ADDRESS($B250,Plots!$H$4,,,Plots!$A$49))</f>
        <v>0</v>
      </c>
      <c r="N250" cm="1">
        <f t="array" aca="1" ref="N250" ca="1">INDIRECT(ADDRESS($B250,Plots!$H$4,,,Plots!$A$50))+INDIRECT(ADDRESS($B250,Plots!$H$4,,,Plots!$A$51))+INDIRECT(ADDRESS($B250,Plots!$H$4,,,Plots!$A$52))</f>
        <v>0</v>
      </c>
      <c r="O250" cm="1">
        <f t="array" aca="1" ref="O250" ca="1">INDIRECT(ADDRESS($B250,Plots!$H$4,,,Plots!$A$53))+INDIRECT(ADDRESS($B250,Plots!$H$4,,,Plots!$A$54))+INDIRECT(ADDRESS($B250,Plots!$H$4,,,Plots!$A$55))+INDIRECT(ADDRESS($B250,Plots!$H$4,,,Plots!$A$56))</f>
        <v>0</v>
      </c>
      <c r="P250" cm="1">
        <f t="array" aca="1" ref="P250" ca="1">INDIRECT(ADDRESS($B250,Plots!$H$4,,,Plots!$A$57))+INDIRECT(ADDRESS($B250,Plots!$H$4,,,Plots!$A$58))+INDIRECT(ADDRESS($B250,Plots!$H$4,,,Plots!$A$59))+INDIRECT(ADDRESS($B250,Plots!$H$4,,,Plots!$A$60))+INDIRECT(ADDRESS($B250,Plots!$H$4,,,Plots!$A$61))</f>
        <v>0</v>
      </c>
      <c r="Q250" cm="1">
        <f t="array" aca="1" ref="Q250" ca="1">INDIRECT(ADDRESS($B250,Plots!$H$4,,,Plots!$A$62))+INDIRECT(ADDRESS($B250,Plots!$H$4,,,Plots!$A$63))+INDIRECT(ADDRESS($B250,Plots!$H$4,,,Plots!$A$64))+INDIRECT(ADDRESS($B250,Plots!$H$4,,,Plots!$A$65))+INDIRECT(ADDRESS($B250,Plots!$H$4,,,Plots!$A$66))+INDIRECT(ADDRESS($B250,Plots!$H$4,,,Plots!$A$67))</f>
        <v>0</v>
      </c>
    </row>
    <row r="251" spans="1:17">
      <c r="A251">
        <f>'AARnetCBR-CamDTN1_tcpmon_ts_11'!A251</f>
        <v>0</v>
      </c>
      <c r="B251">
        <f t="shared" si="0"/>
        <v>251</v>
      </c>
      <c r="C251" cm="1">
        <f t="array" aca="1" ref="C251" ca="1">INDIRECT(ADDRESS($B251,Plots!$H$3,,,Plots!$A$47))</f>
        <v>0</v>
      </c>
      <c r="D251" cm="1">
        <f t="array" aca="1" ref="D251" ca="1">INDIRECT(ADDRESS($B251,Plots!$H$3,,,Plots!$A$48))+INDIRECT(ADDRESS($B251,Plots!$H$3,,,Plots!$A$49))</f>
        <v>0</v>
      </c>
      <c r="E251" cm="1">
        <f t="array" aca="1" ref="E251" ca="1">INDIRECT(ADDRESS($B251,Plots!$H$3,,,Plots!$A$50))+INDIRECT(ADDRESS($B251,Plots!$H$3,,,Plots!$A$51))+INDIRECT(ADDRESS($B251,Plots!$H$3,,,Plots!$A$52))</f>
        <v>0</v>
      </c>
      <c r="F251" cm="1">
        <f t="array" aca="1" ref="F251" ca="1">INDIRECT(ADDRESS($B251,Plots!$H$3,,,Plots!$A$53))+INDIRECT(ADDRESS($B251,Plots!$H$3,,,Plots!$A$54))+INDIRECT(ADDRESS($B251,Plots!$H$3,,,Plots!$A$55))+INDIRECT(ADDRESS($B251,Plots!$H$3,,,Plots!$A$56))</f>
        <v>0</v>
      </c>
      <c r="G251" cm="1">
        <f t="array" aca="1" ref="G251" ca="1">INDIRECT(ADDRESS($B251,Plots!$H$3,,,Plots!$A$57))+INDIRECT(ADDRESS($B251,Plots!$H$3,,,Plots!$A$58))+INDIRECT(ADDRESS($B251,Plots!$H$3,,,Plots!$A$59))+INDIRECT(ADDRESS($B251,Plots!$H$3,,,Plots!$A$60))+INDIRECT(ADDRESS($B251,Plots!$H$3,,,Plots!$A$61))</f>
        <v>0</v>
      </c>
      <c r="H251" cm="1">
        <f t="array" aca="1" ref="H251" ca="1">INDIRECT(ADDRESS($B251,Plots!$H$3,,,Plots!$A$62))+INDIRECT(ADDRESS($B251,Plots!$H$3,,,Plots!$A$63))+INDIRECT(ADDRESS($B251,Plots!$H$3,,,Plots!$A$64))+INDIRECT(ADDRESS($B251,Plots!$H$3,,,Plots!$A$65))+INDIRECT(ADDRESS($B251,Plots!$H$3,,,Plots!$A$66))+INDIRECT(ADDRESS($B251,Plots!$H$3,,,Plots!$A$67))</f>
        <v>0</v>
      </c>
      <c r="I251">
        <f>'AARnetCBR-CamDTN1_tcpmon_ts_81'!H255+'AARnetCBR-CamDTN1_tcpmon_ts_82'!H255+'AARnetCBR-CamDTN1_tcpmon_ts_83'!H255+'AARnetCBR-CamDTN1_tcpmon_ts_84'!H255+'AARnetCBR-CamDTN1_tcpmon_ts_85'!H255+'AARnetCBR-CamDTN1_tcpmon_ts_86'!H255+'AARnetCBR-CamDTN1_tcpmon_ts_87'!H255+'AARnetCBR-CamDTN1_tcpmon_ts_88'!H255</f>
        <v>0</v>
      </c>
      <c r="L251" cm="1">
        <f t="array" aca="1" ref="L251" ca="1">INDIRECT(ADDRESS($B251,Plots!$H$4,,,Plots!$A$47))</f>
        <v>0</v>
      </c>
      <c r="M251" cm="1">
        <f t="array" aca="1" ref="M251" ca="1">INDIRECT(ADDRESS($B251,Plots!$H$4,,,Plots!$A$48))+INDIRECT(ADDRESS($B251,Plots!$H$4,,,Plots!$A$49))</f>
        <v>0</v>
      </c>
      <c r="N251" cm="1">
        <f t="array" aca="1" ref="N251" ca="1">INDIRECT(ADDRESS($B251,Plots!$H$4,,,Plots!$A$50))+INDIRECT(ADDRESS($B251,Plots!$H$4,,,Plots!$A$51))+INDIRECT(ADDRESS($B251,Plots!$H$4,,,Plots!$A$52))</f>
        <v>0</v>
      </c>
      <c r="O251" cm="1">
        <f t="array" aca="1" ref="O251" ca="1">INDIRECT(ADDRESS($B251,Plots!$H$4,,,Plots!$A$53))+INDIRECT(ADDRESS($B251,Plots!$H$4,,,Plots!$A$54))+INDIRECT(ADDRESS($B251,Plots!$H$4,,,Plots!$A$55))+INDIRECT(ADDRESS($B251,Plots!$H$4,,,Plots!$A$56))</f>
        <v>0</v>
      </c>
      <c r="P251" cm="1">
        <f t="array" aca="1" ref="P251" ca="1">INDIRECT(ADDRESS($B251,Plots!$H$4,,,Plots!$A$57))+INDIRECT(ADDRESS($B251,Plots!$H$4,,,Plots!$A$58))+INDIRECT(ADDRESS($B251,Plots!$H$4,,,Plots!$A$59))+INDIRECT(ADDRESS($B251,Plots!$H$4,,,Plots!$A$60))+INDIRECT(ADDRESS($B251,Plots!$H$4,,,Plots!$A$61))</f>
        <v>0</v>
      </c>
      <c r="Q251" cm="1">
        <f t="array" aca="1" ref="Q251" ca="1">INDIRECT(ADDRESS($B251,Plots!$H$4,,,Plots!$A$62))+INDIRECT(ADDRESS($B251,Plots!$H$4,,,Plots!$A$63))+INDIRECT(ADDRESS($B251,Plots!$H$4,,,Plots!$A$64))+INDIRECT(ADDRESS($B251,Plots!$H$4,,,Plots!$A$65))+INDIRECT(ADDRESS($B251,Plots!$H$4,,,Plots!$A$66))+INDIRECT(ADDRESS($B251,Plots!$H$4,,,Plots!$A$67))</f>
        <v>0</v>
      </c>
    </row>
    <row r="252" spans="1:17">
      <c r="A252">
        <f>'AARnetCBR-CamDTN1_tcpmon_ts_11'!A252</f>
        <v>0</v>
      </c>
      <c r="B252">
        <f t="shared" si="0"/>
        <v>252</v>
      </c>
      <c r="C252" cm="1">
        <f t="array" aca="1" ref="C252" ca="1">INDIRECT(ADDRESS($B252,Plots!$H$3,,,Plots!$A$47))</f>
        <v>0</v>
      </c>
      <c r="D252" cm="1">
        <f t="array" aca="1" ref="D252" ca="1">INDIRECT(ADDRESS($B252,Plots!$H$3,,,Plots!$A$48))+INDIRECT(ADDRESS($B252,Plots!$H$3,,,Plots!$A$49))</f>
        <v>0</v>
      </c>
      <c r="E252" cm="1">
        <f t="array" aca="1" ref="E252" ca="1">INDIRECT(ADDRESS($B252,Plots!$H$3,,,Plots!$A$50))+INDIRECT(ADDRESS($B252,Plots!$H$3,,,Plots!$A$51))+INDIRECT(ADDRESS($B252,Plots!$H$3,,,Plots!$A$52))</f>
        <v>0</v>
      </c>
      <c r="F252" cm="1">
        <f t="array" aca="1" ref="F252" ca="1">INDIRECT(ADDRESS($B252,Plots!$H$3,,,Plots!$A$53))+INDIRECT(ADDRESS($B252,Plots!$H$3,,,Plots!$A$54))+INDIRECT(ADDRESS($B252,Plots!$H$3,,,Plots!$A$55))+INDIRECT(ADDRESS($B252,Plots!$H$3,,,Plots!$A$56))</f>
        <v>0</v>
      </c>
      <c r="G252" cm="1">
        <f t="array" aca="1" ref="G252" ca="1">INDIRECT(ADDRESS($B252,Plots!$H$3,,,Plots!$A$57))+INDIRECT(ADDRESS($B252,Plots!$H$3,,,Plots!$A$58))+INDIRECT(ADDRESS($B252,Plots!$H$3,,,Plots!$A$59))+INDIRECT(ADDRESS($B252,Plots!$H$3,,,Plots!$A$60))+INDIRECT(ADDRESS($B252,Plots!$H$3,,,Plots!$A$61))</f>
        <v>0</v>
      </c>
      <c r="H252" cm="1">
        <f t="array" aca="1" ref="H252" ca="1">INDIRECT(ADDRESS($B252,Plots!$H$3,,,Plots!$A$62))+INDIRECT(ADDRESS($B252,Plots!$H$3,,,Plots!$A$63))+INDIRECT(ADDRESS($B252,Plots!$H$3,,,Plots!$A$64))+INDIRECT(ADDRESS($B252,Plots!$H$3,,,Plots!$A$65))+INDIRECT(ADDRESS($B252,Plots!$H$3,,,Plots!$A$66))+INDIRECT(ADDRESS($B252,Plots!$H$3,,,Plots!$A$67))</f>
        <v>0</v>
      </c>
      <c r="I252">
        <f>'AARnetCBR-CamDTN1_tcpmon_ts_81'!H256+'AARnetCBR-CamDTN1_tcpmon_ts_82'!H256+'AARnetCBR-CamDTN1_tcpmon_ts_83'!H256+'AARnetCBR-CamDTN1_tcpmon_ts_84'!H256+'AARnetCBR-CamDTN1_tcpmon_ts_85'!H256+'AARnetCBR-CamDTN1_tcpmon_ts_86'!H256+'AARnetCBR-CamDTN1_tcpmon_ts_87'!H256+'AARnetCBR-CamDTN1_tcpmon_ts_88'!H256</f>
        <v>0</v>
      </c>
      <c r="L252" cm="1">
        <f t="array" aca="1" ref="L252" ca="1">INDIRECT(ADDRESS($B252,Plots!$H$4,,,Plots!$A$47))</f>
        <v>0</v>
      </c>
      <c r="M252" cm="1">
        <f t="array" aca="1" ref="M252" ca="1">INDIRECT(ADDRESS($B252,Plots!$H$4,,,Plots!$A$48))+INDIRECT(ADDRESS($B252,Plots!$H$4,,,Plots!$A$49))</f>
        <v>0</v>
      </c>
      <c r="N252" cm="1">
        <f t="array" aca="1" ref="N252" ca="1">INDIRECT(ADDRESS($B252,Plots!$H$4,,,Plots!$A$50))+INDIRECT(ADDRESS($B252,Plots!$H$4,,,Plots!$A$51))+INDIRECT(ADDRESS($B252,Plots!$H$4,,,Plots!$A$52))</f>
        <v>0</v>
      </c>
      <c r="O252" cm="1">
        <f t="array" aca="1" ref="O252" ca="1">INDIRECT(ADDRESS($B252,Plots!$H$4,,,Plots!$A$53))+INDIRECT(ADDRESS($B252,Plots!$H$4,,,Plots!$A$54))+INDIRECT(ADDRESS($B252,Plots!$H$4,,,Plots!$A$55))+INDIRECT(ADDRESS($B252,Plots!$H$4,,,Plots!$A$56))</f>
        <v>0</v>
      </c>
      <c r="P252" cm="1">
        <f t="array" aca="1" ref="P252" ca="1">INDIRECT(ADDRESS($B252,Plots!$H$4,,,Plots!$A$57))+INDIRECT(ADDRESS($B252,Plots!$H$4,,,Plots!$A$58))+INDIRECT(ADDRESS($B252,Plots!$H$4,,,Plots!$A$59))+INDIRECT(ADDRESS($B252,Plots!$H$4,,,Plots!$A$60))+INDIRECT(ADDRESS($B252,Plots!$H$4,,,Plots!$A$61))</f>
        <v>0</v>
      </c>
      <c r="Q252" cm="1">
        <f t="array" aca="1" ref="Q252" ca="1">INDIRECT(ADDRESS($B252,Plots!$H$4,,,Plots!$A$62))+INDIRECT(ADDRESS($B252,Plots!$H$4,,,Plots!$A$63))+INDIRECT(ADDRESS($B252,Plots!$H$4,,,Plots!$A$64))+INDIRECT(ADDRESS($B252,Plots!$H$4,,,Plots!$A$65))+INDIRECT(ADDRESS($B252,Plots!$H$4,,,Plots!$A$66))+INDIRECT(ADDRESS($B252,Plots!$H$4,,,Plots!$A$67))</f>
        <v>0</v>
      </c>
    </row>
    <row r="253" spans="1:17">
      <c r="A253">
        <f>'AARnetCBR-CamDTN1_tcpmon_ts_11'!A253</f>
        <v>0</v>
      </c>
      <c r="B253">
        <f t="shared" si="0"/>
        <v>253</v>
      </c>
      <c r="C253" cm="1">
        <f t="array" aca="1" ref="C253" ca="1">INDIRECT(ADDRESS($B253,Plots!$H$3,,,Plots!$A$47))</f>
        <v>0</v>
      </c>
      <c r="D253" cm="1">
        <f t="array" aca="1" ref="D253" ca="1">INDIRECT(ADDRESS($B253,Plots!$H$3,,,Plots!$A$48))+INDIRECT(ADDRESS($B253,Plots!$H$3,,,Plots!$A$49))</f>
        <v>0</v>
      </c>
      <c r="E253" cm="1">
        <f t="array" aca="1" ref="E253" ca="1">INDIRECT(ADDRESS($B253,Plots!$H$3,,,Plots!$A$50))+INDIRECT(ADDRESS($B253,Plots!$H$3,,,Plots!$A$51))+INDIRECT(ADDRESS($B253,Plots!$H$3,,,Plots!$A$52))</f>
        <v>0</v>
      </c>
      <c r="F253" cm="1">
        <f t="array" aca="1" ref="F253" ca="1">INDIRECT(ADDRESS($B253,Plots!$H$3,,,Plots!$A$53))+INDIRECT(ADDRESS($B253,Plots!$H$3,,,Plots!$A$54))+INDIRECT(ADDRESS($B253,Plots!$H$3,,,Plots!$A$55))+INDIRECT(ADDRESS($B253,Plots!$H$3,,,Plots!$A$56))</f>
        <v>0</v>
      </c>
      <c r="G253" cm="1">
        <f t="array" aca="1" ref="G253" ca="1">INDIRECT(ADDRESS($B253,Plots!$H$3,,,Plots!$A$57))+INDIRECT(ADDRESS($B253,Plots!$H$3,,,Plots!$A$58))+INDIRECT(ADDRESS($B253,Plots!$H$3,,,Plots!$A$59))+INDIRECT(ADDRESS($B253,Plots!$H$3,,,Plots!$A$60))+INDIRECT(ADDRESS($B253,Plots!$H$3,,,Plots!$A$61))</f>
        <v>0</v>
      </c>
      <c r="H253" cm="1">
        <f t="array" aca="1" ref="H253" ca="1">INDIRECT(ADDRESS($B253,Plots!$H$3,,,Plots!$A$62))+INDIRECT(ADDRESS($B253,Plots!$H$3,,,Plots!$A$63))+INDIRECT(ADDRESS($B253,Plots!$H$3,,,Plots!$A$64))+INDIRECT(ADDRESS($B253,Plots!$H$3,,,Plots!$A$65))+INDIRECT(ADDRESS($B253,Plots!$H$3,,,Plots!$A$66))+INDIRECT(ADDRESS($B253,Plots!$H$3,,,Plots!$A$67))</f>
        <v>0</v>
      </c>
      <c r="I253">
        <f>'AARnetCBR-CamDTN1_tcpmon_ts_81'!H257+'AARnetCBR-CamDTN1_tcpmon_ts_82'!H257+'AARnetCBR-CamDTN1_tcpmon_ts_83'!H257+'AARnetCBR-CamDTN1_tcpmon_ts_84'!H257+'AARnetCBR-CamDTN1_tcpmon_ts_85'!H257+'AARnetCBR-CamDTN1_tcpmon_ts_86'!H257+'AARnetCBR-CamDTN1_tcpmon_ts_87'!H257+'AARnetCBR-CamDTN1_tcpmon_ts_88'!H257</f>
        <v>0</v>
      </c>
      <c r="L253" cm="1">
        <f t="array" aca="1" ref="L253" ca="1">INDIRECT(ADDRESS($B253,Plots!$H$4,,,Plots!$A$47))</f>
        <v>0</v>
      </c>
      <c r="M253" cm="1">
        <f t="array" aca="1" ref="M253" ca="1">INDIRECT(ADDRESS($B253,Plots!$H$4,,,Plots!$A$48))+INDIRECT(ADDRESS($B253,Plots!$H$4,,,Plots!$A$49))</f>
        <v>0</v>
      </c>
      <c r="N253" cm="1">
        <f t="array" aca="1" ref="N253" ca="1">INDIRECT(ADDRESS($B253,Plots!$H$4,,,Plots!$A$50))+INDIRECT(ADDRESS($B253,Plots!$H$4,,,Plots!$A$51))+INDIRECT(ADDRESS($B253,Plots!$H$4,,,Plots!$A$52))</f>
        <v>0</v>
      </c>
      <c r="O253" cm="1">
        <f t="array" aca="1" ref="O253" ca="1">INDIRECT(ADDRESS($B253,Plots!$H$4,,,Plots!$A$53))+INDIRECT(ADDRESS($B253,Plots!$H$4,,,Plots!$A$54))+INDIRECT(ADDRESS($B253,Plots!$H$4,,,Plots!$A$55))+INDIRECT(ADDRESS($B253,Plots!$H$4,,,Plots!$A$56))</f>
        <v>0</v>
      </c>
      <c r="P253" cm="1">
        <f t="array" aca="1" ref="P253" ca="1">INDIRECT(ADDRESS($B253,Plots!$H$4,,,Plots!$A$57))+INDIRECT(ADDRESS($B253,Plots!$H$4,,,Plots!$A$58))+INDIRECT(ADDRESS($B253,Plots!$H$4,,,Plots!$A$59))+INDIRECT(ADDRESS($B253,Plots!$H$4,,,Plots!$A$60))+INDIRECT(ADDRESS($B253,Plots!$H$4,,,Plots!$A$61))</f>
        <v>0</v>
      </c>
      <c r="Q253" cm="1">
        <f t="array" aca="1" ref="Q253" ca="1">INDIRECT(ADDRESS($B253,Plots!$H$4,,,Plots!$A$62))+INDIRECT(ADDRESS($B253,Plots!$H$4,,,Plots!$A$63))+INDIRECT(ADDRESS($B253,Plots!$H$4,,,Plots!$A$64))+INDIRECT(ADDRESS($B253,Plots!$H$4,,,Plots!$A$65))+INDIRECT(ADDRESS($B253,Plots!$H$4,,,Plots!$A$66))+INDIRECT(ADDRESS($B253,Plots!$H$4,,,Plots!$A$67))</f>
        <v>0</v>
      </c>
    </row>
    <row r="254" spans="1:17">
      <c r="A254">
        <f>'AARnetCBR-CamDTN1_tcpmon_ts_11'!A254</f>
        <v>0</v>
      </c>
      <c r="B254">
        <f t="shared" si="0"/>
        <v>254</v>
      </c>
      <c r="C254" cm="1">
        <f t="array" aca="1" ref="C254" ca="1">INDIRECT(ADDRESS($B254,Plots!$H$3,,,Plots!$A$47))</f>
        <v>0</v>
      </c>
      <c r="D254" cm="1">
        <f t="array" aca="1" ref="D254" ca="1">INDIRECT(ADDRESS($B254,Plots!$H$3,,,Plots!$A$48))+INDIRECT(ADDRESS($B254,Plots!$H$3,,,Plots!$A$49))</f>
        <v>0</v>
      </c>
      <c r="E254" cm="1">
        <f t="array" aca="1" ref="E254" ca="1">INDIRECT(ADDRESS($B254,Plots!$H$3,,,Plots!$A$50))+INDIRECT(ADDRESS($B254,Plots!$H$3,,,Plots!$A$51))+INDIRECT(ADDRESS($B254,Plots!$H$3,,,Plots!$A$52))</f>
        <v>0</v>
      </c>
      <c r="F254" cm="1">
        <f t="array" aca="1" ref="F254" ca="1">INDIRECT(ADDRESS($B254,Plots!$H$3,,,Plots!$A$53))+INDIRECT(ADDRESS($B254,Plots!$H$3,,,Plots!$A$54))+INDIRECT(ADDRESS($B254,Plots!$H$3,,,Plots!$A$55))+INDIRECT(ADDRESS($B254,Plots!$H$3,,,Plots!$A$56))</f>
        <v>0</v>
      </c>
      <c r="G254" cm="1">
        <f t="array" aca="1" ref="G254" ca="1">INDIRECT(ADDRESS($B254,Plots!$H$3,,,Plots!$A$57))+INDIRECT(ADDRESS($B254,Plots!$H$3,,,Plots!$A$58))+INDIRECT(ADDRESS($B254,Plots!$H$3,,,Plots!$A$59))+INDIRECT(ADDRESS($B254,Plots!$H$3,,,Plots!$A$60))+INDIRECT(ADDRESS($B254,Plots!$H$3,,,Plots!$A$61))</f>
        <v>0</v>
      </c>
      <c r="H254" cm="1">
        <f t="array" aca="1" ref="H254" ca="1">INDIRECT(ADDRESS($B254,Plots!$H$3,,,Plots!$A$62))+INDIRECT(ADDRESS($B254,Plots!$H$3,,,Plots!$A$63))+INDIRECT(ADDRESS($B254,Plots!$H$3,,,Plots!$A$64))+INDIRECT(ADDRESS($B254,Plots!$H$3,,,Plots!$A$65))+INDIRECT(ADDRESS($B254,Plots!$H$3,,,Plots!$A$66))+INDIRECT(ADDRESS($B254,Plots!$H$3,,,Plots!$A$67))</f>
        <v>0</v>
      </c>
      <c r="I254">
        <f>'AARnetCBR-CamDTN1_tcpmon_ts_81'!H258+'AARnetCBR-CamDTN1_tcpmon_ts_82'!H258+'AARnetCBR-CamDTN1_tcpmon_ts_83'!H258+'AARnetCBR-CamDTN1_tcpmon_ts_84'!H258+'AARnetCBR-CamDTN1_tcpmon_ts_85'!H258+'AARnetCBR-CamDTN1_tcpmon_ts_86'!H258+'AARnetCBR-CamDTN1_tcpmon_ts_87'!H258+'AARnetCBR-CamDTN1_tcpmon_ts_88'!H258</f>
        <v>0</v>
      </c>
      <c r="L254" cm="1">
        <f t="array" aca="1" ref="L254" ca="1">INDIRECT(ADDRESS($B254,Plots!$H$4,,,Plots!$A$47))</f>
        <v>0</v>
      </c>
      <c r="M254" cm="1">
        <f t="array" aca="1" ref="M254" ca="1">INDIRECT(ADDRESS($B254,Plots!$H$4,,,Plots!$A$48))+INDIRECT(ADDRESS($B254,Plots!$H$4,,,Plots!$A$49))</f>
        <v>0</v>
      </c>
      <c r="N254" cm="1">
        <f t="array" aca="1" ref="N254" ca="1">INDIRECT(ADDRESS($B254,Plots!$H$4,,,Plots!$A$50))+INDIRECT(ADDRESS($B254,Plots!$H$4,,,Plots!$A$51))+INDIRECT(ADDRESS($B254,Plots!$H$4,,,Plots!$A$52))</f>
        <v>0</v>
      </c>
      <c r="O254" cm="1">
        <f t="array" aca="1" ref="O254" ca="1">INDIRECT(ADDRESS($B254,Plots!$H$4,,,Plots!$A$53))+INDIRECT(ADDRESS($B254,Plots!$H$4,,,Plots!$A$54))+INDIRECT(ADDRESS($B254,Plots!$H$4,,,Plots!$A$55))+INDIRECT(ADDRESS($B254,Plots!$H$4,,,Plots!$A$56))</f>
        <v>0</v>
      </c>
      <c r="P254" cm="1">
        <f t="array" aca="1" ref="P254" ca="1">INDIRECT(ADDRESS($B254,Plots!$H$4,,,Plots!$A$57))+INDIRECT(ADDRESS($B254,Plots!$H$4,,,Plots!$A$58))+INDIRECT(ADDRESS($B254,Plots!$H$4,,,Plots!$A$59))+INDIRECT(ADDRESS($B254,Plots!$H$4,,,Plots!$A$60))+INDIRECT(ADDRESS($B254,Plots!$H$4,,,Plots!$A$61))</f>
        <v>0</v>
      </c>
      <c r="Q254" cm="1">
        <f t="array" aca="1" ref="Q254" ca="1">INDIRECT(ADDRESS($B254,Plots!$H$4,,,Plots!$A$62))+INDIRECT(ADDRESS($B254,Plots!$H$4,,,Plots!$A$63))+INDIRECT(ADDRESS($B254,Plots!$H$4,,,Plots!$A$64))+INDIRECT(ADDRESS($B254,Plots!$H$4,,,Plots!$A$65))+INDIRECT(ADDRESS($B254,Plots!$H$4,,,Plots!$A$66))+INDIRECT(ADDRESS($B254,Plots!$H$4,,,Plots!$A$67))</f>
        <v>0</v>
      </c>
    </row>
    <row r="255" spans="1:17">
      <c r="A255">
        <f>'AARnetCBR-CamDTN1_tcpmon_ts_11'!A255</f>
        <v>0</v>
      </c>
      <c r="B255">
        <f t="shared" si="0"/>
        <v>255</v>
      </c>
      <c r="C255" cm="1">
        <f t="array" aca="1" ref="C255" ca="1">INDIRECT(ADDRESS($B255,Plots!$H$3,,,Plots!$A$47))</f>
        <v>0</v>
      </c>
      <c r="D255" cm="1">
        <f t="array" aca="1" ref="D255" ca="1">INDIRECT(ADDRESS($B255,Plots!$H$3,,,Plots!$A$48))+INDIRECT(ADDRESS($B255,Plots!$H$3,,,Plots!$A$49))</f>
        <v>0</v>
      </c>
      <c r="E255" cm="1">
        <f t="array" aca="1" ref="E255" ca="1">INDIRECT(ADDRESS($B255,Plots!$H$3,,,Plots!$A$50))+INDIRECT(ADDRESS($B255,Plots!$H$3,,,Plots!$A$51))+INDIRECT(ADDRESS($B255,Plots!$H$3,,,Plots!$A$52))</f>
        <v>0</v>
      </c>
      <c r="F255" cm="1">
        <f t="array" aca="1" ref="F255" ca="1">INDIRECT(ADDRESS($B255,Plots!$H$3,,,Plots!$A$53))+INDIRECT(ADDRESS($B255,Plots!$H$3,,,Plots!$A$54))+INDIRECT(ADDRESS($B255,Plots!$H$3,,,Plots!$A$55))+INDIRECT(ADDRESS($B255,Plots!$H$3,,,Plots!$A$56))</f>
        <v>0</v>
      </c>
      <c r="G255" cm="1">
        <f t="array" aca="1" ref="G255" ca="1">INDIRECT(ADDRESS($B255,Plots!$H$3,,,Plots!$A$57))+INDIRECT(ADDRESS($B255,Plots!$H$3,,,Plots!$A$58))+INDIRECT(ADDRESS($B255,Plots!$H$3,,,Plots!$A$59))+INDIRECT(ADDRESS($B255,Plots!$H$3,,,Plots!$A$60))+INDIRECT(ADDRESS($B255,Plots!$H$3,,,Plots!$A$61))</f>
        <v>0</v>
      </c>
      <c r="H255" cm="1">
        <f t="array" aca="1" ref="H255" ca="1">INDIRECT(ADDRESS($B255,Plots!$H$3,,,Plots!$A$62))+INDIRECT(ADDRESS($B255,Plots!$H$3,,,Plots!$A$63))+INDIRECT(ADDRESS($B255,Plots!$H$3,,,Plots!$A$64))+INDIRECT(ADDRESS($B255,Plots!$H$3,,,Plots!$A$65))+INDIRECT(ADDRESS($B255,Plots!$H$3,,,Plots!$A$66))+INDIRECT(ADDRESS($B255,Plots!$H$3,,,Plots!$A$67))</f>
        <v>0</v>
      </c>
      <c r="I255">
        <f>'AARnetCBR-CamDTN1_tcpmon_ts_81'!H259+'AARnetCBR-CamDTN1_tcpmon_ts_82'!H259+'AARnetCBR-CamDTN1_tcpmon_ts_83'!H259+'AARnetCBR-CamDTN1_tcpmon_ts_84'!H259+'AARnetCBR-CamDTN1_tcpmon_ts_85'!H259+'AARnetCBR-CamDTN1_tcpmon_ts_86'!H259+'AARnetCBR-CamDTN1_tcpmon_ts_87'!H259+'AARnetCBR-CamDTN1_tcpmon_ts_88'!H259</f>
        <v>0</v>
      </c>
      <c r="L255" cm="1">
        <f t="array" aca="1" ref="L255" ca="1">INDIRECT(ADDRESS($B255,Plots!$H$4,,,Plots!$A$47))</f>
        <v>0</v>
      </c>
      <c r="M255" cm="1">
        <f t="array" aca="1" ref="M255" ca="1">INDIRECT(ADDRESS($B255,Plots!$H$4,,,Plots!$A$48))+INDIRECT(ADDRESS($B255,Plots!$H$4,,,Plots!$A$49))</f>
        <v>0</v>
      </c>
      <c r="N255" cm="1">
        <f t="array" aca="1" ref="N255" ca="1">INDIRECT(ADDRESS($B255,Plots!$H$4,,,Plots!$A$50))+INDIRECT(ADDRESS($B255,Plots!$H$4,,,Plots!$A$51))+INDIRECT(ADDRESS($B255,Plots!$H$4,,,Plots!$A$52))</f>
        <v>0</v>
      </c>
      <c r="O255" cm="1">
        <f t="array" aca="1" ref="O255" ca="1">INDIRECT(ADDRESS($B255,Plots!$H$4,,,Plots!$A$53))+INDIRECT(ADDRESS($B255,Plots!$H$4,,,Plots!$A$54))+INDIRECT(ADDRESS($B255,Plots!$H$4,,,Plots!$A$55))+INDIRECT(ADDRESS($B255,Plots!$H$4,,,Plots!$A$56))</f>
        <v>0</v>
      </c>
      <c r="P255" cm="1">
        <f t="array" aca="1" ref="P255" ca="1">INDIRECT(ADDRESS($B255,Plots!$H$4,,,Plots!$A$57))+INDIRECT(ADDRESS($B255,Plots!$H$4,,,Plots!$A$58))+INDIRECT(ADDRESS($B255,Plots!$H$4,,,Plots!$A$59))+INDIRECT(ADDRESS($B255,Plots!$H$4,,,Plots!$A$60))+INDIRECT(ADDRESS($B255,Plots!$H$4,,,Plots!$A$61))</f>
        <v>0</v>
      </c>
      <c r="Q255" cm="1">
        <f t="array" aca="1" ref="Q255" ca="1">INDIRECT(ADDRESS($B255,Plots!$H$4,,,Plots!$A$62))+INDIRECT(ADDRESS($B255,Plots!$H$4,,,Plots!$A$63))+INDIRECT(ADDRESS($B255,Plots!$H$4,,,Plots!$A$64))+INDIRECT(ADDRESS($B255,Plots!$H$4,,,Plots!$A$65))+INDIRECT(ADDRESS($B255,Plots!$H$4,,,Plots!$A$66))+INDIRECT(ADDRESS($B255,Plots!$H$4,,,Plots!$A$67))</f>
        <v>0</v>
      </c>
    </row>
    <row r="256" spans="1:17">
      <c r="A256">
        <f>'AARnetCBR-CamDTN1_tcpmon_ts_11'!A256</f>
        <v>0</v>
      </c>
      <c r="B256">
        <f t="shared" si="0"/>
        <v>256</v>
      </c>
      <c r="C256" cm="1">
        <f t="array" aca="1" ref="C256" ca="1">INDIRECT(ADDRESS($B256,Plots!$H$3,,,Plots!$A$47))</f>
        <v>0</v>
      </c>
      <c r="D256" cm="1">
        <f t="array" aca="1" ref="D256" ca="1">INDIRECT(ADDRESS($B256,Plots!$H$3,,,Plots!$A$48))+INDIRECT(ADDRESS($B256,Plots!$H$3,,,Plots!$A$49))</f>
        <v>0</v>
      </c>
      <c r="E256" cm="1">
        <f t="array" aca="1" ref="E256" ca="1">INDIRECT(ADDRESS($B256,Plots!$H$3,,,Plots!$A$50))+INDIRECT(ADDRESS($B256,Plots!$H$3,,,Plots!$A$51))+INDIRECT(ADDRESS($B256,Plots!$H$3,,,Plots!$A$52))</f>
        <v>0</v>
      </c>
      <c r="F256" cm="1">
        <f t="array" aca="1" ref="F256" ca="1">INDIRECT(ADDRESS($B256,Plots!$H$3,,,Plots!$A$53))+INDIRECT(ADDRESS($B256,Plots!$H$3,,,Plots!$A$54))+INDIRECT(ADDRESS($B256,Plots!$H$3,,,Plots!$A$55))+INDIRECT(ADDRESS($B256,Plots!$H$3,,,Plots!$A$56))</f>
        <v>0</v>
      </c>
      <c r="G256" cm="1">
        <f t="array" aca="1" ref="G256" ca="1">INDIRECT(ADDRESS($B256,Plots!$H$3,,,Plots!$A$57))+INDIRECT(ADDRESS($B256,Plots!$H$3,,,Plots!$A$58))+INDIRECT(ADDRESS($B256,Plots!$H$3,,,Plots!$A$59))+INDIRECT(ADDRESS($B256,Plots!$H$3,,,Plots!$A$60))+INDIRECT(ADDRESS($B256,Plots!$H$3,,,Plots!$A$61))</f>
        <v>0</v>
      </c>
      <c r="H256" cm="1">
        <f t="array" aca="1" ref="H256" ca="1">INDIRECT(ADDRESS($B256,Plots!$H$3,,,Plots!$A$62))+INDIRECT(ADDRESS($B256,Plots!$H$3,,,Plots!$A$63))+INDIRECT(ADDRESS($B256,Plots!$H$3,,,Plots!$A$64))+INDIRECT(ADDRESS($B256,Plots!$H$3,,,Plots!$A$65))+INDIRECT(ADDRESS($B256,Plots!$H$3,,,Plots!$A$66))+INDIRECT(ADDRESS($B256,Plots!$H$3,,,Plots!$A$67))</f>
        <v>0</v>
      </c>
      <c r="I256">
        <f>'AARnetCBR-CamDTN1_tcpmon_ts_81'!H260+'AARnetCBR-CamDTN1_tcpmon_ts_82'!H260+'AARnetCBR-CamDTN1_tcpmon_ts_83'!H260+'AARnetCBR-CamDTN1_tcpmon_ts_84'!H260+'AARnetCBR-CamDTN1_tcpmon_ts_85'!H260+'AARnetCBR-CamDTN1_tcpmon_ts_86'!H260+'AARnetCBR-CamDTN1_tcpmon_ts_87'!H260+'AARnetCBR-CamDTN1_tcpmon_ts_88'!H260</f>
        <v>0</v>
      </c>
      <c r="L256" cm="1">
        <f t="array" aca="1" ref="L256" ca="1">INDIRECT(ADDRESS($B256,Plots!$H$4,,,Plots!$A$47))</f>
        <v>0</v>
      </c>
      <c r="M256" cm="1">
        <f t="array" aca="1" ref="M256" ca="1">INDIRECT(ADDRESS($B256,Plots!$H$4,,,Plots!$A$48))+INDIRECT(ADDRESS($B256,Plots!$H$4,,,Plots!$A$49))</f>
        <v>0</v>
      </c>
      <c r="N256" cm="1">
        <f t="array" aca="1" ref="N256" ca="1">INDIRECT(ADDRESS($B256,Plots!$H$4,,,Plots!$A$50))+INDIRECT(ADDRESS($B256,Plots!$H$4,,,Plots!$A$51))+INDIRECT(ADDRESS($B256,Plots!$H$4,,,Plots!$A$52))</f>
        <v>0</v>
      </c>
      <c r="O256" cm="1">
        <f t="array" aca="1" ref="O256" ca="1">INDIRECT(ADDRESS($B256,Plots!$H$4,,,Plots!$A$53))+INDIRECT(ADDRESS($B256,Plots!$H$4,,,Plots!$A$54))+INDIRECT(ADDRESS($B256,Plots!$H$4,,,Plots!$A$55))+INDIRECT(ADDRESS($B256,Plots!$H$4,,,Plots!$A$56))</f>
        <v>0</v>
      </c>
      <c r="P256" cm="1">
        <f t="array" aca="1" ref="P256" ca="1">INDIRECT(ADDRESS($B256,Plots!$H$4,,,Plots!$A$57))+INDIRECT(ADDRESS($B256,Plots!$H$4,,,Plots!$A$58))+INDIRECT(ADDRESS($B256,Plots!$H$4,,,Plots!$A$59))+INDIRECT(ADDRESS($B256,Plots!$H$4,,,Plots!$A$60))+INDIRECT(ADDRESS($B256,Plots!$H$4,,,Plots!$A$61))</f>
        <v>0</v>
      </c>
      <c r="Q256" cm="1">
        <f t="array" aca="1" ref="Q256" ca="1">INDIRECT(ADDRESS($B256,Plots!$H$4,,,Plots!$A$62))+INDIRECT(ADDRESS($B256,Plots!$H$4,,,Plots!$A$63))+INDIRECT(ADDRESS($B256,Plots!$H$4,,,Plots!$A$64))+INDIRECT(ADDRESS($B256,Plots!$H$4,,,Plots!$A$65))+INDIRECT(ADDRESS($B256,Plots!$H$4,,,Plots!$A$66))+INDIRECT(ADDRESS($B256,Plots!$H$4,,,Plots!$A$67))</f>
        <v>0</v>
      </c>
    </row>
    <row r="257" spans="1:17">
      <c r="A257">
        <f>'AARnetCBR-CamDTN1_tcpmon_ts_11'!A257</f>
        <v>0</v>
      </c>
      <c r="B257">
        <f t="shared" si="0"/>
        <v>257</v>
      </c>
      <c r="C257" cm="1">
        <f t="array" aca="1" ref="C257" ca="1">INDIRECT(ADDRESS($B257,Plots!$H$3,,,Plots!$A$47))</f>
        <v>0</v>
      </c>
      <c r="D257" cm="1">
        <f t="array" aca="1" ref="D257" ca="1">INDIRECT(ADDRESS($B257,Plots!$H$3,,,Plots!$A$48))+INDIRECT(ADDRESS($B257,Plots!$H$3,,,Plots!$A$49))</f>
        <v>0</v>
      </c>
      <c r="E257" cm="1">
        <f t="array" aca="1" ref="E257" ca="1">INDIRECT(ADDRESS($B257,Plots!$H$3,,,Plots!$A$50))+INDIRECT(ADDRESS($B257,Plots!$H$3,,,Plots!$A$51))+INDIRECT(ADDRESS($B257,Plots!$H$3,,,Plots!$A$52))</f>
        <v>0</v>
      </c>
      <c r="F257" cm="1">
        <f t="array" aca="1" ref="F257" ca="1">INDIRECT(ADDRESS($B257,Plots!$H$3,,,Plots!$A$53))+INDIRECT(ADDRESS($B257,Plots!$H$3,,,Plots!$A$54))+INDIRECT(ADDRESS($B257,Plots!$H$3,,,Plots!$A$55))+INDIRECT(ADDRESS($B257,Plots!$H$3,,,Plots!$A$56))</f>
        <v>0</v>
      </c>
      <c r="G257" cm="1">
        <f t="array" aca="1" ref="G257" ca="1">INDIRECT(ADDRESS($B257,Plots!$H$3,,,Plots!$A$57))+INDIRECT(ADDRESS($B257,Plots!$H$3,,,Plots!$A$58))+INDIRECT(ADDRESS($B257,Plots!$H$3,,,Plots!$A$59))+INDIRECT(ADDRESS($B257,Plots!$H$3,,,Plots!$A$60))+INDIRECT(ADDRESS($B257,Plots!$H$3,,,Plots!$A$61))</f>
        <v>0</v>
      </c>
      <c r="H257" cm="1">
        <f t="array" aca="1" ref="H257" ca="1">INDIRECT(ADDRESS($B257,Plots!$H$3,,,Plots!$A$62))+INDIRECT(ADDRESS($B257,Plots!$H$3,,,Plots!$A$63))+INDIRECT(ADDRESS($B257,Plots!$H$3,,,Plots!$A$64))+INDIRECT(ADDRESS($B257,Plots!$H$3,,,Plots!$A$65))+INDIRECT(ADDRESS($B257,Plots!$H$3,,,Plots!$A$66))+INDIRECT(ADDRESS($B257,Plots!$H$3,,,Plots!$A$67))</f>
        <v>0</v>
      </c>
      <c r="I257">
        <f>'AARnetCBR-CamDTN1_tcpmon_ts_81'!H261+'AARnetCBR-CamDTN1_tcpmon_ts_82'!H261+'AARnetCBR-CamDTN1_tcpmon_ts_83'!H261+'AARnetCBR-CamDTN1_tcpmon_ts_84'!H261+'AARnetCBR-CamDTN1_tcpmon_ts_85'!H261+'AARnetCBR-CamDTN1_tcpmon_ts_86'!H261+'AARnetCBR-CamDTN1_tcpmon_ts_87'!H261+'AARnetCBR-CamDTN1_tcpmon_ts_88'!H261</f>
        <v>0</v>
      </c>
      <c r="L257" cm="1">
        <f t="array" aca="1" ref="L257" ca="1">INDIRECT(ADDRESS($B257,Plots!$H$4,,,Plots!$A$47))</f>
        <v>0</v>
      </c>
      <c r="M257" cm="1">
        <f t="array" aca="1" ref="M257" ca="1">INDIRECT(ADDRESS($B257,Plots!$H$4,,,Plots!$A$48))+INDIRECT(ADDRESS($B257,Plots!$H$4,,,Plots!$A$49))</f>
        <v>0</v>
      </c>
      <c r="N257" cm="1">
        <f t="array" aca="1" ref="N257" ca="1">INDIRECT(ADDRESS($B257,Plots!$H$4,,,Plots!$A$50))+INDIRECT(ADDRESS($B257,Plots!$H$4,,,Plots!$A$51))+INDIRECT(ADDRESS($B257,Plots!$H$4,,,Plots!$A$52))</f>
        <v>0</v>
      </c>
      <c r="O257" cm="1">
        <f t="array" aca="1" ref="O257" ca="1">INDIRECT(ADDRESS($B257,Plots!$H$4,,,Plots!$A$53))+INDIRECT(ADDRESS($B257,Plots!$H$4,,,Plots!$A$54))+INDIRECT(ADDRESS($B257,Plots!$H$4,,,Plots!$A$55))+INDIRECT(ADDRESS($B257,Plots!$H$4,,,Plots!$A$56))</f>
        <v>0</v>
      </c>
      <c r="P257" cm="1">
        <f t="array" aca="1" ref="P257" ca="1">INDIRECT(ADDRESS($B257,Plots!$H$4,,,Plots!$A$57))+INDIRECT(ADDRESS($B257,Plots!$H$4,,,Plots!$A$58))+INDIRECT(ADDRESS($B257,Plots!$H$4,,,Plots!$A$59))+INDIRECT(ADDRESS($B257,Plots!$H$4,,,Plots!$A$60))+INDIRECT(ADDRESS($B257,Plots!$H$4,,,Plots!$A$61))</f>
        <v>0</v>
      </c>
      <c r="Q257" cm="1">
        <f t="array" aca="1" ref="Q257" ca="1">INDIRECT(ADDRESS($B257,Plots!$H$4,,,Plots!$A$62))+INDIRECT(ADDRESS($B257,Plots!$H$4,,,Plots!$A$63))+INDIRECT(ADDRESS($B257,Plots!$H$4,,,Plots!$A$64))+INDIRECT(ADDRESS($B257,Plots!$H$4,,,Plots!$A$65))+INDIRECT(ADDRESS($B257,Plots!$H$4,,,Plots!$A$66))+INDIRECT(ADDRESS($B257,Plots!$H$4,,,Plots!$A$67))</f>
        <v>0</v>
      </c>
    </row>
    <row r="258" spans="1:17">
      <c r="A258">
        <f>'AARnetCBR-CamDTN1_tcpmon_ts_11'!A258</f>
        <v>0</v>
      </c>
      <c r="B258">
        <f t="shared" si="0"/>
        <v>258</v>
      </c>
      <c r="C258" cm="1">
        <f t="array" aca="1" ref="C258" ca="1">INDIRECT(ADDRESS($B258,Plots!$H$3,,,Plots!$A$47))</f>
        <v>0</v>
      </c>
      <c r="D258" cm="1">
        <f t="array" aca="1" ref="D258" ca="1">INDIRECT(ADDRESS($B258,Plots!$H$3,,,Plots!$A$48))+INDIRECT(ADDRESS($B258,Plots!$H$3,,,Plots!$A$49))</f>
        <v>0</v>
      </c>
      <c r="E258" cm="1">
        <f t="array" aca="1" ref="E258" ca="1">INDIRECT(ADDRESS($B258,Plots!$H$3,,,Plots!$A$50))+INDIRECT(ADDRESS($B258,Plots!$H$3,,,Plots!$A$51))+INDIRECT(ADDRESS($B258,Plots!$H$3,,,Plots!$A$52))</f>
        <v>0</v>
      </c>
      <c r="F258" cm="1">
        <f t="array" aca="1" ref="F258" ca="1">INDIRECT(ADDRESS($B258,Plots!$H$3,,,Plots!$A$53))+INDIRECT(ADDRESS($B258,Plots!$H$3,,,Plots!$A$54))+INDIRECT(ADDRESS($B258,Plots!$H$3,,,Plots!$A$55))+INDIRECT(ADDRESS($B258,Plots!$H$3,,,Plots!$A$56))</f>
        <v>0</v>
      </c>
      <c r="G258" cm="1">
        <f t="array" aca="1" ref="G258" ca="1">INDIRECT(ADDRESS($B258,Plots!$H$3,,,Plots!$A$57))+INDIRECT(ADDRESS($B258,Plots!$H$3,,,Plots!$A$58))+INDIRECT(ADDRESS($B258,Plots!$H$3,,,Plots!$A$59))+INDIRECT(ADDRESS($B258,Plots!$H$3,,,Plots!$A$60))+INDIRECT(ADDRESS($B258,Plots!$H$3,,,Plots!$A$61))</f>
        <v>0</v>
      </c>
      <c r="H258" cm="1">
        <f t="array" aca="1" ref="H258" ca="1">INDIRECT(ADDRESS($B258,Plots!$H$3,,,Plots!$A$62))+INDIRECT(ADDRESS($B258,Plots!$H$3,,,Plots!$A$63))+INDIRECT(ADDRESS($B258,Plots!$H$3,,,Plots!$A$64))+INDIRECT(ADDRESS($B258,Plots!$H$3,,,Plots!$A$65))+INDIRECT(ADDRESS($B258,Plots!$H$3,,,Plots!$A$66))+INDIRECT(ADDRESS($B258,Plots!$H$3,,,Plots!$A$67))</f>
        <v>0</v>
      </c>
      <c r="I258">
        <f>'AARnetCBR-CamDTN1_tcpmon_ts_81'!H262+'AARnetCBR-CamDTN1_tcpmon_ts_82'!H262+'AARnetCBR-CamDTN1_tcpmon_ts_83'!H262+'AARnetCBR-CamDTN1_tcpmon_ts_84'!H262+'AARnetCBR-CamDTN1_tcpmon_ts_85'!H262+'AARnetCBR-CamDTN1_tcpmon_ts_86'!H262+'AARnetCBR-CamDTN1_tcpmon_ts_87'!H262+'AARnetCBR-CamDTN1_tcpmon_ts_88'!H262</f>
        <v>0</v>
      </c>
      <c r="L258" cm="1">
        <f t="array" aca="1" ref="L258" ca="1">INDIRECT(ADDRESS($B258,Plots!$H$4,,,Plots!$A$47))</f>
        <v>0</v>
      </c>
      <c r="M258" cm="1">
        <f t="array" aca="1" ref="M258" ca="1">INDIRECT(ADDRESS($B258,Plots!$H$4,,,Plots!$A$48))+INDIRECT(ADDRESS($B258,Plots!$H$4,,,Plots!$A$49))</f>
        <v>0</v>
      </c>
      <c r="N258" cm="1">
        <f t="array" aca="1" ref="N258" ca="1">INDIRECT(ADDRESS($B258,Plots!$H$4,,,Plots!$A$50))+INDIRECT(ADDRESS($B258,Plots!$H$4,,,Plots!$A$51))+INDIRECT(ADDRESS($B258,Plots!$H$4,,,Plots!$A$52))</f>
        <v>0</v>
      </c>
      <c r="O258" cm="1">
        <f t="array" aca="1" ref="O258" ca="1">INDIRECT(ADDRESS($B258,Plots!$H$4,,,Plots!$A$53))+INDIRECT(ADDRESS($B258,Plots!$H$4,,,Plots!$A$54))+INDIRECT(ADDRESS($B258,Plots!$H$4,,,Plots!$A$55))+INDIRECT(ADDRESS($B258,Plots!$H$4,,,Plots!$A$56))</f>
        <v>0</v>
      </c>
      <c r="P258" cm="1">
        <f t="array" aca="1" ref="P258" ca="1">INDIRECT(ADDRESS($B258,Plots!$H$4,,,Plots!$A$57))+INDIRECT(ADDRESS($B258,Plots!$H$4,,,Plots!$A$58))+INDIRECT(ADDRESS($B258,Plots!$H$4,,,Plots!$A$59))+INDIRECT(ADDRESS($B258,Plots!$H$4,,,Plots!$A$60))+INDIRECT(ADDRESS($B258,Plots!$H$4,,,Plots!$A$61))</f>
        <v>0</v>
      </c>
      <c r="Q258" cm="1">
        <f t="array" aca="1" ref="Q258" ca="1">INDIRECT(ADDRESS($B258,Plots!$H$4,,,Plots!$A$62))+INDIRECT(ADDRESS($B258,Plots!$H$4,,,Plots!$A$63))+INDIRECT(ADDRESS($B258,Plots!$H$4,,,Plots!$A$64))+INDIRECT(ADDRESS($B258,Plots!$H$4,,,Plots!$A$65))+INDIRECT(ADDRESS($B258,Plots!$H$4,,,Plots!$A$66))+INDIRECT(ADDRESS($B258,Plots!$H$4,,,Plots!$A$67))</f>
        <v>0</v>
      </c>
    </row>
    <row r="259" spans="1:17">
      <c r="A259">
        <f>'AARnetCBR-CamDTN1_tcpmon_ts_11'!A259</f>
        <v>0</v>
      </c>
      <c r="B259">
        <f t="shared" si="0"/>
        <v>259</v>
      </c>
      <c r="C259" cm="1">
        <f t="array" aca="1" ref="C259" ca="1">INDIRECT(ADDRESS($B259,Plots!$H$3,,,Plots!$A$47))</f>
        <v>0</v>
      </c>
      <c r="D259" cm="1">
        <f t="array" aca="1" ref="D259" ca="1">INDIRECT(ADDRESS($B259,Plots!$H$3,,,Plots!$A$48))+INDIRECT(ADDRESS($B259,Plots!$H$3,,,Plots!$A$49))</f>
        <v>0</v>
      </c>
      <c r="E259" cm="1">
        <f t="array" aca="1" ref="E259" ca="1">INDIRECT(ADDRESS($B259,Plots!$H$3,,,Plots!$A$50))+INDIRECT(ADDRESS($B259,Plots!$H$3,,,Plots!$A$51))+INDIRECT(ADDRESS($B259,Plots!$H$3,,,Plots!$A$52))</f>
        <v>0</v>
      </c>
      <c r="F259" cm="1">
        <f t="array" aca="1" ref="F259" ca="1">INDIRECT(ADDRESS($B259,Plots!$H$3,,,Plots!$A$53))+INDIRECT(ADDRESS($B259,Plots!$H$3,,,Plots!$A$54))+INDIRECT(ADDRESS($B259,Plots!$H$3,,,Plots!$A$55))+INDIRECT(ADDRESS($B259,Plots!$H$3,,,Plots!$A$56))</f>
        <v>0</v>
      </c>
      <c r="G259" cm="1">
        <f t="array" aca="1" ref="G259" ca="1">INDIRECT(ADDRESS($B259,Plots!$H$3,,,Plots!$A$57))+INDIRECT(ADDRESS($B259,Plots!$H$3,,,Plots!$A$58))+INDIRECT(ADDRESS($B259,Plots!$H$3,,,Plots!$A$59))+INDIRECT(ADDRESS($B259,Plots!$H$3,,,Plots!$A$60))+INDIRECT(ADDRESS($B259,Plots!$H$3,,,Plots!$A$61))</f>
        <v>0</v>
      </c>
      <c r="H259" cm="1">
        <f t="array" aca="1" ref="H259" ca="1">INDIRECT(ADDRESS($B259,Plots!$H$3,,,Plots!$A$62))+INDIRECT(ADDRESS($B259,Plots!$H$3,,,Plots!$A$63))+INDIRECT(ADDRESS($B259,Plots!$H$3,,,Plots!$A$64))+INDIRECT(ADDRESS($B259,Plots!$H$3,,,Plots!$A$65))+INDIRECT(ADDRESS($B259,Plots!$H$3,,,Plots!$A$66))+INDIRECT(ADDRESS($B259,Plots!$H$3,,,Plots!$A$67))</f>
        <v>0</v>
      </c>
      <c r="I259">
        <f>'AARnetCBR-CamDTN1_tcpmon_ts_81'!H263+'AARnetCBR-CamDTN1_tcpmon_ts_82'!H263+'AARnetCBR-CamDTN1_tcpmon_ts_83'!H263+'AARnetCBR-CamDTN1_tcpmon_ts_84'!H263+'AARnetCBR-CamDTN1_tcpmon_ts_85'!H263+'AARnetCBR-CamDTN1_tcpmon_ts_86'!H263+'AARnetCBR-CamDTN1_tcpmon_ts_87'!H263+'AARnetCBR-CamDTN1_tcpmon_ts_88'!H263</f>
        <v>0</v>
      </c>
      <c r="L259" cm="1">
        <f t="array" aca="1" ref="L259" ca="1">INDIRECT(ADDRESS($B259,Plots!$H$4,,,Plots!$A$47))</f>
        <v>0</v>
      </c>
      <c r="M259" cm="1">
        <f t="array" aca="1" ref="M259" ca="1">INDIRECT(ADDRESS($B259,Plots!$H$4,,,Plots!$A$48))+INDIRECT(ADDRESS($B259,Plots!$H$4,,,Plots!$A$49))</f>
        <v>0</v>
      </c>
      <c r="N259" cm="1">
        <f t="array" aca="1" ref="N259" ca="1">INDIRECT(ADDRESS($B259,Plots!$H$4,,,Plots!$A$50))+INDIRECT(ADDRESS($B259,Plots!$H$4,,,Plots!$A$51))+INDIRECT(ADDRESS($B259,Plots!$H$4,,,Plots!$A$52))</f>
        <v>0</v>
      </c>
      <c r="O259" cm="1">
        <f t="array" aca="1" ref="O259" ca="1">INDIRECT(ADDRESS($B259,Plots!$H$4,,,Plots!$A$53))+INDIRECT(ADDRESS($B259,Plots!$H$4,,,Plots!$A$54))+INDIRECT(ADDRESS($B259,Plots!$H$4,,,Plots!$A$55))+INDIRECT(ADDRESS($B259,Plots!$H$4,,,Plots!$A$56))</f>
        <v>0</v>
      </c>
      <c r="P259" cm="1">
        <f t="array" aca="1" ref="P259" ca="1">INDIRECT(ADDRESS($B259,Plots!$H$4,,,Plots!$A$57))+INDIRECT(ADDRESS($B259,Plots!$H$4,,,Plots!$A$58))+INDIRECT(ADDRESS($B259,Plots!$H$4,,,Plots!$A$59))+INDIRECT(ADDRESS($B259,Plots!$H$4,,,Plots!$A$60))+INDIRECT(ADDRESS($B259,Plots!$H$4,,,Plots!$A$61))</f>
        <v>0</v>
      </c>
      <c r="Q259" cm="1">
        <f t="array" aca="1" ref="Q259" ca="1">INDIRECT(ADDRESS($B259,Plots!$H$4,,,Plots!$A$62))+INDIRECT(ADDRESS($B259,Plots!$H$4,,,Plots!$A$63))+INDIRECT(ADDRESS($B259,Plots!$H$4,,,Plots!$A$64))+INDIRECT(ADDRESS($B259,Plots!$H$4,,,Plots!$A$65))+INDIRECT(ADDRESS($B259,Plots!$H$4,,,Plots!$A$66))+INDIRECT(ADDRESS($B259,Plots!$H$4,,,Plots!$A$67))</f>
        <v>0</v>
      </c>
    </row>
    <row r="260" spans="1:17">
      <c r="A260">
        <f>'AARnetCBR-CamDTN1_tcpmon_ts_11'!A260</f>
        <v>0</v>
      </c>
      <c r="B260">
        <f t="shared" si="0"/>
        <v>260</v>
      </c>
      <c r="C260" cm="1">
        <f t="array" aca="1" ref="C260" ca="1">INDIRECT(ADDRESS($B260,Plots!$H$3,,,Plots!$A$47))</f>
        <v>0</v>
      </c>
      <c r="D260" cm="1">
        <f t="array" aca="1" ref="D260" ca="1">INDIRECT(ADDRESS($B260,Plots!$H$3,,,Plots!$A$48))+INDIRECT(ADDRESS($B260,Plots!$H$3,,,Plots!$A$49))</f>
        <v>0</v>
      </c>
      <c r="E260" cm="1">
        <f t="array" aca="1" ref="E260" ca="1">INDIRECT(ADDRESS($B260,Plots!$H$3,,,Plots!$A$50))+INDIRECT(ADDRESS($B260,Plots!$H$3,,,Plots!$A$51))+INDIRECT(ADDRESS($B260,Plots!$H$3,,,Plots!$A$52))</f>
        <v>0</v>
      </c>
      <c r="F260" cm="1">
        <f t="array" aca="1" ref="F260" ca="1">INDIRECT(ADDRESS($B260,Plots!$H$3,,,Plots!$A$53))+INDIRECT(ADDRESS($B260,Plots!$H$3,,,Plots!$A$54))+INDIRECT(ADDRESS($B260,Plots!$H$3,,,Plots!$A$55))+INDIRECT(ADDRESS($B260,Plots!$H$3,,,Plots!$A$56))</f>
        <v>0</v>
      </c>
      <c r="G260" cm="1">
        <f t="array" aca="1" ref="G260" ca="1">INDIRECT(ADDRESS($B260,Plots!$H$3,,,Plots!$A$57))+INDIRECT(ADDRESS($B260,Plots!$H$3,,,Plots!$A$58))+INDIRECT(ADDRESS($B260,Plots!$H$3,,,Plots!$A$59))+INDIRECT(ADDRESS($B260,Plots!$H$3,,,Plots!$A$60))+INDIRECT(ADDRESS($B260,Plots!$H$3,,,Plots!$A$61))</f>
        <v>0</v>
      </c>
      <c r="H260" cm="1">
        <f t="array" aca="1" ref="H260" ca="1">INDIRECT(ADDRESS($B260,Plots!$H$3,,,Plots!$A$62))+INDIRECT(ADDRESS($B260,Plots!$H$3,,,Plots!$A$63))+INDIRECT(ADDRESS($B260,Plots!$H$3,,,Plots!$A$64))+INDIRECT(ADDRESS($B260,Plots!$H$3,,,Plots!$A$65))+INDIRECT(ADDRESS($B260,Plots!$H$3,,,Plots!$A$66))+INDIRECT(ADDRESS($B260,Plots!$H$3,,,Plots!$A$67))</f>
        <v>0</v>
      </c>
      <c r="I260">
        <f>'AARnetCBR-CamDTN1_tcpmon_ts_81'!H264+'AARnetCBR-CamDTN1_tcpmon_ts_82'!H264+'AARnetCBR-CamDTN1_tcpmon_ts_83'!H264+'AARnetCBR-CamDTN1_tcpmon_ts_84'!H264+'AARnetCBR-CamDTN1_tcpmon_ts_85'!H264+'AARnetCBR-CamDTN1_tcpmon_ts_86'!H264+'AARnetCBR-CamDTN1_tcpmon_ts_87'!H264+'AARnetCBR-CamDTN1_tcpmon_ts_88'!H264</f>
        <v>0</v>
      </c>
      <c r="L260" cm="1">
        <f t="array" aca="1" ref="L260" ca="1">INDIRECT(ADDRESS($B260,Plots!$H$4,,,Plots!$A$47))</f>
        <v>0</v>
      </c>
      <c r="M260" cm="1">
        <f t="array" aca="1" ref="M260" ca="1">INDIRECT(ADDRESS($B260,Plots!$H$4,,,Plots!$A$48))+INDIRECT(ADDRESS($B260,Plots!$H$4,,,Plots!$A$49))</f>
        <v>0</v>
      </c>
      <c r="N260" cm="1">
        <f t="array" aca="1" ref="N260" ca="1">INDIRECT(ADDRESS($B260,Plots!$H$4,,,Plots!$A$50))+INDIRECT(ADDRESS($B260,Plots!$H$4,,,Plots!$A$51))+INDIRECT(ADDRESS($B260,Plots!$H$4,,,Plots!$A$52))</f>
        <v>0</v>
      </c>
      <c r="O260" cm="1">
        <f t="array" aca="1" ref="O260" ca="1">INDIRECT(ADDRESS($B260,Plots!$H$4,,,Plots!$A$53))+INDIRECT(ADDRESS($B260,Plots!$H$4,,,Plots!$A$54))+INDIRECT(ADDRESS($B260,Plots!$H$4,,,Plots!$A$55))+INDIRECT(ADDRESS($B260,Plots!$H$4,,,Plots!$A$56))</f>
        <v>0</v>
      </c>
      <c r="P260" cm="1">
        <f t="array" aca="1" ref="P260" ca="1">INDIRECT(ADDRESS($B260,Plots!$H$4,,,Plots!$A$57))+INDIRECT(ADDRESS($B260,Plots!$H$4,,,Plots!$A$58))+INDIRECT(ADDRESS($B260,Plots!$H$4,,,Plots!$A$59))+INDIRECT(ADDRESS($B260,Plots!$H$4,,,Plots!$A$60))+INDIRECT(ADDRESS($B260,Plots!$H$4,,,Plots!$A$61))</f>
        <v>0</v>
      </c>
      <c r="Q260" cm="1">
        <f t="array" aca="1" ref="Q260" ca="1">INDIRECT(ADDRESS($B260,Plots!$H$4,,,Plots!$A$62))+INDIRECT(ADDRESS($B260,Plots!$H$4,,,Plots!$A$63))+INDIRECT(ADDRESS($B260,Plots!$H$4,,,Plots!$A$64))+INDIRECT(ADDRESS($B260,Plots!$H$4,,,Plots!$A$65))+INDIRECT(ADDRESS($B260,Plots!$H$4,,,Plots!$A$66))+INDIRECT(ADDRESS($B260,Plots!$H$4,,,Plots!$A$67))</f>
        <v>0</v>
      </c>
    </row>
    <row r="261" spans="1:17">
      <c r="A261">
        <f>'AARnetCBR-CamDTN1_tcpmon_ts_11'!A261</f>
        <v>0</v>
      </c>
      <c r="B261">
        <f t="shared" ref="B261:B310" si="4">B260+1</f>
        <v>261</v>
      </c>
      <c r="C261" cm="1">
        <f t="array" aca="1" ref="C261" ca="1">INDIRECT(ADDRESS($B261,Plots!$H$3,,,Plots!$A$47))</f>
        <v>0</v>
      </c>
      <c r="D261" cm="1">
        <f t="array" aca="1" ref="D261" ca="1">INDIRECT(ADDRESS($B261,Plots!$H$3,,,Plots!$A$48))+INDIRECT(ADDRESS($B261,Plots!$H$3,,,Plots!$A$49))</f>
        <v>0</v>
      </c>
      <c r="E261" cm="1">
        <f t="array" aca="1" ref="E261" ca="1">INDIRECT(ADDRESS($B261,Plots!$H$3,,,Plots!$A$50))+INDIRECT(ADDRESS($B261,Plots!$H$3,,,Plots!$A$51))+INDIRECT(ADDRESS($B261,Plots!$H$3,,,Plots!$A$52))</f>
        <v>0</v>
      </c>
      <c r="F261" cm="1">
        <f t="array" aca="1" ref="F261" ca="1">INDIRECT(ADDRESS($B261,Plots!$H$3,,,Plots!$A$53))+INDIRECT(ADDRESS($B261,Plots!$H$3,,,Plots!$A$54))+INDIRECT(ADDRESS($B261,Plots!$H$3,,,Plots!$A$55))+INDIRECT(ADDRESS($B261,Plots!$H$3,,,Plots!$A$56))</f>
        <v>0</v>
      </c>
      <c r="G261" cm="1">
        <f t="array" aca="1" ref="G261" ca="1">INDIRECT(ADDRESS($B261,Plots!$H$3,,,Plots!$A$57))+INDIRECT(ADDRESS($B261,Plots!$H$3,,,Plots!$A$58))+INDIRECT(ADDRESS($B261,Plots!$H$3,,,Plots!$A$59))+INDIRECT(ADDRESS($B261,Plots!$H$3,,,Plots!$A$60))+INDIRECT(ADDRESS($B261,Plots!$H$3,,,Plots!$A$61))</f>
        <v>0</v>
      </c>
      <c r="H261" cm="1">
        <f t="array" aca="1" ref="H261" ca="1">INDIRECT(ADDRESS($B261,Plots!$H$3,,,Plots!$A$62))+INDIRECT(ADDRESS($B261,Plots!$H$3,,,Plots!$A$63))+INDIRECT(ADDRESS($B261,Plots!$H$3,,,Plots!$A$64))+INDIRECT(ADDRESS($B261,Plots!$H$3,,,Plots!$A$65))+INDIRECT(ADDRESS($B261,Plots!$H$3,,,Plots!$A$66))+INDIRECT(ADDRESS($B261,Plots!$H$3,,,Plots!$A$67))</f>
        <v>0</v>
      </c>
      <c r="I261">
        <f>'AARnetCBR-CamDTN1_tcpmon_ts_81'!H265+'AARnetCBR-CamDTN1_tcpmon_ts_82'!H265+'AARnetCBR-CamDTN1_tcpmon_ts_83'!H265+'AARnetCBR-CamDTN1_tcpmon_ts_84'!H265+'AARnetCBR-CamDTN1_tcpmon_ts_85'!H265+'AARnetCBR-CamDTN1_tcpmon_ts_86'!H265+'AARnetCBR-CamDTN1_tcpmon_ts_87'!H265+'AARnetCBR-CamDTN1_tcpmon_ts_88'!H265</f>
        <v>0</v>
      </c>
      <c r="L261" cm="1">
        <f t="array" aca="1" ref="L261" ca="1">INDIRECT(ADDRESS($B261,Plots!$H$4,,,Plots!$A$47))</f>
        <v>0</v>
      </c>
      <c r="M261" cm="1">
        <f t="array" aca="1" ref="M261" ca="1">INDIRECT(ADDRESS($B261,Plots!$H$4,,,Plots!$A$48))+INDIRECT(ADDRESS($B261,Plots!$H$4,,,Plots!$A$49))</f>
        <v>0</v>
      </c>
      <c r="N261" cm="1">
        <f t="array" aca="1" ref="N261" ca="1">INDIRECT(ADDRESS($B261,Plots!$H$4,,,Plots!$A$50))+INDIRECT(ADDRESS($B261,Plots!$H$4,,,Plots!$A$51))+INDIRECT(ADDRESS($B261,Plots!$H$4,,,Plots!$A$52))</f>
        <v>0</v>
      </c>
      <c r="O261" cm="1">
        <f t="array" aca="1" ref="O261" ca="1">INDIRECT(ADDRESS($B261,Plots!$H$4,,,Plots!$A$53))+INDIRECT(ADDRESS($B261,Plots!$H$4,,,Plots!$A$54))+INDIRECT(ADDRESS($B261,Plots!$H$4,,,Plots!$A$55))+INDIRECT(ADDRESS($B261,Plots!$H$4,,,Plots!$A$56))</f>
        <v>0</v>
      </c>
      <c r="P261" cm="1">
        <f t="array" aca="1" ref="P261" ca="1">INDIRECT(ADDRESS($B261,Plots!$H$4,,,Plots!$A$57))+INDIRECT(ADDRESS($B261,Plots!$H$4,,,Plots!$A$58))+INDIRECT(ADDRESS($B261,Plots!$H$4,,,Plots!$A$59))+INDIRECT(ADDRESS($B261,Plots!$H$4,,,Plots!$A$60))+INDIRECT(ADDRESS($B261,Plots!$H$4,,,Plots!$A$61))</f>
        <v>0</v>
      </c>
      <c r="Q261" cm="1">
        <f t="array" aca="1" ref="Q261" ca="1">INDIRECT(ADDRESS($B261,Plots!$H$4,,,Plots!$A$62))+INDIRECT(ADDRESS($B261,Plots!$H$4,,,Plots!$A$63))+INDIRECT(ADDRESS($B261,Plots!$H$4,,,Plots!$A$64))+INDIRECT(ADDRESS($B261,Plots!$H$4,,,Plots!$A$65))+INDIRECT(ADDRESS($B261,Plots!$H$4,,,Plots!$A$66))+INDIRECT(ADDRESS($B261,Plots!$H$4,,,Plots!$A$67))</f>
        <v>0</v>
      </c>
    </row>
    <row r="262" spans="1:17">
      <c r="A262">
        <f>'AARnetCBR-CamDTN1_tcpmon_ts_11'!A262</f>
        <v>0</v>
      </c>
      <c r="B262">
        <f t="shared" si="4"/>
        <v>262</v>
      </c>
      <c r="C262" cm="1">
        <f t="array" aca="1" ref="C262" ca="1">INDIRECT(ADDRESS($B262,Plots!$H$3,,,Plots!$A$47))</f>
        <v>0</v>
      </c>
      <c r="D262" cm="1">
        <f t="array" aca="1" ref="D262" ca="1">INDIRECT(ADDRESS($B262,Plots!$H$3,,,Plots!$A$48))+INDIRECT(ADDRESS($B262,Plots!$H$3,,,Plots!$A$49))</f>
        <v>0</v>
      </c>
      <c r="E262" cm="1">
        <f t="array" aca="1" ref="E262" ca="1">INDIRECT(ADDRESS($B262,Plots!$H$3,,,Plots!$A$50))+INDIRECT(ADDRESS($B262,Plots!$H$3,,,Plots!$A$51))+INDIRECT(ADDRESS($B262,Plots!$H$3,,,Plots!$A$52))</f>
        <v>0</v>
      </c>
      <c r="F262" cm="1">
        <f t="array" aca="1" ref="F262" ca="1">INDIRECT(ADDRESS($B262,Plots!$H$3,,,Plots!$A$53))+INDIRECT(ADDRESS($B262,Plots!$H$3,,,Plots!$A$54))+INDIRECT(ADDRESS($B262,Plots!$H$3,,,Plots!$A$55))+INDIRECT(ADDRESS($B262,Plots!$H$3,,,Plots!$A$56))</f>
        <v>0</v>
      </c>
      <c r="G262" cm="1">
        <f t="array" aca="1" ref="G262" ca="1">INDIRECT(ADDRESS($B262,Plots!$H$3,,,Plots!$A$57))+INDIRECT(ADDRESS($B262,Plots!$H$3,,,Plots!$A$58))+INDIRECT(ADDRESS($B262,Plots!$H$3,,,Plots!$A$59))+INDIRECT(ADDRESS($B262,Plots!$H$3,,,Plots!$A$60))+INDIRECT(ADDRESS($B262,Plots!$H$3,,,Plots!$A$61))</f>
        <v>0</v>
      </c>
      <c r="H262" cm="1">
        <f t="array" aca="1" ref="H262" ca="1">INDIRECT(ADDRESS($B262,Plots!$H$3,,,Plots!$A$62))+INDIRECT(ADDRESS($B262,Plots!$H$3,,,Plots!$A$63))+INDIRECT(ADDRESS($B262,Plots!$H$3,,,Plots!$A$64))+INDIRECT(ADDRESS($B262,Plots!$H$3,,,Plots!$A$65))+INDIRECT(ADDRESS($B262,Plots!$H$3,,,Plots!$A$66))+INDIRECT(ADDRESS($B262,Plots!$H$3,,,Plots!$A$67))</f>
        <v>0</v>
      </c>
      <c r="I262">
        <f>'AARnetCBR-CamDTN1_tcpmon_ts_81'!H266+'AARnetCBR-CamDTN1_tcpmon_ts_82'!H266+'AARnetCBR-CamDTN1_tcpmon_ts_83'!H266+'AARnetCBR-CamDTN1_tcpmon_ts_84'!H266+'AARnetCBR-CamDTN1_tcpmon_ts_85'!H266+'AARnetCBR-CamDTN1_tcpmon_ts_86'!H266+'AARnetCBR-CamDTN1_tcpmon_ts_87'!H266+'AARnetCBR-CamDTN1_tcpmon_ts_88'!H266</f>
        <v>0</v>
      </c>
      <c r="L262" cm="1">
        <f t="array" aca="1" ref="L262" ca="1">INDIRECT(ADDRESS($B262,Plots!$H$4,,,Plots!$A$47))</f>
        <v>0</v>
      </c>
      <c r="M262" cm="1">
        <f t="array" aca="1" ref="M262" ca="1">INDIRECT(ADDRESS($B262,Plots!$H$4,,,Plots!$A$48))+INDIRECT(ADDRESS($B262,Plots!$H$4,,,Plots!$A$49))</f>
        <v>0</v>
      </c>
      <c r="N262" cm="1">
        <f t="array" aca="1" ref="N262" ca="1">INDIRECT(ADDRESS($B262,Plots!$H$4,,,Plots!$A$50))+INDIRECT(ADDRESS($B262,Plots!$H$4,,,Plots!$A$51))+INDIRECT(ADDRESS($B262,Plots!$H$4,,,Plots!$A$52))</f>
        <v>0</v>
      </c>
      <c r="O262" cm="1">
        <f t="array" aca="1" ref="O262" ca="1">INDIRECT(ADDRESS($B262,Plots!$H$4,,,Plots!$A$53))+INDIRECT(ADDRESS($B262,Plots!$H$4,,,Plots!$A$54))+INDIRECT(ADDRESS($B262,Plots!$H$4,,,Plots!$A$55))+INDIRECT(ADDRESS($B262,Plots!$H$4,,,Plots!$A$56))</f>
        <v>0</v>
      </c>
      <c r="P262" cm="1">
        <f t="array" aca="1" ref="P262" ca="1">INDIRECT(ADDRESS($B262,Plots!$H$4,,,Plots!$A$57))+INDIRECT(ADDRESS($B262,Plots!$H$4,,,Plots!$A$58))+INDIRECT(ADDRESS($B262,Plots!$H$4,,,Plots!$A$59))+INDIRECT(ADDRESS($B262,Plots!$H$4,,,Plots!$A$60))+INDIRECT(ADDRESS($B262,Plots!$H$4,,,Plots!$A$61))</f>
        <v>0</v>
      </c>
      <c r="Q262" cm="1">
        <f t="array" aca="1" ref="Q262" ca="1">INDIRECT(ADDRESS($B262,Plots!$H$4,,,Plots!$A$62))+INDIRECT(ADDRESS($B262,Plots!$H$4,,,Plots!$A$63))+INDIRECT(ADDRESS($B262,Plots!$H$4,,,Plots!$A$64))+INDIRECT(ADDRESS($B262,Plots!$H$4,,,Plots!$A$65))+INDIRECT(ADDRESS($B262,Plots!$H$4,,,Plots!$A$66))+INDIRECT(ADDRESS($B262,Plots!$H$4,,,Plots!$A$67))</f>
        <v>0</v>
      </c>
    </row>
    <row r="263" spans="1:17">
      <c r="A263">
        <f>'AARnetCBR-CamDTN1_tcpmon_ts_11'!A263</f>
        <v>0</v>
      </c>
      <c r="B263">
        <f t="shared" si="4"/>
        <v>263</v>
      </c>
      <c r="C263" cm="1">
        <f t="array" aca="1" ref="C263" ca="1">INDIRECT(ADDRESS($B263,Plots!$H$3,,,Plots!$A$47))</f>
        <v>0</v>
      </c>
      <c r="D263" cm="1">
        <f t="array" aca="1" ref="D263" ca="1">INDIRECT(ADDRESS($B263,Plots!$H$3,,,Plots!$A$48))+INDIRECT(ADDRESS($B263,Plots!$H$3,,,Plots!$A$49))</f>
        <v>0</v>
      </c>
      <c r="E263" cm="1">
        <f t="array" aca="1" ref="E263" ca="1">INDIRECT(ADDRESS($B263,Plots!$H$3,,,Plots!$A$50))+INDIRECT(ADDRESS($B263,Plots!$H$3,,,Plots!$A$51))+INDIRECT(ADDRESS($B263,Plots!$H$3,,,Plots!$A$52))</f>
        <v>0</v>
      </c>
      <c r="F263" cm="1">
        <f t="array" aca="1" ref="F263" ca="1">INDIRECT(ADDRESS($B263,Plots!$H$3,,,Plots!$A$53))+INDIRECT(ADDRESS($B263,Plots!$H$3,,,Plots!$A$54))+INDIRECT(ADDRESS($B263,Plots!$H$3,,,Plots!$A$55))+INDIRECT(ADDRESS($B263,Plots!$H$3,,,Plots!$A$56))</f>
        <v>0</v>
      </c>
      <c r="G263" cm="1">
        <f t="array" aca="1" ref="G263" ca="1">INDIRECT(ADDRESS($B263,Plots!$H$3,,,Plots!$A$57))+INDIRECT(ADDRESS($B263,Plots!$H$3,,,Plots!$A$58))+INDIRECT(ADDRESS($B263,Plots!$H$3,,,Plots!$A$59))+INDIRECT(ADDRESS($B263,Plots!$H$3,,,Plots!$A$60))+INDIRECT(ADDRESS($B263,Plots!$H$3,,,Plots!$A$61))</f>
        <v>0</v>
      </c>
      <c r="H263" cm="1">
        <f t="array" aca="1" ref="H263" ca="1">INDIRECT(ADDRESS($B263,Plots!$H$3,,,Plots!$A$62))+INDIRECT(ADDRESS($B263,Plots!$H$3,,,Plots!$A$63))+INDIRECT(ADDRESS($B263,Plots!$H$3,,,Plots!$A$64))+INDIRECT(ADDRESS($B263,Plots!$H$3,,,Plots!$A$65))+INDIRECT(ADDRESS($B263,Plots!$H$3,,,Plots!$A$66))+INDIRECT(ADDRESS($B263,Plots!$H$3,,,Plots!$A$67))</f>
        <v>0</v>
      </c>
      <c r="I263">
        <f>'AARnetCBR-CamDTN1_tcpmon_ts_81'!H267+'AARnetCBR-CamDTN1_tcpmon_ts_82'!H267+'AARnetCBR-CamDTN1_tcpmon_ts_83'!H267+'AARnetCBR-CamDTN1_tcpmon_ts_84'!H267+'AARnetCBR-CamDTN1_tcpmon_ts_85'!H267+'AARnetCBR-CamDTN1_tcpmon_ts_86'!H267+'AARnetCBR-CamDTN1_tcpmon_ts_87'!H267+'AARnetCBR-CamDTN1_tcpmon_ts_88'!H267</f>
        <v>0</v>
      </c>
      <c r="L263" cm="1">
        <f t="array" aca="1" ref="L263" ca="1">INDIRECT(ADDRESS($B263,Plots!$H$4,,,Plots!$A$47))</f>
        <v>0</v>
      </c>
      <c r="M263" cm="1">
        <f t="array" aca="1" ref="M263" ca="1">INDIRECT(ADDRESS($B263,Plots!$H$4,,,Plots!$A$48))+INDIRECT(ADDRESS($B263,Plots!$H$4,,,Plots!$A$49))</f>
        <v>0</v>
      </c>
      <c r="N263" cm="1">
        <f t="array" aca="1" ref="N263" ca="1">INDIRECT(ADDRESS($B263,Plots!$H$4,,,Plots!$A$50))+INDIRECT(ADDRESS($B263,Plots!$H$4,,,Plots!$A$51))+INDIRECT(ADDRESS($B263,Plots!$H$4,,,Plots!$A$52))</f>
        <v>0</v>
      </c>
      <c r="O263" cm="1">
        <f t="array" aca="1" ref="O263" ca="1">INDIRECT(ADDRESS($B263,Plots!$H$4,,,Plots!$A$53))+INDIRECT(ADDRESS($B263,Plots!$H$4,,,Plots!$A$54))+INDIRECT(ADDRESS($B263,Plots!$H$4,,,Plots!$A$55))+INDIRECT(ADDRESS($B263,Plots!$H$4,,,Plots!$A$56))</f>
        <v>0</v>
      </c>
      <c r="P263" cm="1">
        <f t="array" aca="1" ref="P263" ca="1">INDIRECT(ADDRESS($B263,Plots!$H$4,,,Plots!$A$57))+INDIRECT(ADDRESS($B263,Plots!$H$4,,,Plots!$A$58))+INDIRECT(ADDRESS($B263,Plots!$H$4,,,Plots!$A$59))+INDIRECT(ADDRESS($B263,Plots!$H$4,,,Plots!$A$60))+INDIRECT(ADDRESS($B263,Plots!$H$4,,,Plots!$A$61))</f>
        <v>0</v>
      </c>
      <c r="Q263" cm="1">
        <f t="array" aca="1" ref="Q263" ca="1">INDIRECT(ADDRESS($B263,Plots!$H$4,,,Plots!$A$62))+INDIRECT(ADDRESS($B263,Plots!$H$4,,,Plots!$A$63))+INDIRECT(ADDRESS($B263,Plots!$H$4,,,Plots!$A$64))+INDIRECT(ADDRESS($B263,Plots!$H$4,,,Plots!$A$65))+INDIRECT(ADDRESS($B263,Plots!$H$4,,,Plots!$A$66))+INDIRECT(ADDRESS($B263,Plots!$H$4,,,Plots!$A$67))</f>
        <v>0</v>
      </c>
    </row>
    <row r="264" spans="1:17">
      <c r="A264">
        <f>'AARnetCBR-CamDTN1_tcpmon_ts_11'!A264</f>
        <v>0</v>
      </c>
      <c r="B264">
        <f t="shared" si="4"/>
        <v>264</v>
      </c>
      <c r="C264" cm="1">
        <f t="array" aca="1" ref="C264" ca="1">INDIRECT(ADDRESS($B264,Plots!$H$3,,,Plots!$A$47))</f>
        <v>0</v>
      </c>
      <c r="D264" cm="1">
        <f t="array" aca="1" ref="D264" ca="1">INDIRECT(ADDRESS($B264,Plots!$H$3,,,Plots!$A$48))+INDIRECT(ADDRESS($B264,Plots!$H$3,,,Plots!$A$49))</f>
        <v>0</v>
      </c>
      <c r="E264" cm="1">
        <f t="array" aca="1" ref="E264" ca="1">INDIRECT(ADDRESS($B264,Plots!$H$3,,,Plots!$A$50))+INDIRECT(ADDRESS($B264,Plots!$H$3,,,Plots!$A$51))+INDIRECT(ADDRESS($B264,Plots!$H$3,,,Plots!$A$52))</f>
        <v>0</v>
      </c>
      <c r="F264" cm="1">
        <f t="array" aca="1" ref="F264" ca="1">INDIRECT(ADDRESS($B264,Plots!$H$3,,,Plots!$A$53))+INDIRECT(ADDRESS($B264,Plots!$H$3,,,Plots!$A$54))+INDIRECT(ADDRESS($B264,Plots!$H$3,,,Plots!$A$55))+INDIRECT(ADDRESS($B264,Plots!$H$3,,,Plots!$A$56))</f>
        <v>0</v>
      </c>
      <c r="G264" cm="1">
        <f t="array" aca="1" ref="G264" ca="1">INDIRECT(ADDRESS($B264,Plots!$H$3,,,Plots!$A$57))+INDIRECT(ADDRESS($B264,Plots!$H$3,,,Plots!$A$58))+INDIRECT(ADDRESS($B264,Plots!$H$3,,,Plots!$A$59))+INDIRECT(ADDRESS($B264,Plots!$H$3,,,Plots!$A$60))+INDIRECT(ADDRESS($B264,Plots!$H$3,,,Plots!$A$61))</f>
        <v>0</v>
      </c>
      <c r="H264" cm="1">
        <f t="array" aca="1" ref="H264" ca="1">INDIRECT(ADDRESS($B264,Plots!$H$3,,,Plots!$A$62))+INDIRECT(ADDRESS($B264,Plots!$H$3,,,Plots!$A$63))+INDIRECT(ADDRESS($B264,Plots!$H$3,,,Plots!$A$64))+INDIRECT(ADDRESS($B264,Plots!$H$3,,,Plots!$A$65))+INDIRECT(ADDRESS($B264,Plots!$H$3,,,Plots!$A$66))+INDIRECT(ADDRESS($B264,Plots!$H$3,,,Plots!$A$67))</f>
        <v>0</v>
      </c>
      <c r="I264">
        <f>'AARnetCBR-CamDTN1_tcpmon_ts_81'!H268+'AARnetCBR-CamDTN1_tcpmon_ts_82'!H268+'AARnetCBR-CamDTN1_tcpmon_ts_83'!H268+'AARnetCBR-CamDTN1_tcpmon_ts_84'!H268+'AARnetCBR-CamDTN1_tcpmon_ts_85'!H268+'AARnetCBR-CamDTN1_tcpmon_ts_86'!H268+'AARnetCBR-CamDTN1_tcpmon_ts_87'!H268+'AARnetCBR-CamDTN1_tcpmon_ts_88'!H268</f>
        <v>0</v>
      </c>
      <c r="L264" cm="1">
        <f t="array" aca="1" ref="L264" ca="1">INDIRECT(ADDRESS($B264,Plots!$H$4,,,Plots!$A$47))</f>
        <v>0</v>
      </c>
      <c r="M264" cm="1">
        <f t="array" aca="1" ref="M264" ca="1">INDIRECT(ADDRESS($B264,Plots!$H$4,,,Plots!$A$48))+INDIRECT(ADDRESS($B264,Plots!$H$4,,,Plots!$A$49))</f>
        <v>0</v>
      </c>
      <c r="N264" cm="1">
        <f t="array" aca="1" ref="N264" ca="1">INDIRECT(ADDRESS($B264,Plots!$H$4,,,Plots!$A$50))+INDIRECT(ADDRESS($B264,Plots!$H$4,,,Plots!$A$51))+INDIRECT(ADDRESS($B264,Plots!$H$4,,,Plots!$A$52))</f>
        <v>0</v>
      </c>
      <c r="O264" cm="1">
        <f t="array" aca="1" ref="O264" ca="1">INDIRECT(ADDRESS($B264,Plots!$H$4,,,Plots!$A$53))+INDIRECT(ADDRESS($B264,Plots!$H$4,,,Plots!$A$54))+INDIRECT(ADDRESS($B264,Plots!$H$4,,,Plots!$A$55))+INDIRECT(ADDRESS($B264,Plots!$H$4,,,Plots!$A$56))</f>
        <v>0</v>
      </c>
      <c r="P264" cm="1">
        <f t="array" aca="1" ref="P264" ca="1">INDIRECT(ADDRESS($B264,Plots!$H$4,,,Plots!$A$57))+INDIRECT(ADDRESS($B264,Plots!$H$4,,,Plots!$A$58))+INDIRECT(ADDRESS($B264,Plots!$H$4,,,Plots!$A$59))+INDIRECT(ADDRESS($B264,Plots!$H$4,,,Plots!$A$60))+INDIRECT(ADDRESS($B264,Plots!$H$4,,,Plots!$A$61))</f>
        <v>0</v>
      </c>
      <c r="Q264" cm="1">
        <f t="array" aca="1" ref="Q264" ca="1">INDIRECT(ADDRESS($B264,Plots!$H$4,,,Plots!$A$62))+INDIRECT(ADDRESS($B264,Plots!$H$4,,,Plots!$A$63))+INDIRECT(ADDRESS($B264,Plots!$H$4,,,Plots!$A$64))+INDIRECT(ADDRESS($B264,Plots!$H$4,,,Plots!$A$65))+INDIRECT(ADDRESS($B264,Plots!$H$4,,,Plots!$A$66))+INDIRECT(ADDRESS($B264,Plots!$H$4,,,Plots!$A$67))</f>
        <v>0</v>
      </c>
    </row>
    <row r="265" spans="1:17">
      <c r="A265">
        <f>'AARnetCBR-CamDTN1_tcpmon_ts_11'!A265</f>
        <v>0</v>
      </c>
      <c r="B265">
        <f t="shared" si="4"/>
        <v>265</v>
      </c>
      <c r="C265" cm="1">
        <f t="array" aca="1" ref="C265" ca="1">INDIRECT(ADDRESS($B265,Plots!$H$3,,,Plots!$A$47))</f>
        <v>0</v>
      </c>
      <c r="D265" cm="1">
        <f t="array" aca="1" ref="D265" ca="1">INDIRECT(ADDRESS($B265,Plots!$H$3,,,Plots!$A$48))+INDIRECT(ADDRESS($B265,Plots!$H$3,,,Plots!$A$49))</f>
        <v>0</v>
      </c>
      <c r="E265" cm="1">
        <f t="array" aca="1" ref="E265" ca="1">INDIRECT(ADDRESS($B265,Plots!$H$3,,,Plots!$A$50))+INDIRECT(ADDRESS($B265,Plots!$H$3,,,Plots!$A$51))+INDIRECT(ADDRESS($B265,Plots!$H$3,,,Plots!$A$52))</f>
        <v>0</v>
      </c>
      <c r="F265" cm="1">
        <f t="array" aca="1" ref="F265" ca="1">INDIRECT(ADDRESS($B265,Plots!$H$3,,,Plots!$A$53))+INDIRECT(ADDRESS($B265,Plots!$H$3,,,Plots!$A$54))+INDIRECT(ADDRESS($B265,Plots!$H$3,,,Plots!$A$55))+INDIRECT(ADDRESS($B265,Plots!$H$3,,,Plots!$A$56))</f>
        <v>0</v>
      </c>
      <c r="G265" cm="1">
        <f t="array" aca="1" ref="G265" ca="1">INDIRECT(ADDRESS($B265,Plots!$H$3,,,Plots!$A$57))+INDIRECT(ADDRESS($B265,Plots!$H$3,,,Plots!$A$58))+INDIRECT(ADDRESS($B265,Plots!$H$3,,,Plots!$A$59))+INDIRECT(ADDRESS($B265,Plots!$H$3,,,Plots!$A$60))+INDIRECT(ADDRESS($B265,Plots!$H$3,,,Plots!$A$61))</f>
        <v>0</v>
      </c>
      <c r="H265" cm="1">
        <f t="array" aca="1" ref="H265" ca="1">INDIRECT(ADDRESS($B265,Plots!$H$3,,,Plots!$A$62))+INDIRECT(ADDRESS($B265,Plots!$H$3,,,Plots!$A$63))+INDIRECT(ADDRESS($B265,Plots!$H$3,,,Plots!$A$64))+INDIRECT(ADDRESS($B265,Plots!$H$3,,,Plots!$A$65))+INDIRECT(ADDRESS($B265,Plots!$H$3,,,Plots!$A$66))+INDIRECT(ADDRESS($B265,Plots!$H$3,,,Plots!$A$67))</f>
        <v>0</v>
      </c>
      <c r="I265">
        <f>'AARnetCBR-CamDTN1_tcpmon_ts_81'!H269+'AARnetCBR-CamDTN1_tcpmon_ts_82'!H269+'AARnetCBR-CamDTN1_tcpmon_ts_83'!H269+'AARnetCBR-CamDTN1_tcpmon_ts_84'!H269+'AARnetCBR-CamDTN1_tcpmon_ts_85'!H269+'AARnetCBR-CamDTN1_tcpmon_ts_86'!H269+'AARnetCBR-CamDTN1_tcpmon_ts_87'!H269+'AARnetCBR-CamDTN1_tcpmon_ts_88'!H269</f>
        <v>0</v>
      </c>
      <c r="L265" cm="1">
        <f t="array" aca="1" ref="L265" ca="1">INDIRECT(ADDRESS($B265,Plots!$H$4,,,Plots!$A$47))</f>
        <v>0</v>
      </c>
      <c r="M265" cm="1">
        <f t="array" aca="1" ref="M265" ca="1">INDIRECT(ADDRESS($B265,Plots!$H$4,,,Plots!$A$48))+INDIRECT(ADDRESS($B265,Plots!$H$4,,,Plots!$A$49))</f>
        <v>0</v>
      </c>
      <c r="N265" cm="1">
        <f t="array" aca="1" ref="N265" ca="1">INDIRECT(ADDRESS($B265,Plots!$H$4,,,Plots!$A$50))+INDIRECT(ADDRESS($B265,Plots!$H$4,,,Plots!$A$51))+INDIRECT(ADDRESS($B265,Plots!$H$4,,,Plots!$A$52))</f>
        <v>0</v>
      </c>
      <c r="O265" cm="1">
        <f t="array" aca="1" ref="O265" ca="1">INDIRECT(ADDRESS($B265,Plots!$H$4,,,Plots!$A$53))+INDIRECT(ADDRESS($B265,Plots!$H$4,,,Plots!$A$54))+INDIRECT(ADDRESS($B265,Plots!$H$4,,,Plots!$A$55))+INDIRECT(ADDRESS($B265,Plots!$H$4,,,Plots!$A$56))</f>
        <v>0</v>
      </c>
      <c r="P265" cm="1">
        <f t="array" aca="1" ref="P265" ca="1">INDIRECT(ADDRESS($B265,Plots!$H$4,,,Plots!$A$57))+INDIRECT(ADDRESS($B265,Plots!$H$4,,,Plots!$A$58))+INDIRECT(ADDRESS($B265,Plots!$H$4,,,Plots!$A$59))+INDIRECT(ADDRESS($B265,Plots!$H$4,,,Plots!$A$60))+INDIRECT(ADDRESS($B265,Plots!$H$4,,,Plots!$A$61))</f>
        <v>0</v>
      </c>
      <c r="Q265" cm="1">
        <f t="array" aca="1" ref="Q265" ca="1">INDIRECT(ADDRESS($B265,Plots!$H$4,,,Plots!$A$62))+INDIRECT(ADDRESS($B265,Plots!$H$4,,,Plots!$A$63))+INDIRECT(ADDRESS($B265,Plots!$H$4,,,Plots!$A$64))+INDIRECT(ADDRESS($B265,Plots!$H$4,,,Plots!$A$65))+INDIRECT(ADDRESS($B265,Plots!$H$4,,,Plots!$A$66))+INDIRECT(ADDRESS($B265,Plots!$H$4,,,Plots!$A$67))</f>
        <v>0</v>
      </c>
    </row>
    <row r="266" spans="1:17">
      <c r="A266">
        <f>'AARnetCBR-CamDTN1_tcpmon_ts_11'!A266</f>
        <v>0</v>
      </c>
      <c r="B266">
        <f t="shared" si="4"/>
        <v>266</v>
      </c>
      <c r="C266" cm="1">
        <f t="array" aca="1" ref="C266" ca="1">INDIRECT(ADDRESS($B266,Plots!$H$3,,,Plots!$A$47))</f>
        <v>0</v>
      </c>
      <c r="D266" cm="1">
        <f t="array" aca="1" ref="D266" ca="1">INDIRECT(ADDRESS($B266,Plots!$H$3,,,Plots!$A$48))+INDIRECT(ADDRESS($B266,Plots!$H$3,,,Plots!$A$49))</f>
        <v>0</v>
      </c>
      <c r="E266" cm="1">
        <f t="array" aca="1" ref="E266" ca="1">INDIRECT(ADDRESS($B266,Plots!$H$3,,,Plots!$A$50))+INDIRECT(ADDRESS($B266,Plots!$H$3,,,Plots!$A$51))+INDIRECT(ADDRESS($B266,Plots!$H$3,,,Plots!$A$52))</f>
        <v>0</v>
      </c>
      <c r="F266" cm="1">
        <f t="array" aca="1" ref="F266" ca="1">INDIRECT(ADDRESS($B266,Plots!$H$3,,,Plots!$A$53))+INDIRECT(ADDRESS($B266,Plots!$H$3,,,Plots!$A$54))+INDIRECT(ADDRESS($B266,Plots!$H$3,,,Plots!$A$55))+INDIRECT(ADDRESS($B266,Plots!$H$3,,,Plots!$A$56))</f>
        <v>0</v>
      </c>
      <c r="G266" cm="1">
        <f t="array" aca="1" ref="G266" ca="1">INDIRECT(ADDRESS($B266,Plots!$H$3,,,Plots!$A$57))+INDIRECT(ADDRESS($B266,Plots!$H$3,,,Plots!$A$58))+INDIRECT(ADDRESS($B266,Plots!$H$3,,,Plots!$A$59))+INDIRECT(ADDRESS($B266,Plots!$H$3,,,Plots!$A$60))+INDIRECT(ADDRESS($B266,Plots!$H$3,,,Plots!$A$61))</f>
        <v>0</v>
      </c>
      <c r="H266" cm="1">
        <f t="array" aca="1" ref="H266" ca="1">INDIRECT(ADDRESS($B266,Plots!$H$3,,,Plots!$A$62))+INDIRECT(ADDRESS($B266,Plots!$H$3,,,Plots!$A$63))+INDIRECT(ADDRESS($B266,Plots!$H$3,,,Plots!$A$64))+INDIRECT(ADDRESS($B266,Plots!$H$3,,,Plots!$A$65))+INDIRECT(ADDRESS($B266,Plots!$H$3,,,Plots!$A$66))+INDIRECT(ADDRESS($B266,Plots!$H$3,,,Plots!$A$67))</f>
        <v>0</v>
      </c>
      <c r="I266">
        <f>'AARnetCBR-CamDTN1_tcpmon_ts_81'!H270+'AARnetCBR-CamDTN1_tcpmon_ts_82'!H270+'AARnetCBR-CamDTN1_tcpmon_ts_83'!H270+'AARnetCBR-CamDTN1_tcpmon_ts_84'!H270+'AARnetCBR-CamDTN1_tcpmon_ts_85'!H270+'AARnetCBR-CamDTN1_tcpmon_ts_86'!H270+'AARnetCBR-CamDTN1_tcpmon_ts_87'!H270+'AARnetCBR-CamDTN1_tcpmon_ts_88'!H270</f>
        <v>0</v>
      </c>
      <c r="L266" cm="1">
        <f t="array" aca="1" ref="L266" ca="1">INDIRECT(ADDRESS($B266,Plots!$H$4,,,Plots!$A$47))</f>
        <v>0</v>
      </c>
      <c r="M266" cm="1">
        <f t="array" aca="1" ref="M266" ca="1">INDIRECT(ADDRESS($B266,Plots!$H$4,,,Plots!$A$48))+INDIRECT(ADDRESS($B266,Plots!$H$4,,,Plots!$A$49))</f>
        <v>0</v>
      </c>
      <c r="N266" cm="1">
        <f t="array" aca="1" ref="N266" ca="1">INDIRECT(ADDRESS($B266,Plots!$H$4,,,Plots!$A$50))+INDIRECT(ADDRESS($B266,Plots!$H$4,,,Plots!$A$51))+INDIRECT(ADDRESS($B266,Plots!$H$4,,,Plots!$A$52))</f>
        <v>0</v>
      </c>
      <c r="O266" cm="1">
        <f t="array" aca="1" ref="O266" ca="1">INDIRECT(ADDRESS($B266,Plots!$H$4,,,Plots!$A$53))+INDIRECT(ADDRESS($B266,Plots!$H$4,,,Plots!$A$54))+INDIRECT(ADDRESS($B266,Plots!$H$4,,,Plots!$A$55))+INDIRECT(ADDRESS($B266,Plots!$H$4,,,Plots!$A$56))</f>
        <v>0</v>
      </c>
      <c r="P266" cm="1">
        <f t="array" aca="1" ref="P266" ca="1">INDIRECT(ADDRESS($B266,Plots!$H$4,,,Plots!$A$57))+INDIRECT(ADDRESS($B266,Plots!$H$4,,,Plots!$A$58))+INDIRECT(ADDRESS($B266,Plots!$H$4,,,Plots!$A$59))+INDIRECT(ADDRESS($B266,Plots!$H$4,,,Plots!$A$60))+INDIRECT(ADDRESS($B266,Plots!$H$4,,,Plots!$A$61))</f>
        <v>0</v>
      </c>
      <c r="Q266" cm="1">
        <f t="array" aca="1" ref="Q266" ca="1">INDIRECT(ADDRESS($B266,Plots!$H$4,,,Plots!$A$62))+INDIRECT(ADDRESS($B266,Plots!$H$4,,,Plots!$A$63))+INDIRECT(ADDRESS($B266,Plots!$H$4,,,Plots!$A$64))+INDIRECT(ADDRESS($B266,Plots!$H$4,,,Plots!$A$65))+INDIRECT(ADDRESS($B266,Plots!$H$4,,,Plots!$A$66))+INDIRECT(ADDRESS($B266,Plots!$H$4,,,Plots!$A$67))</f>
        <v>0</v>
      </c>
    </row>
    <row r="267" spans="1:17">
      <c r="A267">
        <f>'AARnetCBR-CamDTN1_tcpmon_ts_11'!A267</f>
        <v>0</v>
      </c>
      <c r="B267">
        <f t="shared" si="4"/>
        <v>267</v>
      </c>
      <c r="C267" cm="1">
        <f t="array" aca="1" ref="C267" ca="1">INDIRECT(ADDRESS($B267,Plots!$H$3,,,Plots!$A$47))</f>
        <v>0</v>
      </c>
      <c r="D267" cm="1">
        <f t="array" aca="1" ref="D267" ca="1">INDIRECT(ADDRESS($B267,Plots!$H$3,,,Plots!$A$48))+INDIRECT(ADDRESS($B267,Plots!$H$3,,,Plots!$A$49))</f>
        <v>0</v>
      </c>
      <c r="E267" cm="1">
        <f t="array" aca="1" ref="E267" ca="1">INDIRECT(ADDRESS($B267,Plots!$H$3,,,Plots!$A$50))+INDIRECT(ADDRESS($B267,Plots!$H$3,,,Plots!$A$51))+INDIRECT(ADDRESS($B267,Plots!$H$3,,,Plots!$A$52))</f>
        <v>0</v>
      </c>
      <c r="F267" cm="1">
        <f t="array" aca="1" ref="F267" ca="1">INDIRECT(ADDRESS($B267,Plots!$H$3,,,Plots!$A$53))+INDIRECT(ADDRESS($B267,Plots!$H$3,,,Plots!$A$54))+INDIRECT(ADDRESS($B267,Plots!$H$3,,,Plots!$A$55))+INDIRECT(ADDRESS($B267,Plots!$H$3,,,Plots!$A$56))</f>
        <v>0</v>
      </c>
      <c r="G267" cm="1">
        <f t="array" aca="1" ref="G267" ca="1">INDIRECT(ADDRESS($B267,Plots!$H$3,,,Plots!$A$57))+INDIRECT(ADDRESS($B267,Plots!$H$3,,,Plots!$A$58))+INDIRECT(ADDRESS($B267,Plots!$H$3,,,Plots!$A$59))+INDIRECT(ADDRESS($B267,Plots!$H$3,,,Plots!$A$60))+INDIRECT(ADDRESS($B267,Plots!$H$3,,,Plots!$A$61))</f>
        <v>0</v>
      </c>
      <c r="H267" cm="1">
        <f t="array" aca="1" ref="H267" ca="1">INDIRECT(ADDRESS($B267,Plots!$H$3,,,Plots!$A$62))+INDIRECT(ADDRESS($B267,Plots!$H$3,,,Plots!$A$63))+INDIRECT(ADDRESS($B267,Plots!$H$3,,,Plots!$A$64))+INDIRECT(ADDRESS($B267,Plots!$H$3,,,Plots!$A$65))+INDIRECT(ADDRESS($B267,Plots!$H$3,,,Plots!$A$66))+INDIRECT(ADDRESS($B267,Plots!$H$3,,,Plots!$A$67))</f>
        <v>0</v>
      </c>
      <c r="I267">
        <f>'AARnetCBR-CamDTN1_tcpmon_ts_81'!H271+'AARnetCBR-CamDTN1_tcpmon_ts_82'!H271+'AARnetCBR-CamDTN1_tcpmon_ts_83'!H271+'AARnetCBR-CamDTN1_tcpmon_ts_84'!H271+'AARnetCBR-CamDTN1_tcpmon_ts_85'!H271+'AARnetCBR-CamDTN1_tcpmon_ts_86'!H271+'AARnetCBR-CamDTN1_tcpmon_ts_87'!H271+'AARnetCBR-CamDTN1_tcpmon_ts_88'!H271</f>
        <v>0</v>
      </c>
      <c r="L267" cm="1">
        <f t="array" aca="1" ref="L267" ca="1">INDIRECT(ADDRESS($B267,Plots!$H$4,,,Plots!$A$47))</f>
        <v>0</v>
      </c>
      <c r="M267" cm="1">
        <f t="array" aca="1" ref="M267" ca="1">INDIRECT(ADDRESS($B267,Plots!$H$4,,,Plots!$A$48))+INDIRECT(ADDRESS($B267,Plots!$H$4,,,Plots!$A$49))</f>
        <v>0</v>
      </c>
      <c r="N267" cm="1">
        <f t="array" aca="1" ref="N267" ca="1">INDIRECT(ADDRESS($B267,Plots!$H$4,,,Plots!$A$50))+INDIRECT(ADDRESS($B267,Plots!$H$4,,,Plots!$A$51))+INDIRECT(ADDRESS($B267,Plots!$H$4,,,Plots!$A$52))</f>
        <v>0</v>
      </c>
      <c r="O267" cm="1">
        <f t="array" aca="1" ref="O267" ca="1">INDIRECT(ADDRESS($B267,Plots!$H$4,,,Plots!$A$53))+INDIRECT(ADDRESS($B267,Plots!$H$4,,,Plots!$A$54))+INDIRECT(ADDRESS($B267,Plots!$H$4,,,Plots!$A$55))+INDIRECT(ADDRESS($B267,Plots!$H$4,,,Plots!$A$56))</f>
        <v>0</v>
      </c>
      <c r="P267" cm="1">
        <f t="array" aca="1" ref="P267" ca="1">INDIRECT(ADDRESS($B267,Plots!$H$4,,,Plots!$A$57))+INDIRECT(ADDRESS($B267,Plots!$H$4,,,Plots!$A$58))+INDIRECT(ADDRESS($B267,Plots!$H$4,,,Plots!$A$59))+INDIRECT(ADDRESS($B267,Plots!$H$4,,,Plots!$A$60))+INDIRECT(ADDRESS($B267,Plots!$H$4,,,Plots!$A$61))</f>
        <v>0</v>
      </c>
      <c r="Q267" cm="1">
        <f t="array" aca="1" ref="Q267" ca="1">INDIRECT(ADDRESS($B267,Plots!$H$4,,,Plots!$A$62))+INDIRECT(ADDRESS($B267,Plots!$H$4,,,Plots!$A$63))+INDIRECT(ADDRESS($B267,Plots!$H$4,,,Plots!$A$64))+INDIRECT(ADDRESS($B267,Plots!$H$4,,,Plots!$A$65))+INDIRECT(ADDRESS($B267,Plots!$H$4,,,Plots!$A$66))+INDIRECT(ADDRESS($B267,Plots!$H$4,,,Plots!$A$67))</f>
        <v>0</v>
      </c>
    </row>
    <row r="268" spans="1:17">
      <c r="A268">
        <f>'AARnetCBR-CamDTN1_tcpmon_ts_11'!A268</f>
        <v>0</v>
      </c>
      <c r="B268">
        <f t="shared" si="4"/>
        <v>268</v>
      </c>
      <c r="C268" cm="1">
        <f t="array" aca="1" ref="C268" ca="1">INDIRECT(ADDRESS($B268,Plots!$H$3,,,Plots!$A$47))</f>
        <v>0</v>
      </c>
      <c r="D268" cm="1">
        <f t="array" aca="1" ref="D268" ca="1">INDIRECT(ADDRESS($B268,Plots!$H$3,,,Plots!$A$48))+INDIRECT(ADDRESS($B268,Plots!$H$3,,,Plots!$A$49))</f>
        <v>0</v>
      </c>
      <c r="E268" cm="1">
        <f t="array" aca="1" ref="E268" ca="1">INDIRECT(ADDRESS($B268,Plots!$H$3,,,Plots!$A$50))+INDIRECT(ADDRESS($B268,Plots!$H$3,,,Plots!$A$51))+INDIRECT(ADDRESS($B268,Plots!$H$3,,,Plots!$A$52))</f>
        <v>0</v>
      </c>
      <c r="F268" cm="1">
        <f t="array" aca="1" ref="F268" ca="1">INDIRECT(ADDRESS($B268,Plots!$H$3,,,Plots!$A$53))+INDIRECT(ADDRESS($B268,Plots!$H$3,,,Plots!$A$54))+INDIRECT(ADDRESS($B268,Plots!$H$3,,,Plots!$A$55))+INDIRECT(ADDRESS($B268,Plots!$H$3,,,Plots!$A$56))</f>
        <v>0</v>
      </c>
      <c r="G268" cm="1">
        <f t="array" aca="1" ref="G268" ca="1">INDIRECT(ADDRESS($B268,Plots!$H$3,,,Plots!$A$57))+INDIRECT(ADDRESS($B268,Plots!$H$3,,,Plots!$A$58))+INDIRECT(ADDRESS($B268,Plots!$H$3,,,Plots!$A$59))+INDIRECT(ADDRESS($B268,Plots!$H$3,,,Plots!$A$60))+INDIRECT(ADDRESS($B268,Plots!$H$3,,,Plots!$A$61))</f>
        <v>0</v>
      </c>
      <c r="H268" cm="1">
        <f t="array" aca="1" ref="H268" ca="1">INDIRECT(ADDRESS($B268,Plots!$H$3,,,Plots!$A$62))+INDIRECT(ADDRESS($B268,Plots!$H$3,,,Plots!$A$63))+INDIRECT(ADDRESS($B268,Plots!$H$3,,,Plots!$A$64))+INDIRECT(ADDRESS($B268,Plots!$H$3,,,Plots!$A$65))+INDIRECT(ADDRESS($B268,Plots!$H$3,,,Plots!$A$66))+INDIRECT(ADDRESS($B268,Plots!$H$3,,,Plots!$A$67))</f>
        <v>0</v>
      </c>
      <c r="I268">
        <f>'AARnetCBR-CamDTN1_tcpmon_ts_81'!H272+'AARnetCBR-CamDTN1_tcpmon_ts_82'!H272+'AARnetCBR-CamDTN1_tcpmon_ts_83'!H272+'AARnetCBR-CamDTN1_tcpmon_ts_84'!H272+'AARnetCBR-CamDTN1_tcpmon_ts_85'!H272+'AARnetCBR-CamDTN1_tcpmon_ts_86'!H272+'AARnetCBR-CamDTN1_tcpmon_ts_87'!H272+'AARnetCBR-CamDTN1_tcpmon_ts_88'!H272</f>
        <v>0</v>
      </c>
      <c r="L268" cm="1">
        <f t="array" aca="1" ref="L268" ca="1">INDIRECT(ADDRESS($B268,Plots!$H$4,,,Plots!$A$47))</f>
        <v>0</v>
      </c>
      <c r="M268" cm="1">
        <f t="array" aca="1" ref="M268" ca="1">INDIRECT(ADDRESS($B268,Plots!$H$4,,,Plots!$A$48))+INDIRECT(ADDRESS($B268,Plots!$H$4,,,Plots!$A$49))</f>
        <v>0</v>
      </c>
      <c r="N268" cm="1">
        <f t="array" aca="1" ref="N268" ca="1">INDIRECT(ADDRESS($B268,Plots!$H$4,,,Plots!$A$50))+INDIRECT(ADDRESS($B268,Plots!$H$4,,,Plots!$A$51))+INDIRECT(ADDRESS($B268,Plots!$H$4,,,Plots!$A$52))</f>
        <v>0</v>
      </c>
      <c r="O268" cm="1">
        <f t="array" aca="1" ref="O268" ca="1">INDIRECT(ADDRESS($B268,Plots!$H$4,,,Plots!$A$53))+INDIRECT(ADDRESS($B268,Plots!$H$4,,,Plots!$A$54))+INDIRECT(ADDRESS($B268,Plots!$H$4,,,Plots!$A$55))+INDIRECT(ADDRESS($B268,Plots!$H$4,,,Plots!$A$56))</f>
        <v>0</v>
      </c>
      <c r="P268" cm="1">
        <f t="array" aca="1" ref="P268" ca="1">INDIRECT(ADDRESS($B268,Plots!$H$4,,,Plots!$A$57))+INDIRECT(ADDRESS($B268,Plots!$H$4,,,Plots!$A$58))+INDIRECT(ADDRESS($B268,Plots!$H$4,,,Plots!$A$59))+INDIRECT(ADDRESS($B268,Plots!$H$4,,,Plots!$A$60))+INDIRECT(ADDRESS($B268,Plots!$H$4,,,Plots!$A$61))</f>
        <v>0</v>
      </c>
      <c r="Q268" cm="1">
        <f t="array" aca="1" ref="Q268" ca="1">INDIRECT(ADDRESS($B268,Plots!$H$4,,,Plots!$A$62))+INDIRECT(ADDRESS($B268,Plots!$H$4,,,Plots!$A$63))+INDIRECT(ADDRESS($B268,Plots!$H$4,,,Plots!$A$64))+INDIRECT(ADDRESS($B268,Plots!$H$4,,,Plots!$A$65))+INDIRECT(ADDRESS($B268,Plots!$H$4,,,Plots!$A$66))+INDIRECT(ADDRESS($B268,Plots!$H$4,,,Plots!$A$67))</f>
        <v>0</v>
      </c>
    </row>
    <row r="269" spans="1:17">
      <c r="A269">
        <f>'AARnetCBR-CamDTN1_tcpmon_ts_11'!A269</f>
        <v>0</v>
      </c>
      <c r="B269">
        <f t="shared" si="4"/>
        <v>269</v>
      </c>
      <c r="C269" cm="1">
        <f t="array" aca="1" ref="C269" ca="1">INDIRECT(ADDRESS($B269,Plots!$H$3,,,Plots!$A$47))</f>
        <v>0</v>
      </c>
      <c r="D269" cm="1">
        <f t="array" aca="1" ref="D269" ca="1">INDIRECT(ADDRESS($B269,Plots!$H$3,,,Plots!$A$48))+INDIRECT(ADDRESS($B269,Plots!$H$3,,,Plots!$A$49))</f>
        <v>0</v>
      </c>
      <c r="E269" cm="1">
        <f t="array" aca="1" ref="E269" ca="1">INDIRECT(ADDRESS($B269,Plots!$H$3,,,Plots!$A$50))+INDIRECT(ADDRESS($B269,Plots!$H$3,,,Plots!$A$51))+INDIRECT(ADDRESS($B269,Plots!$H$3,,,Plots!$A$52))</f>
        <v>0</v>
      </c>
      <c r="F269" cm="1">
        <f t="array" aca="1" ref="F269" ca="1">INDIRECT(ADDRESS($B269,Plots!$H$3,,,Plots!$A$53))+INDIRECT(ADDRESS($B269,Plots!$H$3,,,Plots!$A$54))+INDIRECT(ADDRESS($B269,Plots!$H$3,,,Plots!$A$55))+INDIRECT(ADDRESS($B269,Plots!$H$3,,,Plots!$A$56))</f>
        <v>0</v>
      </c>
      <c r="G269" cm="1">
        <f t="array" aca="1" ref="G269" ca="1">INDIRECT(ADDRESS($B269,Plots!$H$3,,,Plots!$A$57))+INDIRECT(ADDRESS($B269,Plots!$H$3,,,Plots!$A$58))+INDIRECT(ADDRESS($B269,Plots!$H$3,,,Plots!$A$59))+INDIRECT(ADDRESS($B269,Plots!$H$3,,,Plots!$A$60))+INDIRECT(ADDRESS($B269,Plots!$H$3,,,Plots!$A$61))</f>
        <v>0</v>
      </c>
      <c r="H269" cm="1">
        <f t="array" aca="1" ref="H269" ca="1">INDIRECT(ADDRESS($B269,Plots!$H$3,,,Plots!$A$62))+INDIRECT(ADDRESS($B269,Plots!$H$3,,,Plots!$A$63))+INDIRECT(ADDRESS($B269,Plots!$H$3,,,Plots!$A$64))+INDIRECT(ADDRESS($B269,Plots!$H$3,,,Plots!$A$65))+INDIRECT(ADDRESS($B269,Plots!$H$3,,,Plots!$A$66))+INDIRECT(ADDRESS($B269,Plots!$H$3,,,Plots!$A$67))</f>
        <v>0</v>
      </c>
      <c r="I269">
        <f>'AARnetCBR-CamDTN1_tcpmon_ts_81'!H273+'AARnetCBR-CamDTN1_tcpmon_ts_82'!H273+'AARnetCBR-CamDTN1_tcpmon_ts_83'!H273+'AARnetCBR-CamDTN1_tcpmon_ts_84'!H273+'AARnetCBR-CamDTN1_tcpmon_ts_85'!H273+'AARnetCBR-CamDTN1_tcpmon_ts_86'!H273+'AARnetCBR-CamDTN1_tcpmon_ts_87'!H273+'AARnetCBR-CamDTN1_tcpmon_ts_88'!H273</f>
        <v>0</v>
      </c>
      <c r="L269" cm="1">
        <f t="array" aca="1" ref="L269" ca="1">INDIRECT(ADDRESS($B269,Plots!$H$4,,,Plots!$A$47))</f>
        <v>0</v>
      </c>
      <c r="M269" cm="1">
        <f t="array" aca="1" ref="M269" ca="1">INDIRECT(ADDRESS($B269,Plots!$H$4,,,Plots!$A$48))+INDIRECT(ADDRESS($B269,Plots!$H$4,,,Plots!$A$49))</f>
        <v>0</v>
      </c>
      <c r="N269" cm="1">
        <f t="array" aca="1" ref="N269" ca="1">INDIRECT(ADDRESS($B269,Plots!$H$4,,,Plots!$A$50))+INDIRECT(ADDRESS($B269,Plots!$H$4,,,Plots!$A$51))+INDIRECT(ADDRESS($B269,Plots!$H$4,,,Plots!$A$52))</f>
        <v>0</v>
      </c>
      <c r="O269" cm="1">
        <f t="array" aca="1" ref="O269" ca="1">INDIRECT(ADDRESS($B269,Plots!$H$4,,,Plots!$A$53))+INDIRECT(ADDRESS($B269,Plots!$H$4,,,Plots!$A$54))+INDIRECT(ADDRESS($B269,Plots!$H$4,,,Plots!$A$55))+INDIRECT(ADDRESS($B269,Plots!$H$4,,,Plots!$A$56))</f>
        <v>0</v>
      </c>
      <c r="P269" cm="1">
        <f t="array" aca="1" ref="P269" ca="1">INDIRECT(ADDRESS($B269,Plots!$H$4,,,Plots!$A$57))+INDIRECT(ADDRESS($B269,Plots!$H$4,,,Plots!$A$58))+INDIRECT(ADDRESS($B269,Plots!$H$4,,,Plots!$A$59))+INDIRECT(ADDRESS($B269,Plots!$H$4,,,Plots!$A$60))+INDIRECT(ADDRESS($B269,Plots!$H$4,,,Plots!$A$61))</f>
        <v>0</v>
      </c>
      <c r="Q269" cm="1">
        <f t="array" aca="1" ref="Q269" ca="1">INDIRECT(ADDRESS($B269,Plots!$H$4,,,Plots!$A$62))+INDIRECT(ADDRESS($B269,Plots!$H$4,,,Plots!$A$63))+INDIRECT(ADDRESS($B269,Plots!$H$4,,,Plots!$A$64))+INDIRECT(ADDRESS($B269,Plots!$H$4,,,Plots!$A$65))+INDIRECT(ADDRESS($B269,Plots!$H$4,,,Plots!$A$66))+INDIRECT(ADDRESS($B269,Plots!$H$4,,,Plots!$A$67))</f>
        <v>0</v>
      </c>
    </row>
    <row r="270" spans="1:17">
      <c r="A270">
        <f>'AARnetCBR-CamDTN1_tcpmon_ts_11'!A270</f>
        <v>0</v>
      </c>
      <c r="B270">
        <f t="shared" si="4"/>
        <v>270</v>
      </c>
      <c r="C270" cm="1">
        <f t="array" aca="1" ref="C270" ca="1">INDIRECT(ADDRESS($B270,Plots!$H$3,,,Plots!$A$47))</f>
        <v>0</v>
      </c>
      <c r="D270" cm="1">
        <f t="array" aca="1" ref="D270" ca="1">INDIRECT(ADDRESS($B270,Plots!$H$3,,,Plots!$A$48))+INDIRECT(ADDRESS($B270,Plots!$H$3,,,Plots!$A$49))</f>
        <v>0</v>
      </c>
      <c r="E270" cm="1">
        <f t="array" aca="1" ref="E270" ca="1">INDIRECT(ADDRESS($B270,Plots!$H$3,,,Plots!$A$50))+INDIRECT(ADDRESS($B270,Plots!$H$3,,,Plots!$A$51))+INDIRECT(ADDRESS($B270,Plots!$H$3,,,Plots!$A$52))</f>
        <v>0</v>
      </c>
      <c r="F270" cm="1">
        <f t="array" aca="1" ref="F270" ca="1">INDIRECT(ADDRESS($B270,Plots!$H$3,,,Plots!$A$53))+INDIRECT(ADDRESS($B270,Plots!$H$3,,,Plots!$A$54))+INDIRECT(ADDRESS($B270,Plots!$H$3,,,Plots!$A$55))+INDIRECT(ADDRESS($B270,Plots!$H$3,,,Plots!$A$56))</f>
        <v>0</v>
      </c>
      <c r="G270" cm="1">
        <f t="array" aca="1" ref="G270" ca="1">INDIRECT(ADDRESS($B270,Plots!$H$3,,,Plots!$A$57))+INDIRECT(ADDRESS($B270,Plots!$H$3,,,Plots!$A$58))+INDIRECT(ADDRESS($B270,Plots!$H$3,,,Plots!$A$59))+INDIRECT(ADDRESS($B270,Plots!$H$3,,,Plots!$A$60))+INDIRECT(ADDRESS($B270,Plots!$H$3,,,Plots!$A$61))</f>
        <v>0</v>
      </c>
      <c r="H270" cm="1">
        <f t="array" aca="1" ref="H270" ca="1">INDIRECT(ADDRESS($B270,Plots!$H$3,,,Plots!$A$62))+INDIRECT(ADDRESS($B270,Plots!$H$3,,,Plots!$A$63))+INDIRECT(ADDRESS($B270,Plots!$H$3,,,Plots!$A$64))+INDIRECT(ADDRESS($B270,Plots!$H$3,,,Plots!$A$65))+INDIRECT(ADDRESS($B270,Plots!$H$3,,,Plots!$A$66))+INDIRECT(ADDRESS($B270,Plots!$H$3,,,Plots!$A$67))</f>
        <v>0</v>
      </c>
      <c r="I270">
        <f>'AARnetCBR-CamDTN1_tcpmon_ts_81'!H274+'AARnetCBR-CamDTN1_tcpmon_ts_82'!H274+'AARnetCBR-CamDTN1_tcpmon_ts_83'!H274+'AARnetCBR-CamDTN1_tcpmon_ts_84'!H274+'AARnetCBR-CamDTN1_tcpmon_ts_85'!H274+'AARnetCBR-CamDTN1_tcpmon_ts_86'!H274+'AARnetCBR-CamDTN1_tcpmon_ts_87'!H274+'AARnetCBR-CamDTN1_tcpmon_ts_88'!H274</f>
        <v>0</v>
      </c>
      <c r="L270" cm="1">
        <f t="array" aca="1" ref="L270" ca="1">INDIRECT(ADDRESS($B270,Plots!$H$4,,,Plots!$A$47))</f>
        <v>0</v>
      </c>
      <c r="M270" cm="1">
        <f t="array" aca="1" ref="M270" ca="1">INDIRECT(ADDRESS($B270,Plots!$H$4,,,Plots!$A$48))+INDIRECT(ADDRESS($B270,Plots!$H$4,,,Plots!$A$49))</f>
        <v>0</v>
      </c>
      <c r="N270" cm="1">
        <f t="array" aca="1" ref="N270" ca="1">INDIRECT(ADDRESS($B270,Plots!$H$4,,,Plots!$A$50))+INDIRECT(ADDRESS($B270,Plots!$H$4,,,Plots!$A$51))+INDIRECT(ADDRESS($B270,Plots!$H$4,,,Plots!$A$52))</f>
        <v>0</v>
      </c>
      <c r="O270" cm="1">
        <f t="array" aca="1" ref="O270" ca="1">INDIRECT(ADDRESS($B270,Plots!$H$4,,,Plots!$A$53))+INDIRECT(ADDRESS($B270,Plots!$H$4,,,Plots!$A$54))+INDIRECT(ADDRESS($B270,Plots!$H$4,,,Plots!$A$55))+INDIRECT(ADDRESS($B270,Plots!$H$4,,,Plots!$A$56))</f>
        <v>0</v>
      </c>
      <c r="P270" cm="1">
        <f t="array" aca="1" ref="P270" ca="1">INDIRECT(ADDRESS($B270,Plots!$H$4,,,Plots!$A$57))+INDIRECT(ADDRESS($B270,Plots!$H$4,,,Plots!$A$58))+INDIRECT(ADDRESS($B270,Plots!$H$4,,,Plots!$A$59))+INDIRECT(ADDRESS($B270,Plots!$H$4,,,Plots!$A$60))+INDIRECT(ADDRESS($B270,Plots!$H$4,,,Plots!$A$61))</f>
        <v>0</v>
      </c>
      <c r="Q270" cm="1">
        <f t="array" aca="1" ref="Q270" ca="1">INDIRECT(ADDRESS($B270,Plots!$H$4,,,Plots!$A$62))+INDIRECT(ADDRESS($B270,Plots!$H$4,,,Plots!$A$63))+INDIRECT(ADDRESS($B270,Plots!$H$4,,,Plots!$A$64))+INDIRECT(ADDRESS($B270,Plots!$H$4,,,Plots!$A$65))+INDIRECT(ADDRESS($B270,Plots!$H$4,,,Plots!$A$66))+INDIRECT(ADDRESS($B270,Plots!$H$4,,,Plots!$A$67))</f>
        <v>0</v>
      </c>
    </row>
    <row r="271" spans="1:17">
      <c r="A271">
        <f>'AARnetCBR-CamDTN1_tcpmon_ts_11'!A271</f>
        <v>0</v>
      </c>
      <c r="B271">
        <f t="shared" si="4"/>
        <v>271</v>
      </c>
      <c r="C271" cm="1">
        <f t="array" aca="1" ref="C271" ca="1">INDIRECT(ADDRESS($B271,Plots!$H$3,,,Plots!$A$47))</f>
        <v>0</v>
      </c>
      <c r="D271" cm="1">
        <f t="array" aca="1" ref="D271" ca="1">INDIRECT(ADDRESS($B271,Plots!$H$3,,,Plots!$A$48))+INDIRECT(ADDRESS($B271,Plots!$H$3,,,Plots!$A$49))</f>
        <v>0</v>
      </c>
      <c r="E271" cm="1">
        <f t="array" aca="1" ref="E271" ca="1">INDIRECT(ADDRESS($B271,Plots!$H$3,,,Plots!$A$50))+INDIRECT(ADDRESS($B271,Plots!$H$3,,,Plots!$A$51))+INDIRECT(ADDRESS($B271,Plots!$H$3,,,Plots!$A$52))</f>
        <v>0</v>
      </c>
      <c r="F271" cm="1">
        <f t="array" aca="1" ref="F271" ca="1">INDIRECT(ADDRESS($B271,Plots!$H$3,,,Plots!$A$53))+INDIRECT(ADDRESS($B271,Plots!$H$3,,,Plots!$A$54))+INDIRECT(ADDRESS($B271,Plots!$H$3,,,Plots!$A$55))+INDIRECT(ADDRESS($B271,Plots!$H$3,,,Plots!$A$56))</f>
        <v>0</v>
      </c>
      <c r="G271" cm="1">
        <f t="array" aca="1" ref="G271" ca="1">INDIRECT(ADDRESS($B271,Plots!$H$3,,,Plots!$A$57))+INDIRECT(ADDRESS($B271,Plots!$H$3,,,Plots!$A$58))+INDIRECT(ADDRESS($B271,Plots!$H$3,,,Plots!$A$59))+INDIRECT(ADDRESS($B271,Plots!$H$3,,,Plots!$A$60))+INDIRECT(ADDRESS($B271,Plots!$H$3,,,Plots!$A$61))</f>
        <v>0</v>
      </c>
      <c r="H271" cm="1">
        <f t="array" aca="1" ref="H271" ca="1">INDIRECT(ADDRESS($B271,Plots!$H$3,,,Plots!$A$62))+INDIRECT(ADDRESS($B271,Plots!$H$3,,,Plots!$A$63))+INDIRECT(ADDRESS($B271,Plots!$H$3,,,Plots!$A$64))+INDIRECT(ADDRESS($B271,Plots!$H$3,,,Plots!$A$65))+INDIRECT(ADDRESS($B271,Plots!$H$3,,,Plots!$A$66))+INDIRECT(ADDRESS($B271,Plots!$H$3,,,Plots!$A$67))</f>
        <v>0</v>
      </c>
      <c r="I271">
        <f>'AARnetCBR-CamDTN1_tcpmon_ts_81'!H275+'AARnetCBR-CamDTN1_tcpmon_ts_82'!H275+'AARnetCBR-CamDTN1_tcpmon_ts_83'!H275+'AARnetCBR-CamDTN1_tcpmon_ts_84'!H275+'AARnetCBR-CamDTN1_tcpmon_ts_85'!H275+'AARnetCBR-CamDTN1_tcpmon_ts_86'!H275+'AARnetCBR-CamDTN1_tcpmon_ts_87'!H275+'AARnetCBR-CamDTN1_tcpmon_ts_88'!H275</f>
        <v>0</v>
      </c>
      <c r="L271" cm="1">
        <f t="array" aca="1" ref="L271" ca="1">INDIRECT(ADDRESS($B271,Plots!$H$4,,,Plots!$A$47))</f>
        <v>0</v>
      </c>
      <c r="M271" cm="1">
        <f t="array" aca="1" ref="M271" ca="1">INDIRECT(ADDRESS($B271,Plots!$H$4,,,Plots!$A$48))+INDIRECT(ADDRESS($B271,Plots!$H$4,,,Plots!$A$49))</f>
        <v>0</v>
      </c>
      <c r="N271" cm="1">
        <f t="array" aca="1" ref="N271" ca="1">INDIRECT(ADDRESS($B271,Plots!$H$4,,,Plots!$A$50))+INDIRECT(ADDRESS($B271,Plots!$H$4,,,Plots!$A$51))+INDIRECT(ADDRESS($B271,Plots!$H$4,,,Plots!$A$52))</f>
        <v>0</v>
      </c>
      <c r="O271" cm="1">
        <f t="array" aca="1" ref="O271" ca="1">INDIRECT(ADDRESS($B271,Plots!$H$4,,,Plots!$A$53))+INDIRECT(ADDRESS($B271,Plots!$H$4,,,Plots!$A$54))+INDIRECT(ADDRESS($B271,Plots!$H$4,,,Plots!$A$55))+INDIRECT(ADDRESS($B271,Plots!$H$4,,,Plots!$A$56))</f>
        <v>0</v>
      </c>
      <c r="P271" cm="1">
        <f t="array" aca="1" ref="P271" ca="1">INDIRECT(ADDRESS($B271,Plots!$H$4,,,Plots!$A$57))+INDIRECT(ADDRESS($B271,Plots!$H$4,,,Plots!$A$58))+INDIRECT(ADDRESS($B271,Plots!$H$4,,,Plots!$A$59))+INDIRECT(ADDRESS($B271,Plots!$H$4,,,Plots!$A$60))+INDIRECT(ADDRESS($B271,Plots!$H$4,,,Plots!$A$61))</f>
        <v>0</v>
      </c>
      <c r="Q271" cm="1">
        <f t="array" aca="1" ref="Q271" ca="1">INDIRECT(ADDRESS($B271,Plots!$H$4,,,Plots!$A$62))+INDIRECT(ADDRESS($B271,Plots!$H$4,,,Plots!$A$63))+INDIRECT(ADDRESS($B271,Plots!$H$4,,,Plots!$A$64))+INDIRECT(ADDRESS($B271,Plots!$H$4,,,Plots!$A$65))+INDIRECT(ADDRESS($B271,Plots!$H$4,,,Plots!$A$66))+INDIRECT(ADDRESS($B271,Plots!$H$4,,,Plots!$A$67))</f>
        <v>0</v>
      </c>
    </row>
    <row r="272" spans="1:17">
      <c r="A272">
        <f>'AARnetCBR-CamDTN1_tcpmon_ts_11'!A272</f>
        <v>0</v>
      </c>
      <c r="B272">
        <f t="shared" si="4"/>
        <v>272</v>
      </c>
      <c r="C272" cm="1">
        <f t="array" aca="1" ref="C272" ca="1">INDIRECT(ADDRESS($B272,Plots!$H$3,,,Plots!$A$47))</f>
        <v>0</v>
      </c>
      <c r="D272" cm="1">
        <f t="array" aca="1" ref="D272" ca="1">INDIRECT(ADDRESS($B272,Plots!$H$3,,,Plots!$A$48))+INDIRECT(ADDRESS($B272,Plots!$H$3,,,Plots!$A$49))</f>
        <v>0</v>
      </c>
      <c r="E272" cm="1">
        <f t="array" aca="1" ref="E272" ca="1">INDIRECT(ADDRESS($B272,Plots!$H$3,,,Plots!$A$50))+INDIRECT(ADDRESS($B272,Plots!$H$3,,,Plots!$A$51))+INDIRECT(ADDRESS($B272,Plots!$H$3,,,Plots!$A$52))</f>
        <v>0</v>
      </c>
      <c r="F272" cm="1">
        <f t="array" aca="1" ref="F272" ca="1">INDIRECT(ADDRESS($B272,Plots!$H$3,,,Plots!$A$53))+INDIRECT(ADDRESS($B272,Plots!$H$3,,,Plots!$A$54))+INDIRECT(ADDRESS($B272,Plots!$H$3,,,Plots!$A$55))+INDIRECT(ADDRESS($B272,Plots!$H$3,,,Plots!$A$56))</f>
        <v>0</v>
      </c>
      <c r="G272" cm="1">
        <f t="array" aca="1" ref="G272" ca="1">INDIRECT(ADDRESS($B272,Plots!$H$3,,,Plots!$A$57))+INDIRECT(ADDRESS($B272,Plots!$H$3,,,Plots!$A$58))+INDIRECT(ADDRESS($B272,Plots!$H$3,,,Plots!$A$59))+INDIRECT(ADDRESS($B272,Plots!$H$3,,,Plots!$A$60))+INDIRECT(ADDRESS($B272,Plots!$H$3,,,Plots!$A$61))</f>
        <v>0</v>
      </c>
      <c r="H272" cm="1">
        <f t="array" aca="1" ref="H272" ca="1">INDIRECT(ADDRESS($B272,Plots!$H$3,,,Plots!$A$62))+INDIRECT(ADDRESS($B272,Plots!$H$3,,,Plots!$A$63))+INDIRECT(ADDRESS($B272,Plots!$H$3,,,Plots!$A$64))+INDIRECT(ADDRESS($B272,Plots!$H$3,,,Plots!$A$65))+INDIRECT(ADDRESS($B272,Plots!$H$3,,,Plots!$A$66))+INDIRECT(ADDRESS($B272,Plots!$H$3,,,Plots!$A$67))</f>
        <v>0</v>
      </c>
      <c r="I272">
        <f>'AARnetCBR-CamDTN1_tcpmon_ts_81'!H276+'AARnetCBR-CamDTN1_tcpmon_ts_82'!H276+'AARnetCBR-CamDTN1_tcpmon_ts_83'!H276+'AARnetCBR-CamDTN1_tcpmon_ts_84'!H276+'AARnetCBR-CamDTN1_tcpmon_ts_85'!H276+'AARnetCBR-CamDTN1_tcpmon_ts_86'!H276+'AARnetCBR-CamDTN1_tcpmon_ts_87'!H276+'AARnetCBR-CamDTN1_tcpmon_ts_88'!H276</f>
        <v>0</v>
      </c>
      <c r="L272" cm="1">
        <f t="array" aca="1" ref="L272" ca="1">INDIRECT(ADDRESS($B272,Plots!$H$4,,,Plots!$A$47))</f>
        <v>0</v>
      </c>
      <c r="M272" cm="1">
        <f t="array" aca="1" ref="M272" ca="1">INDIRECT(ADDRESS($B272,Plots!$H$4,,,Plots!$A$48))+INDIRECT(ADDRESS($B272,Plots!$H$4,,,Plots!$A$49))</f>
        <v>0</v>
      </c>
      <c r="N272" cm="1">
        <f t="array" aca="1" ref="N272" ca="1">INDIRECT(ADDRESS($B272,Plots!$H$4,,,Plots!$A$50))+INDIRECT(ADDRESS($B272,Plots!$H$4,,,Plots!$A$51))+INDIRECT(ADDRESS($B272,Plots!$H$4,,,Plots!$A$52))</f>
        <v>0</v>
      </c>
      <c r="O272" cm="1">
        <f t="array" aca="1" ref="O272" ca="1">INDIRECT(ADDRESS($B272,Plots!$H$4,,,Plots!$A$53))+INDIRECT(ADDRESS($B272,Plots!$H$4,,,Plots!$A$54))+INDIRECT(ADDRESS($B272,Plots!$H$4,,,Plots!$A$55))+INDIRECT(ADDRESS($B272,Plots!$H$4,,,Plots!$A$56))</f>
        <v>0</v>
      </c>
      <c r="P272" cm="1">
        <f t="array" aca="1" ref="P272" ca="1">INDIRECT(ADDRESS($B272,Plots!$H$4,,,Plots!$A$57))+INDIRECT(ADDRESS($B272,Plots!$H$4,,,Plots!$A$58))+INDIRECT(ADDRESS($B272,Plots!$H$4,,,Plots!$A$59))+INDIRECT(ADDRESS($B272,Plots!$H$4,,,Plots!$A$60))+INDIRECT(ADDRESS($B272,Plots!$H$4,,,Plots!$A$61))</f>
        <v>0</v>
      </c>
      <c r="Q272" cm="1">
        <f t="array" aca="1" ref="Q272" ca="1">INDIRECT(ADDRESS($B272,Plots!$H$4,,,Plots!$A$62))+INDIRECT(ADDRESS($B272,Plots!$H$4,,,Plots!$A$63))+INDIRECT(ADDRESS($B272,Plots!$H$4,,,Plots!$A$64))+INDIRECT(ADDRESS($B272,Plots!$H$4,,,Plots!$A$65))+INDIRECT(ADDRESS($B272,Plots!$H$4,,,Plots!$A$66))+INDIRECT(ADDRESS($B272,Plots!$H$4,,,Plots!$A$67))</f>
        <v>0</v>
      </c>
    </row>
    <row r="273" spans="1:17">
      <c r="A273">
        <f>'AARnetCBR-CamDTN1_tcpmon_ts_11'!A273</f>
        <v>0</v>
      </c>
      <c r="B273">
        <f t="shared" si="4"/>
        <v>273</v>
      </c>
      <c r="C273" cm="1">
        <f t="array" aca="1" ref="C273" ca="1">INDIRECT(ADDRESS($B273,Plots!$H$3,,,Plots!$A$47))</f>
        <v>0</v>
      </c>
      <c r="D273" cm="1">
        <f t="array" aca="1" ref="D273" ca="1">INDIRECT(ADDRESS($B273,Plots!$H$3,,,Plots!$A$48))+INDIRECT(ADDRESS($B273,Plots!$H$3,,,Plots!$A$49))</f>
        <v>0</v>
      </c>
      <c r="E273" cm="1">
        <f t="array" aca="1" ref="E273" ca="1">INDIRECT(ADDRESS($B273,Plots!$H$3,,,Plots!$A$50))+INDIRECT(ADDRESS($B273,Plots!$H$3,,,Plots!$A$51))+INDIRECT(ADDRESS($B273,Plots!$H$3,,,Plots!$A$52))</f>
        <v>0</v>
      </c>
      <c r="F273" cm="1">
        <f t="array" aca="1" ref="F273" ca="1">INDIRECT(ADDRESS($B273,Plots!$H$3,,,Plots!$A$53))+INDIRECT(ADDRESS($B273,Plots!$H$3,,,Plots!$A$54))+INDIRECT(ADDRESS($B273,Plots!$H$3,,,Plots!$A$55))+INDIRECT(ADDRESS($B273,Plots!$H$3,,,Plots!$A$56))</f>
        <v>0</v>
      </c>
      <c r="G273" cm="1">
        <f t="array" aca="1" ref="G273" ca="1">INDIRECT(ADDRESS($B273,Plots!$H$3,,,Plots!$A$57))+INDIRECT(ADDRESS($B273,Plots!$H$3,,,Plots!$A$58))+INDIRECT(ADDRESS($B273,Plots!$H$3,,,Plots!$A$59))+INDIRECT(ADDRESS($B273,Plots!$H$3,,,Plots!$A$60))+INDIRECT(ADDRESS($B273,Plots!$H$3,,,Plots!$A$61))</f>
        <v>0</v>
      </c>
      <c r="H273" cm="1">
        <f t="array" aca="1" ref="H273" ca="1">INDIRECT(ADDRESS($B273,Plots!$H$3,,,Plots!$A$62))+INDIRECT(ADDRESS($B273,Plots!$H$3,,,Plots!$A$63))+INDIRECT(ADDRESS($B273,Plots!$H$3,,,Plots!$A$64))+INDIRECT(ADDRESS($B273,Plots!$H$3,,,Plots!$A$65))+INDIRECT(ADDRESS($B273,Plots!$H$3,,,Plots!$A$66))+INDIRECT(ADDRESS($B273,Plots!$H$3,,,Plots!$A$67))</f>
        <v>0</v>
      </c>
      <c r="I273">
        <f>'AARnetCBR-CamDTN1_tcpmon_ts_81'!H277+'AARnetCBR-CamDTN1_tcpmon_ts_82'!H277+'AARnetCBR-CamDTN1_tcpmon_ts_83'!H277+'AARnetCBR-CamDTN1_tcpmon_ts_84'!H277+'AARnetCBR-CamDTN1_tcpmon_ts_85'!H277+'AARnetCBR-CamDTN1_tcpmon_ts_86'!H277+'AARnetCBR-CamDTN1_tcpmon_ts_87'!H277+'AARnetCBR-CamDTN1_tcpmon_ts_88'!H277</f>
        <v>0</v>
      </c>
      <c r="L273" cm="1">
        <f t="array" aca="1" ref="L273" ca="1">INDIRECT(ADDRESS($B273,Plots!$H$4,,,Plots!$A$47))</f>
        <v>0</v>
      </c>
      <c r="M273" cm="1">
        <f t="array" aca="1" ref="M273" ca="1">INDIRECT(ADDRESS($B273,Plots!$H$4,,,Plots!$A$48))+INDIRECT(ADDRESS($B273,Plots!$H$4,,,Plots!$A$49))</f>
        <v>0</v>
      </c>
      <c r="N273" cm="1">
        <f t="array" aca="1" ref="N273" ca="1">INDIRECT(ADDRESS($B273,Plots!$H$4,,,Plots!$A$50))+INDIRECT(ADDRESS($B273,Plots!$H$4,,,Plots!$A$51))+INDIRECT(ADDRESS($B273,Plots!$H$4,,,Plots!$A$52))</f>
        <v>0</v>
      </c>
      <c r="O273" cm="1">
        <f t="array" aca="1" ref="O273" ca="1">INDIRECT(ADDRESS($B273,Plots!$H$4,,,Plots!$A$53))+INDIRECT(ADDRESS($B273,Plots!$H$4,,,Plots!$A$54))+INDIRECT(ADDRESS($B273,Plots!$H$4,,,Plots!$A$55))+INDIRECT(ADDRESS($B273,Plots!$H$4,,,Plots!$A$56))</f>
        <v>0</v>
      </c>
      <c r="P273" cm="1">
        <f t="array" aca="1" ref="P273" ca="1">INDIRECT(ADDRESS($B273,Plots!$H$4,,,Plots!$A$57))+INDIRECT(ADDRESS($B273,Plots!$H$4,,,Plots!$A$58))+INDIRECT(ADDRESS($B273,Plots!$H$4,,,Plots!$A$59))+INDIRECT(ADDRESS($B273,Plots!$H$4,,,Plots!$A$60))+INDIRECT(ADDRESS($B273,Plots!$H$4,,,Plots!$A$61))</f>
        <v>0</v>
      </c>
      <c r="Q273" cm="1">
        <f t="array" aca="1" ref="Q273" ca="1">INDIRECT(ADDRESS($B273,Plots!$H$4,,,Plots!$A$62))+INDIRECT(ADDRESS($B273,Plots!$H$4,,,Plots!$A$63))+INDIRECT(ADDRESS($B273,Plots!$H$4,,,Plots!$A$64))+INDIRECT(ADDRESS($B273,Plots!$H$4,,,Plots!$A$65))+INDIRECT(ADDRESS($B273,Plots!$H$4,,,Plots!$A$66))+INDIRECT(ADDRESS($B273,Plots!$H$4,,,Plots!$A$67))</f>
        <v>0</v>
      </c>
    </row>
    <row r="274" spans="1:17">
      <c r="A274">
        <f>'AARnetCBR-CamDTN1_tcpmon_ts_11'!A274</f>
        <v>0</v>
      </c>
      <c r="B274">
        <f t="shared" si="4"/>
        <v>274</v>
      </c>
      <c r="C274" cm="1">
        <f t="array" aca="1" ref="C274" ca="1">INDIRECT(ADDRESS($B274,Plots!$H$3,,,Plots!$A$47))</f>
        <v>0</v>
      </c>
      <c r="D274" cm="1">
        <f t="array" aca="1" ref="D274" ca="1">INDIRECT(ADDRESS($B274,Plots!$H$3,,,Plots!$A$48))+INDIRECT(ADDRESS($B274,Plots!$H$3,,,Plots!$A$49))</f>
        <v>0</v>
      </c>
      <c r="E274" cm="1">
        <f t="array" aca="1" ref="E274" ca="1">INDIRECT(ADDRESS($B274,Plots!$H$3,,,Plots!$A$50))+INDIRECT(ADDRESS($B274,Plots!$H$3,,,Plots!$A$51))+INDIRECT(ADDRESS($B274,Plots!$H$3,,,Plots!$A$52))</f>
        <v>0</v>
      </c>
      <c r="F274" cm="1">
        <f t="array" aca="1" ref="F274" ca="1">INDIRECT(ADDRESS($B274,Plots!$H$3,,,Plots!$A$53))+INDIRECT(ADDRESS($B274,Plots!$H$3,,,Plots!$A$54))+INDIRECT(ADDRESS($B274,Plots!$H$3,,,Plots!$A$55))+INDIRECT(ADDRESS($B274,Plots!$H$3,,,Plots!$A$56))</f>
        <v>0</v>
      </c>
      <c r="G274" cm="1">
        <f t="array" aca="1" ref="G274" ca="1">INDIRECT(ADDRESS($B274,Plots!$H$3,,,Plots!$A$57))+INDIRECT(ADDRESS($B274,Plots!$H$3,,,Plots!$A$58))+INDIRECT(ADDRESS($B274,Plots!$H$3,,,Plots!$A$59))+INDIRECT(ADDRESS($B274,Plots!$H$3,,,Plots!$A$60))+INDIRECT(ADDRESS($B274,Plots!$H$3,,,Plots!$A$61))</f>
        <v>0</v>
      </c>
      <c r="H274" cm="1">
        <f t="array" aca="1" ref="H274" ca="1">INDIRECT(ADDRESS($B274,Plots!$H$3,,,Plots!$A$62))+INDIRECT(ADDRESS($B274,Plots!$H$3,,,Plots!$A$63))+INDIRECT(ADDRESS($B274,Plots!$H$3,,,Plots!$A$64))+INDIRECT(ADDRESS($B274,Plots!$H$3,,,Plots!$A$65))+INDIRECT(ADDRESS($B274,Plots!$H$3,,,Plots!$A$66))+INDIRECT(ADDRESS($B274,Plots!$H$3,,,Plots!$A$67))</f>
        <v>0</v>
      </c>
      <c r="I274">
        <f>'AARnetCBR-CamDTN1_tcpmon_ts_81'!H278+'AARnetCBR-CamDTN1_tcpmon_ts_82'!H278+'AARnetCBR-CamDTN1_tcpmon_ts_83'!H278+'AARnetCBR-CamDTN1_tcpmon_ts_84'!H278+'AARnetCBR-CamDTN1_tcpmon_ts_85'!H278+'AARnetCBR-CamDTN1_tcpmon_ts_86'!H278+'AARnetCBR-CamDTN1_tcpmon_ts_87'!H278+'AARnetCBR-CamDTN1_tcpmon_ts_88'!H278</f>
        <v>0</v>
      </c>
      <c r="L274" cm="1">
        <f t="array" aca="1" ref="L274" ca="1">INDIRECT(ADDRESS($B274,Plots!$H$4,,,Plots!$A$47))</f>
        <v>0</v>
      </c>
      <c r="M274" cm="1">
        <f t="array" aca="1" ref="M274" ca="1">INDIRECT(ADDRESS($B274,Plots!$H$4,,,Plots!$A$48))+INDIRECT(ADDRESS($B274,Plots!$H$4,,,Plots!$A$49))</f>
        <v>0</v>
      </c>
      <c r="N274" cm="1">
        <f t="array" aca="1" ref="N274" ca="1">INDIRECT(ADDRESS($B274,Plots!$H$4,,,Plots!$A$50))+INDIRECT(ADDRESS($B274,Plots!$H$4,,,Plots!$A$51))+INDIRECT(ADDRESS($B274,Plots!$H$4,,,Plots!$A$52))</f>
        <v>0</v>
      </c>
      <c r="O274" cm="1">
        <f t="array" aca="1" ref="O274" ca="1">INDIRECT(ADDRESS($B274,Plots!$H$4,,,Plots!$A$53))+INDIRECT(ADDRESS($B274,Plots!$H$4,,,Plots!$A$54))+INDIRECT(ADDRESS($B274,Plots!$H$4,,,Plots!$A$55))+INDIRECT(ADDRESS($B274,Plots!$H$4,,,Plots!$A$56))</f>
        <v>0</v>
      </c>
      <c r="P274" cm="1">
        <f t="array" aca="1" ref="P274" ca="1">INDIRECT(ADDRESS($B274,Plots!$H$4,,,Plots!$A$57))+INDIRECT(ADDRESS($B274,Plots!$H$4,,,Plots!$A$58))+INDIRECT(ADDRESS($B274,Plots!$H$4,,,Plots!$A$59))+INDIRECT(ADDRESS($B274,Plots!$H$4,,,Plots!$A$60))+INDIRECT(ADDRESS($B274,Plots!$H$4,,,Plots!$A$61))</f>
        <v>0</v>
      </c>
      <c r="Q274" cm="1">
        <f t="array" aca="1" ref="Q274" ca="1">INDIRECT(ADDRESS($B274,Plots!$H$4,,,Plots!$A$62))+INDIRECT(ADDRESS($B274,Plots!$H$4,,,Plots!$A$63))+INDIRECT(ADDRESS($B274,Plots!$H$4,,,Plots!$A$64))+INDIRECT(ADDRESS($B274,Plots!$H$4,,,Plots!$A$65))+INDIRECT(ADDRESS($B274,Plots!$H$4,,,Plots!$A$66))+INDIRECT(ADDRESS($B274,Plots!$H$4,,,Plots!$A$67))</f>
        <v>0</v>
      </c>
    </row>
    <row r="275" spans="1:17">
      <c r="A275">
        <f>'AARnetCBR-CamDTN1_tcpmon_ts_11'!A275</f>
        <v>0</v>
      </c>
      <c r="B275">
        <f t="shared" si="4"/>
        <v>275</v>
      </c>
      <c r="C275" cm="1">
        <f t="array" aca="1" ref="C275" ca="1">INDIRECT(ADDRESS($B275,Plots!$H$3,,,Plots!$A$47))</f>
        <v>0</v>
      </c>
      <c r="D275" cm="1">
        <f t="array" aca="1" ref="D275" ca="1">INDIRECT(ADDRESS($B275,Plots!$H$3,,,Plots!$A$48))+INDIRECT(ADDRESS($B275,Plots!$H$3,,,Plots!$A$49))</f>
        <v>0</v>
      </c>
      <c r="E275" cm="1">
        <f t="array" aca="1" ref="E275" ca="1">INDIRECT(ADDRESS($B275,Plots!$H$3,,,Plots!$A$50))+INDIRECT(ADDRESS($B275,Plots!$H$3,,,Plots!$A$51))+INDIRECT(ADDRESS($B275,Plots!$H$3,,,Plots!$A$52))</f>
        <v>0</v>
      </c>
      <c r="F275" cm="1">
        <f t="array" aca="1" ref="F275" ca="1">INDIRECT(ADDRESS($B275,Plots!$H$3,,,Plots!$A$53))+INDIRECT(ADDRESS($B275,Plots!$H$3,,,Plots!$A$54))+INDIRECT(ADDRESS($B275,Plots!$H$3,,,Plots!$A$55))+INDIRECT(ADDRESS($B275,Plots!$H$3,,,Plots!$A$56))</f>
        <v>0</v>
      </c>
      <c r="G275" cm="1">
        <f t="array" aca="1" ref="G275" ca="1">INDIRECT(ADDRESS($B275,Plots!$H$3,,,Plots!$A$57))+INDIRECT(ADDRESS($B275,Plots!$H$3,,,Plots!$A$58))+INDIRECT(ADDRESS($B275,Plots!$H$3,,,Plots!$A$59))+INDIRECT(ADDRESS($B275,Plots!$H$3,,,Plots!$A$60))+INDIRECT(ADDRESS($B275,Plots!$H$3,,,Plots!$A$61))</f>
        <v>0</v>
      </c>
      <c r="H275" cm="1">
        <f t="array" aca="1" ref="H275" ca="1">INDIRECT(ADDRESS($B275,Plots!$H$3,,,Plots!$A$62))+INDIRECT(ADDRESS($B275,Plots!$H$3,,,Plots!$A$63))+INDIRECT(ADDRESS($B275,Plots!$H$3,,,Plots!$A$64))+INDIRECT(ADDRESS($B275,Plots!$H$3,,,Plots!$A$65))+INDIRECT(ADDRESS($B275,Plots!$H$3,,,Plots!$A$66))+INDIRECT(ADDRESS($B275,Plots!$H$3,,,Plots!$A$67))</f>
        <v>0</v>
      </c>
      <c r="I275">
        <f>'AARnetCBR-CamDTN1_tcpmon_ts_81'!H279+'AARnetCBR-CamDTN1_tcpmon_ts_82'!H279+'AARnetCBR-CamDTN1_tcpmon_ts_83'!H279+'AARnetCBR-CamDTN1_tcpmon_ts_84'!H279+'AARnetCBR-CamDTN1_tcpmon_ts_85'!H279+'AARnetCBR-CamDTN1_tcpmon_ts_86'!H279+'AARnetCBR-CamDTN1_tcpmon_ts_87'!H279+'AARnetCBR-CamDTN1_tcpmon_ts_88'!H279</f>
        <v>0</v>
      </c>
      <c r="L275" cm="1">
        <f t="array" aca="1" ref="L275" ca="1">INDIRECT(ADDRESS($B275,Plots!$H$4,,,Plots!$A$47))</f>
        <v>0</v>
      </c>
      <c r="M275" cm="1">
        <f t="array" aca="1" ref="M275" ca="1">INDIRECT(ADDRESS($B275,Plots!$H$4,,,Plots!$A$48))+INDIRECT(ADDRESS($B275,Plots!$H$4,,,Plots!$A$49))</f>
        <v>0</v>
      </c>
      <c r="N275" cm="1">
        <f t="array" aca="1" ref="N275" ca="1">INDIRECT(ADDRESS($B275,Plots!$H$4,,,Plots!$A$50))+INDIRECT(ADDRESS($B275,Plots!$H$4,,,Plots!$A$51))+INDIRECT(ADDRESS($B275,Plots!$H$4,,,Plots!$A$52))</f>
        <v>0</v>
      </c>
      <c r="O275" cm="1">
        <f t="array" aca="1" ref="O275" ca="1">INDIRECT(ADDRESS($B275,Plots!$H$4,,,Plots!$A$53))+INDIRECT(ADDRESS($B275,Plots!$H$4,,,Plots!$A$54))+INDIRECT(ADDRESS($B275,Plots!$H$4,,,Plots!$A$55))+INDIRECT(ADDRESS($B275,Plots!$H$4,,,Plots!$A$56))</f>
        <v>0</v>
      </c>
      <c r="P275" cm="1">
        <f t="array" aca="1" ref="P275" ca="1">INDIRECT(ADDRESS($B275,Plots!$H$4,,,Plots!$A$57))+INDIRECT(ADDRESS($B275,Plots!$H$4,,,Plots!$A$58))+INDIRECT(ADDRESS($B275,Plots!$H$4,,,Plots!$A$59))+INDIRECT(ADDRESS($B275,Plots!$H$4,,,Plots!$A$60))+INDIRECT(ADDRESS($B275,Plots!$H$4,,,Plots!$A$61))</f>
        <v>0</v>
      </c>
      <c r="Q275" cm="1">
        <f t="array" aca="1" ref="Q275" ca="1">INDIRECT(ADDRESS($B275,Plots!$H$4,,,Plots!$A$62))+INDIRECT(ADDRESS($B275,Plots!$H$4,,,Plots!$A$63))+INDIRECT(ADDRESS($B275,Plots!$H$4,,,Plots!$A$64))+INDIRECT(ADDRESS($B275,Plots!$H$4,,,Plots!$A$65))+INDIRECT(ADDRESS($B275,Plots!$H$4,,,Plots!$A$66))+INDIRECT(ADDRESS($B275,Plots!$H$4,,,Plots!$A$67))</f>
        <v>0</v>
      </c>
    </row>
    <row r="276" spans="1:17">
      <c r="A276">
        <f>'AARnetCBR-CamDTN1_tcpmon_ts_11'!A276</f>
        <v>0</v>
      </c>
      <c r="B276">
        <f t="shared" si="4"/>
        <v>276</v>
      </c>
      <c r="C276" cm="1">
        <f t="array" aca="1" ref="C276" ca="1">INDIRECT(ADDRESS($B276,Plots!$H$3,,,Plots!$A$47))</f>
        <v>0</v>
      </c>
      <c r="D276" cm="1">
        <f t="array" aca="1" ref="D276" ca="1">INDIRECT(ADDRESS($B276,Plots!$H$3,,,Plots!$A$48))+INDIRECT(ADDRESS($B276,Plots!$H$3,,,Plots!$A$49))</f>
        <v>0</v>
      </c>
      <c r="E276" cm="1">
        <f t="array" aca="1" ref="E276" ca="1">INDIRECT(ADDRESS($B276,Plots!$H$3,,,Plots!$A$50))+INDIRECT(ADDRESS($B276,Plots!$H$3,,,Plots!$A$51))+INDIRECT(ADDRESS($B276,Plots!$H$3,,,Plots!$A$52))</f>
        <v>0</v>
      </c>
      <c r="F276" cm="1">
        <f t="array" aca="1" ref="F276" ca="1">INDIRECT(ADDRESS($B276,Plots!$H$3,,,Plots!$A$53))+INDIRECT(ADDRESS($B276,Plots!$H$3,,,Plots!$A$54))+INDIRECT(ADDRESS($B276,Plots!$H$3,,,Plots!$A$55))+INDIRECT(ADDRESS($B276,Plots!$H$3,,,Plots!$A$56))</f>
        <v>0</v>
      </c>
      <c r="G276" cm="1">
        <f t="array" aca="1" ref="G276" ca="1">INDIRECT(ADDRESS($B276,Plots!$H$3,,,Plots!$A$57))+INDIRECT(ADDRESS($B276,Plots!$H$3,,,Plots!$A$58))+INDIRECT(ADDRESS($B276,Plots!$H$3,,,Plots!$A$59))+INDIRECT(ADDRESS($B276,Plots!$H$3,,,Plots!$A$60))+INDIRECT(ADDRESS($B276,Plots!$H$3,,,Plots!$A$61))</f>
        <v>0</v>
      </c>
      <c r="H276" cm="1">
        <f t="array" aca="1" ref="H276" ca="1">INDIRECT(ADDRESS($B276,Plots!$H$3,,,Plots!$A$62))+INDIRECT(ADDRESS($B276,Plots!$H$3,,,Plots!$A$63))+INDIRECT(ADDRESS($B276,Plots!$H$3,,,Plots!$A$64))+INDIRECT(ADDRESS($B276,Plots!$H$3,,,Plots!$A$65))+INDIRECT(ADDRESS($B276,Plots!$H$3,,,Plots!$A$66))+INDIRECT(ADDRESS($B276,Plots!$H$3,,,Plots!$A$67))</f>
        <v>0</v>
      </c>
      <c r="I276">
        <f>'AARnetCBR-CamDTN1_tcpmon_ts_81'!H280+'AARnetCBR-CamDTN1_tcpmon_ts_82'!H280+'AARnetCBR-CamDTN1_tcpmon_ts_83'!H280+'AARnetCBR-CamDTN1_tcpmon_ts_84'!H280+'AARnetCBR-CamDTN1_tcpmon_ts_85'!H280+'AARnetCBR-CamDTN1_tcpmon_ts_86'!H280+'AARnetCBR-CamDTN1_tcpmon_ts_87'!H280+'AARnetCBR-CamDTN1_tcpmon_ts_88'!H280</f>
        <v>0</v>
      </c>
      <c r="L276" cm="1">
        <f t="array" aca="1" ref="L276" ca="1">INDIRECT(ADDRESS($B276,Plots!$H$4,,,Plots!$A$47))</f>
        <v>0</v>
      </c>
      <c r="M276" cm="1">
        <f t="array" aca="1" ref="M276" ca="1">INDIRECT(ADDRESS($B276,Plots!$H$4,,,Plots!$A$48))+INDIRECT(ADDRESS($B276,Plots!$H$4,,,Plots!$A$49))</f>
        <v>0</v>
      </c>
      <c r="N276" cm="1">
        <f t="array" aca="1" ref="N276" ca="1">INDIRECT(ADDRESS($B276,Plots!$H$4,,,Plots!$A$50))+INDIRECT(ADDRESS($B276,Plots!$H$4,,,Plots!$A$51))+INDIRECT(ADDRESS($B276,Plots!$H$4,,,Plots!$A$52))</f>
        <v>0</v>
      </c>
      <c r="O276" cm="1">
        <f t="array" aca="1" ref="O276" ca="1">INDIRECT(ADDRESS($B276,Plots!$H$4,,,Plots!$A$53))+INDIRECT(ADDRESS($B276,Plots!$H$4,,,Plots!$A$54))+INDIRECT(ADDRESS($B276,Plots!$H$4,,,Plots!$A$55))+INDIRECT(ADDRESS($B276,Plots!$H$4,,,Plots!$A$56))</f>
        <v>0</v>
      </c>
      <c r="P276" cm="1">
        <f t="array" aca="1" ref="P276" ca="1">INDIRECT(ADDRESS($B276,Plots!$H$4,,,Plots!$A$57))+INDIRECT(ADDRESS($B276,Plots!$H$4,,,Plots!$A$58))+INDIRECT(ADDRESS($B276,Plots!$H$4,,,Plots!$A$59))+INDIRECT(ADDRESS($B276,Plots!$H$4,,,Plots!$A$60))+INDIRECT(ADDRESS($B276,Plots!$H$4,,,Plots!$A$61))</f>
        <v>0</v>
      </c>
      <c r="Q276" cm="1">
        <f t="array" aca="1" ref="Q276" ca="1">INDIRECT(ADDRESS($B276,Plots!$H$4,,,Plots!$A$62))+INDIRECT(ADDRESS($B276,Plots!$H$4,,,Plots!$A$63))+INDIRECT(ADDRESS($B276,Plots!$H$4,,,Plots!$A$64))+INDIRECT(ADDRESS($B276,Plots!$H$4,,,Plots!$A$65))+INDIRECT(ADDRESS($B276,Plots!$H$4,,,Plots!$A$66))+INDIRECT(ADDRESS($B276,Plots!$H$4,,,Plots!$A$67))</f>
        <v>0</v>
      </c>
    </row>
    <row r="277" spans="1:17">
      <c r="A277">
        <f>'AARnetCBR-CamDTN1_tcpmon_ts_11'!A277</f>
        <v>0</v>
      </c>
      <c r="B277">
        <f t="shared" si="4"/>
        <v>277</v>
      </c>
      <c r="C277" cm="1">
        <f t="array" aca="1" ref="C277" ca="1">INDIRECT(ADDRESS($B277,Plots!$H$3,,,Plots!$A$47))</f>
        <v>0</v>
      </c>
      <c r="D277" cm="1">
        <f t="array" aca="1" ref="D277" ca="1">INDIRECT(ADDRESS($B277,Plots!$H$3,,,Plots!$A$48))+INDIRECT(ADDRESS($B277,Plots!$H$3,,,Plots!$A$49))</f>
        <v>0</v>
      </c>
      <c r="E277" cm="1">
        <f t="array" aca="1" ref="E277" ca="1">INDIRECT(ADDRESS($B277,Plots!$H$3,,,Plots!$A$50))+INDIRECT(ADDRESS($B277,Plots!$H$3,,,Plots!$A$51))+INDIRECT(ADDRESS($B277,Plots!$H$3,,,Plots!$A$52))</f>
        <v>0</v>
      </c>
      <c r="F277" cm="1">
        <f t="array" aca="1" ref="F277" ca="1">INDIRECT(ADDRESS($B277,Plots!$H$3,,,Plots!$A$53))+INDIRECT(ADDRESS($B277,Plots!$H$3,,,Plots!$A$54))+INDIRECT(ADDRESS($B277,Plots!$H$3,,,Plots!$A$55))+INDIRECT(ADDRESS($B277,Plots!$H$3,,,Plots!$A$56))</f>
        <v>0</v>
      </c>
      <c r="G277" cm="1">
        <f t="array" aca="1" ref="G277" ca="1">INDIRECT(ADDRESS($B277,Plots!$H$3,,,Plots!$A$57))+INDIRECT(ADDRESS($B277,Plots!$H$3,,,Plots!$A$58))+INDIRECT(ADDRESS($B277,Plots!$H$3,,,Plots!$A$59))+INDIRECT(ADDRESS($B277,Plots!$H$3,,,Plots!$A$60))+INDIRECT(ADDRESS($B277,Plots!$H$3,,,Plots!$A$61))</f>
        <v>0</v>
      </c>
      <c r="H277" cm="1">
        <f t="array" aca="1" ref="H277" ca="1">INDIRECT(ADDRESS($B277,Plots!$H$3,,,Plots!$A$62))+INDIRECT(ADDRESS($B277,Plots!$H$3,,,Plots!$A$63))+INDIRECT(ADDRESS($B277,Plots!$H$3,,,Plots!$A$64))+INDIRECT(ADDRESS($B277,Plots!$H$3,,,Plots!$A$65))+INDIRECT(ADDRESS($B277,Plots!$H$3,,,Plots!$A$66))+INDIRECT(ADDRESS($B277,Plots!$H$3,,,Plots!$A$67))</f>
        <v>0</v>
      </c>
      <c r="I277">
        <f>'AARnetCBR-CamDTN1_tcpmon_ts_81'!H281+'AARnetCBR-CamDTN1_tcpmon_ts_82'!H281+'AARnetCBR-CamDTN1_tcpmon_ts_83'!H281+'AARnetCBR-CamDTN1_tcpmon_ts_84'!H281+'AARnetCBR-CamDTN1_tcpmon_ts_85'!H281+'AARnetCBR-CamDTN1_tcpmon_ts_86'!H281+'AARnetCBR-CamDTN1_tcpmon_ts_87'!H281+'AARnetCBR-CamDTN1_tcpmon_ts_88'!H281</f>
        <v>0</v>
      </c>
      <c r="L277" cm="1">
        <f t="array" aca="1" ref="L277" ca="1">INDIRECT(ADDRESS($B277,Plots!$H$4,,,Plots!$A$47))</f>
        <v>0</v>
      </c>
      <c r="M277" cm="1">
        <f t="array" aca="1" ref="M277" ca="1">INDIRECT(ADDRESS($B277,Plots!$H$4,,,Plots!$A$48))+INDIRECT(ADDRESS($B277,Plots!$H$4,,,Plots!$A$49))</f>
        <v>0</v>
      </c>
      <c r="N277" cm="1">
        <f t="array" aca="1" ref="N277" ca="1">INDIRECT(ADDRESS($B277,Plots!$H$4,,,Plots!$A$50))+INDIRECT(ADDRESS($B277,Plots!$H$4,,,Plots!$A$51))+INDIRECT(ADDRESS($B277,Plots!$H$4,,,Plots!$A$52))</f>
        <v>0</v>
      </c>
      <c r="O277" cm="1">
        <f t="array" aca="1" ref="O277" ca="1">INDIRECT(ADDRESS($B277,Plots!$H$4,,,Plots!$A$53))+INDIRECT(ADDRESS($B277,Plots!$H$4,,,Plots!$A$54))+INDIRECT(ADDRESS($B277,Plots!$H$4,,,Plots!$A$55))+INDIRECT(ADDRESS($B277,Plots!$H$4,,,Plots!$A$56))</f>
        <v>0</v>
      </c>
      <c r="P277" cm="1">
        <f t="array" aca="1" ref="P277" ca="1">INDIRECT(ADDRESS($B277,Plots!$H$4,,,Plots!$A$57))+INDIRECT(ADDRESS($B277,Plots!$H$4,,,Plots!$A$58))+INDIRECT(ADDRESS($B277,Plots!$H$4,,,Plots!$A$59))+INDIRECT(ADDRESS($B277,Plots!$H$4,,,Plots!$A$60))+INDIRECT(ADDRESS($B277,Plots!$H$4,,,Plots!$A$61))</f>
        <v>0</v>
      </c>
      <c r="Q277" cm="1">
        <f t="array" aca="1" ref="Q277" ca="1">INDIRECT(ADDRESS($B277,Plots!$H$4,,,Plots!$A$62))+INDIRECT(ADDRESS($B277,Plots!$H$4,,,Plots!$A$63))+INDIRECT(ADDRESS($B277,Plots!$H$4,,,Plots!$A$64))+INDIRECT(ADDRESS($B277,Plots!$H$4,,,Plots!$A$65))+INDIRECT(ADDRESS($B277,Plots!$H$4,,,Plots!$A$66))+INDIRECT(ADDRESS($B277,Plots!$H$4,,,Plots!$A$67))</f>
        <v>0</v>
      </c>
    </row>
    <row r="278" spans="1:17">
      <c r="A278">
        <f>'AARnetCBR-CamDTN1_tcpmon_ts_11'!A278</f>
        <v>0</v>
      </c>
      <c r="B278">
        <f t="shared" si="4"/>
        <v>278</v>
      </c>
      <c r="C278" cm="1">
        <f t="array" aca="1" ref="C278" ca="1">INDIRECT(ADDRESS($B278,Plots!$H$3,,,Plots!$A$47))</f>
        <v>0</v>
      </c>
      <c r="D278" cm="1">
        <f t="array" aca="1" ref="D278" ca="1">INDIRECT(ADDRESS($B278,Plots!$H$3,,,Plots!$A$48))+INDIRECT(ADDRESS($B278,Plots!$H$3,,,Plots!$A$49))</f>
        <v>0</v>
      </c>
      <c r="E278" cm="1">
        <f t="array" aca="1" ref="E278" ca="1">INDIRECT(ADDRESS($B278,Plots!$H$3,,,Plots!$A$50))+INDIRECT(ADDRESS($B278,Plots!$H$3,,,Plots!$A$51))+INDIRECT(ADDRESS($B278,Plots!$H$3,,,Plots!$A$52))</f>
        <v>0</v>
      </c>
      <c r="F278" cm="1">
        <f t="array" aca="1" ref="F278" ca="1">INDIRECT(ADDRESS($B278,Plots!$H$3,,,Plots!$A$53))+INDIRECT(ADDRESS($B278,Plots!$H$3,,,Plots!$A$54))+INDIRECT(ADDRESS($B278,Plots!$H$3,,,Plots!$A$55))+INDIRECT(ADDRESS($B278,Plots!$H$3,,,Plots!$A$56))</f>
        <v>0</v>
      </c>
      <c r="G278" cm="1">
        <f t="array" aca="1" ref="G278" ca="1">INDIRECT(ADDRESS($B278,Plots!$H$3,,,Plots!$A$57))+INDIRECT(ADDRESS($B278,Plots!$H$3,,,Plots!$A$58))+INDIRECT(ADDRESS($B278,Plots!$H$3,,,Plots!$A$59))+INDIRECT(ADDRESS($B278,Plots!$H$3,,,Plots!$A$60))+INDIRECT(ADDRESS($B278,Plots!$H$3,,,Plots!$A$61))</f>
        <v>0</v>
      </c>
      <c r="H278" cm="1">
        <f t="array" aca="1" ref="H278" ca="1">INDIRECT(ADDRESS($B278,Plots!$H$3,,,Plots!$A$62))+INDIRECT(ADDRESS($B278,Plots!$H$3,,,Plots!$A$63))+INDIRECT(ADDRESS($B278,Plots!$H$3,,,Plots!$A$64))+INDIRECT(ADDRESS($B278,Plots!$H$3,,,Plots!$A$65))+INDIRECT(ADDRESS($B278,Plots!$H$3,,,Plots!$A$66))+INDIRECT(ADDRESS($B278,Plots!$H$3,,,Plots!$A$67))</f>
        <v>0</v>
      </c>
      <c r="I278">
        <f>'AARnetCBR-CamDTN1_tcpmon_ts_81'!H282+'AARnetCBR-CamDTN1_tcpmon_ts_82'!H282+'AARnetCBR-CamDTN1_tcpmon_ts_83'!H282+'AARnetCBR-CamDTN1_tcpmon_ts_84'!H282+'AARnetCBR-CamDTN1_tcpmon_ts_85'!H282+'AARnetCBR-CamDTN1_tcpmon_ts_86'!H282+'AARnetCBR-CamDTN1_tcpmon_ts_87'!H282+'AARnetCBR-CamDTN1_tcpmon_ts_88'!H282</f>
        <v>0</v>
      </c>
      <c r="L278" cm="1">
        <f t="array" aca="1" ref="L278" ca="1">INDIRECT(ADDRESS($B278,Plots!$H$4,,,Plots!$A$47))</f>
        <v>0</v>
      </c>
      <c r="M278" cm="1">
        <f t="array" aca="1" ref="M278" ca="1">INDIRECT(ADDRESS($B278,Plots!$H$4,,,Plots!$A$48))+INDIRECT(ADDRESS($B278,Plots!$H$4,,,Plots!$A$49))</f>
        <v>0</v>
      </c>
      <c r="N278" cm="1">
        <f t="array" aca="1" ref="N278" ca="1">INDIRECT(ADDRESS($B278,Plots!$H$4,,,Plots!$A$50))+INDIRECT(ADDRESS($B278,Plots!$H$4,,,Plots!$A$51))+INDIRECT(ADDRESS($B278,Plots!$H$4,,,Plots!$A$52))</f>
        <v>0</v>
      </c>
      <c r="O278" cm="1">
        <f t="array" aca="1" ref="O278" ca="1">INDIRECT(ADDRESS($B278,Plots!$H$4,,,Plots!$A$53))+INDIRECT(ADDRESS($B278,Plots!$H$4,,,Plots!$A$54))+INDIRECT(ADDRESS($B278,Plots!$H$4,,,Plots!$A$55))+INDIRECT(ADDRESS($B278,Plots!$H$4,,,Plots!$A$56))</f>
        <v>0</v>
      </c>
      <c r="P278" cm="1">
        <f t="array" aca="1" ref="P278" ca="1">INDIRECT(ADDRESS($B278,Plots!$H$4,,,Plots!$A$57))+INDIRECT(ADDRESS($B278,Plots!$H$4,,,Plots!$A$58))+INDIRECT(ADDRESS($B278,Plots!$H$4,,,Plots!$A$59))+INDIRECT(ADDRESS($B278,Plots!$H$4,,,Plots!$A$60))+INDIRECT(ADDRESS($B278,Plots!$H$4,,,Plots!$A$61))</f>
        <v>0</v>
      </c>
      <c r="Q278" cm="1">
        <f t="array" aca="1" ref="Q278" ca="1">INDIRECT(ADDRESS($B278,Plots!$H$4,,,Plots!$A$62))+INDIRECT(ADDRESS($B278,Plots!$H$4,,,Plots!$A$63))+INDIRECT(ADDRESS($B278,Plots!$H$4,,,Plots!$A$64))+INDIRECT(ADDRESS($B278,Plots!$H$4,,,Plots!$A$65))+INDIRECT(ADDRESS($B278,Plots!$H$4,,,Plots!$A$66))+INDIRECT(ADDRESS($B278,Plots!$H$4,,,Plots!$A$67))</f>
        <v>0</v>
      </c>
    </row>
    <row r="279" spans="1:17">
      <c r="A279">
        <f>'AARnetCBR-CamDTN1_tcpmon_ts_11'!A279</f>
        <v>0</v>
      </c>
      <c r="B279">
        <f t="shared" si="4"/>
        <v>279</v>
      </c>
      <c r="C279" cm="1">
        <f t="array" aca="1" ref="C279" ca="1">INDIRECT(ADDRESS($B279,Plots!$H$3,,,Plots!$A$47))</f>
        <v>0</v>
      </c>
      <c r="D279" cm="1">
        <f t="array" aca="1" ref="D279" ca="1">INDIRECT(ADDRESS($B279,Plots!$H$3,,,Plots!$A$48))+INDIRECT(ADDRESS($B279,Plots!$H$3,,,Plots!$A$49))</f>
        <v>0</v>
      </c>
      <c r="E279" cm="1">
        <f t="array" aca="1" ref="E279" ca="1">INDIRECT(ADDRESS($B279,Plots!$H$3,,,Plots!$A$50))+INDIRECT(ADDRESS($B279,Plots!$H$3,,,Plots!$A$51))+INDIRECT(ADDRESS($B279,Plots!$H$3,,,Plots!$A$52))</f>
        <v>0</v>
      </c>
      <c r="F279" cm="1">
        <f t="array" aca="1" ref="F279" ca="1">INDIRECT(ADDRESS($B279,Plots!$H$3,,,Plots!$A$53))+INDIRECT(ADDRESS($B279,Plots!$H$3,,,Plots!$A$54))+INDIRECT(ADDRESS($B279,Plots!$H$3,,,Plots!$A$55))+INDIRECT(ADDRESS($B279,Plots!$H$3,,,Plots!$A$56))</f>
        <v>0</v>
      </c>
      <c r="G279" cm="1">
        <f t="array" aca="1" ref="G279" ca="1">INDIRECT(ADDRESS($B279,Plots!$H$3,,,Plots!$A$57))+INDIRECT(ADDRESS($B279,Plots!$H$3,,,Plots!$A$58))+INDIRECT(ADDRESS($B279,Plots!$H$3,,,Plots!$A$59))+INDIRECT(ADDRESS($B279,Plots!$H$3,,,Plots!$A$60))+INDIRECT(ADDRESS($B279,Plots!$H$3,,,Plots!$A$61))</f>
        <v>0</v>
      </c>
      <c r="H279" cm="1">
        <f t="array" aca="1" ref="H279" ca="1">INDIRECT(ADDRESS($B279,Plots!$H$3,,,Plots!$A$62))+INDIRECT(ADDRESS($B279,Plots!$H$3,,,Plots!$A$63))+INDIRECT(ADDRESS($B279,Plots!$H$3,,,Plots!$A$64))+INDIRECT(ADDRESS($B279,Plots!$H$3,,,Plots!$A$65))+INDIRECT(ADDRESS($B279,Plots!$H$3,,,Plots!$A$66))+INDIRECT(ADDRESS($B279,Plots!$H$3,,,Plots!$A$67))</f>
        <v>0</v>
      </c>
      <c r="I279">
        <f>'AARnetCBR-CamDTN1_tcpmon_ts_81'!H283+'AARnetCBR-CamDTN1_tcpmon_ts_82'!H283+'AARnetCBR-CamDTN1_tcpmon_ts_83'!H283+'AARnetCBR-CamDTN1_tcpmon_ts_84'!H283+'AARnetCBR-CamDTN1_tcpmon_ts_85'!H283+'AARnetCBR-CamDTN1_tcpmon_ts_86'!H283+'AARnetCBR-CamDTN1_tcpmon_ts_87'!H283+'AARnetCBR-CamDTN1_tcpmon_ts_88'!H283</f>
        <v>0</v>
      </c>
      <c r="L279" cm="1">
        <f t="array" aca="1" ref="L279" ca="1">INDIRECT(ADDRESS($B279,Plots!$H$4,,,Plots!$A$47))</f>
        <v>0</v>
      </c>
      <c r="M279" cm="1">
        <f t="array" aca="1" ref="M279" ca="1">INDIRECT(ADDRESS($B279,Plots!$H$4,,,Plots!$A$48))+INDIRECT(ADDRESS($B279,Plots!$H$4,,,Plots!$A$49))</f>
        <v>0</v>
      </c>
      <c r="N279" cm="1">
        <f t="array" aca="1" ref="N279" ca="1">INDIRECT(ADDRESS($B279,Plots!$H$4,,,Plots!$A$50))+INDIRECT(ADDRESS($B279,Plots!$H$4,,,Plots!$A$51))+INDIRECT(ADDRESS($B279,Plots!$H$4,,,Plots!$A$52))</f>
        <v>0</v>
      </c>
      <c r="O279" cm="1">
        <f t="array" aca="1" ref="O279" ca="1">INDIRECT(ADDRESS($B279,Plots!$H$4,,,Plots!$A$53))+INDIRECT(ADDRESS($B279,Plots!$H$4,,,Plots!$A$54))+INDIRECT(ADDRESS($B279,Plots!$H$4,,,Plots!$A$55))+INDIRECT(ADDRESS($B279,Plots!$H$4,,,Plots!$A$56))</f>
        <v>0</v>
      </c>
      <c r="P279" cm="1">
        <f t="array" aca="1" ref="P279" ca="1">INDIRECT(ADDRESS($B279,Plots!$H$4,,,Plots!$A$57))+INDIRECT(ADDRESS($B279,Plots!$H$4,,,Plots!$A$58))+INDIRECT(ADDRESS($B279,Plots!$H$4,,,Plots!$A$59))+INDIRECT(ADDRESS($B279,Plots!$H$4,,,Plots!$A$60))+INDIRECT(ADDRESS($B279,Plots!$H$4,,,Plots!$A$61))</f>
        <v>0</v>
      </c>
      <c r="Q279" cm="1">
        <f t="array" aca="1" ref="Q279" ca="1">INDIRECT(ADDRESS($B279,Plots!$H$4,,,Plots!$A$62))+INDIRECT(ADDRESS($B279,Plots!$H$4,,,Plots!$A$63))+INDIRECT(ADDRESS($B279,Plots!$H$4,,,Plots!$A$64))+INDIRECT(ADDRESS($B279,Plots!$H$4,,,Plots!$A$65))+INDIRECT(ADDRESS($B279,Plots!$H$4,,,Plots!$A$66))+INDIRECT(ADDRESS($B279,Plots!$H$4,,,Plots!$A$67))</f>
        <v>0</v>
      </c>
    </row>
    <row r="280" spans="1:17">
      <c r="A280">
        <f>'AARnetCBR-CamDTN1_tcpmon_ts_11'!A280</f>
        <v>0</v>
      </c>
      <c r="B280">
        <f t="shared" si="4"/>
        <v>280</v>
      </c>
      <c r="C280" cm="1">
        <f t="array" aca="1" ref="C280" ca="1">INDIRECT(ADDRESS($B280,Plots!$H$3,,,Plots!$A$47))</f>
        <v>0</v>
      </c>
      <c r="D280" cm="1">
        <f t="array" aca="1" ref="D280" ca="1">INDIRECT(ADDRESS($B280,Plots!$H$3,,,Plots!$A$48))+INDIRECT(ADDRESS($B280,Plots!$H$3,,,Plots!$A$49))</f>
        <v>0</v>
      </c>
      <c r="E280" cm="1">
        <f t="array" aca="1" ref="E280" ca="1">INDIRECT(ADDRESS($B280,Plots!$H$3,,,Plots!$A$50))+INDIRECT(ADDRESS($B280,Plots!$H$3,,,Plots!$A$51))+INDIRECT(ADDRESS($B280,Plots!$H$3,,,Plots!$A$52))</f>
        <v>0</v>
      </c>
      <c r="F280" cm="1">
        <f t="array" aca="1" ref="F280" ca="1">INDIRECT(ADDRESS($B280,Plots!$H$3,,,Plots!$A$53))+INDIRECT(ADDRESS($B280,Plots!$H$3,,,Plots!$A$54))+INDIRECT(ADDRESS($B280,Plots!$H$3,,,Plots!$A$55))+INDIRECT(ADDRESS($B280,Plots!$H$3,,,Plots!$A$56))</f>
        <v>0</v>
      </c>
      <c r="G280" cm="1">
        <f t="array" aca="1" ref="G280" ca="1">INDIRECT(ADDRESS($B280,Plots!$H$3,,,Plots!$A$57))+INDIRECT(ADDRESS($B280,Plots!$H$3,,,Plots!$A$58))+INDIRECT(ADDRESS($B280,Plots!$H$3,,,Plots!$A$59))+INDIRECT(ADDRESS($B280,Plots!$H$3,,,Plots!$A$60))+INDIRECT(ADDRESS($B280,Plots!$H$3,,,Plots!$A$61))</f>
        <v>0</v>
      </c>
      <c r="H280" cm="1">
        <f t="array" aca="1" ref="H280" ca="1">INDIRECT(ADDRESS($B280,Plots!$H$3,,,Plots!$A$62))+INDIRECT(ADDRESS($B280,Plots!$H$3,,,Plots!$A$63))+INDIRECT(ADDRESS($B280,Plots!$H$3,,,Plots!$A$64))+INDIRECT(ADDRESS($B280,Plots!$H$3,,,Plots!$A$65))+INDIRECT(ADDRESS($B280,Plots!$H$3,,,Plots!$A$66))+INDIRECT(ADDRESS($B280,Plots!$H$3,,,Plots!$A$67))</f>
        <v>0</v>
      </c>
      <c r="I280">
        <f>'AARnetCBR-CamDTN1_tcpmon_ts_81'!H284+'AARnetCBR-CamDTN1_tcpmon_ts_82'!H284+'AARnetCBR-CamDTN1_tcpmon_ts_83'!H284+'AARnetCBR-CamDTN1_tcpmon_ts_84'!H284+'AARnetCBR-CamDTN1_tcpmon_ts_85'!H284+'AARnetCBR-CamDTN1_tcpmon_ts_86'!H284+'AARnetCBR-CamDTN1_tcpmon_ts_87'!H284+'AARnetCBR-CamDTN1_tcpmon_ts_88'!H284</f>
        <v>0</v>
      </c>
      <c r="L280" cm="1">
        <f t="array" aca="1" ref="L280" ca="1">INDIRECT(ADDRESS($B280,Plots!$H$4,,,Plots!$A$47))</f>
        <v>0</v>
      </c>
      <c r="M280" cm="1">
        <f t="array" aca="1" ref="M280" ca="1">INDIRECT(ADDRESS($B280,Plots!$H$4,,,Plots!$A$48))+INDIRECT(ADDRESS($B280,Plots!$H$4,,,Plots!$A$49))</f>
        <v>0</v>
      </c>
      <c r="N280" cm="1">
        <f t="array" aca="1" ref="N280" ca="1">INDIRECT(ADDRESS($B280,Plots!$H$4,,,Plots!$A$50))+INDIRECT(ADDRESS($B280,Plots!$H$4,,,Plots!$A$51))+INDIRECT(ADDRESS($B280,Plots!$H$4,,,Plots!$A$52))</f>
        <v>0</v>
      </c>
      <c r="O280" cm="1">
        <f t="array" aca="1" ref="O280" ca="1">INDIRECT(ADDRESS($B280,Plots!$H$4,,,Plots!$A$53))+INDIRECT(ADDRESS($B280,Plots!$H$4,,,Plots!$A$54))+INDIRECT(ADDRESS($B280,Plots!$H$4,,,Plots!$A$55))+INDIRECT(ADDRESS($B280,Plots!$H$4,,,Plots!$A$56))</f>
        <v>0</v>
      </c>
      <c r="P280" cm="1">
        <f t="array" aca="1" ref="P280" ca="1">INDIRECT(ADDRESS($B280,Plots!$H$4,,,Plots!$A$57))+INDIRECT(ADDRESS($B280,Plots!$H$4,,,Plots!$A$58))+INDIRECT(ADDRESS($B280,Plots!$H$4,,,Plots!$A$59))+INDIRECT(ADDRESS($B280,Plots!$H$4,,,Plots!$A$60))+INDIRECT(ADDRESS($B280,Plots!$H$4,,,Plots!$A$61))</f>
        <v>0</v>
      </c>
      <c r="Q280" cm="1">
        <f t="array" aca="1" ref="Q280" ca="1">INDIRECT(ADDRESS($B280,Plots!$H$4,,,Plots!$A$62))+INDIRECT(ADDRESS($B280,Plots!$H$4,,,Plots!$A$63))+INDIRECT(ADDRESS($B280,Plots!$H$4,,,Plots!$A$64))+INDIRECT(ADDRESS($B280,Plots!$H$4,,,Plots!$A$65))+INDIRECT(ADDRESS($B280,Plots!$H$4,,,Plots!$A$66))+INDIRECT(ADDRESS($B280,Plots!$H$4,,,Plots!$A$67))</f>
        <v>0</v>
      </c>
    </row>
    <row r="281" spans="1:17">
      <c r="A281">
        <f>'AARnetCBR-CamDTN1_tcpmon_ts_11'!A281</f>
        <v>0</v>
      </c>
      <c r="B281">
        <f t="shared" si="4"/>
        <v>281</v>
      </c>
      <c r="C281" cm="1">
        <f t="array" aca="1" ref="C281" ca="1">INDIRECT(ADDRESS($B281,Plots!$H$3,,,Plots!$A$47))</f>
        <v>0</v>
      </c>
      <c r="D281" cm="1">
        <f t="array" aca="1" ref="D281" ca="1">INDIRECT(ADDRESS($B281,Plots!$H$3,,,Plots!$A$48))+INDIRECT(ADDRESS($B281,Plots!$H$3,,,Plots!$A$49))</f>
        <v>0</v>
      </c>
      <c r="E281" cm="1">
        <f t="array" aca="1" ref="E281" ca="1">INDIRECT(ADDRESS($B281,Plots!$H$3,,,Plots!$A$50))+INDIRECT(ADDRESS($B281,Plots!$H$3,,,Plots!$A$51))+INDIRECT(ADDRESS($B281,Plots!$H$3,,,Plots!$A$52))</f>
        <v>0</v>
      </c>
      <c r="F281" cm="1">
        <f t="array" aca="1" ref="F281" ca="1">INDIRECT(ADDRESS($B281,Plots!$H$3,,,Plots!$A$53))+INDIRECT(ADDRESS($B281,Plots!$H$3,,,Plots!$A$54))+INDIRECT(ADDRESS($B281,Plots!$H$3,,,Plots!$A$55))+INDIRECT(ADDRESS($B281,Plots!$H$3,,,Plots!$A$56))</f>
        <v>0</v>
      </c>
      <c r="G281" cm="1">
        <f t="array" aca="1" ref="G281" ca="1">INDIRECT(ADDRESS($B281,Plots!$H$3,,,Plots!$A$57))+INDIRECT(ADDRESS($B281,Plots!$H$3,,,Plots!$A$58))+INDIRECT(ADDRESS($B281,Plots!$H$3,,,Plots!$A$59))+INDIRECT(ADDRESS($B281,Plots!$H$3,,,Plots!$A$60))+INDIRECT(ADDRESS($B281,Plots!$H$3,,,Plots!$A$61))</f>
        <v>0</v>
      </c>
      <c r="H281" cm="1">
        <f t="array" aca="1" ref="H281" ca="1">INDIRECT(ADDRESS($B281,Plots!$H$3,,,Plots!$A$62))+INDIRECT(ADDRESS($B281,Plots!$H$3,,,Plots!$A$63))+INDIRECT(ADDRESS($B281,Plots!$H$3,,,Plots!$A$64))+INDIRECT(ADDRESS($B281,Plots!$H$3,,,Plots!$A$65))+INDIRECT(ADDRESS($B281,Plots!$H$3,,,Plots!$A$66))+INDIRECT(ADDRESS($B281,Plots!$H$3,,,Plots!$A$67))</f>
        <v>0</v>
      </c>
      <c r="I281">
        <f>'AARnetCBR-CamDTN1_tcpmon_ts_81'!H285+'AARnetCBR-CamDTN1_tcpmon_ts_82'!H285+'AARnetCBR-CamDTN1_tcpmon_ts_83'!H285+'AARnetCBR-CamDTN1_tcpmon_ts_84'!H285+'AARnetCBR-CamDTN1_tcpmon_ts_85'!H285+'AARnetCBR-CamDTN1_tcpmon_ts_86'!H285+'AARnetCBR-CamDTN1_tcpmon_ts_87'!H285+'AARnetCBR-CamDTN1_tcpmon_ts_88'!H285</f>
        <v>0</v>
      </c>
      <c r="L281" cm="1">
        <f t="array" aca="1" ref="L281" ca="1">INDIRECT(ADDRESS($B281,Plots!$H$4,,,Plots!$A$47))</f>
        <v>0</v>
      </c>
      <c r="M281" cm="1">
        <f t="array" aca="1" ref="M281" ca="1">INDIRECT(ADDRESS($B281,Plots!$H$4,,,Plots!$A$48))+INDIRECT(ADDRESS($B281,Plots!$H$4,,,Plots!$A$49))</f>
        <v>0</v>
      </c>
      <c r="N281" cm="1">
        <f t="array" aca="1" ref="N281" ca="1">INDIRECT(ADDRESS($B281,Plots!$H$4,,,Plots!$A$50))+INDIRECT(ADDRESS($B281,Plots!$H$4,,,Plots!$A$51))+INDIRECT(ADDRESS($B281,Plots!$H$4,,,Plots!$A$52))</f>
        <v>0</v>
      </c>
      <c r="O281" cm="1">
        <f t="array" aca="1" ref="O281" ca="1">INDIRECT(ADDRESS($B281,Plots!$H$4,,,Plots!$A$53))+INDIRECT(ADDRESS($B281,Plots!$H$4,,,Plots!$A$54))+INDIRECT(ADDRESS($B281,Plots!$H$4,,,Plots!$A$55))+INDIRECT(ADDRESS($B281,Plots!$H$4,,,Plots!$A$56))</f>
        <v>0</v>
      </c>
      <c r="P281" cm="1">
        <f t="array" aca="1" ref="P281" ca="1">INDIRECT(ADDRESS($B281,Plots!$H$4,,,Plots!$A$57))+INDIRECT(ADDRESS($B281,Plots!$H$4,,,Plots!$A$58))+INDIRECT(ADDRESS($B281,Plots!$H$4,,,Plots!$A$59))+INDIRECT(ADDRESS($B281,Plots!$H$4,,,Plots!$A$60))+INDIRECT(ADDRESS($B281,Plots!$H$4,,,Plots!$A$61))</f>
        <v>0</v>
      </c>
      <c r="Q281" cm="1">
        <f t="array" aca="1" ref="Q281" ca="1">INDIRECT(ADDRESS($B281,Plots!$H$4,,,Plots!$A$62))+INDIRECT(ADDRESS($B281,Plots!$H$4,,,Plots!$A$63))+INDIRECT(ADDRESS($B281,Plots!$H$4,,,Plots!$A$64))+INDIRECT(ADDRESS($B281,Plots!$H$4,,,Plots!$A$65))+INDIRECT(ADDRESS($B281,Plots!$H$4,,,Plots!$A$66))+INDIRECT(ADDRESS($B281,Plots!$H$4,,,Plots!$A$67))</f>
        <v>0</v>
      </c>
    </row>
    <row r="282" spans="1:17">
      <c r="A282">
        <f>'AARnetCBR-CamDTN1_tcpmon_ts_11'!A282</f>
        <v>0</v>
      </c>
      <c r="B282">
        <f t="shared" si="4"/>
        <v>282</v>
      </c>
      <c r="C282" cm="1">
        <f t="array" aca="1" ref="C282" ca="1">INDIRECT(ADDRESS($B282,Plots!$H$3,,,Plots!$A$47))</f>
        <v>0</v>
      </c>
      <c r="D282" cm="1">
        <f t="array" aca="1" ref="D282" ca="1">INDIRECT(ADDRESS($B282,Plots!$H$3,,,Plots!$A$48))+INDIRECT(ADDRESS($B282,Plots!$H$3,,,Plots!$A$49))</f>
        <v>0</v>
      </c>
      <c r="E282" cm="1">
        <f t="array" aca="1" ref="E282" ca="1">INDIRECT(ADDRESS($B282,Plots!$H$3,,,Plots!$A$50))+INDIRECT(ADDRESS($B282,Plots!$H$3,,,Plots!$A$51))+INDIRECT(ADDRESS($B282,Plots!$H$3,,,Plots!$A$52))</f>
        <v>0</v>
      </c>
      <c r="F282" cm="1">
        <f t="array" aca="1" ref="F282" ca="1">INDIRECT(ADDRESS($B282,Plots!$H$3,,,Plots!$A$53))+INDIRECT(ADDRESS($B282,Plots!$H$3,,,Plots!$A$54))+INDIRECT(ADDRESS($B282,Plots!$H$3,,,Plots!$A$55))+INDIRECT(ADDRESS($B282,Plots!$H$3,,,Plots!$A$56))</f>
        <v>0</v>
      </c>
      <c r="G282" cm="1">
        <f t="array" aca="1" ref="G282" ca="1">INDIRECT(ADDRESS($B282,Plots!$H$3,,,Plots!$A$57))+INDIRECT(ADDRESS($B282,Plots!$H$3,,,Plots!$A$58))+INDIRECT(ADDRESS($B282,Plots!$H$3,,,Plots!$A$59))+INDIRECT(ADDRESS($B282,Plots!$H$3,,,Plots!$A$60))+INDIRECT(ADDRESS($B282,Plots!$H$3,,,Plots!$A$61))</f>
        <v>0</v>
      </c>
      <c r="H282" cm="1">
        <f t="array" aca="1" ref="H282" ca="1">INDIRECT(ADDRESS($B282,Plots!$H$3,,,Plots!$A$62))+INDIRECT(ADDRESS($B282,Plots!$H$3,,,Plots!$A$63))+INDIRECT(ADDRESS($B282,Plots!$H$3,,,Plots!$A$64))+INDIRECT(ADDRESS($B282,Plots!$H$3,,,Plots!$A$65))+INDIRECT(ADDRESS($B282,Plots!$H$3,,,Plots!$A$66))+INDIRECT(ADDRESS($B282,Plots!$H$3,,,Plots!$A$67))</f>
        <v>0</v>
      </c>
      <c r="I282">
        <f>'AARnetCBR-CamDTN1_tcpmon_ts_81'!H286+'AARnetCBR-CamDTN1_tcpmon_ts_82'!H286+'AARnetCBR-CamDTN1_tcpmon_ts_83'!H286+'AARnetCBR-CamDTN1_tcpmon_ts_84'!H286+'AARnetCBR-CamDTN1_tcpmon_ts_85'!H286+'AARnetCBR-CamDTN1_tcpmon_ts_86'!H286+'AARnetCBR-CamDTN1_tcpmon_ts_87'!H286+'AARnetCBR-CamDTN1_tcpmon_ts_88'!H286</f>
        <v>0</v>
      </c>
      <c r="L282" cm="1">
        <f t="array" aca="1" ref="L282" ca="1">INDIRECT(ADDRESS($B282,Plots!$H$4,,,Plots!$A$47))</f>
        <v>0</v>
      </c>
      <c r="M282" cm="1">
        <f t="array" aca="1" ref="M282" ca="1">INDIRECT(ADDRESS($B282,Plots!$H$4,,,Plots!$A$48))+INDIRECT(ADDRESS($B282,Plots!$H$4,,,Plots!$A$49))</f>
        <v>0</v>
      </c>
      <c r="N282" cm="1">
        <f t="array" aca="1" ref="N282" ca="1">INDIRECT(ADDRESS($B282,Plots!$H$4,,,Plots!$A$50))+INDIRECT(ADDRESS($B282,Plots!$H$4,,,Plots!$A$51))+INDIRECT(ADDRESS($B282,Plots!$H$4,,,Plots!$A$52))</f>
        <v>0</v>
      </c>
      <c r="O282" cm="1">
        <f t="array" aca="1" ref="O282" ca="1">INDIRECT(ADDRESS($B282,Plots!$H$4,,,Plots!$A$53))+INDIRECT(ADDRESS($B282,Plots!$H$4,,,Plots!$A$54))+INDIRECT(ADDRESS($B282,Plots!$H$4,,,Plots!$A$55))+INDIRECT(ADDRESS($B282,Plots!$H$4,,,Plots!$A$56))</f>
        <v>0</v>
      </c>
      <c r="P282" cm="1">
        <f t="array" aca="1" ref="P282" ca="1">INDIRECT(ADDRESS($B282,Plots!$H$4,,,Plots!$A$57))+INDIRECT(ADDRESS($B282,Plots!$H$4,,,Plots!$A$58))+INDIRECT(ADDRESS($B282,Plots!$H$4,,,Plots!$A$59))+INDIRECT(ADDRESS($B282,Plots!$H$4,,,Plots!$A$60))+INDIRECT(ADDRESS($B282,Plots!$H$4,,,Plots!$A$61))</f>
        <v>0</v>
      </c>
      <c r="Q282" cm="1">
        <f t="array" aca="1" ref="Q282" ca="1">INDIRECT(ADDRESS($B282,Plots!$H$4,,,Plots!$A$62))+INDIRECT(ADDRESS($B282,Plots!$H$4,,,Plots!$A$63))+INDIRECT(ADDRESS($B282,Plots!$H$4,,,Plots!$A$64))+INDIRECT(ADDRESS($B282,Plots!$H$4,,,Plots!$A$65))+INDIRECT(ADDRESS($B282,Plots!$H$4,,,Plots!$A$66))+INDIRECT(ADDRESS($B282,Plots!$H$4,,,Plots!$A$67))</f>
        <v>0</v>
      </c>
    </row>
    <row r="283" spans="1:17">
      <c r="A283">
        <f>'AARnetCBR-CamDTN1_tcpmon_ts_11'!A283</f>
        <v>0</v>
      </c>
      <c r="B283">
        <f t="shared" si="4"/>
        <v>283</v>
      </c>
      <c r="C283" cm="1">
        <f t="array" aca="1" ref="C283" ca="1">INDIRECT(ADDRESS($B283,Plots!$H$3,,,Plots!$A$47))</f>
        <v>0</v>
      </c>
      <c r="D283" cm="1">
        <f t="array" aca="1" ref="D283" ca="1">INDIRECT(ADDRESS($B283,Plots!$H$3,,,Plots!$A$48))+INDIRECT(ADDRESS($B283,Plots!$H$3,,,Plots!$A$49))</f>
        <v>0</v>
      </c>
      <c r="E283" cm="1">
        <f t="array" aca="1" ref="E283" ca="1">INDIRECT(ADDRESS($B283,Plots!$H$3,,,Plots!$A$50))+INDIRECT(ADDRESS($B283,Plots!$H$3,,,Plots!$A$51))+INDIRECT(ADDRESS($B283,Plots!$H$3,,,Plots!$A$52))</f>
        <v>0</v>
      </c>
      <c r="F283" cm="1">
        <f t="array" aca="1" ref="F283" ca="1">INDIRECT(ADDRESS($B283,Plots!$H$3,,,Plots!$A$53))+INDIRECT(ADDRESS($B283,Plots!$H$3,,,Plots!$A$54))+INDIRECT(ADDRESS($B283,Plots!$H$3,,,Plots!$A$55))+INDIRECT(ADDRESS($B283,Plots!$H$3,,,Plots!$A$56))</f>
        <v>0</v>
      </c>
      <c r="G283" cm="1">
        <f t="array" aca="1" ref="G283" ca="1">INDIRECT(ADDRESS($B283,Plots!$H$3,,,Plots!$A$57))+INDIRECT(ADDRESS($B283,Plots!$H$3,,,Plots!$A$58))+INDIRECT(ADDRESS($B283,Plots!$H$3,,,Plots!$A$59))+INDIRECT(ADDRESS($B283,Plots!$H$3,,,Plots!$A$60))+INDIRECT(ADDRESS($B283,Plots!$H$3,,,Plots!$A$61))</f>
        <v>0</v>
      </c>
      <c r="H283" cm="1">
        <f t="array" aca="1" ref="H283" ca="1">INDIRECT(ADDRESS($B283,Plots!$H$3,,,Plots!$A$62))+INDIRECT(ADDRESS($B283,Plots!$H$3,,,Plots!$A$63))+INDIRECT(ADDRESS($B283,Plots!$H$3,,,Plots!$A$64))+INDIRECT(ADDRESS($B283,Plots!$H$3,,,Plots!$A$65))+INDIRECT(ADDRESS($B283,Plots!$H$3,,,Plots!$A$66))+INDIRECT(ADDRESS($B283,Plots!$H$3,,,Plots!$A$67))</f>
        <v>0</v>
      </c>
      <c r="I283">
        <f>'AARnetCBR-CamDTN1_tcpmon_ts_81'!H287+'AARnetCBR-CamDTN1_tcpmon_ts_82'!H287+'AARnetCBR-CamDTN1_tcpmon_ts_83'!H287+'AARnetCBR-CamDTN1_tcpmon_ts_84'!H287+'AARnetCBR-CamDTN1_tcpmon_ts_85'!H287+'AARnetCBR-CamDTN1_tcpmon_ts_86'!H287+'AARnetCBR-CamDTN1_tcpmon_ts_87'!H287+'AARnetCBR-CamDTN1_tcpmon_ts_88'!H287</f>
        <v>0</v>
      </c>
      <c r="L283" cm="1">
        <f t="array" aca="1" ref="L283" ca="1">INDIRECT(ADDRESS($B283,Plots!$H$4,,,Plots!$A$47))</f>
        <v>0</v>
      </c>
      <c r="M283" cm="1">
        <f t="array" aca="1" ref="M283" ca="1">INDIRECT(ADDRESS($B283,Plots!$H$4,,,Plots!$A$48))+INDIRECT(ADDRESS($B283,Plots!$H$4,,,Plots!$A$49))</f>
        <v>0</v>
      </c>
      <c r="N283" cm="1">
        <f t="array" aca="1" ref="N283" ca="1">INDIRECT(ADDRESS($B283,Plots!$H$4,,,Plots!$A$50))+INDIRECT(ADDRESS($B283,Plots!$H$4,,,Plots!$A$51))+INDIRECT(ADDRESS($B283,Plots!$H$4,,,Plots!$A$52))</f>
        <v>0</v>
      </c>
      <c r="O283" cm="1">
        <f t="array" aca="1" ref="O283" ca="1">INDIRECT(ADDRESS($B283,Plots!$H$4,,,Plots!$A$53))+INDIRECT(ADDRESS($B283,Plots!$H$4,,,Plots!$A$54))+INDIRECT(ADDRESS($B283,Plots!$H$4,,,Plots!$A$55))+INDIRECT(ADDRESS($B283,Plots!$H$4,,,Plots!$A$56))</f>
        <v>0</v>
      </c>
      <c r="P283" cm="1">
        <f t="array" aca="1" ref="P283" ca="1">INDIRECT(ADDRESS($B283,Plots!$H$4,,,Plots!$A$57))+INDIRECT(ADDRESS($B283,Plots!$H$4,,,Plots!$A$58))+INDIRECT(ADDRESS($B283,Plots!$H$4,,,Plots!$A$59))+INDIRECT(ADDRESS($B283,Plots!$H$4,,,Plots!$A$60))+INDIRECT(ADDRESS($B283,Plots!$H$4,,,Plots!$A$61))</f>
        <v>0</v>
      </c>
      <c r="Q283" cm="1">
        <f t="array" aca="1" ref="Q283" ca="1">INDIRECT(ADDRESS($B283,Plots!$H$4,,,Plots!$A$62))+INDIRECT(ADDRESS($B283,Plots!$H$4,,,Plots!$A$63))+INDIRECT(ADDRESS($B283,Plots!$H$4,,,Plots!$A$64))+INDIRECT(ADDRESS($B283,Plots!$H$4,,,Plots!$A$65))+INDIRECT(ADDRESS($B283,Plots!$H$4,,,Plots!$A$66))+INDIRECT(ADDRESS($B283,Plots!$H$4,,,Plots!$A$67))</f>
        <v>0</v>
      </c>
    </row>
    <row r="284" spans="1:17">
      <c r="A284">
        <f>'AARnetCBR-CamDTN1_tcpmon_ts_11'!A284</f>
        <v>0</v>
      </c>
      <c r="B284">
        <f t="shared" si="4"/>
        <v>284</v>
      </c>
      <c r="C284" cm="1">
        <f t="array" aca="1" ref="C284" ca="1">INDIRECT(ADDRESS($B284,Plots!$H$3,,,Plots!$A$47))</f>
        <v>0</v>
      </c>
      <c r="D284" cm="1">
        <f t="array" aca="1" ref="D284" ca="1">INDIRECT(ADDRESS($B284,Plots!$H$3,,,Plots!$A$48))+INDIRECT(ADDRESS($B284,Plots!$H$3,,,Plots!$A$49))</f>
        <v>0</v>
      </c>
      <c r="E284" cm="1">
        <f t="array" aca="1" ref="E284" ca="1">INDIRECT(ADDRESS($B284,Plots!$H$3,,,Plots!$A$50))+INDIRECT(ADDRESS($B284,Plots!$H$3,,,Plots!$A$51))+INDIRECT(ADDRESS($B284,Plots!$H$3,,,Plots!$A$52))</f>
        <v>0</v>
      </c>
      <c r="F284" cm="1">
        <f t="array" aca="1" ref="F284" ca="1">INDIRECT(ADDRESS($B284,Plots!$H$3,,,Plots!$A$53))+INDIRECT(ADDRESS($B284,Plots!$H$3,,,Plots!$A$54))+INDIRECT(ADDRESS($B284,Plots!$H$3,,,Plots!$A$55))+INDIRECT(ADDRESS($B284,Plots!$H$3,,,Plots!$A$56))</f>
        <v>0</v>
      </c>
      <c r="G284" cm="1">
        <f t="array" aca="1" ref="G284" ca="1">INDIRECT(ADDRESS($B284,Plots!$H$3,,,Plots!$A$57))+INDIRECT(ADDRESS($B284,Plots!$H$3,,,Plots!$A$58))+INDIRECT(ADDRESS($B284,Plots!$H$3,,,Plots!$A$59))+INDIRECT(ADDRESS($B284,Plots!$H$3,,,Plots!$A$60))+INDIRECT(ADDRESS($B284,Plots!$H$3,,,Plots!$A$61))</f>
        <v>0</v>
      </c>
      <c r="H284" cm="1">
        <f t="array" aca="1" ref="H284" ca="1">INDIRECT(ADDRESS($B284,Plots!$H$3,,,Plots!$A$62))+INDIRECT(ADDRESS($B284,Plots!$H$3,,,Plots!$A$63))+INDIRECT(ADDRESS($B284,Plots!$H$3,,,Plots!$A$64))+INDIRECT(ADDRESS($B284,Plots!$H$3,,,Plots!$A$65))+INDIRECT(ADDRESS($B284,Plots!$H$3,,,Plots!$A$66))+INDIRECT(ADDRESS($B284,Plots!$H$3,,,Plots!$A$67))</f>
        <v>0</v>
      </c>
      <c r="I284">
        <f>'AARnetCBR-CamDTN1_tcpmon_ts_81'!H288+'AARnetCBR-CamDTN1_tcpmon_ts_82'!H288+'AARnetCBR-CamDTN1_tcpmon_ts_83'!H288+'AARnetCBR-CamDTN1_tcpmon_ts_84'!H288+'AARnetCBR-CamDTN1_tcpmon_ts_85'!H288+'AARnetCBR-CamDTN1_tcpmon_ts_86'!H288+'AARnetCBR-CamDTN1_tcpmon_ts_87'!H288+'AARnetCBR-CamDTN1_tcpmon_ts_88'!H288</f>
        <v>0</v>
      </c>
      <c r="L284" cm="1">
        <f t="array" aca="1" ref="L284" ca="1">INDIRECT(ADDRESS($B284,Plots!$H$4,,,Plots!$A$47))</f>
        <v>0</v>
      </c>
      <c r="M284" cm="1">
        <f t="array" aca="1" ref="M284" ca="1">INDIRECT(ADDRESS($B284,Plots!$H$4,,,Plots!$A$48))+INDIRECT(ADDRESS($B284,Plots!$H$4,,,Plots!$A$49))</f>
        <v>0</v>
      </c>
      <c r="N284" cm="1">
        <f t="array" aca="1" ref="N284" ca="1">INDIRECT(ADDRESS($B284,Plots!$H$4,,,Plots!$A$50))+INDIRECT(ADDRESS($B284,Plots!$H$4,,,Plots!$A$51))+INDIRECT(ADDRESS($B284,Plots!$H$4,,,Plots!$A$52))</f>
        <v>0</v>
      </c>
      <c r="O284" cm="1">
        <f t="array" aca="1" ref="O284" ca="1">INDIRECT(ADDRESS($B284,Plots!$H$4,,,Plots!$A$53))+INDIRECT(ADDRESS($B284,Plots!$H$4,,,Plots!$A$54))+INDIRECT(ADDRESS($B284,Plots!$H$4,,,Plots!$A$55))+INDIRECT(ADDRESS($B284,Plots!$H$4,,,Plots!$A$56))</f>
        <v>0</v>
      </c>
      <c r="P284" cm="1">
        <f t="array" aca="1" ref="P284" ca="1">INDIRECT(ADDRESS($B284,Plots!$H$4,,,Plots!$A$57))+INDIRECT(ADDRESS($B284,Plots!$H$4,,,Plots!$A$58))+INDIRECT(ADDRESS($B284,Plots!$H$4,,,Plots!$A$59))+INDIRECT(ADDRESS($B284,Plots!$H$4,,,Plots!$A$60))+INDIRECT(ADDRESS($B284,Plots!$H$4,,,Plots!$A$61))</f>
        <v>0</v>
      </c>
      <c r="Q284" cm="1">
        <f t="array" aca="1" ref="Q284" ca="1">INDIRECT(ADDRESS($B284,Plots!$H$4,,,Plots!$A$62))+INDIRECT(ADDRESS($B284,Plots!$H$4,,,Plots!$A$63))+INDIRECT(ADDRESS($B284,Plots!$H$4,,,Plots!$A$64))+INDIRECT(ADDRESS($B284,Plots!$H$4,,,Plots!$A$65))+INDIRECT(ADDRESS($B284,Plots!$H$4,,,Plots!$A$66))+INDIRECT(ADDRESS($B284,Plots!$H$4,,,Plots!$A$67))</f>
        <v>0</v>
      </c>
    </row>
    <row r="285" spans="1:17">
      <c r="A285">
        <f>'AARnetCBR-CamDTN1_tcpmon_ts_11'!A285</f>
        <v>0</v>
      </c>
      <c r="B285">
        <f t="shared" si="4"/>
        <v>285</v>
      </c>
      <c r="C285" cm="1">
        <f t="array" aca="1" ref="C285" ca="1">INDIRECT(ADDRESS($B285,Plots!$H$3,,,Plots!$A$47))</f>
        <v>0</v>
      </c>
      <c r="D285" cm="1">
        <f t="array" aca="1" ref="D285" ca="1">INDIRECT(ADDRESS($B285,Plots!$H$3,,,Plots!$A$48))+INDIRECT(ADDRESS($B285,Plots!$H$3,,,Plots!$A$49))</f>
        <v>0</v>
      </c>
      <c r="E285" cm="1">
        <f t="array" aca="1" ref="E285" ca="1">INDIRECT(ADDRESS($B285,Plots!$H$3,,,Plots!$A$50))+INDIRECT(ADDRESS($B285,Plots!$H$3,,,Plots!$A$51))+INDIRECT(ADDRESS($B285,Plots!$H$3,,,Plots!$A$52))</f>
        <v>0</v>
      </c>
      <c r="F285" cm="1">
        <f t="array" aca="1" ref="F285" ca="1">INDIRECT(ADDRESS($B285,Plots!$H$3,,,Plots!$A$53))+INDIRECT(ADDRESS($B285,Plots!$H$3,,,Plots!$A$54))+INDIRECT(ADDRESS($B285,Plots!$H$3,,,Plots!$A$55))+INDIRECT(ADDRESS($B285,Plots!$H$3,,,Plots!$A$56))</f>
        <v>0</v>
      </c>
      <c r="G285" cm="1">
        <f t="array" aca="1" ref="G285" ca="1">INDIRECT(ADDRESS($B285,Plots!$H$3,,,Plots!$A$57))+INDIRECT(ADDRESS($B285,Plots!$H$3,,,Plots!$A$58))+INDIRECT(ADDRESS($B285,Plots!$H$3,,,Plots!$A$59))+INDIRECT(ADDRESS($B285,Plots!$H$3,,,Plots!$A$60))+INDIRECT(ADDRESS($B285,Plots!$H$3,,,Plots!$A$61))</f>
        <v>0</v>
      </c>
      <c r="H285" cm="1">
        <f t="array" aca="1" ref="H285" ca="1">INDIRECT(ADDRESS($B285,Plots!$H$3,,,Plots!$A$62))+INDIRECT(ADDRESS($B285,Plots!$H$3,,,Plots!$A$63))+INDIRECT(ADDRESS($B285,Plots!$H$3,,,Plots!$A$64))+INDIRECT(ADDRESS($B285,Plots!$H$3,,,Plots!$A$65))+INDIRECT(ADDRESS($B285,Plots!$H$3,,,Plots!$A$66))+INDIRECT(ADDRESS($B285,Plots!$H$3,,,Plots!$A$67))</f>
        <v>0</v>
      </c>
      <c r="I285">
        <f>'AARnetCBR-CamDTN1_tcpmon_ts_81'!H289+'AARnetCBR-CamDTN1_tcpmon_ts_82'!H289+'AARnetCBR-CamDTN1_tcpmon_ts_83'!H289+'AARnetCBR-CamDTN1_tcpmon_ts_84'!H289+'AARnetCBR-CamDTN1_tcpmon_ts_85'!H289+'AARnetCBR-CamDTN1_tcpmon_ts_86'!H289+'AARnetCBR-CamDTN1_tcpmon_ts_87'!H289+'AARnetCBR-CamDTN1_tcpmon_ts_88'!H289</f>
        <v>0</v>
      </c>
      <c r="L285" cm="1">
        <f t="array" aca="1" ref="L285" ca="1">INDIRECT(ADDRESS($B285,Plots!$H$4,,,Plots!$A$47))</f>
        <v>0</v>
      </c>
      <c r="M285" cm="1">
        <f t="array" aca="1" ref="M285" ca="1">INDIRECT(ADDRESS($B285,Plots!$H$4,,,Plots!$A$48))+INDIRECT(ADDRESS($B285,Plots!$H$4,,,Plots!$A$49))</f>
        <v>0</v>
      </c>
      <c r="N285" cm="1">
        <f t="array" aca="1" ref="N285" ca="1">INDIRECT(ADDRESS($B285,Plots!$H$4,,,Plots!$A$50))+INDIRECT(ADDRESS($B285,Plots!$H$4,,,Plots!$A$51))+INDIRECT(ADDRESS($B285,Plots!$H$4,,,Plots!$A$52))</f>
        <v>0</v>
      </c>
      <c r="O285" cm="1">
        <f t="array" aca="1" ref="O285" ca="1">INDIRECT(ADDRESS($B285,Plots!$H$4,,,Plots!$A$53))+INDIRECT(ADDRESS($B285,Plots!$H$4,,,Plots!$A$54))+INDIRECT(ADDRESS($B285,Plots!$H$4,,,Plots!$A$55))+INDIRECT(ADDRESS($B285,Plots!$H$4,,,Plots!$A$56))</f>
        <v>0</v>
      </c>
      <c r="P285" cm="1">
        <f t="array" aca="1" ref="P285" ca="1">INDIRECT(ADDRESS($B285,Plots!$H$4,,,Plots!$A$57))+INDIRECT(ADDRESS($B285,Plots!$H$4,,,Plots!$A$58))+INDIRECT(ADDRESS($B285,Plots!$H$4,,,Plots!$A$59))+INDIRECT(ADDRESS($B285,Plots!$H$4,,,Plots!$A$60))+INDIRECT(ADDRESS($B285,Plots!$H$4,,,Plots!$A$61))</f>
        <v>0</v>
      </c>
      <c r="Q285" cm="1">
        <f t="array" aca="1" ref="Q285" ca="1">INDIRECT(ADDRESS($B285,Plots!$H$4,,,Plots!$A$62))+INDIRECT(ADDRESS($B285,Plots!$H$4,,,Plots!$A$63))+INDIRECT(ADDRESS($B285,Plots!$H$4,,,Plots!$A$64))+INDIRECT(ADDRESS($B285,Plots!$H$4,,,Plots!$A$65))+INDIRECT(ADDRESS($B285,Plots!$H$4,,,Plots!$A$66))+INDIRECT(ADDRESS($B285,Plots!$H$4,,,Plots!$A$67))</f>
        <v>0</v>
      </c>
    </row>
    <row r="286" spans="1:17">
      <c r="A286">
        <f>'AARnetCBR-CamDTN1_tcpmon_ts_11'!A286</f>
        <v>0</v>
      </c>
      <c r="B286">
        <f t="shared" si="4"/>
        <v>286</v>
      </c>
      <c r="C286" cm="1">
        <f t="array" aca="1" ref="C286" ca="1">INDIRECT(ADDRESS($B286,Plots!$H$3,,,Plots!$A$47))</f>
        <v>0</v>
      </c>
      <c r="D286" cm="1">
        <f t="array" aca="1" ref="D286" ca="1">INDIRECT(ADDRESS($B286,Plots!$H$3,,,Plots!$A$48))+INDIRECT(ADDRESS($B286,Plots!$H$3,,,Plots!$A$49))</f>
        <v>0</v>
      </c>
      <c r="E286" cm="1">
        <f t="array" aca="1" ref="E286" ca="1">INDIRECT(ADDRESS($B286,Plots!$H$3,,,Plots!$A$50))+INDIRECT(ADDRESS($B286,Plots!$H$3,,,Plots!$A$51))+INDIRECT(ADDRESS($B286,Plots!$H$3,,,Plots!$A$52))</f>
        <v>0</v>
      </c>
      <c r="F286" cm="1">
        <f t="array" aca="1" ref="F286" ca="1">INDIRECT(ADDRESS($B286,Plots!$H$3,,,Plots!$A$53))+INDIRECT(ADDRESS($B286,Plots!$H$3,,,Plots!$A$54))+INDIRECT(ADDRESS($B286,Plots!$H$3,,,Plots!$A$55))+INDIRECT(ADDRESS($B286,Plots!$H$3,,,Plots!$A$56))</f>
        <v>0</v>
      </c>
      <c r="G286" cm="1">
        <f t="array" aca="1" ref="G286" ca="1">INDIRECT(ADDRESS($B286,Plots!$H$3,,,Plots!$A$57))+INDIRECT(ADDRESS($B286,Plots!$H$3,,,Plots!$A$58))+INDIRECT(ADDRESS($B286,Plots!$H$3,,,Plots!$A$59))+INDIRECT(ADDRESS($B286,Plots!$H$3,,,Plots!$A$60))+INDIRECT(ADDRESS($B286,Plots!$H$3,,,Plots!$A$61))</f>
        <v>0</v>
      </c>
      <c r="H286" cm="1">
        <f t="array" aca="1" ref="H286" ca="1">INDIRECT(ADDRESS($B286,Plots!$H$3,,,Plots!$A$62))+INDIRECT(ADDRESS($B286,Plots!$H$3,,,Plots!$A$63))+INDIRECT(ADDRESS($B286,Plots!$H$3,,,Plots!$A$64))+INDIRECT(ADDRESS($B286,Plots!$H$3,,,Plots!$A$65))+INDIRECT(ADDRESS($B286,Plots!$H$3,,,Plots!$A$66))+INDIRECT(ADDRESS($B286,Plots!$H$3,,,Plots!$A$67))</f>
        <v>0</v>
      </c>
      <c r="I286">
        <f>'AARnetCBR-CamDTN1_tcpmon_ts_81'!H290+'AARnetCBR-CamDTN1_tcpmon_ts_82'!H290+'AARnetCBR-CamDTN1_tcpmon_ts_83'!H290+'AARnetCBR-CamDTN1_tcpmon_ts_84'!H290+'AARnetCBR-CamDTN1_tcpmon_ts_85'!H290+'AARnetCBR-CamDTN1_tcpmon_ts_86'!H290+'AARnetCBR-CamDTN1_tcpmon_ts_87'!H290+'AARnetCBR-CamDTN1_tcpmon_ts_88'!H290</f>
        <v>0</v>
      </c>
      <c r="L286" cm="1">
        <f t="array" aca="1" ref="L286" ca="1">INDIRECT(ADDRESS($B286,Plots!$H$4,,,Plots!$A$47))</f>
        <v>0</v>
      </c>
      <c r="M286" cm="1">
        <f t="array" aca="1" ref="M286" ca="1">INDIRECT(ADDRESS($B286,Plots!$H$4,,,Plots!$A$48))+INDIRECT(ADDRESS($B286,Plots!$H$4,,,Plots!$A$49))</f>
        <v>0</v>
      </c>
      <c r="N286" cm="1">
        <f t="array" aca="1" ref="N286" ca="1">INDIRECT(ADDRESS($B286,Plots!$H$4,,,Plots!$A$50))+INDIRECT(ADDRESS($B286,Plots!$H$4,,,Plots!$A$51))+INDIRECT(ADDRESS($B286,Plots!$H$4,,,Plots!$A$52))</f>
        <v>0</v>
      </c>
      <c r="O286" cm="1">
        <f t="array" aca="1" ref="O286" ca="1">INDIRECT(ADDRESS($B286,Plots!$H$4,,,Plots!$A$53))+INDIRECT(ADDRESS($B286,Plots!$H$4,,,Plots!$A$54))+INDIRECT(ADDRESS($B286,Plots!$H$4,,,Plots!$A$55))+INDIRECT(ADDRESS($B286,Plots!$H$4,,,Plots!$A$56))</f>
        <v>0</v>
      </c>
      <c r="P286" cm="1">
        <f t="array" aca="1" ref="P286" ca="1">INDIRECT(ADDRESS($B286,Plots!$H$4,,,Plots!$A$57))+INDIRECT(ADDRESS($B286,Plots!$H$4,,,Plots!$A$58))+INDIRECT(ADDRESS($B286,Plots!$H$4,,,Plots!$A$59))+INDIRECT(ADDRESS($B286,Plots!$H$4,,,Plots!$A$60))+INDIRECT(ADDRESS($B286,Plots!$H$4,,,Plots!$A$61))</f>
        <v>0</v>
      </c>
      <c r="Q286" cm="1">
        <f t="array" aca="1" ref="Q286" ca="1">INDIRECT(ADDRESS($B286,Plots!$H$4,,,Plots!$A$62))+INDIRECT(ADDRESS($B286,Plots!$H$4,,,Plots!$A$63))+INDIRECT(ADDRESS($B286,Plots!$H$4,,,Plots!$A$64))+INDIRECT(ADDRESS($B286,Plots!$H$4,,,Plots!$A$65))+INDIRECT(ADDRESS($B286,Plots!$H$4,,,Plots!$A$66))+INDIRECT(ADDRESS($B286,Plots!$H$4,,,Plots!$A$67))</f>
        <v>0</v>
      </c>
    </row>
    <row r="287" spans="1:17">
      <c r="A287">
        <f>'AARnetCBR-CamDTN1_tcpmon_ts_11'!A287</f>
        <v>0</v>
      </c>
      <c r="B287">
        <f t="shared" si="4"/>
        <v>287</v>
      </c>
      <c r="C287" cm="1">
        <f t="array" aca="1" ref="C287" ca="1">INDIRECT(ADDRESS($B287,Plots!$H$3,,,Plots!$A$47))</f>
        <v>0</v>
      </c>
      <c r="D287" cm="1">
        <f t="array" aca="1" ref="D287" ca="1">INDIRECT(ADDRESS($B287,Plots!$H$3,,,Plots!$A$48))+INDIRECT(ADDRESS($B287,Plots!$H$3,,,Plots!$A$49))</f>
        <v>0</v>
      </c>
      <c r="E287" cm="1">
        <f t="array" aca="1" ref="E287" ca="1">INDIRECT(ADDRESS($B287,Plots!$H$3,,,Plots!$A$50))+INDIRECT(ADDRESS($B287,Plots!$H$3,,,Plots!$A$51))+INDIRECT(ADDRESS($B287,Plots!$H$3,,,Plots!$A$52))</f>
        <v>0</v>
      </c>
      <c r="F287" cm="1">
        <f t="array" aca="1" ref="F287" ca="1">INDIRECT(ADDRESS($B287,Plots!$H$3,,,Plots!$A$53))+INDIRECT(ADDRESS($B287,Plots!$H$3,,,Plots!$A$54))+INDIRECT(ADDRESS($B287,Plots!$H$3,,,Plots!$A$55))+INDIRECT(ADDRESS($B287,Plots!$H$3,,,Plots!$A$56))</f>
        <v>0</v>
      </c>
      <c r="G287" cm="1">
        <f t="array" aca="1" ref="G287" ca="1">INDIRECT(ADDRESS($B287,Plots!$H$3,,,Plots!$A$57))+INDIRECT(ADDRESS($B287,Plots!$H$3,,,Plots!$A$58))+INDIRECT(ADDRESS($B287,Plots!$H$3,,,Plots!$A$59))+INDIRECT(ADDRESS($B287,Plots!$H$3,,,Plots!$A$60))+INDIRECT(ADDRESS($B287,Plots!$H$3,,,Plots!$A$61))</f>
        <v>0</v>
      </c>
      <c r="H287" cm="1">
        <f t="array" aca="1" ref="H287" ca="1">INDIRECT(ADDRESS($B287,Plots!$H$3,,,Plots!$A$62))+INDIRECT(ADDRESS($B287,Plots!$H$3,,,Plots!$A$63))+INDIRECT(ADDRESS($B287,Plots!$H$3,,,Plots!$A$64))+INDIRECT(ADDRESS($B287,Plots!$H$3,,,Plots!$A$65))+INDIRECT(ADDRESS($B287,Plots!$H$3,,,Plots!$A$66))+INDIRECT(ADDRESS($B287,Plots!$H$3,,,Plots!$A$67))</f>
        <v>0</v>
      </c>
      <c r="I287">
        <f>'AARnetCBR-CamDTN1_tcpmon_ts_81'!H291+'AARnetCBR-CamDTN1_tcpmon_ts_82'!H291+'AARnetCBR-CamDTN1_tcpmon_ts_83'!H291+'AARnetCBR-CamDTN1_tcpmon_ts_84'!H291+'AARnetCBR-CamDTN1_tcpmon_ts_85'!H291+'AARnetCBR-CamDTN1_tcpmon_ts_86'!H291+'AARnetCBR-CamDTN1_tcpmon_ts_87'!H291+'AARnetCBR-CamDTN1_tcpmon_ts_88'!H291</f>
        <v>0</v>
      </c>
      <c r="L287" cm="1">
        <f t="array" aca="1" ref="L287" ca="1">INDIRECT(ADDRESS($B287,Plots!$H$4,,,Plots!$A$47))</f>
        <v>0</v>
      </c>
      <c r="M287" cm="1">
        <f t="array" aca="1" ref="M287" ca="1">INDIRECT(ADDRESS($B287,Plots!$H$4,,,Plots!$A$48))+INDIRECT(ADDRESS($B287,Plots!$H$4,,,Plots!$A$49))</f>
        <v>0</v>
      </c>
      <c r="N287" cm="1">
        <f t="array" aca="1" ref="N287" ca="1">INDIRECT(ADDRESS($B287,Plots!$H$4,,,Plots!$A$50))+INDIRECT(ADDRESS($B287,Plots!$H$4,,,Plots!$A$51))+INDIRECT(ADDRESS($B287,Plots!$H$4,,,Plots!$A$52))</f>
        <v>0</v>
      </c>
      <c r="O287" cm="1">
        <f t="array" aca="1" ref="O287" ca="1">INDIRECT(ADDRESS($B287,Plots!$H$4,,,Plots!$A$53))+INDIRECT(ADDRESS($B287,Plots!$H$4,,,Plots!$A$54))+INDIRECT(ADDRESS($B287,Plots!$H$4,,,Plots!$A$55))+INDIRECT(ADDRESS($B287,Plots!$H$4,,,Plots!$A$56))</f>
        <v>0</v>
      </c>
      <c r="P287" cm="1">
        <f t="array" aca="1" ref="P287" ca="1">INDIRECT(ADDRESS($B287,Plots!$H$4,,,Plots!$A$57))+INDIRECT(ADDRESS($B287,Plots!$H$4,,,Plots!$A$58))+INDIRECT(ADDRESS($B287,Plots!$H$4,,,Plots!$A$59))+INDIRECT(ADDRESS($B287,Plots!$H$4,,,Plots!$A$60))+INDIRECT(ADDRESS($B287,Plots!$H$4,,,Plots!$A$61))</f>
        <v>0</v>
      </c>
      <c r="Q287" cm="1">
        <f t="array" aca="1" ref="Q287" ca="1">INDIRECT(ADDRESS($B287,Plots!$H$4,,,Plots!$A$62))+INDIRECT(ADDRESS($B287,Plots!$H$4,,,Plots!$A$63))+INDIRECT(ADDRESS($B287,Plots!$H$4,,,Plots!$A$64))+INDIRECT(ADDRESS($B287,Plots!$H$4,,,Plots!$A$65))+INDIRECT(ADDRESS($B287,Plots!$H$4,,,Plots!$A$66))+INDIRECT(ADDRESS($B287,Plots!$H$4,,,Plots!$A$67))</f>
        <v>0</v>
      </c>
    </row>
    <row r="288" spans="1:17">
      <c r="A288">
        <f>'AARnetCBR-CamDTN1_tcpmon_ts_11'!A288</f>
        <v>0</v>
      </c>
      <c r="B288">
        <f t="shared" si="4"/>
        <v>288</v>
      </c>
      <c r="C288" cm="1">
        <f t="array" aca="1" ref="C288" ca="1">INDIRECT(ADDRESS($B288,Plots!$H$3,,,Plots!$A$47))</f>
        <v>0</v>
      </c>
      <c r="D288" cm="1">
        <f t="array" aca="1" ref="D288" ca="1">INDIRECT(ADDRESS($B288,Plots!$H$3,,,Plots!$A$48))+INDIRECT(ADDRESS($B288,Plots!$H$3,,,Plots!$A$49))</f>
        <v>0</v>
      </c>
      <c r="E288" cm="1">
        <f t="array" aca="1" ref="E288" ca="1">INDIRECT(ADDRESS($B288,Plots!$H$3,,,Plots!$A$50))+INDIRECT(ADDRESS($B288,Plots!$H$3,,,Plots!$A$51))+INDIRECT(ADDRESS($B288,Plots!$H$3,,,Plots!$A$52))</f>
        <v>0</v>
      </c>
      <c r="F288" cm="1">
        <f t="array" aca="1" ref="F288" ca="1">INDIRECT(ADDRESS($B288,Plots!$H$3,,,Plots!$A$53))+INDIRECT(ADDRESS($B288,Plots!$H$3,,,Plots!$A$54))+INDIRECT(ADDRESS($B288,Plots!$H$3,,,Plots!$A$55))+INDIRECT(ADDRESS($B288,Plots!$H$3,,,Plots!$A$56))</f>
        <v>0</v>
      </c>
      <c r="G288" cm="1">
        <f t="array" aca="1" ref="G288" ca="1">INDIRECT(ADDRESS($B288,Plots!$H$3,,,Plots!$A$57))+INDIRECT(ADDRESS($B288,Plots!$H$3,,,Plots!$A$58))+INDIRECT(ADDRESS($B288,Plots!$H$3,,,Plots!$A$59))+INDIRECT(ADDRESS($B288,Plots!$H$3,,,Plots!$A$60))+INDIRECT(ADDRESS($B288,Plots!$H$3,,,Plots!$A$61))</f>
        <v>0</v>
      </c>
      <c r="H288" cm="1">
        <f t="array" aca="1" ref="H288" ca="1">INDIRECT(ADDRESS($B288,Plots!$H$3,,,Plots!$A$62))+INDIRECT(ADDRESS($B288,Plots!$H$3,,,Plots!$A$63))+INDIRECT(ADDRESS($B288,Plots!$H$3,,,Plots!$A$64))+INDIRECT(ADDRESS($B288,Plots!$H$3,,,Plots!$A$65))+INDIRECT(ADDRESS($B288,Plots!$H$3,,,Plots!$A$66))+INDIRECT(ADDRESS($B288,Plots!$H$3,,,Plots!$A$67))</f>
        <v>0</v>
      </c>
      <c r="I288">
        <f>'AARnetCBR-CamDTN1_tcpmon_ts_81'!H292+'AARnetCBR-CamDTN1_tcpmon_ts_82'!H292+'AARnetCBR-CamDTN1_tcpmon_ts_83'!H292+'AARnetCBR-CamDTN1_tcpmon_ts_84'!H292+'AARnetCBR-CamDTN1_tcpmon_ts_85'!H292+'AARnetCBR-CamDTN1_tcpmon_ts_86'!H292+'AARnetCBR-CamDTN1_tcpmon_ts_87'!H292+'AARnetCBR-CamDTN1_tcpmon_ts_88'!H292</f>
        <v>0</v>
      </c>
      <c r="L288" cm="1">
        <f t="array" aca="1" ref="L288" ca="1">INDIRECT(ADDRESS($B288,Plots!$H$4,,,Plots!$A$47))</f>
        <v>0</v>
      </c>
      <c r="M288" cm="1">
        <f t="array" aca="1" ref="M288" ca="1">INDIRECT(ADDRESS($B288,Plots!$H$4,,,Plots!$A$48))+INDIRECT(ADDRESS($B288,Plots!$H$4,,,Plots!$A$49))</f>
        <v>0</v>
      </c>
      <c r="N288" cm="1">
        <f t="array" aca="1" ref="N288" ca="1">INDIRECT(ADDRESS($B288,Plots!$H$4,,,Plots!$A$50))+INDIRECT(ADDRESS($B288,Plots!$H$4,,,Plots!$A$51))+INDIRECT(ADDRESS($B288,Plots!$H$4,,,Plots!$A$52))</f>
        <v>0</v>
      </c>
      <c r="O288" cm="1">
        <f t="array" aca="1" ref="O288" ca="1">INDIRECT(ADDRESS($B288,Plots!$H$4,,,Plots!$A$53))+INDIRECT(ADDRESS($B288,Plots!$H$4,,,Plots!$A$54))+INDIRECT(ADDRESS($B288,Plots!$H$4,,,Plots!$A$55))+INDIRECT(ADDRESS($B288,Plots!$H$4,,,Plots!$A$56))</f>
        <v>0</v>
      </c>
      <c r="P288" cm="1">
        <f t="array" aca="1" ref="P288" ca="1">INDIRECT(ADDRESS($B288,Plots!$H$4,,,Plots!$A$57))+INDIRECT(ADDRESS($B288,Plots!$H$4,,,Plots!$A$58))+INDIRECT(ADDRESS($B288,Plots!$H$4,,,Plots!$A$59))+INDIRECT(ADDRESS($B288,Plots!$H$4,,,Plots!$A$60))+INDIRECT(ADDRESS($B288,Plots!$H$4,,,Plots!$A$61))</f>
        <v>0</v>
      </c>
      <c r="Q288" cm="1">
        <f t="array" aca="1" ref="Q288" ca="1">INDIRECT(ADDRESS($B288,Plots!$H$4,,,Plots!$A$62))+INDIRECT(ADDRESS($B288,Plots!$H$4,,,Plots!$A$63))+INDIRECT(ADDRESS($B288,Plots!$H$4,,,Plots!$A$64))+INDIRECT(ADDRESS($B288,Plots!$H$4,,,Plots!$A$65))+INDIRECT(ADDRESS($B288,Plots!$H$4,,,Plots!$A$66))+INDIRECT(ADDRESS($B288,Plots!$H$4,,,Plots!$A$67))</f>
        <v>0</v>
      </c>
    </row>
    <row r="289" spans="1:17">
      <c r="A289">
        <f>'AARnetCBR-CamDTN1_tcpmon_ts_11'!A289</f>
        <v>0</v>
      </c>
      <c r="B289">
        <f t="shared" si="4"/>
        <v>289</v>
      </c>
      <c r="C289" cm="1">
        <f t="array" aca="1" ref="C289" ca="1">INDIRECT(ADDRESS($B289,Plots!$H$3,,,Plots!$A$47))</f>
        <v>0</v>
      </c>
      <c r="D289" cm="1">
        <f t="array" aca="1" ref="D289" ca="1">INDIRECT(ADDRESS($B289,Plots!$H$3,,,Plots!$A$48))+INDIRECT(ADDRESS($B289,Plots!$H$3,,,Plots!$A$49))</f>
        <v>0</v>
      </c>
      <c r="E289" cm="1">
        <f t="array" aca="1" ref="E289" ca="1">INDIRECT(ADDRESS($B289,Plots!$H$3,,,Plots!$A$50))+INDIRECT(ADDRESS($B289,Plots!$H$3,,,Plots!$A$51))+INDIRECT(ADDRESS($B289,Plots!$H$3,,,Plots!$A$52))</f>
        <v>0</v>
      </c>
      <c r="F289" cm="1">
        <f t="array" aca="1" ref="F289" ca="1">INDIRECT(ADDRESS($B289,Plots!$H$3,,,Plots!$A$53))+INDIRECT(ADDRESS($B289,Plots!$H$3,,,Plots!$A$54))+INDIRECT(ADDRESS($B289,Plots!$H$3,,,Plots!$A$55))+INDIRECT(ADDRESS($B289,Plots!$H$3,,,Plots!$A$56))</f>
        <v>0</v>
      </c>
      <c r="G289" cm="1">
        <f t="array" aca="1" ref="G289" ca="1">INDIRECT(ADDRESS($B289,Plots!$H$3,,,Plots!$A$57))+INDIRECT(ADDRESS($B289,Plots!$H$3,,,Plots!$A$58))+INDIRECT(ADDRESS($B289,Plots!$H$3,,,Plots!$A$59))+INDIRECT(ADDRESS($B289,Plots!$H$3,,,Plots!$A$60))+INDIRECT(ADDRESS($B289,Plots!$H$3,,,Plots!$A$61))</f>
        <v>0</v>
      </c>
      <c r="H289" cm="1">
        <f t="array" aca="1" ref="H289" ca="1">INDIRECT(ADDRESS($B289,Plots!$H$3,,,Plots!$A$62))+INDIRECT(ADDRESS($B289,Plots!$H$3,,,Plots!$A$63))+INDIRECT(ADDRESS($B289,Plots!$H$3,,,Plots!$A$64))+INDIRECT(ADDRESS($B289,Plots!$H$3,,,Plots!$A$65))+INDIRECT(ADDRESS($B289,Plots!$H$3,,,Plots!$A$66))+INDIRECT(ADDRESS($B289,Plots!$H$3,,,Plots!$A$67))</f>
        <v>0</v>
      </c>
      <c r="I289">
        <f>'AARnetCBR-CamDTN1_tcpmon_ts_81'!H293+'AARnetCBR-CamDTN1_tcpmon_ts_82'!H293+'AARnetCBR-CamDTN1_tcpmon_ts_83'!H293+'AARnetCBR-CamDTN1_tcpmon_ts_84'!H293+'AARnetCBR-CamDTN1_tcpmon_ts_85'!H293+'AARnetCBR-CamDTN1_tcpmon_ts_86'!H293+'AARnetCBR-CamDTN1_tcpmon_ts_87'!H293+'AARnetCBR-CamDTN1_tcpmon_ts_88'!H293</f>
        <v>0</v>
      </c>
      <c r="L289" cm="1">
        <f t="array" aca="1" ref="L289" ca="1">INDIRECT(ADDRESS($B289,Plots!$H$4,,,Plots!$A$47))</f>
        <v>0</v>
      </c>
      <c r="M289" cm="1">
        <f t="array" aca="1" ref="M289" ca="1">INDIRECT(ADDRESS($B289,Plots!$H$4,,,Plots!$A$48))+INDIRECT(ADDRESS($B289,Plots!$H$4,,,Plots!$A$49))</f>
        <v>0</v>
      </c>
      <c r="N289" cm="1">
        <f t="array" aca="1" ref="N289" ca="1">INDIRECT(ADDRESS($B289,Plots!$H$4,,,Plots!$A$50))+INDIRECT(ADDRESS($B289,Plots!$H$4,,,Plots!$A$51))+INDIRECT(ADDRESS($B289,Plots!$H$4,,,Plots!$A$52))</f>
        <v>0</v>
      </c>
      <c r="O289" cm="1">
        <f t="array" aca="1" ref="O289" ca="1">INDIRECT(ADDRESS($B289,Plots!$H$4,,,Plots!$A$53))+INDIRECT(ADDRESS($B289,Plots!$H$4,,,Plots!$A$54))+INDIRECT(ADDRESS($B289,Plots!$H$4,,,Plots!$A$55))+INDIRECT(ADDRESS($B289,Plots!$H$4,,,Plots!$A$56))</f>
        <v>0</v>
      </c>
      <c r="P289" cm="1">
        <f t="array" aca="1" ref="P289" ca="1">INDIRECT(ADDRESS($B289,Plots!$H$4,,,Plots!$A$57))+INDIRECT(ADDRESS($B289,Plots!$H$4,,,Plots!$A$58))+INDIRECT(ADDRESS($B289,Plots!$H$4,,,Plots!$A$59))+INDIRECT(ADDRESS($B289,Plots!$H$4,,,Plots!$A$60))+INDIRECT(ADDRESS($B289,Plots!$H$4,,,Plots!$A$61))</f>
        <v>0</v>
      </c>
      <c r="Q289" cm="1">
        <f t="array" aca="1" ref="Q289" ca="1">INDIRECT(ADDRESS($B289,Plots!$H$4,,,Plots!$A$62))+INDIRECT(ADDRESS($B289,Plots!$H$4,,,Plots!$A$63))+INDIRECT(ADDRESS($B289,Plots!$H$4,,,Plots!$A$64))+INDIRECT(ADDRESS($B289,Plots!$H$4,,,Plots!$A$65))+INDIRECT(ADDRESS($B289,Plots!$H$4,,,Plots!$A$66))+INDIRECT(ADDRESS($B289,Plots!$H$4,,,Plots!$A$67))</f>
        <v>0</v>
      </c>
    </row>
    <row r="290" spans="1:17">
      <c r="A290">
        <f>'AARnetCBR-CamDTN1_tcpmon_ts_11'!A290</f>
        <v>0</v>
      </c>
      <c r="B290">
        <f t="shared" si="4"/>
        <v>290</v>
      </c>
      <c r="C290" cm="1">
        <f t="array" aca="1" ref="C290" ca="1">INDIRECT(ADDRESS($B290,Plots!$H$3,,,Plots!$A$47))</f>
        <v>0</v>
      </c>
      <c r="D290" cm="1">
        <f t="array" aca="1" ref="D290" ca="1">INDIRECT(ADDRESS($B290,Plots!$H$3,,,Plots!$A$48))+INDIRECT(ADDRESS($B290,Plots!$H$3,,,Plots!$A$49))</f>
        <v>0</v>
      </c>
      <c r="E290" cm="1">
        <f t="array" aca="1" ref="E290" ca="1">INDIRECT(ADDRESS($B290,Plots!$H$3,,,Plots!$A$50))+INDIRECT(ADDRESS($B290,Plots!$H$3,,,Plots!$A$51))+INDIRECT(ADDRESS($B290,Plots!$H$3,,,Plots!$A$52))</f>
        <v>0</v>
      </c>
      <c r="F290" cm="1">
        <f t="array" aca="1" ref="F290" ca="1">INDIRECT(ADDRESS($B290,Plots!$H$3,,,Plots!$A$53))+INDIRECT(ADDRESS($B290,Plots!$H$3,,,Plots!$A$54))+INDIRECT(ADDRESS($B290,Plots!$H$3,,,Plots!$A$55))+INDIRECT(ADDRESS($B290,Plots!$H$3,,,Plots!$A$56))</f>
        <v>0</v>
      </c>
      <c r="G290" cm="1">
        <f t="array" aca="1" ref="G290" ca="1">INDIRECT(ADDRESS($B290,Plots!$H$3,,,Plots!$A$57))+INDIRECT(ADDRESS($B290,Plots!$H$3,,,Plots!$A$58))+INDIRECT(ADDRESS($B290,Plots!$H$3,,,Plots!$A$59))+INDIRECT(ADDRESS($B290,Plots!$H$3,,,Plots!$A$60))+INDIRECT(ADDRESS($B290,Plots!$H$3,,,Plots!$A$61))</f>
        <v>0</v>
      </c>
      <c r="H290" cm="1">
        <f t="array" aca="1" ref="H290" ca="1">INDIRECT(ADDRESS($B290,Plots!$H$3,,,Plots!$A$62))+INDIRECT(ADDRESS($B290,Plots!$H$3,,,Plots!$A$63))+INDIRECT(ADDRESS($B290,Plots!$H$3,,,Plots!$A$64))+INDIRECT(ADDRESS($B290,Plots!$H$3,,,Plots!$A$65))+INDIRECT(ADDRESS($B290,Plots!$H$3,,,Plots!$A$66))+INDIRECT(ADDRESS($B290,Plots!$H$3,,,Plots!$A$67))</f>
        <v>0</v>
      </c>
      <c r="I290">
        <f>'AARnetCBR-CamDTN1_tcpmon_ts_81'!H294+'AARnetCBR-CamDTN1_tcpmon_ts_82'!H294+'AARnetCBR-CamDTN1_tcpmon_ts_83'!H294+'AARnetCBR-CamDTN1_tcpmon_ts_84'!H294+'AARnetCBR-CamDTN1_tcpmon_ts_85'!H294+'AARnetCBR-CamDTN1_tcpmon_ts_86'!H294+'AARnetCBR-CamDTN1_tcpmon_ts_87'!H294+'AARnetCBR-CamDTN1_tcpmon_ts_88'!H294</f>
        <v>0</v>
      </c>
      <c r="L290" cm="1">
        <f t="array" aca="1" ref="L290" ca="1">INDIRECT(ADDRESS($B290,Plots!$H$4,,,Plots!$A$47))</f>
        <v>0</v>
      </c>
      <c r="M290" cm="1">
        <f t="array" aca="1" ref="M290" ca="1">INDIRECT(ADDRESS($B290,Plots!$H$4,,,Plots!$A$48))+INDIRECT(ADDRESS($B290,Plots!$H$4,,,Plots!$A$49))</f>
        <v>0</v>
      </c>
      <c r="N290" cm="1">
        <f t="array" aca="1" ref="N290" ca="1">INDIRECT(ADDRESS($B290,Plots!$H$4,,,Plots!$A$50))+INDIRECT(ADDRESS($B290,Plots!$H$4,,,Plots!$A$51))+INDIRECT(ADDRESS($B290,Plots!$H$4,,,Plots!$A$52))</f>
        <v>0</v>
      </c>
      <c r="O290" cm="1">
        <f t="array" aca="1" ref="O290" ca="1">INDIRECT(ADDRESS($B290,Plots!$H$4,,,Plots!$A$53))+INDIRECT(ADDRESS($B290,Plots!$H$4,,,Plots!$A$54))+INDIRECT(ADDRESS($B290,Plots!$H$4,,,Plots!$A$55))+INDIRECT(ADDRESS($B290,Plots!$H$4,,,Plots!$A$56))</f>
        <v>0</v>
      </c>
      <c r="P290" cm="1">
        <f t="array" aca="1" ref="P290" ca="1">INDIRECT(ADDRESS($B290,Plots!$H$4,,,Plots!$A$57))+INDIRECT(ADDRESS($B290,Plots!$H$4,,,Plots!$A$58))+INDIRECT(ADDRESS($B290,Plots!$H$4,,,Plots!$A$59))+INDIRECT(ADDRESS($B290,Plots!$H$4,,,Plots!$A$60))+INDIRECT(ADDRESS($B290,Plots!$H$4,,,Plots!$A$61))</f>
        <v>0</v>
      </c>
      <c r="Q290" cm="1">
        <f t="array" aca="1" ref="Q290" ca="1">INDIRECT(ADDRESS($B290,Plots!$H$4,,,Plots!$A$62))+INDIRECT(ADDRESS($B290,Plots!$H$4,,,Plots!$A$63))+INDIRECT(ADDRESS($B290,Plots!$H$4,,,Plots!$A$64))+INDIRECT(ADDRESS($B290,Plots!$H$4,,,Plots!$A$65))+INDIRECT(ADDRESS($B290,Plots!$H$4,,,Plots!$A$66))+INDIRECT(ADDRESS($B290,Plots!$H$4,,,Plots!$A$67))</f>
        <v>0</v>
      </c>
    </row>
    <row r="291" spans="1:17">
      <c r="A291">
        <f>'AARnetCBR-CamDTN1_tcpmon_ts_11'!A291</f>
        <v>0</v>
      </c>
      <c r="B291">
        <f t="shared" si="4"/>
        <v>291</v>
      </c>
      <c r="C291" cm="1">
        <f t="array" aca="1" ref="C291" ca="1">INDIRECT(ADDRESS($B291,Plots!$H$3,,,Plots!$A$47))</f>
        <v>0</v>
      </c>
      <c r="D291" cm="1">
        <f t="array" aca="1" ref="D291" ca="1">INDIRECT(ADDRESS($B291,Plots!$H$3,,,Plots!$A$48))+INDIRECT(ADDRESS($B291,Plots!$H$3,,,Plots!$A$49))</f>
        <v>0</v>
      </c>
      <c r="E291" cm="1">
        <f t="array" aca="1" ref="E291" ca="1">INDIRECT(ADDRESS($B291,Plots!$H$3,,,Plots!$A$50))+INDIRECT(ADDRESS($B291,Plots!$H$3,,,Plots!$A$51))+INDIRECT(ADDRESS($B291,Plots!$H$3,,,Plots!$A$52))</f>
        <v>0</v>
      </c>
      <c r="F291" cm="1">
        <f t="array" aca="1" ref="F291" ca="1">INDIRECT(ADDRESS($B291,Plots!$H$3,,,Plots!$A$53))+INDIRECT(ADDRESS($B291,Plots!$H$3,,,Plots!$A$54))+INDIRECT(ADDRESS($B291,Plots!$H$3,,,Plots!$A$55))+INDIRECT(ADDRESS($B291,Plots!$H$3,,,Plots!$A$56))</f>
        <v>0</v>
      </c>
      <c r="G291" cm="1">
        <f t="array" aca="1" ref="G291" ca="1">INDIRECT(ADDRESS($B291,Plots!$H$3,,,Plots!$A$57))+INDIRECT(ADDRESS($B291,Plots!$H$3,,,Plots!$A$58))+INDIRECT(ADDRESS($B291,Plots!$H$3,,,Plots!$A$59))+INDIRECT(ADDRESS($B291,Plots!$H$3,,,Plots!$A$60))+INDIRECT(ADDRESS($B291,Plots!$H$3,,,Plots!$A$61))</f>
        <v>0</v>
      </c>
      <c r="H291" cm="1">
        <f t="array" aca="1" ref="H291" ca="1">INDIRECT(ADDRESS($B291,Plots!$H$3,,,Plots!$A$62))+INDIRECT(ADDRESS($B291,Plots!$H$3,,,Plots!$A$63))+INDIRECT(ADDRESS($B291,Plots!$H$3,,,Plots!$A$64))+INDIRECT(ADDRESS($B291,Plots!$H$3,,,Plots!$A$65))+INDIRECT(ADDRESS($B291,Plots!$H$3,,,Plots!$A$66))+INDIRECT(ADDRESS($B291,Plots!$H$3,,,Plots!$A$67))</f>
        <v>0</v>
      </c>
      <c r="I291">
        <f>'AARnetCBR-CamDTN1_tcpmon_ts_81'!H295+'AARnetCBR-CamDTN1_tcpmon_ts_82'!H295+'AARnetCBR-CamDTN1_tcpmon_ts_83'!H295+'AARnetCBR-CamDTN1_tcpmon_ts_84'!H295+'AARnetCBR-CamDTN1_tcpmon_ts_85'!H295+'AARnetCBR-CamDTN1_tcpmon_ts_86'!H295+'AARnetCBR-CamDTN1_tcpmon_ts_87'!H295+'AARnetCBR-CamDTN1_tcpmon_ts_88'!H295</f>
        <v>0</v>
      </c>
      <c r="L291" cm="1">
        <f t="array" aca="1" ref="L291" ca="1">INDIRECT(ADDRESS($B291,Plots!$H$4,,,Plots!$A$47))</f>
        <v>0</v>
      </c>
      <c r="M291" cm="1">
        <f t="array" aca="1" ref="M291" ca="1">INDIRECT(ADDRESS($B291,Plots!$H$4,,,Plots!$A$48))+INDIRECT(ADDRESS($B291,Plots!$H$4,,,Plots!$A$49))</f>
        <v>0</v>
      </c>
      <c r="N291" cm="1">
        <f t="array" aca="1" ref="N291" ca="1">INDIRECT(ADDRESS($B291,Plots!$H$4,,,Plots!$A$50))+INDIRECT(ADDRESS($B291,Plots!$H$4,,,Plots!$A$51))+INDIRECT(ADDRESS($B291,Plots!$H$4,,,Plots!$A$52))</f>
        <v>0</v>
      </c>
      <c r="O291" cm="1">
        <f t="array" aca="1" ref="O291" ca="1">INDIRECT(ADDRESS($B291,Plots!$H$4,,,Plots!$A$53))+INDIRECT(ADDRESS($B291,Plots!$H$4,,,Plots!$A$54))+INDIRECT(ADDRESS($B291,Plots!$H$4,,,Plots!$A$55))+INDIRECT(ADDRESS($B291,Plots!$H$4,,,Plots!$A$56))</f>
        <v>0</v>
      </c>
      <c r="P291" cm="1">
        <f t="array" aca="1" ref="P291" ca="1">INDIRECT(ADDRESS($B291,Plots!$H$4,,,Plots!$A$57))+INDIRECT(ADDRESS($B291,Plots!$H$4,,,Plots!$A$58))+INDIRECT(ADDRESS($B291,Plots!$H$4,,,Plots!$A$59))+INDIRECT(ADDRESS($B291,Plots!$H$4,,,Plots!$A$60))+INDIRECT(ADDRESS($B291,Plots!$H$4,,,Plots!$A$61))</f>
        <v>0</v>
      </c>
      <c r="Q291" cm="1">
        <f t="array" aca="1" ref="Q291" ca="1">INDIRECT(ADDRESS($B291,Plots!$H$4,,,Plots!$A$62))+INDIRECT(ADDRESS($B291,Plots!$H$4,,,Plots!$A$63))+INDIRECT(ADDRESS($B291,Plots!$H$4,,,Plots!$A$64))+INDIRECT(ADDRESS($B291,Plots!$H$4,,,Plots!$A$65))+INDIRECT(ADDRESS($B291,Plots!$H$4,,,Plots!$A$66))+INDIRECT(ADDRESS($B291,Plots!$H$4,,,Plots!$A$67))</f>
        <v>0</v>
      </c>
    </row>
    <row r="292" spans="1:17">
      <c r="A292">
        <f>'AARnetCBR-CamDTN1_tcpmon_ts_11'!A292</f>
        <v>0</v>
      </c>
      <c r="B292">
        <f t="shared" si="4"/>
        <v>292</v>
      </c>
      <c r="C292" cm="1">
        <f t="array" aca="1" ref="C292" ca="1">INDIRECT(ADDRESS($B292,Plots!$H$3,,,Plots!$A$47))</f>
        <v>0</v>
      </c>
      <c r="D292" cm="1">
        <f t="array" aca="1" ref="D292" ca="1">INDIRECT(ADDRESS($B292,Plots!$H$3,,,Plots!$A$48))+INDIRECT(ADDRESS($B292,Plots!$H$3,,,Plots!$A$49))</f>
        <v>0</v>
      </c>
      <c r="E292" cm="1">
        <f t="array" aca="1" ref="E292" ca="1">INDIRECT(ADDRESS($B292,Plots!$H$3,,,Plots!$A$50))+INDIRECT(ADDRESS($B292,Plots!$H$3,,,Plots!$A$51))+INDIRECT(ADDRESS($B292,Plots!$H$3,,,Plots!$A$52))</f>
        <v>0</v>
      </c>
      <c r="F292" cm="1">
        <f t="array" aca="1" ref="F292" ca="1">INDIRECT(ADDRESS($B292,Plots!$H$3,,,Plots!$A$53))+INDIRECT(ADDRESS($B292,Plots!$H$3,,,Plots!$A$54))+INDIRECT(ADDRESS($B292,Plots!$H$3,,,Plots!$A$55))+INDIRECT(ADDRESS($B292,Plots!$H$3,,,Plots!$A$56))</f>
        <v>0</v>
      </c>
      <c r="G292" cm="1">
        <f t="array" aca="1" ref="G292" ca="1">INDIRECT(ADDRESS($B292,Plots!$H$3,,,Plots!$A$57))+INDIRECT(ADDRESS($B292,Plots!$H$3,,,Plots!$A$58))+INDIRECT(ADDRESS($B292,Plots!$H$3,,,Plots!$A$59))+INDIRECT(ADDRESS($B292,Plots!$H$3,,,Plots!$A$60))+INDIRECT(ADDRESS($B292,Plots!$H$3,,,Plots!$A$61))</f>
        <v>0</v>
      </c>
      <c r="H292" cm="1">
        <f t="array" aca="1" ref="H292" ca="1">INDIRECT(ADDRESS($B292,Plots!$H$3,,,Plots!$A$62))+INDIRECT(ADDRESS($B292,Plots!$H$3,,,Plots!$A$63))+INDIRECT(ADDRESS($B292,Plots!$H$3,,,Plots!$A$64))+INDIRECT(ADDRESS($B292,Plots!$H$3,,,Plots!$A$65))+INDIRECT(ADDRESS($B292,Plots!$H$3,,,Plots!$A$66))+INDIRECT(ADDRESS($B292,Plots!$H$3,,,Plots!$A$67))</f>
        <v>0</v>
      </c>
      <c r="I292">
        <f>'AARnetCBR-CamDTN1_tcpmon_ts_81'!H296+'AARnetCBR-CamDTN1_tcpmon_ts_82'!H296+'AARnetCBR-CamDTN1_tcpmon_ts_83'!H296+'AARnetCBR-CamDTN1_tcpmon_ts_84'!H296+'AARnetCBR-CamDTN1_tcpmon_ts_85'!H296+'AARnetCBR-CamDTN1_tcpmon_ts_86'!H296+'AARnetCBR-CamDTN1_tcpmon_ts_87'!H296+'AARnetCBR-CamDTN1_tcpmon_ts_88'!H296</f>
        <v>0</v>
      </c>
      <c r="L292" cm="1">
        <f t="array" aca="1" ref="L292" ca="1">INDIRECT(ADDRESS($B292,Plots!$H$4,,,Plots!$A$47))</f>
        <v>0</v>
      </c>
      <c r="M292" cm="1">
        <f t="array" aca="1" ref="M292" ca="1">INDIRECT(ADDRESS($B292,Plots!$H$4,,,Plots!$A$48))+INDIRECT(ADDRESS($B292,Plots!$H$4,,,Plots!$A$49))</f>
        <v>0</v>
      </c>
      <c r="N292" cm="1">
        <f t="array" aca="1" ref="N292" ca="1">INDIRECT(ADDRESS($B292,Plots!$H$4,,,Plots!$A$50))+INDIRECT(ADDRESS($B292,Plots!$H$4,,,Plots!$A$51))+INDIRECT(ADDRESS($B292,Plots!$H$4,,,Plots!$A$52))</f>
        <v>0</v>
      </c>
      <c r="O292" cm="1">
        <f t="array" aca="1" ref="O292" ca="1">INDIRECT(ADDRESS($B292,Plots!$H$4,,,Plots!$A$53))+INDIRECT(ADDRESS($B292,Plots!$H$4,,,Plots!$A$54))+INDIRECT(ADDRESS($B292,Plots!$H$4,,,Plots!$A$55))+INDIRECT(ADDRESS($B292,Plots!$H$4,,,Plots!$A$56))</f>
        <v>0</v>
      </c>
      <c r="P292" cm="1">
        <f t="array" aca="1" ref="P292" ca="1">INDIRECT(ADDRESS($B292,Plots!$H$4,,,Plots!$A$57))+INDIRECT(ADDRESS($B292,Plots!$H$4,,,Plots!$A$58))+INDIRECT(ADDRESS($B292,Plots!$H$4,,,Plots!$A$59))+INDIRECT(ADDRESS($B292,Plots!$H$4,,,Plots!$A$60))+INDIRECT(ADDRESS($B292,Plots!$H$4,,,Plots!$A$61))</f>
        <v>0</v>
      </c>
      <c r="Q292" cm="1">
        <f t="array" aca="1" ref="Q292" ca="1">INDIRECT(ADDRESS($B292,Plots!$H$4,,,Plots!$A$62))+INDIRECT(ADDRESS($B292,Plots!$H$4,,,Plots!$A$63))+INDIRECT(ADDRESS($B292,Plots!$H$4,,,Plots!$A$64))+INDIRECT(ADDRESS($B292,Plots!$H$4,,,Plots!$A$65))+INDIRECT(ADDRESS($B292,Plots!$H$4,,,Plots!$A$66))+INDIRECT(ADDRESS($B292,Plots!$H$4,,,Plots!$A$67))</f>
        <v>0</v>
      </c>
    </row>
    <row r="293" spans="1:17">
      <c r="A293">
        <f>'AARnetCBR-CamDTN1_tcpmon_ts_11'!A293</f>
        <v>0</v>
      </c>
      <c r="B293">
        <f t="shared" si="4"/>
        <v>293</v>
      </c>
      <c r="C293" cm="1">
        <f t="array" aca="1" ref="C293" ca="1">INDIRECT(ADDRESS($B293,Plots!$H$3,,,Plots!$A$47))</f>
        <v>0</v>
      </c>
      <c r="D293" cm="1">
        <f t="array" aca="1" ref="D293" ca="1">INDIRECT(ADDRESS($B293,Plots!$H$3,,,Plots!$A$48))+INDIRECT(ADDRESS($B293,Plots!$H$3,,,Plots!$A$49))</f>
        <v>0</v>
      </c>
      <c r="E293" cm="1">
        <f t="array" aca="1" ref="E293" ca="1">INDIRECT(ADDRESS($B293,Plots!$H$3,,,Plots!$A$50))+INDIRECT(ADDRESS($B293,Plots!$H$3,,,Plots!$A$51))+INDIRECT(ADDRESS($B293,Plots!$H$3,,,Plots!$A$52))</f>
        <v>0</v>
      </c>
      <c r="F293" cm="1">
        <f t="array" aca="1" ref="F293" ca="1">INDIRECT(ADDRESS($B293,Plots!$H$3,,,Plots!$A$53))+INDIRECT(ADDRESS($B293,Plots!$H$3,,,Plots!$A$54))+INDIRECT(ADDRESS($B293,Plots!$H$3,,,Plots!$A$55))+INDIRECT(ADDRESS($B293,Plots!$H$3,,,Plots!$A$56))</f>
        <v>0</v>
      </c>
      <c r="G293" cm="1">
        <f t="array" aca="1" ref="G293" ca="1">INDIRECT(ADDRESS($B293,Plots!$H$3,,,Plots!$A$57))+INDIRECT(ADDRESS($B293,Plots!$H$3,,,Plots!$A$58))+INDIRECT(ADDRESS($B293,Plots!$H$3,,,Plots!$A$59))+INDIRECT(ADDRESS($B293,Plots!$H$3,,,Plots!$A$60))+INDIRECT(ADDRESS($B293,Plots!$H$3,,,Plots!$A$61))</f>
        <v>0</v>
      </c>
      <c r="H293" cm="1">
        <f t="array" aca="1" ref="H293" ca="1">INDIRECT(ADDRESS($B293,Plots!$H$3,,,Plots!$A$62))+INDIRECT(ADDRESS($B293,Plots!$H$3,,,Plots!$A$63))+INDIRECT(ADDRESS($B293,Plots!$H$3,,,Plots!$A$64))+INDIRECT(ADDRESS($B293,Plots!$H$3,,,Plots!$A$65))+INDIRECT(ADDRESS($B293,Plots!$H$3,,,Plots!$A$66))+INDIRECT(ADDRESS($B293,Plots!$H$3,,,Plots!$A$67))</f>
        <v>0</v>
      </c>
      <c r="I293">
        <f>'AARnetCBR-CamDTN1_tcpmon_ts_81'!H297+'AARnetCBR-CamDTN1_tcpmon_ts_82'!H297+'AARnetCBR-CamDTN1_tcpmon_ts_83'!H297+'AARnetCBR-CamDTN1_tcpmon_ts_84'!H297+'AARnetCBR-CamDTN1_tcpmon_ts_85'!H297+'AARnetCBR-CamDTN1_tcpmon_ts_86'!H297+'AARnetCBR-CamDTN1_tcpmon_ts_87'!H297+'AARnetCBR-CamDTN1_tcpmon_ts_88'!H297</f>
        <v>0</v>
      </c>
      <c r="L293" cm="1">
        <f t="array" aca="1" ref="L293" ca="1">INDIRECT(ADDRESS($B293,Plots!$H$4,,,Plots!$A$47))</f>
        <v>0</v>
      </c>
      <c r="M293" cm="1">
        <f t="array" aca="1" ref="M293" ca="1">INDIRECT(ADDRESS($B293,Plots!$H$4,,,Plots!$A$48))+INDIRECT(ADDRESS($B293,Plots!$H$4,,,Plots!$A$49))</f>
        <v>0</v>
      </c>
      <c r="N293" cm="1">
        <f t="array" aca="1" ref="N293" ca="1">INDIRECT(ADDRESS($B293,Plots!$H$4,,,Plots!$A$50))+INDIRECT(ADDRESS($B293,Plots!$H$4,,,Plots!$A$51))+INDIRECT(ADDRESS($B293,Plots!$H$4,,,Plots!$A$52))</f>
        <v>0</v>
      </c>
      <c r="O293" cm="1">
        <f t="array" aca="1" ref="O293" ca="1">INDIRECT(ADDRESS($B293,Plots!$H$4,,,Plots!$A$53))+INDIRECT(ADDRESS($B293,Plots!$H$4,,,Plots!$A$54))+INDIRECT(ADDRESS($B293,Plots!$H$4,,,Plots!$A$55))+INDIRECT(ADDRESS($B293,Plots!$H$4,,,Plots!$A$56))</f>
        <v>0</v>
      </c>
      <c r="P293" cm="1">
        <f t="array" aca="1" ref="P293" ca="1">INDIRECT(ADDRESS($B293,Plots!$H$4,,,Plots!$A$57))+INDIRECT(ADDRESS($B293,Plots!$H$4,,,Plots!$A$58))+INDIRECT(ADDRESS($B293,Plots!$H$4,,,Plots!$A$59))+INDIRECT(ADDRESS($B293,Plots!$H$4,,,Plots!$A$60))+INDIRECT(ADDRESS($B293,Plots!$H$4,,,Plots!$A$61))</f>
        <v>0</v>
      </c>
      <c r="Q293" cm="1">
        <f t="array" aca="1" ref="Q293" ca="1">INDIRECT(ADDRESS($B293,Plots!$H$4,,,Plots!$A$62))+INDIRECT(ADDRESS($B293,Plots!$H$4,,,Plots!$A$63))+INDIRECT(ADDRESS($B293,Plots!$H$4,,,Plots!$A$64))+INDIRECT(ADDRESS($B293,Plots!$H$4,,,Plots!$A$65))+INDIRECT(ADDRESS($B293,Plots!$H$4,,,Plots!$A$66))+INDIRECT(ADDRESS($B293,Plots!$H$4,,,Plots!$A$67))</f>
        <v>0</v>
      </c>
    </row>
    <row r="294" spans="1:17">
      <c r="A294">
        <f>'AARnetCBR-CamDTN1_tcpmon_ts_11'!A294</f>
        <v>0</v>
      </c>
      <c r="B294">
        <f t="shared" si="4"/>
        <v>294</v>
      </c>
      <c r="C294" cm="1">
        <f t="array" aca="1" ref="C294" ca="1">INDIRECT(ADDRESS($B294,Plots!$H$3,,,Plots!$A$47))</f>
        <v>0</v>
      </c>
      <c r="D294" cm="1">
        <f t="array" aca="1" ref="D294" ca="1">INDIRECT(ADDRESS($B294,Plots!$H$3,,,Plots!$A$48))+INDIRECT(ADDRESS($B294,Plots!$H$3,,,Plots!$A$49))</f>
        <v>0</v>
      </c>
      <c r="E294" cm="1">
        <f t="array" aca="1" ref="E294" ca="1">INDIRECT(ADDRESS($B294,Plots!$H$3,,,Plots!$A$50))+INDIRECT(ADDRESS($B294,Plots!$H$3,,,Plots!$A$51))+INDIRECT(ADDRESS($B294,Plots!$H$3,,,Plots!$A$52))</f>
        <v>0</v>
      </c>
      <c r="F294" cm="1">
        <f t="array" aca="1" ref="F294" ca="1">INDIRECT(ADDRESS($B294,Plots!$H$3,,,Plots!$A$53))+INDIRECT(ADDRESS($B294,Plots!$H$3,,,Plots!$A$54))+INDIRECT(ADDRESS($B294,Plots!$H$3,,,Plots!$A$55))+INDIRECT(ADDRESS($B294,Plots!$H$3,,,Plots!$A$56))</f>
        <v>0</v>
      </c>
      <c r="G294" cm="1">
        <f t="array" aca="1" ref="G294" ca="1">INDIRECT(ADDRESS($B294,Plots!$H$3,,,Plots!$A$57))+INDIRECT(ADDRESS($B294,Plots!$H$3,,,Plots!$A$58))+INDIRECT(ADDRESS($B294,Plots!$H$3,,,Plots!$A$59))+INDIRECT(ADDRESS($B294,Plots!$H$3,,,Plots!$A$60))+INDIRECT(ADDRESS($B294,Plots!$H$3,,,Plots!$A$61))</f>
        <v>0</v>
      </c>
      <c r="H294" cm="1">
        <f t="array" aca="1" ref="H294" ca="1">INDIRECT(ADDRESS($B294,Plots!$H$3,,,Plots!$A$62))+INDIRECT(ADDRESS($B294,Plots!$H$3,,,Plots!$A$63))+INDIRECT(ADDRESS($B294,Plots!$H$3,,,Plots!$A$64))+INDIRECT(ADDRESS($B294,Plots!$H$3,,,Plots!$A$65))+INDIRECT(ADDRESS($B294,Plots!$H$3,,,Plots!$A$66))+INDIRECT(ADDRESS($B294,Plots!$H$3,,,Plots!$A$67))</f>
        <v>0</v>
      </c>
      <c r="I294">
        <f>'AARnetCBR-CamDTN1_tcpmon_ts_81'!H298+'AARnetCBR-CamDTN1_tcpmon_ts_82'!H298+'AARnetCBR-CamDTN1_tcpmon_ts_83'!H298+'AARnetCBR-CamDTN1_tcpmon_ts_84'!H298+'AARnetCBR-CamDTN1_tcpmon_ts_85'!H298+'AARnetCBR-CamDTN1_tcpmon_ts_86'!H298+'AARnetCBR-CamDTN1_tcpmon_ts_87'!H298+'AARnetCBR-CamDTN1_tcpmon_ts_88'!H298</f>
        <v>0</v>
      </c>
      <c r="L294" cm="1">
        <f t="array" aca="1" ref="L294" ca="1">INDIRECT(ADDRESS($B294,Plots!$H$4,,,Plots!$A$47))</f>
        <v>0</v>
      </c>
      <c r="M294" cm="1">
        <f t="array" aca="1" ref="M294" ca="1">INDIRECT(ADDRESS($B294,Plots!$H$4,,,Plots!$A$48))+INDIRECT(ADDRESS($B294,Plots!$H$4,,,Plots!$A$49))</f>
        <v>0</v>
      </c>
      <c r="N294" cm="1">
        <f t="array" aca="1" ref="N294" ca="1">INDIRECT(ADDRESS($B294,Plots!$H$4,,,Plots!$A$50))+INDIRECT(ADDRESS($B294,Plots!$H$4,,,Plots!$A$51))+INDIRECT(ADDRESS($B294,Plots!$H$4,,,Plots!$A$52))</f>
        <v>0</v>
      </c>
      <c r="O294" cm="1">
        <f t="array" aca="1" ref="O294" ca="1">INDIRECT(ADDRESS($B294,Plots!$H$4,,,Plots!$A$53))+INDIRECT(ADDRESS($B294,Plots!$H$4,,,Plots!$A$54))+INDIRECT(ADDRESS($B294,Plots!$H$4,,,Plots!$A$55))+INDIRECT(ADDRESS($B294,Plots!$H$4,,,Plots!$A$56))</f>
        <v>0</v>
      </c>
      <c r="P294" cm="1">
        <f t="array" aca="1" ref="P294" ca="1">INDIRECT(ADDRESS($B294,Plots!$H$4,,,Plots!$A$57))+INDIRECT(ADDRESS($B294,Plots!$H$4,,,Plots!$A$58))+INDIRECT(ADDRESS($B294,Plots!$H$4,,,Plots!$A$59))+INDIRECT(ADDRESS($B294,Plots!$H$4,,,Plots!$A$60))+INDIRECT(ADDRESS($B294,Plots!$H$4,,,Plots!$A$61))</f>
        <v>0</v>
      </c>
      <c r="Q294" cm="1">
        <f t="array" aca="1" ref="Q294" ca="1">INDIRECT(ADDRESS($B294,Plots!$H$4,,,Plots!$A$62))+INDIRECT(ADDRESS($B294,Plots!$H$4,,,Plots!$A$63))+INDIRECT(ADDRESS($B294,Plots!$H$4,,,Plots!$A$64))+INDIRECT(ADDRESS($B294,Plots!$H$4,,,Plots!$A$65))+INDIRECT(ADDRESS($B294,Plots!$H$4,,,Plots!$A$66))+INDIRECT(ADDRESS($B294,Plots!$H$4,,,Plots!$A$67))</f>
        <v>0</v>
      </c>
    </row>
    <row r="295" spans="1:17">
      <c r="A295">
        <f>'AARnetCBR-CamDTN1_tcpmon_ts_11'!A295</f>
        <v>0</v>
      </c>
      <c r="B295">
        <f t="shared" si="4"/>
        <v>295</v>
      </c>
      <c r="C295" cm="1">
        <f t="array" aca="1" ref="C295" ca="1">INDIRECT(ADDRESS($B295,Plots!$H$3,,,Plots!$A$47))</f>
        <v>0</v>
      </c>
      <c r="D295" cm="1">
        <f t="array" aca="1" ref="D295" ca="1">INDIRECT(ADDRESS($B295,Plots!$H$3,,,Plots!$A$48))+INDIRECT(ADDRESS($B295,Plots!$H$3,,,Plots!$A$49))</f>
        <v>0</v>
      </c>
      <c r="E295" cm="1">
        <f t="array" aca="1" ref="E295" ca="1">INDIRECT(ADDRESS($B295,Plots!$H$3,,,Plots!$A$50))+INDIRECT(ADDRESS($B295,Plots!$H$3,,,Plots!$A$51))+INDIRECT(ADDRESS($B295,Plots!$H$3,,,Plots!$A$52))</f>
        <v>0</v>
      </c>
      <c r="F295" cm="1">
        <f t="array" aca="1" ref="F295" ca="1">INDIRECT(ADDRESS($B295,Plots!$H$3,,,Plots!$A$53))+INDIRECT(ADDRESS($B295,Plots!$H$3,,,Plots!$A$54))+INDIRECT(ADDRESS($B295,Plots!$H$3,,,Plots!$A$55))+INDIRECT(ADDRESS($B295,Plots!$H$3,,,Plots!$A$56))</f>
        <v>0</v>
      </c>
      <c r="G295" cm="1">
        <f t="array" aca="1" ref="G295" ca="1">INDIRECT(ADDRESS($B295,Plots!$H$3,,,Plots!$A$57))+INDIRECT(ADDRESS($B295,Plots!$H$3,,,Plots!$A$58))+INDIRECT(ADDRESS($B295,Plots!$H$3,,,Plots!$A$59))+INDIRECT(ADDRESS($B295,Plots!$H$3,,,Plots!$A$60))+INDIRECT(ADDRESS($B295,Plots!$H$3,,,Plots!$A$61))</f>
        <v>0</v>
      </c>
      <c r="H295" cm="1">
        <f t="array" aca="1" ref="H295" ca="1">INDIRECT(ADDRESS($B295,Plots!$H$3,,,Plots!$A$62))+INDIRECT(ADDRESS($B295,Plots!$H$3,,,Plots!$A$63))+INDIRECT(ADDRESS($B295,Plots!$H$3,,,Plots!$A$64))+INDIRECT(ADDRESS($B295,Plots!$H$3,,,Plots!$A$65))+INDIRECT(ADDRESS($B295,Plots!$H$3,,,Plots!$A$66))+INDIRECT(ADDRESS($B295,Plots!$H$3,,,Plots!$A$67))</f>
        <v>0</v>
      </c>
      <c r="I295">
        <f>'AARnetCBR-CamDTN1_tcpmon_ts_81'!H299+'AARnetCBR-CamDTN1_tcpmon_ts_82'!H299+'AARnetCBR-CamDTN1_tcpmon_ts_83'!H299+'AARnetCBR-CamDTN1_tcpmon_ts_84'!H299+'AARnetCBR-CamDTN1_tcpmon_ts_85'!H299+'AARnetCBR-CamDTN1_tcpmon_ts_86'!H299+'AARnetCBR-CamDTN1_tcpmon_ts_87'!H299+'AARnetCBR-CamDTN1_tcpmon_ts_88'!H299</f>
        <v>0</v>
      </c>
      <c r="L295" cm="1">
        <f t="array" aca="1" ref="L295" ca="1">INDIRECT(ADDRESS($B295,Plots!$H$4,,,Plots!$A$47))</f>
        <v>0</v>
      </c>
      <c r="M295" cm="1">
        <f t="array" aca="1" ref="M295" ca="1">INDIRECT(ADDRESS($B295,Plots!$H$4,,,Plots!$A$48))+INDIRECT(ADDRESS($B295,Plots!$H$4,,,Plots!$A$49))</f>
        <v>0</v>
      </c>
      <c r="N295" cm="1">
        <f t="array" aca="1" ref="N295" ca="1">INDIRECT(ADDRESS($B295,Plots!$H$4,,,Plots!$A$50))+INDIRECT(ADDRESS($B295,Plots!$H$4,,,Plots!$A$51))+INDIRECT(ADDRESS($B295,Plots!$H$4,,,Plots!$A$52))</f>
        <v>0</v>
      </c>
      <c r="O295" cm="1">
        <f t="array" aca="1" ref="O295" ca="1">INDIRECT(ADDRESS($B295,Plots!$H$4,,,Plots!$A$53))+INDIRECT(ADDRESS($B295,Plots!$H$4,,,Plots!$A$54))+INDIRECT(ADDRESS($B295,Plots!$H$4,,,Plots!$A$55))+INDIRECT(ADDRESS($B295,Plots!$H$4,,,Plots!$A$56))</f>
        <v>0</v>
      </c>
      <c r="P295" cm="1">
        <f t="array" aca="1" ref="P295" ca="1">INDIRECT(ADDRESS($B295,Plots!$H$4,,,Plots!$A$57))+INDIRECT(ADDRESS($B295,Plots!$H$4,,,Plots!$A$58))+INDIRECT(ADDRESS($B295,Plots!$H$4,,,Plots!$A$59))+INDIRECT(ADDRESS($B295,Plots!$H$4,,,Plots!$A$60))+INDIRECT(ADDRESS($B295,Plots!$H$4,,,Plots!$A$61))</f>
        <v>0</v>
      </c>
      <c r="Q295" cm="1">
        <f t="array" aca="1" ref="Q295" ca="1">INDIRECT(ADDRESS($B295,Plots!$H$4,,,Plots!$A$62))+INDIRECT(ADDRESS($B295,Plots!$H$4,,,Plots!$A$63))+INDIRECT(ADDRESS($B295,Plots!$H$4,,,Plots!$A$64))+INDIRECT(ADDRESS($B295,Plots!$H$4,,,Plots!$A$65))+INDIRECT(ADDRESS($B295,Plots!$H$4,,,Plots!$A$66))+INDIRECT(ADDRESS($B295,Plots!$H$4,,,Plots!$A$67))</f>
        <v>0</v>
      </c>
    </row>
    <row r="296" spans="1:17">
      <c r="A296">
        <f>'AARnetCBR-CamDTN1_tcpmon_ts_11'!A296</f>
        <v>0</v>
      </c>
      <c r="B296">
        <f t="shared" si="4"/>
        <v>296</v>
      </c>
      <c r="C296" cm="1">
        <f t="array" aca="1" ref="C296" ca="1">INDIRECT(ADDRESS($B296,Plots!$H$3,,,Plots!$A$47))</f>
        <v>0</v>
      </c>
      <c r="D296" cm="1">
        <f t="array" aca="1" ref="D296" ca="1">INDIRECT(ADDRESS($B296,Plots!$H$3,,,Plots!$A$48))+INDIRECT(ADDRESS($B296,Plots!$H$3,,,Plots!$A$49))</f>
        <v>0</v>
      </c>
      <c r="E296" cm="1">
        <f t="array" aca="1" ref="E296" ca="1">INDIRECT(ADDRESS($B296,Plots!$H$3,,,Plots!$A$50))+INDIRECT(ADDRESS($B296,Plots!$H$3,,,Plots!$A$51))+INDIRECT(ADDRESS($B296,Plots!$H$3,,,Plots!$A$52))</f>
        <v>0</v>
      </c>
      <c r="F296" cm="1">
        <f t="array" aca="1" ref="F296" ca="1">INDIRECT(ADDRESS($B296,Plots!$H$3,,,Plots!$A$53))+INDIRECT(ADDRESS($B296,Plots!$H$3,,,Plots!$A$54))+INDIRECT(ADDRESS($B296,Plots!$H$3,,,Plots!$A$55))+INDIRECT(ADDRESS($B296,Plots!$H$3,,,Plots!$A$56))</f>
        <v>0</v>
      </c>
      <c r="G296" cm="1">
        <f t="array" aca="1" ref="G296" ca="1">INDIRECT(ADDRESS($B296,Plots!$H$3,,,Plots!$A$57))+INDIRECT(ADDRESS($B296,Plots!$H$3,,,Plots!$A$58))+INDIRECT(ADDRESS($B296,Plots!$H$3,,,Plots!$A$59))+INDIRECT(ADDRESS($B296,Plots!$H$3,,,Plots!$A$60))+INDIRECT(ADDRESS($B296,Plots!$H$3,,,Plots!$A$61))</f>
        <v>0</v>
      </c>
      <c r="H296" cm="1">
        <f t="array" aca="1" ref="H296" ca="1">INDIRECT(ADDRESS($B296,Plots!$H$3,,,Plots!$A$62))+INDIRECT(ADDRESS($B296,Plots!$H$3,,,Plots!$A$63))+INDIRECT(ADDRESS($B296,Plots!$H$3,,,Plots!$A$64))+INDIRECT(ADDRESS($B296,Plots!$H$3,,,Plots!$A$65))+INDIRECT(ADDRESS($B296,Plots!$H$3,,,Plots!$A$66))+INDIRECT(ADDRESS($B296,Plots!$H$3,,,Plots!$A$67))</f>
        <v>0</v>
      </c>
      <c r="I296">
        <f>'AARnetCBR-CamDTN1_tcpmon_ts_81'!H300+'AARnetCBR-CamDTN1_tcpmon_ts_82'!H300+'AARnetCBR-CamDTN1_tcpmon_ts_83'!H300+'AARnetCBR-CamDTN1_tcpmon_ts_84'!H300+'AARnetCBR-CamDTN1_tcpmon_ts_85'!H300+'AARnetCBR-CamDTN1_tcpmon_ts_86'!H300+'AARnetCBR-CamDTN1_tcpmon_ts_87'!H300+'AARnetCBR-CamDTN1_tcpmon_ts_88'!H300</f>
        <v>0</v>
      </c>
      <c r="L296" cm="1">
        <f t="array" aca="1" ref="L296" ca="1">INDIRECT(ADDRESS($B296,Plots!$H$4,,,Plots!$A$47))</f>
        <v>0</v>
      </c>
      <c r="M296" cm="1">
        <f t="array" aca="1" ref="M296" ca="1">INDIRECT(ADDRESS($B296,Plots!$H$4,,,Plots!$A$48))+INDIRECT(ADDRESS($B296,Plots!$H$4,,,Plots!$A$49))</f>
        <v>0</v>
      </c>
      <c r="N296" cm="1">
        <f t="array" aca="1" ref="N296" ca="1">INDIRECT(ADDRESS($B296,Plots!$H$4,,,Plots!$A$50))+INDIRECT(ADDRESS($B296,Plots!$H$4,,,Plots!$A$51))+INDIRECT(ADDRESS($B296,Plots!$H$4,,,Plots!$A$52))</f>
        <v>0</v>
      </c>
      <c r="O296" cm="1">
        <f t="array" aca="1" ref="O296" ca="1">INDIRECT(ADDRESS($B296,Plots!$H$4,,,Plots!$A$53))+INDIRECT(ADDRESS($B296,Plots!$H$4,,,Plots!$A$54))+INDIRECT(ADDRESS($B296,Plots!$H$4,,,Plots!$A$55))+INDIRECT(ADDRESS($B296,Plots!$H$4,,,Plots!$A$56))</f>
        <v>0</v>
      </c>
      <c r="P296" cm="1">
        <f t="array" aca="1" ref="P296" ca="1">INDIRECT(ADDRESS($B296,Plots!$H$4,,,Plots!$A$57))+INDIRECT(ADDRESS($B296,Plots!$H$4,,,Plots!$A$58))+INDIRECT(ADDRESS($B296,Plots!$H$4,,,Plots!$A$59))+INDIRECT(ADDRESS($B296,Plots!$H$4,,,Plots!$A$60))+INDIRECT(ADDRESS($B296,Plots!$H$4,,,Plots!$A$61))</f>
        <v>0</v>
      </c>
      <c r="Q296" cm="1">
        <f t="array" aca="1" ref="Q296" ca="1">INDIRECT(ADDRESS($B296,Plots!$H$4,,,Plots!$A$62))+INDIRECT(ADDRESS($B296,Plots!$H$4,,,Plots!$A$63))+INDIRECT(ADDRESS($B296,Plots!$H$4,,,Plots!$A$64))+INDIRECT(ADDRESS($B296,Plots!$H$4,,,Plots!$A$65))+INDIRECT(ADDRESS($B296,Plots!$H$4,,,Plots!$A$66))+INDIRECT(ADDRESS($B296,Plots!$H$4,,,Plots!$A$67))</f>
        <v>0</v>
      </c>
    </row>
    <row r="297" spans="1:17">
      <c r="A297">
        <f>'AARnetCBR-CamDTN1_tcpmon_ts_11'!A297</f>
        <v>0</v>
      </c>
      <c r="B297">
        <f t="shared" si="4"/>
        <v>297</v>
      </c>
      <c r="C297" cm="1">
        <f t="array" aca="1" ref="C297" ca="1">INDIRECT(ADDRESS($B297,Plots!$H$3,,,Plots!$A$47))</f>
        <v>0</v>
      </c>
      <c r="D297" cm="1">
        <f t="array" aca="1" ref="D297" ca="1">INDIRECT(ADDRESS($B297,Plots!$H$3,,,Plots!$A$48))+INDIRECT(ADDRESS($B297,Plots!$H$3,,,Plots!$A$49))</f>
        <v>0</v>
      </c>
      <c r="E297" cm="1">
        <f t="array" aca="1" ref="E297" ca="1">INDIRECT(ADDRESS($B297,Plots!$H$3,,,Plots!$A$50))+INDIRECT(ADDRESS($B297,Plots!$H$3,,,Plots!$A$51))+INDIRECT(ADDRESS($B297,Plots!$H$3,,,Plots!$A$52))</f>
        <v>0</v>
      </c>
      <c r="F297" cm="1">
        <f t="array" aca="1" ref="F297" ca="1">INDIRECT(ADDRESS($B297,Plots!$H$3,,,Plots!$A$53))+INDIRECT(ADDRESS($B297,Plots!$H$3,,,Plots!$A$54))+INDIRECT(ADDRESS($B297,Plots!$H$3,,,Plots!$A$55))+INDIRECT(ADDRESS($B297,Plots!$H$3,,,Plots!$A$56))</f>
        <v>0</v>
      </c>
      <c r="G297" cm="1">
        <f t="array" aca="1" ref="G297" ca="1">INDIRECT(ADDRESS($B297,Plots!$H$3,,,Plots!$A$57))+INDIRECT(ADDRESS($B297,Plots!$H$3,,,Plots!$A$58))+INDIRECT(ADDRESS($B297,Plots!$H$3,,,Plots!$A$59))+INDIRECT(ADDRESS($B297,Plots!$H$3,,,Plots!$A$60))+INDIRECT(ADDRESS($B297,Plots!$H$3,,,Plots!$A$61))</f>
        <v>0</v>
      </c>
      <c r="H297" cm="1">
        <f t="array" aca="1" ref="H297" ca="1">INDIRECT(ADDRESS($B297,Plots!$H$3,,,Plots!$A$62))+INDIRECT(ADDRESS($B297,Plots!$H$3,,,Plots!$A$63))+INDIRECT(ADDRESS($B297,Plots!$H$3,,,Plots!$A$64))+INDIRECT(ADDRESS($B297,Plots!$H$3,,,Plots!$A$65))+INDIRECT(ADDRESS($B297,Plots!$H$3,,,Plots!$A$66))+INDIRECT(ADDRESS($B297,Plots!$H$3,,,Plots!$A$67))</f>
        <v>0</v>
      </c>
      <c r="I297">
        <f>'AARnetCBR-CamDTN1_tcpmon_ts_81'!H301+'AARnetCBR-CamDTN1_tcpmon_ts_82'!H301+'AARnetCBR-CamDTN1_tcpmon_ts_83'!H301+'AARnetCBR-CamDTN1_tcpmon_ts_84'!H301+'AARnetCBR-CamDTN1_tcpmon_ts_85'!H301+'AARnetCBR-CamDTN1_tcpmon_ts_86'!H301+'AARnetCBR-CamDTN1_tcpmon_ts_87'!H301+'AARnetCBR-CamDTN1_tcpmon_ts_88'!H301</f>
        <v>0</v>
      </c>
      <c r="L297" cm="1">
        <f t="array" aca="1" ref="L297" ca="1">INDIRECT(ADDRESS($B297,Plots!$H$4,,,Plots!$A$47))</f>
        <v>0</v>
      </c>
      <c r="M297" cm="1">
        <f t="array" aca="1" ref="M297" ca="1">INDIRECT(ADDRESS($B297,Plots!$H$4,,,Plots!$A$48))+INDIRECT(ADDRESS($B297,Plots!$H$4,,,Plots!$A$49))</f>
        <v>0</v>
      </c>
      <c r="N297" cm="1">
        <f t="array" aca="1" ref="N297" ca="1">INDIRECT(ADDRESS($B297,Plots!$H$4,,,Plots!$A$50))+INDIRECT(ADDRESS($B297,Plots!$H$4,,,Plots!$A$51))+INDIRECT(ADDRESS($B297,Plots!$H$4,,,Plots!$A$52))</f>
        <v>0</v>
      </c>
      <c r="O297" cm="1">
        <f t="array" aca="1" ref="O297" ca="1">INDIRECT(ADDRESS($B297,Plots!$H$4,,,Plots!$A$53))+INDIRECT(ADDRESS($B297,Plots!$H$4,,,Plots!$A$54))+INDIRECT(ADDRESS($B297,Plots!$H$4,,,Plots!$A$55))+INDIRECT(ADDRESS($B297,Plots!$H$4,,,Plots!$A$56))</f>
        <v>0</v>
      </c>
      <c r="P297" cm="1">
        <f t="array" aca="1" ref="P297" ca="1">INDIRECT(ADDRESS($B297,Plots!$H$4,,,Plots!$A$57))+INDIRECT(ADDRESS($B297,Plots!$H$4,,,Plots!$A$58))+INDIRECT(ADDRESS($B297,Plots!$H$4,,,Plots!$A$59))+INDIRECT(ADDRESS($B297,Plots!$H$4,,,Plots!$A$60))+INDIRECT(ADDRESS($B297,Plots!$H$4,,,Plots!$A$61))</f>
        <v>0</v>
      </c>
      <c r="Q297" cm="1">
        <f t="array" aca="1" ref="Q297" ca="1">INDIRECT(ADDRESS($B297,Plots!$H$4,,,Plots!$A$62))+INDIRECT(ADDRESS($B297,Plots!$H$4,,,Plots!$A$63))+INDIRECT(ADDRESS($B297,Plots!$H$4,,,Plots!$A$64))+INDIRECT(ADDRESS($B297,Plots!$H$4,,,Plots!$A$65))+INDIRECT(ADDRESS($B297,Plots!$H$4,,,Plots!$A$66))+INDIRECT(ADDRESS($B297,Plots!$H$4,,,Plots!$A$67))</f>
        <v>0</v>
      </c>
    </row>
    <row r="298" spans="1:17">
      <c r="A298">
        <f>'AARnetCBR-CamDTN1_tcpmon_ts_11'!A298</f>
        <v>0</v>
      </c>
      <c r="B298">
        <f t="shared" si="4"/>
        <v>298</v>
      </c>
      <c r="C298" cm="1">
        <f t="array" aca="1" ref="C298" ca="1">INDIRECT(ADDRESS($B298,Plots!$H$3,,,Plots!$A$47))</f>
        <v>0</v>
      </c>
      <c r="D298" cm="1">
        <f t="array" aca="1" ref="D298" ca="1">INDIRECT(ADDRESS($B298,Plots!$H$3,,,Plots!$A$48))+INDIRECT(ADDRESS($B298,Plots!$H$3,,,Plots!$A$49))</f>
        <v>0</v>
      </c>
      <c r="E298" cm="1">
        <f t="array" aca="1" ref="E298" ca="1">INDIRECT(ADDRESS($B298,Plots!$H$3,,,Plots!$A$50))+INDIRECT(ADDRESS($B298,Plots!$H$3,,,Plots!$A$51))+INDIRECT(ADDRESS($B298,Plots!$H$3,,,Plots!$A$52))</f>
        <v>0</v>
      </c>
      <c r="F298" cm="1">
        <f t="array" aca="1" ref="F298" ca="1">INDIRECT(ADDRESS($B298,Plots!$H$3,,,Plots!$A$53))+INDIRECT(ADDRESS($B298,Plots!$H$3,,,Plots!$A$54))+INDIRECT(ADDRESS($B298,Plots!$H$3,,,Plots!$A$55))+INDIRECT(ADDRESS($B298,Plots!$H$3,,,Plots!$A$56))</f>
        <v>0</v>
      </c>
      <c r="G298" cm="1">
        <f t="array" aca="1" ref="G298" ca="1">INDIRECT(ADDRESS($B298,Plots!$H$3,,,Plots!$A$57))+INDIRECT(ADDRESS($B298,Plots!$H$3,,,Plots!$A$58))+INDIRECT(ADDRESS($B298,Plots!$H$3,,,Plots!$A$59))+INDIRECT(ADDRESS($B298,Plots!$H$3,,,Plots!$A$60))+INDIRECT(ADDRESS($B298,Plots!$H$3,,,Plots!$A$61))</f>
        <v>0</v>
      </c>
      <c r="H298" cm="1">
        <f t="array" aca="1" ref="H298" ca="1">INDIRECT(ADDRESS($B298,Plots!$H$3,,,Plots!$A$62))+INDIRECT(ADDRESS($B298,Plots!$H$3,,,Plots!$A$63))+INDIRECT(ADDRESS($B298,Plots!$H$3,,,Plots!$A$64))+INDIRECT(ADDRESS($B298,Plots!$H$3,,,Plots!$A$65))+INDIRECT(ADDRESS($B298,Plots!$H$3,,,Plots!$A$66))+INDIRECT(ADDRESS($B298,Plots!$H$3,,,Plots!$A$67))</f>
        <v>0</v>
      </c>
      <c r="L298" cm="1">
        <f t="array" aca="1" ref="L298" ca="1">INDIRECT(ADDRESS($B298,Plots!$H$4,,,Plots!$A$47))</f>
        <v>0</v>
      </c>
      <c r="M298" cm="1">
        <f t="array" aca="1" ref="M298" ca="1">INDIRECT(ADDRESS($B298,Plots!$H$4,,,Plots!$A$48))+INDIRECT(ADDRESS($B298,Plots!$H$4,,,Plots!$A$49))</f>
        <v>0</v>
      </c>
      <c r="N298" cm="1">
        <f t="array" aca="1" ref="N298" ca="1">INDIRECT(ADDRESS($B298,Plots!$H$4,,,Plots!$A$50))+INDIRECT(ADDRESS($B298,Plots!$H$4,,,Plots!$A$51))+INDIRECT(ADDRESS($B298,Plots!$H$4,,,Plots!$A$52))</f>
        <v>0</v>
      </c>
      <c r="O298" cm="1">
        <f t="array" aca="1" ref="O298" ca="1">INDIRECT(ADDRESS($B298,Plots!$H$4,,,Plots!$A$53))+INDIRECT(ADDRESS($B298,Plots!$H$4,,,Plots!$A$54))+INDIRECT(ADDRESS($B298,Plots!$H$4,,,Plots!$A$55))+INDIRECT(ADDRESS($B298,Plots!$H$4,,,Plots!$A$56))</f>
        <v>0</v>
      </c>
      <c r="P298" cm="1">
        <f t="array" aca="1" ref="P298" ca="1">INDIRECT(ADDRESS($B298,Plots!$H$4,,,Plots!$A$57))+INDIRECT(ADDRESS($B298,Plots!$H$4,,,Plots!$A$58))+INDIRECT(ADDRESS($B298,Plots!$H$4,,,Plots!$A$59))+INDIRECT(ADDRESS($B298,Plots!$H$4,,,Plots!$A$60))+INDIRECT(ADDRESS($B298,Plots!$H$4,,,Plots!$A$61))</f>
        <v>0</v>
      </c>
      <c r="Q298" cm="1">
        <f t="array" aca="1" ref="Q298" ca="1">INDIRECT(ADDRESS($B298,Plots!$H$4,,,Plots!$A$62))+INDIRECT(ADDRESS($B298,Plots!$H$4,,,Plots!$A$63))+INDIRECT(ADDRESS($B298,Plots!$H$4,,,Plots!$A$64))+INDIRECT(ADDRESS($B298,Plots!$H$4,,,Plots!$A$65))+INDIRECT(ADDRESS($B298,Plots!$H$4,,,Plots!$A$66))+INDIRECT(ADDRESS($B298,Plots!$H$4,,,Plots!$A$67))</f>
        <v>0</v>
      </c>
    </row>
    <row r="299" spans="1:17">
      <c r="A299">
        <f>'AARnetCBR-CamDTN1_tcpmon_ts_11'!A299</f>
        <v>0</v>
      </c>
      <c r="B299">
        <f t="shared" si="4"/>
        <v>299</v>
      </c>
      <c r="C299" cm="1">
        <f t="array" aca="1" ref="C299" ca="1">INDIRECT(ADDRESS($B299,Plots!$H$3,,,Plots!$A$47))</f>
        <v>0</v>
      </c>
      <c r="D299" cm="1">
        <f t="array" aca="1" ref="D299" ca="1">INDIRECT(ADDRESS($B299,Plots!$H$3,,,Plots!$A$48))+INDIRECT(ADDRESS($B299,Plots!$H$3,,,Plots!$A$49))</f>
        <v>0</v>
      </c>
      <c r="E299" cm="1">
        <f t="array" aca="1" ref="E299" ca="1">INDIRECT(ADDRESS($B299,Plots!$H$3,,,Plots!$A$50))+INDIRECT(ADDRESS($B299,Plots!$H$3,,,Plots!$A$51))+INDIRECT(ADDRESS($B299,Plots!$H$3,,,Plots!$A$52))</f>
        <v>0</v>
      </c>
      <c r="F299" cm="1">
        <f t="array" aca="1" ref="F299" ca="1">INDIRECT(ADDRESS($B299,Plots!$H$3,,,Plots!$A$53))+INDIRECT(ADDRESS($B299,Plots!$H$3,,,Plots!$A$54))+INDIRECT(ADDRESS($B299,Plots!$H$3,,,Plots!$A$55))+INDIRECT(ADDRESS($B299,Plots!$H$3,,,Plots!$A$56))</f>
        <v>0</v>
      </c>
      <c r="G299" cm="1">
        <f t="array" aca="1" ref="G299" ca="1">INDIRECT(ADDRESS($B299,Plots!$H$3,,,Plots!$A$57))+INDIRECT(ADDRESS($B299,Plots!$H$3,,,Plots!$A$58))+INDIRECT(ADDRESS($B299,Plots!$H$3,,,Plots!$A$59))+INDIRECT(ADDRESS($B299,Plots!$H$3,,,Plots!$A$60))+INDIRECT(ADDRESS($B299,Plots!$H$3,,,Plots!$A$61))</f>
        <v>0</v>
      </c>
      <c r="H299" cm="1">
        <f t="array" aca="1" ref="H299" ca="1">INDIRECT(ADDRESS($B299,Plots!$H$3,,,Plots!$A$62))+INDIRECT(ADDRESS($B299,Plots!$H$3,,,Plots!$A$63))+INDIRECT(ADDRESS($B299,Plots!$H$3,,,Plots!$A$64))+INDIRECT(ADDRESS($B299,Plots!$H$3,,,Plots!$A$65))+INDIRECT(ADDRESS($B299,Plots!$H$3,,,Plots!$A$66))+INDIRECT(ADDRESS($B299,Plots!$H$3,,,Plots!$A$67))</f>
        <v>0</v>
      </c>
      <c r="L299" cm="1">
        <f t="array" aca="1" ref="L299" ca="1">INDIRECT(ADDRESS($B299,Plots!$H$4,,,Plots!$A$47))</f>
        <v>0</v>
      </c>
      <c r="M299" cm="1">
        <f t="array" aca="1" ref="M299" ca="1">INDIRECT(ADDRESS($B299,Plots!$H$4,,,Plots!$A$48))+INDIRECT(ADDRESS($B299,Plots!$H$4,,,Plots!$A$49))</f>
        <v>0</v>
      </c>
      <c r="N299" cm="1">
        <f t="array" aca="1" ref="N299" ca="1">INDIRECT(ADDRESS($B299,Plots!$H$4,,,Plots!$A$50))+INDIRECT(ADDRESS($B299,Plots!$H$4,,,Plots!$A$51))+INDIRECT(ADDRESS($B299,Plots!$H$4,,,Plots!$A$52))</f>
        <v>0</v>
      </c>
      <c r="O299" cm="1">
        <f t="array" aca="1" ref="O299" ca="1">INDIRECT(ADDRESS($B299,Plots!$H$4,,,Plots!$A$53))+INDIRECT(ADDRESS($B299,Plots!$H$4,,,Plots!$A$54))+INDIRECT(ADDRESS($B299,Plots!$H$4,,,Plots!$A$55))+INDIRECT(ADDRESS($B299,Plots!$H$4,,,Plots!$A$56))</f>
        <v>0</v>
      </c>
      <c r="P299" cm="1">
        <f t="array" aca="1" ref="P299" ca="1">INDIRECT(ADDRESS($B299,Plots!$H$4,,,Plots!$A$57))+INDIRECT(ADDRESS($B299,Plots!$H$4,,,Plots!$A$58))+INDIRECT(ADDRESS($B299,Plots!$H$4,,,Plots!$A$59))+INDIRECT(ADDRESS($B299,Plots!$H$4,,,Plots!$A$60))+INDIRECT(ADDRESS($B299,Plots!$H$4,,,Plots!$A$61))</f>
        <v>0</v>
      </c>
      <c r="Q299" cm="1">
        <f t="array" aca="1" ref="Q299" ca="1">INDIRECT(ADDRESS($B299,Plots!$H$4,,,Plots!$A$62))+INDIRECT(ADDRESS($B299,Plots!$H$4,,,Plots!$A$63))+INDIRECT(ADDRESS($B299,Plots!$H$4,,,Plots!$A$64))+INDIRECT(ADDRESS($B299,Plots!$H$4,,,Plots!$A$65))+INDIRECT(ADDRESS($B299,Plots!$H$4,,,Plots!$A$66))+INDIRECT(ADDRESS($B299,Plots!$H$4,,,Plots!$A$67))</f>
        <v>0</v>
      </c>
    </row>
    <row r="300" spans="1:17">
      <c r="A300">
        <f>'AARnetCBR-CamDTN1_tcpmon_ts_11'!A300</f>
        <v>0</v>
      </c>
      <c r="B300">
        <f t="shared" si="4"/>
        <v>300</v>
      </c>
      <c r="C300" cm="1">
        <f t="array" aca="1" ref="C300" ca="1">INDIRECT(ADDRESS($B300,Plots!$H$3,,,Plots!$A$47))</f>
        <v>0</v>
      </c>
      <c r="D300" cm="1">
        <f t="array" aca="1" ref="D300" ca="1">INDIRECT(ADDRESS($B300,Plots!$H$3,,,Plots!$A$48))+INDIRECT(ADDRESS($B300,Plots!$H$3,,,Plots!$A$49))</f>
        <v>0</v>
      </c>
      <c r="E300" cm="1">
        <f t="array" aca="1" ref="E300" ca="1">INDIRECT(ADDRESS($B300,Plots!$H$3,,,Plots!$A$50))+INDIRECT(ADDRESS($B300,Plots!$H$3,,,Plots!$A$51))+INDIRECT(ADDRESS($B300,Plots!$H$3,,,Plots!$A$52))</f>
        <v>0</v>
      </c>
      <c r="F300" cm="1">
        <f t="array" aca="1" ref="F300" ca="1">INDIRECT(ADDRESS($B300,Plots!$H$3,,,Plots!$A$53))+INDIRECT(ADDRESS($B300,Plots!$H$3,,,Plots!$A$54))+INDIRECT(ADDRESS($B300,Plots!$H$3,,,Plots!$A$55))+INDIRECT(ADDRESS($B300,Plots!$H$3,,,Plots!$A$56))</f>
        <v>0</v>
      </c>
      <c r="G300" cm="1">
        <f t="array" aca="1" ref="G300" ca="1">INDIRECT(ADDRESS($B300,Plots!$H$3,,,Plots!$A$57))+INDIRECT(ADDRESS($B300,Plots!$H$3,,,Plots!$A$58))+INDIRECT(ADDRESS($B300,Plots!$H$3,,,Plots!$A$59))+INDIRECT(ADDRESS($B300,Plots!$H$3,,,Plots!$A$60))+INDIRECT(ADDRESS($B300,Plots!$H$3,,,Plots!$A$61))</f>
        <v>0</v>
      </c>
      <c r="H300" cm="1">
        <f t="array" aca="1" ref="H300" ca="1">INDIRECT(ADDRESS($B300,Plots!$H$3,,,Plots!$A$62))+INDIRECT(ADDRESS($B300,Plots!$H$3,,,Plots!$A$63))+INDIRECT(ADDRESS($B300,Plots!$H$3,,,Plots!$A$64))+INDIRECT(ADDRESS($B300,Plots!$H$3,,,Plots!$A$65))+INDIRECT(ADDRESS($B300,Plots!$H$3,,,Plots!$A$66))+INDIRECT(ADDRESS($B300,Plots!$H$3,,,Plots!$A$67))</f>
        <v>0</v>
      </c>
      <c r="L300" cm="1">
        <f t="array" aca="1" ref="L300" ca="1">INDIRECT(ADDRESS($B300,Plots!$H$4,,,Plots!$A$47))</f>
        <v>0</v>
      </c>
      <c r="M300" cm="1">
        <f t="array" aca="1" ref="M300" ca="1">INDIRECT(ADDRESS($B300,Plots!$H$4,,,Plots!$A$48))+INDIRECT(ADDRESS($B300,Plots!$H$4,,,Plots!$A$49))</f>
        <v>0</v>
      </c>
      <c r="N300" cm="1">
        <f t="array" aca="1" ref="N300" ca="1">INDIRECT(ADDRESS($B300,Plots!$H$4,,,Plots!$A$50))+INDIRECT(ADDRESS($B300,Plots!$H$4,,,Plots!$A$51))+INDIRECT(ADDRESS($B300,Plots!$H$4,,,Plots!$A$52))</f>
        <v>0</v>
      </c>
      <c r="O300" cm="1">
        <f t="array" aca="1" ref="O300" ca="1">INDIRECT(ADDRESS($B300,Plots!$H$4,,,Plots!$A$53))+INDIRECT(ADDRESS($B300,Plots!$H$4,,,Plots!$A$54))+INDIRECT(ADDRESS($B300,Plots!$H$4,,,Plots!$A$55))+INDIRECT(ADDRESS($B300,Plots!$H$4,,,Plots!$A$56))</f>
        <v>0</v>
      </c>
      <c r="P300" cm="1">
        <f t="array" aca="1" ref="P300" ca="1">INDIRECT(ADDRESS($B300,Plots!$H$4,,,Plots!$A$57))+INDIRECT(ADDRESS($B300,Plots!$H$4,,,Plots!$A$58))+INDIRECT(ADDRESS($B300,Plots!$H$4,,,Plots!$A$59))+INDIRECT(ADDRESS($B300,Plots!$H$4,,,Plots!$A$60))+INDIRECT(ADDRESS($B300,Plots!$H$4,,,Plots!$A$61))</f>
        <v>0</v>
      </c>
      <c r="Q300" cm="1">
        <f t="array" aca="1" ref="Q300" ca="1">INDIRECT(ADDRESS($B300,Plots!$H$4,,,Plots!$A$62))+INDIRECT(ADDRESS($B300,Plots!$H$4,,,Plots!$A$63))+INDIRECT(ADDRESS($B300,Plots!$H$4,,,Plots!$A$64))+INDIRECT(ADDRESS($B300,Plots!$H$4,,,Plots!$A$65))+INDIRECT(ADDRESS($B300,Plots!$H$4,,,Plots!$A$66))+INDIRECT(ADDRESS($B300,Plots!$H$4,,,Plots!$A$67))</f>
        <v>0</v>
      </c>
    </row>
    <row r="301" spans="1:17">
      <c r="A301">
        <f>'AARnetCBR-CamDTN1_tcpmon_ts_11'!A301</f>
        <v>0</v>
      </c>
      <c r="B301">
        <f t="shared" si="4"/>
        <v>301</v>
      </c>
      <c r="C301" cm="1">
        <f t="array" aca="1" ref="C301" ca="1">INDIRECT(ADDRESS($B301,Plots!$H$3,,,Plots!$A$47))</f>
        <v>0</v>
      </c>
      <c r="D301" cm="1">
        <f t="array" aca="1" ref="D301" ca="1">INDIRECT(ADDRESS($B301,Plots!$H$3,,,Plots!$A$48))+INDIRECT(ADDRESS($B301,Plots!$H$3,,,Plots!$A$49))</f>
        <v>0</v>
      </c>
      <c r="E301" cm="1">
        <f t="array" aca="1" ref="E301" ca="1">INDIRECT(ADDRESS($B301,Plots!$H$3,,,Plots!$A$50))+INDIRECT(ADDRESS($B301,Plots!$H$3,,,Plots!$A$51))+INDIRECT(ADDRESS($B301,Plots!$H$3,,,Plots!$A$52))</f>
        <v>0</v>
      </c>
      <c r="F301" cm="1">
        <f t="array" aca="1" ref="F301" ca="1">INDIRECT(ADDRESS($B301,Plots!$H$3,,,Plots!$A$53))+INDIRECT(ADDRESS($B301,Plots!$H$3,,,Plots!$A$54))+INDIRECT(ADDRESS($B301,Plots!$H$3,,,Plots!$A$55))+INDIRECT(ADDRESS($B301,Plots!$H$3,,,Plots!$A$56))</f>
        <v>0</v>
      </c>
      <c r="G301" cm="1">
        <f t="array" aca="1" ref="G301" ca="1">INDIRECT(ADDRESS($B301,Plots!$H$3,,,Plots!$A$57))+INDIRECT(ADDRESS($B301,Plots!$H$3,,,Plots!$A$58))+INDIRECT(ADDRESS($B301,Plots!$H$3,,,Plots!$A$59))+INDIRECT(ADDRESS($B301,Plots!$H$3,,,Plots!$A$60))+INDIRECT(ADDRESS($B301,Plots!$H$3,,,Plots!$A$61))</f>
        <v>0</v>
      </c>
      <c r="H301" cm="1">
        <f t="array" aca="1" ref="H301" ca="1">INDIRECT(ADDRESS($B301,Plots!$H$3,,,Plots!$A$62))+INDIRECT(ADDRESS($B301,Plots!$H$3,,,Plots!$A$63))+INDIRECT(ADDRESS($B301,Plots!$H$3,,,Plots!$A$64))+INDIRECT(ADDRESS($B301,Plots!$H$3,,,Plots!$A$65))+INDIRECT(ADDRESS($B301,Plots!$H$3,,,Plots!$A$66))+INDIRECT(ADDRESS($B301,Plots!$H$3,,,Plots!$A$67))</f>
        <v>0</v>
      </c>
      <c r="L301" cm="1">
        <f t="array" aca="1" ref="L301" ca="1">INDIRECT(ADDRESS($B301,Plots!$H$4,,,Plots!$A$47))</f>
        <v>0</v>
      </c>
      <c r="M301" cm="1">
        <f t="array" aca="1" ref="M301" ca="1">INDIRECT(ADDRESS($B301,Plots!$H$4,,,Plots!$A$48))+INDIRECT(ADDRESS($B301,Plots!$H$4,,,Plots!$A$49))</f>
        <v>0</v>
      </c>
      <c r="N301" cm="1">
        <f t="array" aca="1" ref="N301" ca="1">INDIRECT(ADDRESS($B301,Plots!$H$4,,,Plots!$A$50))+INDIRECT(ADDRESS($B301,Plots!$H$4,,,Plots!$A$51))+INDIRECT(ADDRESS($B301,Plots!$H$4,,,Plots!$A$52))</f>
        <v>0</v>
      </c>
      <c r="O301" cm="1">
        <f t="array" aca="1" ref="O301" ca="1">INDIRECT(ADDRESS($B301,Plots!$H$4,,,Plots!$A$53))+INDIRECT(ADDRESS($B301,Plots!$H$4,,,Plots!$A$54))+INDIRECT(ADDRESS($B301,Plots!$H$4,,,Plots!$A$55))+INDIRECT(ADDRESS($B301,Plots!$H$4,,,Plots!$A$56))</f>
        <v>0</v>
      </c>
      <c r="P301" cm="1">
        <f t="array" aca="1" ref="P301" ca="1">INDIRECT(ADDRESS($B301,Plots!$H$4,,,Plots!$A$57))+INDIRECT(ADDRESS($B301,Plots!$H$4,,,Plots!$A$58))+INDIRECT(ADDRESS($B301,Plots!$H$4,,,Plots!$A$59))+INDIRECT(ADDRESS($B301,Plots!$H$4,,,Plots!$A$60))+INDIRECT(ADDRESS($B301,Plots!$H$4,,,Plots!$A$61))</f>
        <v>0</v>
      </c>
      <c r="Q301" cm="1">
        <f t="array" aca="1" ref="Q301" ca="1">INDIRECT(ADDRESS($B301,Plots!$H$4,,,Plots!$A$62))+INDIRECT(ADDRESS($B301,Plots!$H$4,,,Plots!$A$63))+INDIRECT(ADDRESS($B301,Plots!$H$4,,,Plots!$A$64))+INDIRECT(ADDRESS($B301,Plots!$H$4,,,Plots!$A$65))+INDIRECT(ADDRESS($B301,Plots!$H$4,,,Plots!$A$66))+INDIRECT(ADDRESS($B301,Plots!$H$4,,,Plots!$A$67))</f>
        <v>0</v>
      </c>
    </row>
    <row r="302" spans="1:17">
      <c r="A302">
        <f>'AARnetCBR-CamDTN1_tcpmon_ts_11'!A302</f>
        <v>0</v>
      </c>
      <c r="B302">
        <f t="shared" si="4"/>
        <v>302</v>
      </c>
      <c r="C302" cm="1">
        <f t="array" aca="1" ref="C302" ca="1">INDIRECT(ADDRESS($B302,Plots!$H$3,,,Plots!$A$47))</f>
        <v>0</v>
      </c>
      <c r="D302" cm="1">
        <f t="array" aca="1" ref="D302" ca="1">INDIRECT(ADDRESS($B302,Plots!$H$3,,,Plots!$A$48))+INDIRECT(ADDRESS($B302,Plots!$H$3,,,Plots!$A$49))</f>
        <v>0</v>
      </c>
      <c r="E302" cm="1">
        <f t="array" aca="1" ref="E302" ca="1">INDIRECT(ADDRESS($B302,Plots!$H$3,,,Plots!$A$50))+INDIRECT(ADDRESS($B302,Plots!$H$3,,,Plots!$A$51))+INDIRECT(ADDRESS($B302,Plots!$H$3,,,Plots!$A$52))</f>
        <v>0</v>
      </c>
      <c r="F302" cm="1">
        <f t="array" aca="1" ref="F302" ca="1">INDIRECT(ADDRESS($B302,Plots!$H$3,,,Plots!$A$53))+INDIRECT(ADDRESS($B302,Plots!$H$3,,,Plots!$A$54))+INDIRECT(ADDRESS($B302,Plots!$H$3,,,Plots!$A$55))+INDIRECT(ADDRESS($B302,Plots!$H$3,,,Plots!$A$56))</f>
        <v>0</v>
      </c>
      <c r="G302" cm="1">
        <f t="array" aca="1" ref="G302" ca="1">INDIRECT(ADDRESS($B302,Plots!$H$3,,,Plots!$A$57))+INDIRECT(ADDRESS($B302,Plots!$H$3,,,Plots!$A$58))+INDIRECT(ADDRESS($B302,Plots!$H$3,,,Plots!$A$59))+INDIRECT(ADDRESS($B302,Plots!$H$3,,,Plots!$A$60))+INDIRECT(ADDRESS($B302,Plots!$H$3,,,Plots!$A$61))</f>
        <v>0</v>
      </c>
      <c r="H302" cm="1">
        <f t="array" aca="1" ref="H302" ca="1">INDIRECT(ADDRESS($B302,Plots!$H$3,,,Plots!$A$62))+INDIRECT(ADDRESS($B302,Plots!$H$3,,,Plots!$A$63))+INDIRECT(ADDRESS($B302,Plots!$H$3,,,Plots!$A$64))+INDIRECT(ADDRESS($B302,Plots!$H$3,,,Plots!$A$65))+INDIRECT(ADDRESS($B302,Plots!$H$3,,,Plots!$A$66))+INDIRECT(ADDRESS($B302,Plots!$H$3,,,Plots!$A$67))</f>
        <v>0</v>
      </c>
      <c r="L302" cm="1">
        <f t="array" aca="1" ref="L302" ca="1">INDIRECT(ADDRESS($B302,Plots!$H$4,,,Plots!$A$47))</f>
        <v>0</v>
      </c>
      <c r="M302" cm="1">
        <f t="array" aca="1" ref="M302" ca="1">INDIRECT(ADDRESS($B302,Plots!$H$4,,,Plots!$A$48))+INDIRECT(ADDRESS($B302,Plots!$H$4,,,Plots!$A$49))</f>
        <v>0</v>
      </c>
      <c r="N302" cm="1">
        <f t="array" aca="1" ref="N302" ca="1">INDIRECT(ADDRESS($B302,Plots!$H$4,,,Plots!$A$50))+INDIRECT(ADDRESS($B302,Plots!$H$4,,,Plots!$A$51))+INDIRECT(ADDRESS($B302,Plots!$H$4,,,Plots!$A$52))</f>
        <v>0</v>
      </c>
      <c r="O302" cm="1">
        <f t="array" aca="1" ref="O302" ca="1">INDIRECT(ADDRESS($B302,Plots!$H$4,,,Plots!$A$53))+INDIRECT(ADDRESS($B302,Plots!$H$4,,,Plots!$A$54))+INDIRECT(ADDRESS($B302,Plots!$H$4,,,Plots!$A$55))+INDIRECT(ADDRESS($B302,Plots!$H$4,,,Plots!$A$56))</f>
        <v>0</v>
      </c>
      <c r="P302" cm="1">
        <f t="array" aca="1" ref="P302" ca="1">INDIRECT(ADDRESS($B302,Plots!$H$4,,,Plots!$A$57))+INDIRECT(ADDRESS($B302,Plots!$H$4,,,Plots!$A$58))+INDIRECT(ADDRESS($B302,Plots!$H$4,,,Plots!$A$59))+INDIRECT(ADDRESS($B302,Plots!$H$4,,,Plots!$A$60))+INDIRECT(ADDRESS($B302,Plots!$H$4,,,Plots!$A$61))</f>
        <v>0</v>
      </c>
      <c r="Q302" cm="1">
        <f t="array" aca="1" ref="Q302" ca="1">INDIRECT(ADDRESS($B302,Plots!$H$4,,,Plots!$A$62))+INDIRECT(ADDRESS($B302,Plots!$H$4,,,Plots!$A$63))+INDIRECT(ADDRESS($B302,Plots!$H$4,,,Plots!$A$64))+INDIRECT(ADDRESS($B302,Plots!$H$4,,,Plots!$A$65))+INDIRECT(ADDRESS($B302,Plots!$H$4,,,Plots!$A$66))+INDIRECT(ADDRESS($B302,Plots!$H$4,,,Plots!$A$67))</f>
        <v>0</v>
      </c>
    </row>
    <row r="303" spans="1:17">
      <c r="A303">
        <f>'AARnetCBR-CamDTN1_tcpmon_ts_11'!A303</f>
        <v>0</v>
      </c>
      <c r="B303">
        <f t="shared" si="4"/>
        <v>303</v>
      </c>
      <c r="C303" cm="1">
        <f t="array" aca="1" ref="C303" ca="1">INDIRECT(ADDRESS($B303,Plots!$H$3,,,Plots!$A$47))</f>
        <v>0</v>
      </c>
      <c r="D303" cm="1">
        <f t="array" aca="1" ref="D303" ca="1">INDIRECT(ADDRESS($B303,Plots!$H$3,,,Plots!$A$48))+INDIRECT(ADDRESS($B303,Plots!$H$3,,,Plots!$A$49))</f>
        <v>0</v>
      </c>
      <c r="E303" cm="1">
        <f t="array" aca="1" ref="E303" ca="1">INDIRECT(ADDRESS($B303,Plots!$H$3,,,Plots!$A$50))+INDIRECT(ADDRESS($B303,Plots!$H$3,,,Plots!$A$51))+INDIRECT(ADDRESS($B303,Plots!$H$3,,,Plots!$A$52))</f>
        <v>0</v>
      </c>
      <c r="F303" cm="1">
        <f t="array" aca="1" ref="F303" ca="1">INDIRECT(ADDRESS($B303,Plots!$H$3,,,Plots!$A$53))+INDIRECT(ADDRESS($B303,Plots!$H$3,,,Plots!$A$54))+INDIRECT(ADDRESS($B303,Plots!$H$3,,,Plots!$A$55))+INDIRECT(ADDRESS($B303,Plots!$H$3,,,Plots!$A$56))</f>
        <v>0</v>
      </c>
      <c r="G303" cm="1">
        <f t="array" aca="1" ref="G303" ca="1">INDIRECT(ADDRESS($B303,Plots!$H$3,,,Plots!$A$57))+INDIRECT(ADDRESS($B303,Plots!$H$3,,,Plots!$A$58))+INDIRECT(ADDRESS($B303,Plots!$H$3,,,Plots!$A$59))+INDIRECT(ADDRESS($B303,Plots!$H$3,,,Plots!$A$60))+INDIRECT(ADDRESS($B303,Plots!$H$3,,,Plots!$A$61))</f>
        <v>0</v>
      </c>
      <c r="H303" cm="1">
        <f t="array" aca="1" ref="H303" ca="1">INDIRECT(ADDRESS($B303,Plots!$H$3,,,Plots!$A$62))+INDIRECT(ADDRESS($B303,Plots!$H$3,,,Plots!$A$63))+INDIRECT(ADDRESS($B303,Plots!$H$3,,,Plots!$A$64))+INDIRECT(ADDRESS($B303,Plots!$H$3,,,Plots!$A$65))+INDIRECT(ADDRESS($B303,Plots!$H$3,,,Plots!$A$66))+INDIRECT(ADDRESS($B303,Plots!$H$3,,,Plots!$A$67))</f>
        <v>0</v>
      </c>
      <c r="L303" cm="1">
        <f t="array" aca="1" ref="L303" ca="1">INDIRECT(ADDRESS($B303,Plots!$H$4,,,Plots!$A$47))</f>
        <v>0</v>
      </c>
      <c r="M303" cm="1">
        <f t="array" aca="1" ref="M303" ca="1">INDIRECT(ADDRESS($B303,Plots!$H$4,,,Plots!$A$48))+INDIRECT(ADDRESS($B303,Plots!$H$4,,,Plots!$A$49))</f>
        <v>0</v>
      </c>
      <c r="N303" cm="1">
        <f t="array" aca="1" ref="N303" ca="1">INDIRECT(ADDRESS($B303,Plots!$H$4,,,Plots!$A$50))+INDIRECT(ADDRESS($B303,Plots!$H$4,,,Plots!$A$51))+INDIRECT(ADDRESS($B303,Plots!$H$4,,,Plots!$A$52))</f>
        <v>0</v>
      </c>
      <c r="O303" cm="1">
        <f t="array" aca="1" ref="O303" ca="1">INDIRECT(ADDRESS($B303,Plots!$H$4,,,Plots!$A$53))+INDIRECT(ADDRESS($B303,Plots!$H$4,,,Plots!$A$54))+INDIRECT(ADDRESS($B303,Plots!$H$4,,,Plots!$A$55))+INDIRECT(ADDRESS($B303,Plots!$H$4,,,Plots!$A$56))</f>
        <v>0</v>
      </c>
      <c r="P303" cm="1">
        <f t="array" aca="1" ref="P303" ca="1">INDIRECT(ADDRESS($B303,Plots!$H$4,,,Plots!$A$57))+INDIRECT(ADDRESS($B303,Plots!$H$4,,,Plots!$A$58))+INDIRECT(ADDRESS($B303,Plots!$H$4,,,Plots!$A$59))+INDIRECT(ADDRESS($B303,Plots!$H$4,,,Plots!$A$60))+INDIRECT(ADDRESS($B303,Plots!$H$4,,,Plots!$A$61))</f>
        <v>0</v>
      </c>
      <c r="Q303" cm="1">
        <f t="array" aca="1" ref="Q303" ca="1">INDIRECT(ADDRESS($B303,Plots!$H$4,,,Plots!$A$62))+INDIRECT(ADDRESS($B303,Plots!$H$4,,,Plots!$A$63))+INDIRECT(ADDRESS($B303,Plots!$H$4,,,Plots!$A$64))+INDIRECT(ADDRESS($B303,Plots!$H$4,,,Plots!$A$65))+INDIRECT(ADDRESS($B303,Plots!$H$4,,,Plots!$A$66))+INDIRECT(ADDRESS($B303,Plots!$H$4,,,Plots!$A$67))</f>
        <v>0</v>
      </c>
    </row>
    <row r="304" spans="1:17">
      <c r="A304">
        <f>'AARnetCBR-CamDTN1_tcpmon_ts_11'!A304</f>
        <v>0</v>
      </c>
      <c r="B304">
        <f t="shared" si="4"/>
        <v>304</v>
      </c>
      <c r="C304" cm="1">
        <f t="array" aca="1" ref="C304" ca="1">INDIRECT(ADDRESS($B304,Plots!$H$3,,,Plots!$A$47))</f>
        <v>0</v>
      </c>
      <c r="D304" cm="1">
        <f t="array" aca="1" ref="D304" ca="1">INDIRECT(ADDRESS($B304,Plots!$H$3,,,Plots!$A$48))+INDIRECT(ADDRESS($B304,Plots!$H$3,,,Plots!$A$49))</f>
        <v>0</v>
      </c>
      <c r="E304" cm="1">
        <f t="array" aca="1" ref="E304" ca="1">INDIRECT(ADDRESS($B304,Plots!$H$3,,,Plots!$A$50))+INDIRECT(ADDRESS($B304,Plots!$H$3,,,Plots!$A$51))+INDIRECT(ADDRESS($B304,Plots!$H$3,,,Plots!$A$52))</f>
        <v>0</v>
      </c>
      <c r="F304" cm="1">
        <f t="array" aca="1" ref="F304" ca="1">INDIRECT(ADDRESS($B304,Plots!$H$3,,,Plots!$A$53))+INDIRECT(ADDRESS($B304,Plots!$H$3,,,Plots!$A$54))+INDIRECT(ADDRESS($B304,Plots!$H$3,,,Plots!$A$55))+INDIRECT(ADDRESS($B304,Plots!$H$3,,,Plots!$A$56))</f>
        <v>0</v>
      </c>
      <c r="G304" cm="1">
        <f t="array" aca="1" ref="G304" ca="1">INDIRECT(ADDRESS($B304,Plots!$H$3,,,Plots!$A$57))+INDIRECT(ADDRESS($B304,Plots!$H$3,,,Plots!$A$58))+INDIRECT(ADDRESS($B304,Plots!$H$3,,,Plots!$A$59))+INDIRECT(ADDRESS($B304,Plots!$H$3,,,Plots!$A$60))+INDIRECT(ADDRESS($B304,Plots!$H$3,,,Plots!$A$61))</f>
        <v>0</v>
      </c>
      <c r="H304" cm="1">
        <f t="array" aca="1" ref="H304" ca="1">INDIRECT(ADDRESS($B304,Plots!$H$3,,,Plots!$A$62))+INDIRECT(ADDRESS($B304,Plots!$H$3,,,Plots!$A$63))+INDIRECT(ADDRESS($B304,Plots!$H$3,,,Plots!$A$64))+INDIRECT(ADDRESS($B304,Plots!$H$3,,,Plots!$A$65))+INDIRECT(ADDRESS($B304,Plots!$H$3,,,Plots!$A$66))+INDIRECT(ADDRESS($B304,Plots!$H$3,,,Plots!$A$67))</f>
        <v>0</v>
      </c>
      <c r="L304" cm="1">
        <f t="array" aca="1" ref="L304" ca="1">INDIRECT(ADDRESS($B304,Plots!$H$4,,,Plots!$A$47))</f>
        <v>0</v>
      </c>
      <c r="M304" cm="1">
        <f t="array" aca="1" ref="M304" ca="1">INDIRECT(ADDRESS($B304,Plots!$H$4,,,Plots!$A$48))+INDIRECT(ADDRESS($B304,Plots!$H$4,,,Plots!$A$49))</f>
        <v>0</v>
      </c>
      <c r="N304" cm="1">
        <f t="array" aca="1" ref="N304" ca="1">INDIRECT(ADDRESS($B304,Plots!$H$4,,,Plots!$A$50))+INDIRECT(ADDRESS($B304,Plots!$H$4,,,Plots!$A$51))+INDIRECT(ADDRESS($B304,Plots!$H$4,,,Plots!$A$52))</f>
        <v>0</v>
      </c>
      <c r="O304" cm="1">
        <f t="array" aca="1" ref="O304" ca="1">INDIRECT(ADDRESS($B304,Plots!$H$4,,,Plots!$A$53))+INDIRECT(ADDRESS($B304,Plots!$H$4,,,Plots!$A$54))+INDIRECT(ADDRESS($B304,Plots!$H$4,,,Plots!$A$55))+INDIRECT(ADDRESS($B304,Plots!$H$4,,,Plots!$A$56))</f>
        <v>0</v>
      </c>
      <c r="P304" cm="1">
        <f t="array" aca="1" ref="P304" ca="1">INDIRECT(ADDRESS($B304,Plots!$H$4,,,Plots!$A$57))+INDIRECT(ADDRESS($B304,Plots!$H$4,,,Plots!$A$58))+INDIRECT(ADDRESS($B304,Plots!$H$4,,,Plots!$A$59))+INDIRECT(ADDRESS($B304,Plots!$H$4,,,Plots!$A$60))+INDIRECT(ADDRESS($B304,Plots!$H$4,,,Plots!$A$61))</f>
        <v>0</v>
      </c>
      <c r="Q304" cm="1">
        <f t="array" aca="1" ref="Q304" ca="1">INDIRECT(ADDRESS($B304,Plots!$H$4,,,Plots!$A$62))+INDIRECT(ADDRESS($B304,Plots!$H$4,,,Plots!$A$63))+INDIRECT(ADDRESS($B304,Plots!$H$4,,,Plots!$A$64))+INDIRECT(ADDRESS($B304,Plots!$H$4,,,Plots!$A$65))+INDIRECT(ADDRESS($B304,Plots!$H$4,,,Plots!$A$66))+INDIRECT(ADDRESS($B304,Plots!$H$4,,,Plots!$A$67))</f>
        <v>0</v>
      </c>
    </row>
    <row r="305" spans="1:17">
      <c r="A305">
        <f>'AARnetCBR-CamDTN1_tcpmon_ts_11'!A305</f>
        <v>0</v>
      </c>
      <c r="B305">
        <f t="shared" si="4"/>
        <v>305</v>
      </c>
      <c r="C305" cm="1">
        <f t="array" aca="1" ref="C305" ca="1">INDIRECT(ADDRESS($B305,Plots!$H$3,,,Plots!$A$47))</f>
        <v>0</v>
      </c>
      <c r="D305" cm="1">
        <f t="array" aca="1" ref="D305" ca="1">INDIRECT(ADDRESS($B305,Plots!$H$3,,,Plots!$A$48))+INDIRECT(ADDRESS($B305,Plots!$H$3,,,Plots!$A$49))</f>
        <v>0</v>
      </c>
      <c r="E305" cm="1">
        <f t="array" aca="1" ref="E305" ca="1">INDIRECT(ADDRESS($B305,Plots!$H$3,,,Plots!$A$50))+INDIRECT(ADDRESS($B305,Plots!$H$3,,,Plots!$A$51))+INDIRECT(ADDRESS($B305,Plots!$H$3,,,Plots!$A$52))</f>
        <v>0</v>
      </c>
      <c r="F305" cm="1">
        <f t="array" aca="1" ref="F305" ca="1">INDIRECT(ADDRESS($B305,Plots!$H$3,,,Plots!$A$53))+INDIRECT(ADDRESS($B305,Plots!$H$3,,,Plots!$A$54))+INDIRECT(ADDRESS($B305,Plots!$H$3,,,Plots!$A$55))+INDIRECT(ADDRESS($B305,Plots!$H$3,,,Plots!$A$56))</f>
        <v>0</v>
      </c>
      <c r="G305" cm="1">
        <f t="array" aca="1" ref="G305" ca="1">INDIRECT(ADDRESS($B305,Plots!$H$3,,,Plots!$A$57))+INDIRECT(ADDRESS($B305,Plots!$H$3,,,Plots!$A$58))+INDIRECT(ADDRESS($B305,Plots!$H$3,,,Plots!$A$59))+INDIRECT(ADDRESS($B305,Plots!$H$3,,,Plots!$A$60))+INDIRECT(ADDRESS($B305,Plots!$H$3,,,Plots!$A$61))</f>
        <v>0</v>
      </c>
      <c r="H305" cm="1">
        <f t="array" aca="1" ref="H305" ca="1">INDIRECT(ADDRESS($B305,Plots!$H$3,,,Plots!$A$62))+INDIRECT(ADDRESS($B305,Plots!$H$3,,,Plots!$A$63))+INDIRECT(ADDRESS($B305,Plots!$H$3,,,Plots!$A$64))+INDIRECT(ADDRESS($B305,Plots!$H$3,,,Plots!$A$65))+INDIRECT(ADDRESS($B305,Plots!$H$3,,,Plots!$A$66))+INDIRECT(ADDRESS($B305,Plots!$H$3,,,Plots!$A$67))</f>
        <v>0</v>
      </c>
      <c r="L305" cm="1">
        <f t="array" aca="1" ref="L305" ca="1">INDIRECT(ADDRESS($B305,Plots!$H$4,,,Plots!$A$47))</f>
        <v>0</v>
      </c>
      <c r="M305" cm="1">
        <f t="array" aca="1" ref="M305" ca="1">INDIRECT(ADDRESS($B305,Plots!$H$4,,,Plots!$A$48))+INDIRECT(ADDRESS($B305,Plots!$H$4,,,Plots!$A$49))</f>
        <v>0</v>
      </c>
      <c r="N305" cm="1">
        <f t="array" aca="1" ref="N305" ca="1">INDIRECT(ADDRESS($B305,Plots!$H$4,,,Plots!$A$50))+INDIRECT(ADDRESS($B305,Plots!$H$4,,,Plots!$A$51))+INDIRECT(ADDRESS($B305,Plots!$H$4,,,Plots!$A$52))</f>
        <v>0</v>
      </c>
      <c r="O305" cm="1">
        <f t="array" aca="1" ref="O305" ca="1">INDIRECT(ADDRESS($B305,Plots!$H$4,,,Plots!$A$53))+INDIRECT(ADDRESS($B305,Plots!$H$4,,,Plots!$A$54))+INDIRECT(ADDRESS($B305,Plots!$H$4,,,Plots!$A$55))+INDIRECT(ADDRESS($B305,Plots!$H$4,,,Plots!$A$56))</f>
        <v>0</v>
      </c>
      <c r="P305" cm="1">
        <f t="array" aca="1" ref="P305" ca="1">INDIRECT(ADDRESS($B305,Plots!$H$4,,,Plots!$A$57))+INDIRECT(ADDRESS($B305,Plots!$H$4,,,Plots!$A$58))+INDIRECT(ADDRESS($B305,Plots!$H$4,,,Plots!$A$59))+INDIRECT(ADDRESS($B305,Plots!$H$4,,,Plots!$A$60))+INDIRECT(ADDRESS($B305,Plots!$H$4,,,Plots!$A$61))</f>
        <v>0</v>
      </c>
      <c r="Q305" cm="1">
        <f t="array" aca="1" ref="Q305" ca="1">INDIRECT(ADDRESS($B305,Plots!$H$4,,,Plots!$A$62))+INDIRECT(ADDRESS($B305,Plots!$H$4,,,Plots!$A$63))+INDIRECT(ADDRESS($B305,Plots!$H$4,,,Plots!$A$64))+INDIRECT(ADDRESS($B305,Plots!$H$4,,,Plots!$A$65))+INDIRECT(ADDRESS($B305,Plots!$H$4,,,Plots!$A$66))+INDIRECT(ADDRESS($B305,Plots!$H$4,,,Plots!$A$67))</f>
        <v>0</v>
      </c>
    </row>
    <row r="306" spans="1:17">
      <c r="A306">
        <f>'AARnetCBR-CamDTN1_tcpmon_ts_11'!A306</f>
        <v>0</v>
      </c>
      <c r="B306">
        <f t="shared" si="4"/>
        <v>306</v>
      </c>
      <c r="C306" cm="1">
        <f t="array" aca="1" ref="C306" ca="1">INDIRECT(ADDRESS($B306,Plots!$H$3,,,Plots!$A$47))</f>
        <v>0</v>
      </c>
      <c r="D306" cm="1">
        <f t="array" aca="1" ref="D306" ca="1">INDIRECT(ADDRESS($B306,Plots!$H$3,,,Plots!$A$48))+INDIRECT(ADDRESS($B306,Plots!$H$3,,,Plots!$A$49))</f>
        <v>0</v>
      </c>
      <c r="E306" cm="1">
        <f t="array" aca="1" ref="E306" ca="1">INDIRECT(ADDRESS($B306,Plots!$H$3,,,Plots!$A$50))+INDIRECT(ADDRESS($B306,Plots!$H$3,,,Plots!$A$51))+INDIRECT(ADDRESS($B306,Plots!$H$3,,,Plots!$A$52))</f>
        <v>0</v>
      </c>
      <c r="F306" cm="1">
        <f t="array" aca="1" ref="F306" ca="1">INDIRECT(ADDRESS($B306,Plots!$H$3,,,Plots!$A$53))+INDIRECT(ADDRESS($B306,Plots!$H$3,,,Plots!$A$54))+INDIRECT(ADDRESS($B306,Plots!$H$3,,,Plots!$A$55))+INDIRECT(ADDRESS($B306,Plots!$H$3,,,Plots!$A$56))</f>
        <v>0</v>
      </c>
      <c r="G306" cm="1">
        <f t="array" aca="1" ref="G306" ca="1">INDIRECT(ADDRESS($B306,Plots!$H$3,,,Plots!$A$57))+INDIRECT(ADDRESS($B306,Plots!$H$3,,,Plots!$A$58))+INDIRECT(ADDRESS($B306,Plots!$H$3,,,Plots!$A$59))+INDIRECT(ADDRESS($B306,Plots!$H$3,,,Plots!$A$60))+INDIRECT(ADDRESS($B306,Plots!$H$3,,,Plots!$A$61))</f>
        <v>0</v>
      </c>
      <c r="H306" cm="1">
        <f t="array" aca="1" ref="H306" ca="1">INDIRECT(ADDRESS($B306,Plots!$H$3,,,Plots!$A$62))+INDIRECT(ADDRESS($B306,Plots!$H$3,,,Plots!$A$63))+INDIRECT(ADDRESS($B306,Plots!$H$3,,,Plots!$A$64))+INDIRECT(ADDRESS($B306,Plots!$H$3,,,Plots!$A$65))+INDIRECT(ADDRESS($B306,Plots!$H$3,,,Plots!$A$66))+INDIRECT(ADDRESS($B306,Plots!$H$3,,,Plots!$A$67))</f>
        <v>0</v>
      </c>
      <c r="L306" cm="1">
        <f t="array" aca="1" ref="L306" ca="1">INDIRECT(ADDRESS($B306,Plots!$H$4,,,Plots!$A$47))</f>
        <v>0</v>
      </c>
      <c r="M306" cm="1">
        <f t="array" aca="1" ref="M306" ca="1">INDIRECT(ADDRESS($B306,Plots!$H$4,,,Plots!$A$48))+INDIRECT(ADDRESS($B306,Plots!$H$4,,,Plots!$A$49))</f>
        <v>0</v>
      </c>
      <c r="N306" cm="1">
        <f t="array" aca="1" ref="N306" ca="1">INDIRECT(ADDRESS($B306,Plots!$H$4,,,Plots!$A$50))+INDIRECT(ADDRESS($B306,Plots!$H$4,,,Plots!$A$51))+INDIRECT(ADDRESS($B306,Plots!$H$4,,,Plots!$A$52))</f>
        <v>0</v>
      </c>
      <c r="O306" cm="1">
        <f t="array" aca="1" ref="O306" ca="1">INDIRECT(ADDRESS($B306,Plots!$H$4,,,Plots!$A$53))+INDIRECT(ADDRESS($B306,Plots!$H$4,,,Plots!$A$54))+INDIRECT(ADDRESS($B306,Plots!$H$4,,,Plots!$A$55))+INDIRECT(ADDRESS($B306,Plots!$H$4,,,Plots!$A$56))</f>
        <v>0</v>
      </c>
      <c r="P306" cm="1">
        <f t="array" aca="1" ref="P306" ca="1">INDIRECT(ADDRESS($B306,Plots!$H$4,,,Plots!$A$57))+INDIRECT(ADDRESS($B306,Plots!$H$4,,,Plots!$A$58))+INDIRECT(ADDRESS($B306,Plots!$H$4,,,Plots!$A$59))+INDIRECT(ADDRESS($B306,Plots!$H$4,,,Plots!$A$60))+INDIRECT(ADDRESS($B306,Plots!$H$4,,,Plots!$A$61))</f>
        <v>0</v>
      </c>
      <c r="Q306" cm="1">
        <f t="array" aca="1" ref="Q306" ca="1">INDIRECT(ADDRESS($B306,Plots!$H$4,,,Plots!$A$62))+INDIRECT(ADDRESS($B306,Plots!$H$4,,,Plots!$A$63))+INDIRECT(ADDRESS($B306,Plots!$H$4,,,Plots!$A$64))+INDIRECT(ADDRESS($B306,Plots!$H$4,,,Plots!$A$65))+INDIRECT(ADDRESS($B306,Plots!$H$4,,,Plots!$A$66))+INDIRECT(ADDRESS($B306,Plots!$H$4,,,Plots!$A$67))</f>
        <v>0</v>
      </c>
    </row>
    <row r="307" spans="1:17">
      <c r="A307">
        <f>'AARnetCBR-CamDTN1_tcpmon_ts_11'!A307</f>
        <v>0</v>
      </c>
      <c r="B307">
        <f t="shared" si="4"/>
        <v>307</v>
      </c>
      <c r="C307" cm="1">
        <f t="array" aca="1" ref="C307" ca="1">INDIRECT(ADDRESS($B307,Plots!$H$3,,,Plots!$A$47))</f>
        <v>0</v>
      </c>
      <c r="D307" cm="1">
        <f t="array" aca="1" ref="D307" ca="1">INDIRECT(ADDRESS($B307,Plots!$H$3,,,Plots!$A$48))+INDIRECT(ADDRESS($B307,Plots!$H$3,,,Plots!$A$49))</f>
        <v>0</v>
      </c>
      <c r="E307" cm="1">
        <f t="array" aca="1" ref="E307" ca="1">INDIRECT(ADDRESS($B307,Plots!$H$3,,,Plots!$A$50))+INDIRECT(ADDRESS($B307,Plots!$H$3,,,Plots!$A$51))+INDIRECT(ADDRESS($B307,Plots!$H$3,,,Plots!$A$52))</f>
        <v>0</v>
      </c>
      <c r="F307" cm="1">
        <f t="array" aca="1" ref="F307" ca="1">INDIRECT(ADDRESS($B307,Plots!$H$3,,,Plots!$A$53))+INDIRECT(ADDRESS($B307,Plots!$H$3,,,Plots!$A$54))+INDIRECT(ADDRESS($B307,Plots!$H$3,,,Plots!$A$55))+INDIRECT(ADDRESS($B307,Plots!$H$3,,,Plots!$A$56))</f>
        <v>0</v>
      </c>
      <c r="G307" cm="1">
        <f t="array" aca="1" ref="G307" ca="1">INDIRECT(ADDRESS($B307,Plots!$H$3,,,Plots!$A$57))+INDIRECT(ADDRESS($B307,Plots!$H$3,,,Plots!$A$58))+INDIRECT(ADDRESS($B307,Plots!$H$3,,,Plots!$A$59))+INDIRECT(ADDRESS($B307,Plots!$H$3,,,Plots!$A$60))+INDIRECT(ADDRESS($B307,Plots!$H$3,,,Plots!$A$61))</f>
        <v>0</v>
      </c>
      <c r="H307" cm="1">
        <f t="array" aca="1" ref="H307" ca="1">INDIRECT(ADDRESS($B307,Plots!$H$3,,,Plots!$A$62))+INDIRECT(ADDRESS($B307,Plots!$H$3,,,Plots!$A$63))+INDIRECT(ADDRESS($B307,Plots!$H$3,,,Plots!$A$64))+INDIRECT(ADDRESS($B307,Plots!$H$3,,,Plots!$A$65))+INDIRECT(ADDRESS($B307,Plots!$H$3,,,Plots!$A$66))+INDIRECT(ADDRESS($B307,Plots!$H$3,,,Plots!$A$67))</f>
        <v>0</v>
      </c>
      <c r="L307" cm="1">
        <f t="array" aca="1" ref="L307" ca="1">INDIRECT(ADDRESS($B307,Plots!$H$4,,,Plots!$A$47))</f>
        <v>0</v>
      </c>
      <c r="M307" cm="1">
        <f t="array" aca="1" ref="M307" ca="1">INDIRECT(ADDRESS($B307,Plots!$H$4,,,Plots!$A$48))+INDIRECT(ADDRESS($B307,Plots!$H$4,,,Plots!$A$49))</f>
        <v>0</v>
      </c>
      <c r="N307" cm="1">
        <f t="array" aca="1" ref="N307" ca="1">INDIRECT(ADDRESS($B307,Plots!$H$4,,,Plots!$A$50))+INDIRECT(ADDRESS($B307,Plots!$H$4,,,Plots!$A$51))+INDIRECT(ADDRESS($B307,Plots!$H$4,,,Plots!$A$52))</f>
        <v>0</v>
      </c>
      <c r="O307" cm="1">
        <f t="array" aca="1" ref="O307" ca="1">INDIRECT(ADDRESS($B307,Plots!$H$4,,,Plots!$A$53))+INDIRECT(ADDRESS($B307,Plots!$H$4,,,Plots!$A$54))+INDIRECT(ADDRESS($B307,Plots!$H$4,,,Plots!$A$55))+INDIRECT(ADDRESS($B307,Plots!$H$4,,,Plots!$A$56))</f>
        <v>0</v>
      </c>
      <c r="P307" cm="1">
        <f t="array" aca="1" ref="P307" ca="1">INDIRECT(ADDRESS($B307,Plots!$H$4,,,Plots!$A$57))+INDIRECT(ADDRESS($B307,Plots!$H$4,,,Plots!$A$58))+INDIRECT(ADDRESS($B307,Plots!$H$4,,,Plots!$A$59))+INDIRECT(ADDRESS($B307,Plots!$H$4,,,Plots!$A$60))+INDIRECT(ADDRESS($B307,Plots!$H$4,,,Plots!$A$61))</f>
        <v>0</v>
      </c>
      <c r="Q307" cm="1">
        <f t="array" aca="1" ref="Q307" ca="1">INDIRECT(ADDRESS($B307,Plots!$H$4,,,Plots!$A$62))+INDIRECT(ADDRESS($B307,Plots!$H$4,,,Plots!$A$63))+INDIRECT(ADDRESS($B307,Plots!$H$4,,,Plots!$A$64))+INDIRECT(ADDRESS($B307,Plots!$H$4,,,Plots!$A$65))+INDIRECT(ADDRESS($B307,Plots!$H$4,,,Plots!$A$66))+INDIRECT(ADDRESS($B307,Plots!$H$4,,,Plots!$A$67))</f>
        <v>0</v>
      </c>
    </row>
    <row r="308" spans="1:17">
      <c r="A308">
        <f>'AARnetCBR-CamDTN1_tcpmon_ts_11'!A308</f>
        <v>0</v>
      </c>
      <c r="B308">
        <f t="shared" si="4"/>
        <v>308</v>
      </c>
      <c r="C308" cm="1">
        <f t="array" aca="1" ref="C308" ca="1">INDIRECT(ADDRESS($B308,Plots!$H$3,,,Plots!$A$47))</f>
        <v>0</v>
      </c>
      <c r="D308" cm="1">
        <f t="array" aca="1" ref="D308" ca="1">INDIRECT(ADDRESS($B308,Plots!$H$3,,,Plots!$A$48))+INDIRECT(ADDRESS($B308,Plots!$H$3,,,Plots!$A$49))</f>
        <v>0</v>
      </c>
      <c r="E308" cm="1">
        <f t="array" aca="1" ref="E308" ca="1">INDIRECT(ADDRESS($B308,Plots!$H$3,,,Plots!$A$50))+INDIRECT(ADDRESS($B308,Plots!$H$3,,,Plots!$A$51))+INDIRECT(ADDRESS($B308,Plots!$H$3,,,Plots!$A$52))</f>
        <v>0</v>
      </c>
      <c r="F308" cm="1">
        <f t="array" aca="1" ref="F308" ca="1">INDIRECT(ADDRESS($B308,Plots!$H$3,,,Plots!$A$53))+INDIRECT(ADDRESS($B308,Plots!$H$3,,,Plots!$A$54))+INDIRECT(ADDRESS($B308,Plots!$H$3,,,Plots!$A$55))+INDIRECT(ADDRESS($B308,Plots!$H$3,,,Plots!$A$56))</f>
        <v>0</v>
      </c>
      <c r="G308" cm="1">
        <f t="array" aca="1" ref="G308" ca="1">INDIRECT(ADDRESS($B308,Plots!$H$3,,,Plots!$A$57))+INDIRECT(ADDRESS($B308,Plots!$H$3,,,Plots!$A$58))+INDIRECT(ADDRESS($B308,Plots!$H$3,,,Plots!$A$59))+INDIRECT(ADDRESS($B308,Plots!$H$3,,,Plots!$A$60))+INDIRECT(ADDRESS($B308,Plots!$H$3,,,Plots!$A$61))</f>
        <v>0</v>
      </c>
      <c r="H308" cm="1">
        <f t="array" aca="1" ref="H308" ca="1">INDIRECT(ADDRESS($B308,Plots!$H$3,,,Plots!$A$62))+INDIRECT(ADDRESS($B308,Plots!$H$3,,,Plots!$A$63))+INDIRECT(ADDRESS($B308,Plots!$H$3,,,Plots!$A$64))+INDIRECT(ADDRESS($B308,Plots!$H$3,,,Plots!$A$65))+INDIRECT(ADDRESS($B308,Plots!$H$3,,,Plots!$A$66))+INDIRECT(ADDRESS($B308,Plots!$H$3,,,Plots!$A$67))</f>
        <v>0</v>
      </c>
      <c r="L308" cm="1">
        <f t="array" aca="1" ref="L308" ca="1">INDIRECT(ADDRESS($B308,Plots!$H$4,,,Plots!$A$47))</f>
        <v>0</v>
      </c>
      <c r="M308" cm="1">
        <f t="array" aca="1" ref="M308" ca="1">INDIRECT(ADDRESS($B308,Plots!$H$4,,,Plots!$A$48))+INDIRECT(ADDRESS($B308,Plots!$H$4,,,Plots!$A$49))</f>
        <v>0</v>
      </c>
      <c r="N308" cm="1">
        <f t="array" aca="1" ref="N308" ca="1">INDIRECT(ADDRESS($B308,Plots!$H$4,,,Plots!$A$50))+INDIRECT(ADDRESS($B308,Plots!$H$4,,,Plots!$A$51))+INDIRECT(ADDRESS($B308,Plots!$H$4,,,Plots!$A$52))</f>
        <v>0</v>
      </c>
      <c r="O308" cm="1">
        <f t="array" aca="1" ref="O308" ca="1">INDIRECT(ADDRESS($B308,Plots!$H$4,,,Plots!$A$53))+INDIRECT(ADDRESS($B308,Plots!$H$4,,,Plots!$A$54))+INDIRECT(ADDRESS($B308,Plots!$H$4,,,Plots!$A$55))+INDIRECT(ADDRESS($B308,Plots!$H$4,,,Plots!$A$56))</f>
        <v>0</v>
      </c>
      <c r="P308" cm="1">
        <f t="array" aca="1" ref="P308" ca="1">INDIRECT(ADDRESS($B308,Plots!$H$4,,,Plots!$A$57))+INDIRECT(ADDRESS($B308,Plots!$H$4,,,Plots!$A$58))+INDIRECT(ADDRESS($B308,Plots!$H$4,,,Plots!$A$59))+INDIRECT(ADDRESS($B308,Plots!$H$4,,,Plots!$A$60))+INDIRECT(ADDRESS($B308,Plots!$H$4,,,Plots!$A$61))</f>
        <v>0</v>
      </c>
      <c r="Q308" cm="1">
        <f t="array" aca="1" ref="Q308" ca="1">INDIRECT(ADDRESS($B308,Plots!$H$4,,,Plots!$A$62))+INDIRECT(ADDRESS($B308,Plots!$H$4,,,Plots!$A$63))+INDIRECT(ADDRESS($B308,Plots!$H$4,,,Plots!$A$64))+INDIRECT(ADDRESS($B308,Plots!$H$4,,,Plots!$A$65))+INDIRECT(ADDRESS($B308,Plots!$H$4,,,Plots!$A$66))+INDIRECT(ADDRESS($B308,Plots!$H$4,,,Plots!$A$67))</f>
        <v>0</v>
      </c>
    </row>
    <row r="309" spans="1:17">
      <c r="A309">
        <f>'AARnetCBR-CamDTN1_tcpmon_ts_11'!A309</f>
        <v>0</v>
      </c>
      <c r="B309">
        <f t="shared" si="4"/>
        <v>309</v>
      </c>
      <c r="C309" cm="1">
        <f t="array" aca="1" ref="C309" ca="1">INDIRECT(ADDRESS($B309,Plots!$H$3,,,Plots!$A$47))</f>
        <v>0</v>
      </c>
      <c r="D309" cm="1">
        <f t="array" aca="1" ref="D309" ca="1">INDIRECT(ADDRESS($B309,Plots!$H$3,,,Plots!$A$48))+INDIRECT(ADDRESS($B309,Plots!$H$3,,,Plots!$A$49))</f>
        <v>0</v>
      </c>
      <c r="E309" cm="1">
        <f t="array" aca="1" ref="E309" ca="1">INDIRECT(ADDRESS($B309,Plots!$H$3,,,Plots!$A$50))+INDIRECT(ADDRESS($B309,Plots!$H$3,,,Plots!$A$51))+INDIRECT(ADDRESS($B309,Plots!$H$3,,,Plots!$A$52))</f>
        <v>0</v>
      </c>
      <c r="F309" cm="1">
        <f t="array" aca="1" ref="F309" ca="1">INDIRECT(ADDRESS($B309,Plots!$H$3,,,Plots!$A$53))+INDIRECT(ADDRESS($B309,Plots!$H$3,,,Plots!$A$54))+INDIRECT(ADDRESS($B309,Plots!$H$3,,,Plots!$A$55))+INDIRECT(ADDRESS($B309,Plots!$H$3,,,Plots!$A$56))</f>
        <v>0</v>
      </c>
      <c r="G309" cm="1">
        <f t="array" aca="1" ref="G309" ca="1">INDIRECT(ADDRESS($B309,Plots!$H$3,,,Plots!$A$57))+INDIRECT(ADDRESS($B309,Plots!$H$3,,,Plots!$A$58))+INDIRECT(ADDRESS($B309,Plots!$H$3,,,Plots!$A$59))+INDIRECT(ADDRESS($B309,Plots!$H$3,,,Plots!$A$60))+INDIRECT(ADDRESS($B309,Plots!$H$3,,,Plots!$A$61))</f>
        <v>0</v>
      </c>
      <c r="H309" cm="1">
        <f t="array" aca="1" ref="H309" ca="1">INDIRECT(ADDRESS($B309,Plots!$H$3,,,Plots!$A$62))+INDIRECT(ADDRESS($B309,Plots!$H$3,,,Plots!$A$63))+INDIRECT(ADDRESS($B309,Plots!$H$3,,,Plots!$A$64))+INDIRECT(ADDRESS($B309,Plots!$H$3,,,Plots!$A$65))+INDIRECT(ADDRESS($B309,Plots!$H$3,,,Plots!$A$66))+INDIRECT(ADDRESS($B309,Plots!$H$3,,,Plots!$A$67))</f>
        <v>0</v>
      </c>
      <c r="L309" cm="1">
        <f t="array" aca="1" ref="L309" ca="1">INDIRECT(ADDRESS($B309,Plots!$H$4,,,Plots!$A$47))</f>
        <v>0</v>
      </c>
      <c r="M309" cm="1">
        <f t="array" aca="1" ref="M309" ca="1">INDIRECT(ADDRESS($B309,Plots!$H$4,,,Plots!$A$48))+INDIRECT(ADDRESS($B309,Plots!$H$4,,,Plots!$A$49))</f>
        <v>0</v>
      </c>
      <c r="N309" cm="1">
        <f t="array" aca="1" ref="N309" ca="1">INDIRECT(ADDRESS($B309,Plots!$H$4,,,Plots!$A$50))+INDIRECT(ADDRESS($B309,Plots!$H$4,,,Plots!$A$51))+INDIRECT(ADDRESS($B309,Plots!$H$4,,,Plots!$A$52))</f>
        <v>0</v>
      </c>
      <c r="O309" cm="1">
        <f t="array" aca="1" ref="O309" ca="1">INDIRECT(ADDRESS($B309,Plots!$H$4,,,Plots!$A$53))+INDIRECT(ADDRESS($B309,Plots!$H$4,,,Plots!$A$54))+INDIRECT(ADDRESS($B309,Plots!$H$4,,,Plots!$A$55))+INDIRECT(ADDRESS($B309,Plots!$H$4,,,Plots!$A$56))</f>
        <v>0</v>
      </c>
      <c r="P309" cm="1">
        <f t="array" aca="1" ref="P309" ca="1">INDIRECT(ADDRESS($B309,Plots!$H$4,,,Plots!$A$57))+INDIRECT(ADDRESS($B309,Plots!$H$4,,,Plots!$A$58))+INDIRECT(ADDRESS($B309,Plots!$H$4,,,Plots!$A$59))+INDIRECT(ADDRESS($B309,Plots!$H$4,,,Plots!$A$60))+INDIRECT(ADDRESS($B309,Plots!$H$4,,,Plots!$A$61))</f>
        <v>0</v>
      </c>
      <c r="Q309" cm="1">
        <f t="array" aca="1" ref="Q309" ca="1">INDIRECT(ADDRESS($B309,Plots!$H$4,,,Plots!$A$62))+INDIRECT(ADDRESS($B309,Plots!$H$4,,,Plots!$A$63))+INDIRECT(ADDRESS($B309,Plots!$H$4,,,Plots!$A$64))+INDIRECT(ADDRESS($B309,Plots!$H$4,,,Plots!$A$65))+INDIRECT(ADDRESS($B309,Plots!$H$4,,,Plots!$A$66))+INDIRECT(ADDRESS($B309,Plots!$H$4,,,Plots!$A$67))</f>
        <v>0</v>
      </c>
    </row>
    <row r="310" spans="1:17">
      <c r="A310">
        <f>'AARnetCBR-CamDTN1_tcpmon_ts_11'!A310</f>
        <v>0</v>
      </c>
      <c r="B310">
        <f t="shared" si="4"/>
        <v>310</v>
      </c>
      <c r="C310" cm="1">
        <f t="array" aca="1" ref="C310" ca="1">INDIRECT(ADDRESS($B310,Plots!$H$3,,,Plots!$A$47))</f>
        <v>0</v>
      </c>
      <c r="D310" cm="1">
        <f t="array" aca="1" ref="D310" ca="1">INDIRECT(ADDRESS($B310,Plots!$H$3,,,Plots!$A$48))+INDIRECT(ADDRESS($B310,Plots!$H$3,,,Plots!$A$49))</f>
        <v>0</v>
      </c>
      <c r="E310" cm="1">
        <f t="array" aca="1" ref="E310" ca="1">INDIRECT(ADDRESS($B310,Plots!$H$3,,,Plots!$A$50))+INDIRECT(ADDRESS($B310,Plots!$H$3,,,Plots!$A$51))+INDIRECT(ADDRESS($B310,Plots!$H$3,,,Plots!$A$52))</f>
        <v>0</v>
      </c>
      <c r="F310" cm="1">
        <f t="array" aca="1" ref="F310" ca="1">INDIRECT(ADDRESS($B310,Plots!$H$3,,,Plots!$A$53))+INDIRECT(ADDRESS($B310,Plots!$H$3,,,Plots!$A$54))+INDIRECT(ADDRESS($B310,Plots!$H$3,,,Plots!$A$55))+INDIRECT(ADDRESS($B310,Plots!$H$3,,,Plots!$A$56))</f>
        <v>0</v>
      </c>
      <c r="G310" cm="1">
        <f t="array" aca="1" ref="G310" ca="1">INDIRECT(ADDRESS($B310,Plots!$H$3,,,Plots!$A$57))+INDIRECT(ADDRESS($B310,Plots!$H$3,,,Plots!$A$58))+INDIRECT(ADDRESS($B310,Plots!$H$3,,,Plots!$A$59))+INDIRECT(ADDRESS($B310,Plots!$H$3,,,Plots!$A$60))+INDIRECT(ADDRESS($B310,Plots!$H$3,,,Plots!$A$61))</f>
        <v>0</v>
      </c>
      <c r="H310" cm="1">
        <f t="array" aca="1" ref="H310" ca="1">INDIRECT(ADDRESS($B310,Plots!$H$3,,,Plots!$A$62))+INDIRECT(ADDRESS($B310,Plots!$H$3,,,Plots!$A$63))+INDIRECT(ADDRESS($B310,Plots!$H$3,,,Plots!$A$64))+INDIRECT(ADDRESS($B310,Plots!$H$3,,,Plots!$A$65))+INDIRECT(ADDRESS($B310,Plots!$H$3,,,Plots!$A$66))+INDIRECT(ADDRESS($B310,Plots!$H$3,,,Plots!$A$67))</f>
        <v>0</v>
      </c>
      <c r="L310" cm="1">
        <f t="array" aca="1" ref="L310" ca="1">INDIRECT(ADDRESS($B310,Plots!$H$4,,,Plots!$A$47))</f>
        <v>0</v>
      </c>
      <c r="M310" cm="1">
        <f t="array" aca="1" ref="M310" ca="1">INDIRECT(ADDRESS($B310,Plots!$H$4,,,Plots!$A$48))+INDIRECT(ADDRESS($B310,Plots!$H$4,,,Plots!$A$49))</f>
        <v>0</v>
      </c>
      <c r="N310" cm="1">
        <f t="array" aca="1" ref="N310" ca="1">INDIRECT(ADDRESS($B310,Plots!$H$4,,,Plots!$A$50))+INDIRECT(ADDRESS($B310,Plots!$H$4,,,Plots!$A$51))+INDIRECT(ADDRESS($B310,Plots!$H$4,,,Plots!$A$52))</f>
        <v>0</v>
      </c>
      <c r="O310" cm="1">
        <f t="array" aca="1" ref="O310" ca="1">INDIRECT(ADDRESS($B310,Plots!$H$4,,,Plots!$A$53))+INDIRECT(ADDRESS($B310,Plots!$H$4,,,Plots!$A$54))+INDIRECT(ADDRESS($B310,Plots!$H$4,,,Plots!$A$55))+INDIRECT(ADDRESS($B310,Plots!$H$4,,,Plots!$A$56))</f>
        <v>0</v>
      </c>
      <c r="P310" cm="1">
        <f t="array" aca="1" ref="P310" ca="1">INDIRECT(ADDRESS($B310,Plots!$H$4,,,Plots!$A$57))+INDIRECT(ADDRESS($B310,Plots!$H$4,,,Plots!$A$58))+INDIRECT(ADDRESS($B310,Plots!$H$4,,,Plots!$A$59))+INDIRECT(ADDRESS($B310,Plots!$H$4,,,Plots!$A$60))+INDIRECT(ADDRESS($B310,Plots!$H$4,,,Plots!$A$61))</f>
        <v>0</v>
      </c>
      <c r="Q310" cm="1">
        <f t="array" aca="1" ref="Q310" ca="1">INDIRECT(ADDRESS($B310,Plots!$H$4,,,Plots!$A$62))+INDIRECT(ADDRESS($B310,Plots!$H$4,,,Plots!$A$63))+INDIRECT(ADDRESS($B310,Plots!$H$4,,,Plots!$A$64))+INDIRECT(ADDRESS($B310,Plots!$H$4,,,Plots!$A$65))+INDIRECT(ADDRESS($B310,Plots!$H$4,,,Plots!$A$66))+INDIRECT(ADDRESS($B310,Plots!$H$4,,,Plots!$A$67))</f>
        <v>0</v>
      </c>
    </row>
    <row r="311" spans="1:17">
      <c r="A311">
        <f>'AARnetCBR-CamDTN1_tcpmon_ts_11'!A325</f>
        <v>0</v>
      </c>
      <c r="C311">
        <f>'AARnetCBR-CamDTN1_tcpmon_ts_11'!C325</f>
        <v>0</v>
      </c>
      <c r="D311">
        <f>'AARnetCBR-CamDTN1_tcpmon_ts_21'!C325+'AARnetCBR-CamDTN1_tcpmon_ts_22'!C325</f>
        <v>0</v>
      </c>
      <c r="E311">
        <f>'AARnetCBR-CamDTN1_tcpmon_ts_31'!C325+'AARnetCBR-CamDTN1_tcpmon_ts_32'!C325+'AARnetCBR-CamDTN1_tcpmon_ts_33'!C325</f>
        <v>0</v>
      </c>
      <c r="F311">
        <f>'AARnetCBR-CamDTN1_tcpmon_ts_41'!C325+'AARnetCBR-CamDTN1_tcpmon_ts_42'!C325+'AARnetCBR-CamDTN1_tcpmon_ts_43'!C325+'AARnetCBR-CamDTN1_tcpmon_ts_44'!C325</f>
        <v>0</v>
      </c>
      <c r="L311">
        <f>'AARnetCBR-CamDTN1_tcpmon_ts_11'!D311</f>
        <v>0</v>
      </c>
      <c r="M311">
        <f>'AARnetCBR-CamDTN1_tcpmon_ts_21'!D311+'AARnetCBR-CamDTN1_tcpmon_ts_22'!D311</f>
        <v>0</v>
      </c>
      <c r="N311">
        <f>'AARnetCBR-CamDTN1_tcpmon_ts_31'!D311+'AARnetCBR-CamDTN1_tcpmon_ts_32'!D311+'AARnetCBR-CamDTN1_tcpmon_ts_33'!D311</f>
        <v>0</v>
      </c>
      <c r="O311">
        <f>'AARnetCBR-CamDTN1_tcpmon_ts_41'!D311+'AARnetCBR-CamDTN1_tcpmon_ts_42'!D311+'AARnetCBR-CamDTN1_tcpmon_ts_43'!D311+'AARnetCBR-CamDTN1_tcpmon_ts_44'!D311</f>
        <v>0</v>
      </c>
      <c r="P311">
        <f>'AARnetCBR-CamDTN1_tcpmon_ts_51'!D311+'AARnetCBR-CamDTN1_tcpmon_ts_52'!D311+'AARnetCBR-CamDTN1_tcpmon_ts_53'!D311+'AARnetCBR-CamDTN1_tcpmon_ts_54'!D311+'AARnetCBR-CamDTN1_tcpmon_ts_55'!D311</f>
        <v>0</v>
      </c>
    </row>
    <row r="312" spans="1:17">
      <c r="A312">
        <f>'AARnetCBR-CamDTN1_tcpmon_ts_11'!A326</f>
        <v>0</v>
      </c>
      <c r="C312">
        <f>'AARnetCBR-CamDTN1_tcpmon_ts_11'!C326</f>
        <v>0</v>
      </c>
      <c r="D312">
        <f>'AARnetCBR-CamDTN1_tcpmon_ts_21'!C326+'AARnetCBR-CamDTN1_tcpmon_ts_22'!C326</f>
        <v>0</v>
      </c>
      <c r="E312">
        <f>'AARnetCBR-CamDTN1_tcpmon_ts_31'!C326+'AARnetCBR-CamDTN1_tcpmon_ts_32'!C326+'AARnetCBR-CamDTN1_tcpmon_ts_33'!C326</f>
        <v>0</v>
      </c>
      <c r="F312">
        <f>'AARnetCBR-CamDTN1_tcpmon_ts_41'!C326+'AARnetCBR-CamDTN1_tcpmon_ts_42'!C326+'AARnetCBR-CamDTN1_tcpmon_ts_43'!C326+'AARnetCBR-CamDTN1_tcpmon_ts_44'!C326</f>
        <v>0</v>
      </c>
      <c r="L312">
        <f>'AARnetCBR-CamDTN1_tcpmon_ts_11'!D312</f>
        <v>0</v>
      </c>
      <c r="M312">
        <f>'AARnetCBR-CamDTN1_tcpmon_ts_21'!D312+'AARnetCBR-CamDTN1_tcpmon_ts_22'!D312</f>
        <v>0</v>
      </c>
      <c r="N312">
        <f>'AARnetCBR-CamDTN1_tcpmon_ts_31'!D312+'AARnetCBR-CamDTN1_tcpmon_ts_32'!D312+'AARnetCBR-CamDTN1_tcpmon_ts_33'!D312</f>
        <v>0</v>
      </c>
      <c r="O312">
        <f>'AARnetCBR-CamDTN1_tcpmon_ts_41'!D312+'AARnetCBR-CamDTN1_tcpmon_ts_42'!D312+'AARnetCBR-CamDTN1_tcpmon_ts_43'!D312+'AARnetCBR-CamDTN1_tcpmon_ts_44'!D312</f>
        <v>0</v>
      </c>
      <c r="P312">
        <f>'AARnetCBR-CamDTN1_tcpmon_ts_51'!D312+'AARnetCBR-CamDTN1_tcpmon_ts_52'!D312+'AARnetCBR-CamDTN1_tcpmon_ts_53'!D312+'AARnetCBR-CamDTN1_tcpmon_ts_54'!D312+'AARnetCBR-CamDTN1_tcpmon_ts_55'!D312</f>
        <v>0</v>
      </c>
    </row>
    <row r="313" spans="1:17">
      <c r="A313">
        <f>'AARnetCBR-CamDTN1_tcpmon_ts_11'!A327</f>
        <v>0</v>
      </c>
      <c r="C313">
        <f>'AARnetCBR-CamDTN1_tcpmon_ts_11'!C327</f>
        <v>0</v>
      </c>
      <c r="D313">
        <f>'AARnetCBR-CamDTN1_tcpmon_ts_21'!C327+'AARnetCBR-CamDTN1_tcpmon_ts_22'!C327</f>
        <v>0</v>
      </c>
      <c r="E313">
        <f>'AARnetCBR-CamDTN1_tcpmon_ts_31'!C327+'AARnetCBR-CamDTN1_tcpmon_ts_32'!C327+'AARnetCBR-CamDTN1_tcpmon_ts_33'!C327</f>
        <v>0</v>
      </c>
      <c r="F313">
        <f>'AARnetCBR-CamDTN1_tcpmon_ts_41'!C327+'AARnetCBR-CamDTN1_tcpmon_ts_42'!C327+'AARnetCBR-CamDTN1_tcpmon_ts_43'!C327+'AARnetCBR-CamDTN1_tcpmon_ts_44'!C327</f>
        <v>0</v>
      </c>
      <c r="L313">
        <f>'AARnetCBR-CamDTN1_tcpmon_ts_11'!D313</f>
        <v>0</v>
      </c>
      <c r="M313">
        <f>'AARnetCBR-CamDTN1_tcpmon_ts_21'!D313+'AARnetCBR-CamDTN1_tcpmon_ts_22'!D313</f>
        <v>0</v>
      </c>
      <c r="N313">
        <f>'AARnetCBR-CamDTN1_tcpmon_ts_31'!D313+'AARnetCBR-CamDTN1_tcpmon_ts_32'!D313+'AARnetCBR-CamDTN1_tcpmon_ts_33'!D313</f>
        <v>0</v>
      </c>
      <c r="O313">
        <f>'AARnetCBR-CamDTN1_tcpmon_ts_41'!D313+'AARnetCBR-CamDTN1_tcpmon_ts_42'!D313+'AARnetCBR-CamDTN1_tcpmon_ts_43'!D313+'AARnetCBR-CamDTN1_tcpmon_ts_44'!D313</f>
        <v>0</v>
      </c>
      <c r="P313">
        <f>'AARnetCBR-CamDTN1_tcpmon_ts_51'!D313+'AARnetCBR-CamDTN1_tcpmon_ts_52'!D313+'AARnetCBR-CamDTN1_tcpmon_ts_53'!D313+'AARnetCBR-CamDTN1_tcpmon_ts_54'!D313+'AARnetCBR-CamDTN1_tcpmon_ts_55'!D313</f>
        <v>0</v>
      </c>
    </row>
    <row r="314" spans="1:17">
      <c r="A314">
        <f>'AARnetCBR-CamDTN1_tcpmon_ts_11'!A328</f>
        <v>0</v>
      </c>
      <c r="C314">
        <f>'AARnetCBR-CamDTN1_tcpmon_ts_11'!C328</f>
        <v>0</v>
      </c>
      <c r="D314">
        <f>'AARnetCBR-CamDTN1_tcpmon_ts_21'!C328+'AARnetCBR-CamDTN1_tcpmon_ts_22'!C328</f>
        <v>0</v>
      </c>
      <c r="E314">
        <f>'AARnetCBR-CamDTN1_tcpmon_ts_31'!C328+'AARnetCBR-CamDTN1_tcpmon_ts_32'!C328+'AARnetCBR-CamDTN1_tcpmon_ts_33'!C328</f>
        <v>0</v>
      </c>
      <c r="F314">
        <f>'AARnetCBR-CamDTN1_tcpmon_ts_41'!C328+'AARnetCBR-CamDTN1_tcpmon_ts_42'!C328+'AARnetCBR-CamDTN1_tcpmon_ts_43'!C328+'AARnetCBR-CamDTN1_tcpmon_ts_44'!C328</f>
        <v>0</v>
      </c>
      <c r="L314">
        <f>'AARnetCBR-CamDTN1_tcpmon_ts_11'!D314</f>
        <v>0</v>
      </c>
      <c r="M314">
        <f>'AARnetCBR-CamDTN1_tcpmon_ts_21'!D314+'AARnetCBR-CamDTN1_tcpmon_ts_22'!D314</f>
        <v>0</v>
      </c>
      <c r="N314">
        <f>'AARnetCBR-CamDTN1_tcpmon_ts_31'!D314+'AARnetCBR-CamDTN1_tcpmon_ts_32'!D314+'AARnetCBR-CamDTN1_tcpmon_ts_33'!D314</f>
        <v>0</v>
      </c>
      <c r="O314">
        <f>'AARnetCBR-CamDTN1_tcpmon_ts_41'!D314+'AARnetCBR-CamDTN1_tcpmon_ts_42'!D314+'AARnetCBR-CamDTN1_tcpmon_ts_43'!D314+'AARnetCBR-CamDTN1_tcpmon_ts_44'!D314</f>
        <v>0</v>
      </c>
      <c r="P314">
        <f>'AARnetCBR-CamDTN1_tcpmon_ts_51'!D314+'AARnetCBR-CamDTN1_tcpmon_ts_52'!D314+'AARnetCBR-CamDTN1_tcpmon_ts_53'!D314+'AARnetCBR-CamDTN1_tcpmon_ts_54'!D314+'AARnetCBR-CamDTN1_tcpmon_ts_55'!D314</f>
        <v>0</v>
      </c>
    </row>
    <row r="315" spans="1:17">
      <c r="A315">
        <f>'AARnetCBR-CamDTN1_tcpmon_ts_11'!A329</f>
        <v>0</v>
      </c>
      <c r="C315">
        <f>'AARnetCBR-CamDTN1_tcpmon_ts_11'!C329</f>
        <v>0</v>
      </c>
      <c r="D315">
        <f>'AARnetCBR-CamDTN1_tcpmon_ts_21'!C329+'AARnetCBR-CamDTN1_tcpmon_ts_22'!C329</f>
        <v>0</v>
      </c>
      <c r="E315">
        <f>'AARnetCBR-CamDTN1_tcpmon_ts_31'!C329+'AARnetCBR-CamDTN1_tcpmon_ts_32'!C329+'AARnetCBR-CamDTN1_tcpmon_ts_33'!C329</f>
        <v>0</v>
      </c>
      <c r="F315">
        <f>'AARnetCBR-CamDTN1_tcpmon_ts_41'!C329+'AARnetCBR-CamDTN1_tcpmon_ts_42'!C329+'AARnetCBR-CamDTN1_tcpmon_ts_43'!C329+'AARnetCBR-CamDTN1_tcpmon_ts_44'!C329</f>
        <v>0</v>
      </c>
      <c r="L315">
        <f>'AARnetCBR-CamDTN1_tcpmon_ts_11'!D315</f>
        <v>0</v>
      </c>
      <c r="M315">
        <f>'AARnetCBR-CamDTN1_tcpmon_ts_21'!D315+'AARnetCBR-CamDTN1_tcpmon_ts_22'!D315</f>
        <v>0</v>
      </c>
      <c r="N315">
        <f>'AARnetCBR-CamDTN1_tcpmon_ts_31'!D315+'AARnetCBR-CamDTN1_tcpmon_ts_32'!D315+'AARnetCBR-CamDTN1_tcpmon_ts_33'!D315</f>
        <v>0</v>
      </c>
      <c r="O315">
        <f>'AARnetCBR-CamDTN1_tcpmon_ts_41'!D315+'AARnetCBR-CamDTN1_tcpmon_ts_42'!D315+'AARnetCBR-CamDTN1_tcpmon_ts_43'!D315+'AARnetCBR-CamDTN1_tcpmon_ts_44'!D315</f>
        <v>0</v>
      </c>
      <c r="P315">
        <f>'AARnetCBR-CamDTN1_tcpmon_ts_51'!D315+'AARnetCBR-CamDTN1_tcpmon_ts_52'!D315+'AARnetCBR-CamDTN1_tcpmon_ts_53'!D315+'AARnetCBR-CamDTN1_tcpmon_ts_54'!D315+'AARnetCBR-CamDTN1_tcpmon_ts_55'!D315</f>
        <v>0</v>
      </c>
    </row>
    <row r="316" spans="1:17">
      <c r="A316">
        <f>'AARnetCBR-CamDTN1_tcpmon_ts_11'!A330</f>
        <v>0</v>
      </c>
      <c r="C316">
        <f>'AARnetCBR-CamDTN1_tcpmon_ts_11'!C330</f>
        <v>0</v>
      </c>
      <c r="D316">
        <f>'AARnetCBR-CamDTN1_tcpmon_ts_21'!C330+'AARnetCBR-CamDTN1_tcpmon_ts_22'!C330</f>
        <v>0</v>
      </c>
      <c r="E316">
        <f>'AARnetCBR-CamDTN1_tcpmon_ts_31'!C330+'AARnetCBR-CamDTN1_tcpmon_ts_32'!C330+'AARnetCBR-CamDTN1_tcpmon_ts_33'!C330</f>
        <v>0</v>
      </c>
      <c r="F316">
        <f>'AARnetCBR-CamDTN1_tcpmon_ts_41'!C330+'AARnetCBR-CamDTN1_tcpmon_ts_42'!C330+'AARnetCBR-CamDTN1_tcpmon_ts_43'!C330+'AARnetCBR-CamDTN1_tcpmon_ts_44'!C330</f>
        <v>0</v>
      </c>
      <c r="L316">
        <f>'AARnetCBR-CamDTN1_tcpmon_ts_11'!D316</f>
        <v>0</v>
      </c>
      <c r="M316">
        <f>'AARnetCBR-CamDTN1_tcpmon_ts_21'!D316+'AARnetCBR-CamDTN1_tcpmon_ts_22'!D316</f>
        <v>0</v>
      </c>
      <c r="N316">
        <f>'AARnetCBR-CamDTN1_tcpmon_ts_31'!D316+'AARnetCBR-CamDTN1_tcpmon_ts_32'!D316+'AARnetCBR-CamDTN1_tcpmon_ts_33'!D316</f>
        <v>0</v>
      </c>
      <c r="O316">
        <f>'AARnetCBR-CamDTN1_tcpmon_ts_41'!D316+'AARnetCBR-CamDTN1_tcpmon_ts_42'!D316+'AARnetCBR-CamDTN1_tcpmon_ts_43'!D316+'AARnetCBR-CamDTN1_tcpmon_ts_44'!D316</f>
        <v>0</v>
      </c>
      <c r="P316">
        <f>'AARnetCBR-CamDTN1_tcpmon_ts_51'!D316+'AARnetCBR-CamDTN1_tcpmon_ts_52'!D316+'AARnetCBR-CamDTN1_tcpmon_ts_53'!D316+'AARnetCBR-CamDTN1_tcpmon_ts_54'!D316+'AARnetCBR-CamDTN1_tcpmon_ts_55'!D316</f>
        <v>0</v>
      </c>
    </row>
    <row r="317" spans="1:17">
      <c r="A317">
        <f>'AARnetCBR-CamDTN1_tcpmon_ts_11'!A331</f>
        <v>0</v>
      </c>
      <c r="C317">
        <f>'AARnetCBR-CamDTN1_tcpmon_ts_11'!C331</f>
        <v>0</v>
      </c>
      <c r="D317">
        <f>'AARnetCBR-CamDTN1_tcpmon_ts_21'!C331+'AARnetCBR-CamDTN1_tcpmon_ts_22'!C331</f>
        <v>0</v>
      </c>
      <c r="E317">
        <f>'AARnetCBR-CamDTN1_tcpmon_ts_31'!C331+'AARnetCBR-CamDTN1_tcpmon_ts_32'!C331+'AARnetCBR-CamDTN1_tcpmon_ts_33'!C331</f>
        <v>0</v>
      </c>
      <c r="F317">
        <f>'AARnetCBR-CamDTN1_tcpmon_ts_41'!C331+'AARnetCBR-CamDTN1_tcpmon_ts_42'!C331+'AARnetCBR-CamDTN1_tcpmon_ts_43'!C331+'AARnetCBR-CamDTN1_tcpmon_ts_44'!C331</f>
        <v>0</v>
      </c>
      <c r="L317">
        <f>'AARnetCBR-CamDTN1_tcpmon_ts_11'!D317</f>
        <v>0</v>
      </c>
      <c r="M317">
        <f>'AARnetCBR-CamDTN1_tcpmon_ts_21'!D317+'AARnetCBR-CamDTN1_tcpmon_ts_22'!D317</f>
        <v>0</v>
      </c>
      <c r="N317">
        <f>'AARnetCBR-CamDTN1_tcpmon_ts_31'!D317+'AARnetCBR-CamDTN1_tcpmon_ts_32'!D317+'AARnetCBR-CamDTN1_tcpmon_ts_33'!D317</f>
        <v>0</v>
      </c>
      <c r="O317">
        <f>'AARnetCBR-CamDTN1_tcpmon_ts_41'!D317+'AARnetCBR-CamDTN1_tcpmon_ts_42'!D317+'AARnetCBR-CamDTN1_tcpmon_ts_43'!D317+'AARnetCBR-CamDTN1_tcpmon_ts_44'!D317</f>
        <v>0</v>
      </c>
      <c r="P317">
        <f>'AARnetCBR-CamDTN1_tcpmon_ts_51'!D317+'AARnetCBR-CamDTN1_tcpmon_ts_52'!D317+'AARnetCBR-CamDTN1_tcpmon_ts_53'!D317+'AARnetCBR-CamDTN1_tcpmon_ts_54'!D317+'AARnetCBR-CamDTN1_tcpmon_ts_55'!D317</f>
        <v>0</v>
      </c>
    </row>
    <row r="318" spans="1:17">
      <c r="A318">
        <f>'AARnetCBR-CamDTN1_tcpmon_ts_11'!A332</f>
        <v>0</v>
      </c>
      <c r="C318">
        <f>'AARnetCBR-CamDTN1_tcpmon_ts_11'!C332</f>
        <v>0</v>
      </c>
      <c r="D318">
        <f>'AARnetCBR-CamDTN1_tcpmon_ts_21'!C332+'AARnetCBR-CamDTN1_tcpmon_ts_22'!C332</f>
        <v>0</v>
      </c>
      <c r="E318">
        <f>'AARnetCBR-CamDTN1_tcpmon_ts_31'!C332+'AARnetCBR-CamDTN1_tcpmon_ts_32'!C332+'AARnetCBR-CamDTN1_tcpmon_ts_33'!C332</f>
        <v>0</v>
      </c>
      <c r="F318">
        <f>'AARnetCBR-CamDTN1_tcpmon_ts_41'!C332+'AARnetCBR-CamDTN1_tcpmon_ts_42'!C332+'AARnetCBR-CamDTN1_tcpmon_ts_43'!C332+'AARnetCBR-CamDTN1_tcpmon_ts_44'!C332</f>
        <v>0</v>
      </c>
      <c r="L318">
        <f>'AARnetCBR-CamDTN1_tcpmon_ts_11'!D318</f>
        <v>0</v>
      </c>
      <c r="M318">
        <f>'AARnetCBR-CamDTN1_tcpmon_ts_21'!D318+'AARnetCBR-CamDTN1_tcpmon_ts_22'!D318</f>
        <v>0</v>
      </c>
      <c r="N318">
        <f>'AARnetCBR-CamDTN1_tcpmon_ts_31'!D318+'AARnetCBR-CamDTN1_tcpmon_ts_32'!D318+'AARnetCBR-CamDTN1_tcpmon_ts_33'!D318</f>
        <v>0</v>
      </c>
      <c r="O318">
        <f>'AARnetCBR-CamDTN1_tcpmon_ts_41'!D318+'AARnetCBR-CamDTN1_tcpmon_ts_42'!D318+'AARnetCBR-CamDTN1_tcpmon_ts_43'!D318+'AARnetCBR-CamDTN1_tcpmon_ts_44'!D318</f>
        <v>0</v>
      </c>
      <c r="P318">
        <f>'AARnetCBR-CamDTN1_tcpmon_ts_51'!D318+'AARnetCBR-CamDTN1_tcpmon_ts_52'!D318+'AARnetCBR-CamDTN1_tcpmon_ts_53'!D318+'AARnetCBR-CamDTN1_tcpmon_ts_54'!D318+'AARnetCBR-CamDTN1_tcpmon_ts_55'!D318</f>
        <v>0</v>
      </c>
    </row>
    <row r="319" spans="1:17">
      <c r="A319">
        <f>'AARnetCBR-CamDTN1_tcpmon_ts_11'!A333</f>
        <v>0</v>
      </c>
      <c r="C319">
        <f>'AARnetCBR-CamDTN1_tcpmon_ts_11'!C333</f>
        <v>0</v>
      </c>
      <c r="D319">
        <f>'AARnetCBR-CamDTN1_tcpmon_ts_21'!C333+'AARnetCBR-CamDTN1_tcpmon_ts_22'!C333</f>
        <v>0</v>
      </c>
      <c r="E319">
        <f>'AARnetCBR-CamDTN1_tcpmon_ts_31'!C333+'AARnetCBR-CamDTN1_tcpmon_ts_32'!C333+'AARnetCBR-CamDTN1_tcpmon_ts_33'!C333</f>
        <v>0</v>
      </c>
      <c r="F319">
        <f>'AARnetCBR-CamDTN1_tcpmon_ts_41'!C333+'AARnetCBR-CamDTN1_tcpmon_ts_42'!C333+'AARnetCBR-CamDTN1_tcpmon_ts_43'!C333+'AARnetCBR-CamDTN1_tcpmon_ts_44'!C333</f>
        <v>0</v>
      </c>
      <c r="L319">
        <f>'AARnetCBR-CamDTN1_tcpmon_ts_11'!D319</f>
        <v>0</v>
      </c>
      <c r="M319">
        <f>'AARnetCBR-CamDTN1_tcpmon_ts_21'!D319+'AARnetCBR-CamDTN1_tcpmon_ts_22'!D319</f>
        <v>0</v>
      </c>
      <c r="N319">
        <f>'AARnetCBR-CamDTN1_tcpmon_ts_31'!D319+'AARnetCBR-CamDTN1_tcpmon_ts_32'!D319+'AARnetCBR-CamDTN1_tcpmon_ts_33'!D319</f>
        <v>0</v>
      </c>
      <c r="O319">
        <f>'AARnetCBR-CamDTN1_tcpmon_ts_41'!D319+'AARnetCBR-CamDTN1_tcpmon_ts_42'!D319+'AARnetCBR-CamDTN1_tcpmon_ts_43'!D319+'AARnetCBR-CamDTN1_tcpmon_ts_44'!D319</f>
        <v>0</v>
      </c>
      <c r="P319">
        <f>'AARnetCBR-CamDTN1_tcpmon_ts_51'!D319+'AARnetCBR-CamDTN1_tcpmon_ts_52'!D319+'AARnetCBR-CamDTN1_tcpmon_ts_53'!D319+'AARnetCBR-CamDTN1_tcpmon_ts_54'!D319+'AARnetCBR-CamDTN1_tcpmon_ts_55'!D319</f>
        <v>0</v>
      </c>
    </row>
    <row r="320" spans="1:17">
      <c r="A320">
        <f>'AARnetCBR-CamDTN1_tcpmon_ts_11'!A334</f>
        <v>0</v>
      </c>
      <c r="C320">
        <f>'AARnetCBR-CamDTN1_tcpmon_ts_11'!C334</f>
        <v>0</v>
      </c>
      <c r="D320">
        <f>'AARnetCBR-CamDTN1_tcpmon_ts_21'!C334+'AARnetCBR-CamDTN1_tcpmon_ts_22'!C334</f>
        <v>0</v>
      </c>
      <c r="E320">
        <f>'AARnetCBR-CamDTN1_tcpmon_ts_31'!C334+'AARnetCBR-CamDTN1_tcpmon_ts_32'!C334+'AARnetCBR-CamDTN1_tcpmon_ts_33'!C334</f>
        <v>0</v>
      </c>
      <c r="F320">
        <f>'AARnetCBR-CamDTN1_tcpmon_ts_41'!C334+'AARnetCBR-CamDTN1_tcpmon_ts_42'!C334+'AARnetCBR-CamDTN1_tcpmon_ts_43'!C334+'AARnetCBR-CamDTN1_tcpmon_ts_44'!C334</f>
        <v>0</v>
      </c>
      <c r="L320">
        <f>'AARnetCBR-CamDTN1_tcpmon_ts_11'!D320</f>
        <v>0</v>
      </c>
      <c r="M320">
        <f>'AARnetCBR-CamDTN1_tcpmon_ts_21'!D320+'AARnetCBR-CamDTN1_tcpmon_ts_22'!D320</f>
        <v>0</v>
      </c>
      <c r="N320">
        <f>'AARnetCBR-CamDTN1_tcpmon_ts_31'!D320+'AARnetCBR-CamDTN1_tcpmon_ts_32'!D320+'AARnetCBR-CamDTN1_tcpmon_ts_33'!D320</f>
        <v>0</v>
      </c>
      <c r="O320">
        <f>'AARnetCBR-CamDTN1_tcpmon_ts_41'!D320+'AARnetCBR-CamDTN1_tcpmon_ts_42'!D320+'AARnetCBR-CamDTN1_tcpmon_ts_43'!D320+'AARnetCBR-CamDTN1_tcpmon_ts_44'!D320</f>
        <v>0</v>
      </c>
      <c r="P320">
        <f>'AARnetCBR-CamDTN1_tcpmon_ts_51'!D320+'AARnetCBR-CamDTN1_tcpmon_ts_52'!D320+'AARnetCBR-CamDTN1_tcpmon_ts_53'!D320+'AARnetCBR-CamDTN1_tcpmon_ts_54'!D320+'AARnetCBR-CamDTN1_tcpmon_ts_55'!D320</f>
        <v>0</v>
      </c>
    </row>
    <row r="321" spans="1:16">
      <c r="A321">
        <f>'AARnetCBR-CamDTN1_tcpmon_ts_11'!A335</f>
        <v>0</v>
      </c>
      <c r="C321">
        <f>'AARnetCBR-CamDTN1_tcpmon_ts_11'!C335</f>
        <v>0</v>
      </c>
      <c r="D321">
        <f>'AARnetCBR-CamDTN1_tcpmon_ts_21'!C335+'AARnetCBR-CamDTN1_tcpmon_ts_22'!C335</f>
        <v>0</v>
      </c>
      <c r="E321">
        <f>'AARnetCBR-CamDTN1_tcpmon_ts_31'!C335+'AARnetCBR-CamDTN1_tcpmon_ts_32'!C335+'AARnetCBR-CamDTN1_tcpmon_ts_33'!C335</f>
        <v>0</v>
      </c>
      <c r="F321">
        <f>'AARnetCBR-CamDTN1_tcpmon_ts_41'!C335+'AARnetCBR-CamDTN1_tcpmon_ts_42'!C335+'AARnetCBR-CamDTN1_tcpmon_ts_43'!C335+'AARnetCBR-CamDTN1_tcpmon_ts_44'!C335</f>
        <v>0</v>
      </c>
      <c r="L321">
        <f>'AARnetCBR-CamDTN1_tcpmon_ts_11'!D321</f>
        <v>0</v>
      </c>
      <c r="M321">
        <f>'AARnetCBR-CamDTN1_tcpmon_ts_21'!D321+'AARnetCBR-CamDTN1_tcpmon_ts_22'!D321</f>
        <v>0</v>
      </c>
      <c r="N321">
        <f>'AARnetCBR-CamDTN1_tcpmon_ts_31'!D321+'AARnetCBR-CamDTN1_tcpmon_ts_32'!D321+'AARnetCBR-CamDTN1_tcpmon_ts_33'!D321</f>
        <v>0</v>
      </c>
      <c r="O321">
        <f>'AARnetCBR-CamDTN1_tcpmon_ts_41'!D321+'AARnetCBR-CamDTN1_tcpmon_ts_42'!D321+'AARnetCBR-CamDTN1_tcpmon_ts_43'!D321+'AARnetCBR-CamDTN1_tcpmon_ts_44'!D321</f>
        <v>0</v>
      </c>
      <c r="P321">
        <f>'AARnetCBR-CamDTN1_tcpmon_ts_51'!D321+'AARnetCBR-CamDTN1_tcpmon_ts_52'!D321+'AARnetCBR-CamDTN1_tcpmon_ts_53'!D321+'AARnetCBR-CamDTN1_tcpmon_ts_54'!D321+'AARnetCBR-CamDTN1_tcpmon_ts_55'!D321</f>
        <v>0</v>
      </c>
    </row>
    <row r="322" spans="1:16">
      <c r="A322">
        <f>'AARnetCBR-CamDTN1_tcpmon_ts_11'!A336</f>
        <v>0</v>
      </c>
      <c r="C322">
        <f>'AARnetCBR-CamDTN1_tcpmon_ts_11'!C336</f>
        <v>0</v>
      </c>
      <c r="D322">
        <f>'AARnetCBR-CamDTN1_tcpmon_ts_21'!C336+'AARnetCBR-CamDTN1_tcpmon_ts_22'!C336</f>
        <v>0</v>
      </c>
      <c r="E322">
        <f>'AARnetCBR-CamDTN1_tcpmon_ts_31'!C336+'AARnetCBR-CamDTN1_tcpmon_ts_32'!C336+'AARnetCBR-CamDTN1_tcpmon_ts_33'!C336</f>
        <v>0</v>
      </c>
      <c r="F322">
        <f>'AARnetCBR-CamDTN1_tcpmon_ts_41'!C336+'AARnetCBR-CamDTN1_tcpmon_ts_42'!C336+'AARnetCBR-CamDTN1_tcpmon_ts_43'!C336+'AARnetCBR-CamDTN1_tcpmon_ts_44'!C336</f>
        <v>0</v>
      </c>
      <c r="L322">
        <f>'AARnetCBR-CamDTN1_tcpmon_ts_11'!D322</f>
        <v>0</v>
      </c>
      <c r="M322">
        <f>'AARnetCBR-CamDTN1_tcpmon_ts_21'!D322+'AARnetCBR-CamDTN1_tcpmon_ts_22'!D322</f>
        <v>0</v>
      </c>
      <c r="N322">
        <f>'AARnetCBR-CamDTN1_tcpmon_ts_31'!D322+'AARnetCBR-CamDTN1_tcpmon_ts_32'!D322+'AARnetCBR-CamDTN1_tcpmon_ts_33'!D322</f>
        <v>0</v>
      </c>
      <c r="O322">
        <f>'AARnetCBR-CamDTN1_tcpmon_ts_41'!D322+'AARnetCBR-CamDTN1_tcpmon_ts_42'!D322+'AARnetCBR-CamDTN1_tcpmon_ts_43'!D322+'AARnetCBR-CamDTN1_tcpmon_ts_44'!D322</f>
        <v>0</v>
      </c>
      <c r="P322">
        <f>'AARnetCBR-CamDTN1_tcpmon_ts_51'!D322+'AARnetCBR-CamDTN1_tcpmon_ts_52'!D322+'AARnetCBR-CamDTN1_tcpmon_ts_53'!D322+'AARnetCBR-CamDTN1_tcpmon_ts_54'!D322+'AARnetCBR-CamDTN1_tcpmon_ts_55'!D322</f>
        <v>0</v>
      </c>
    </row>
    <row r="323" spans="1:16">
      <c r="A323">
        <f>'AARnetCBR-CamDTN1_tcpmon_ts_11'!A337</f>
        <v>0</v>
      </c>
      <c r="C323">
        <f>'AARnetCBR-CamDTN1_tcpmon_ts_11'!C337</f>
        <v>0</v>
      </c>
      <c r="D323">
        <f>'AARnetCBR-CamDTN1_tcpmon_ts_21'!C337+'AARnetCBR-CamDTN1_tcpmon_ts_22'!C337</f>
        <v>0</v>
      </c>
      <c r="E323">
        <f>'AARnetCBR-CamDTN1_tcpmon_ts_31'!C337+'AARnetCBR-CamDTN1_tcpmon_ts_32'!C337+'AARnetCBR-CamDTN1_tcpmon_ts_33'!C337</f>
        <v>0</v>
      </c>
      <c r="F323">
        <f>'AARnetCBR-CamDTN1_tcpmon_ts_41'!C337+'AARnetCBR-CamDTN1_tcpmon_ts_42'!C337+'AARnetCBR-CamDTN1_tcpmon_ts_43'!C337+'AARnetCBR-CamDTN1_tcpmon_ts_44'!C337</f>
        <v>0</v>
      </c>
      <c r="L323">
        <f>'AARnetCBR-CamDTN1_tcpmon_ts_11'!D323</f>
        <v>0</v>
      </c>
      <c r="M323">
        <f>'AARnetCBR-CamDTN1_tcpmon_ts_21'!D323+'AARnetCBR-CamDTN1_tcpmon_ts_22'!D323</f>
        <v>0</v>
      </c>
      <c r="N323">
        <f>'AARnetCBR-CamDTN1_tcpmon_ts_31'!D323+'AARnetCBR-CamDTN1_tcpmon_ts_32'!D323+'AARnetCBR-CamDTN1_tcpmon_ts_33'!D323</f>
        <v>0</v>
      </c>
      <c r="O323">
        <f>'AARnetCBR-CamDTN1_tcpmon_ts_41'!D323+'AARnetCBR-CamDTN1_tcpmon_ts_42'!D323+'AARnetCBR-CamDTN1_tcpmon_ts_43'!D323+'AARnetCBR-CamDTN1_tcpmon_ts_44'!D323</f>
        <v>0</v>
      </c>
      <c r="P323">
        <f>'AARnetCBR-CamDTN1_tcpmon_ts_51'!D323+'AARnetCBR-CamDTN1_tcpmon_ts_52'!D323+'AARnetCBR-CamDTN1_tcpmon_ts_53'!D323+'AARnetCBR-CamDTN1_tcpmon_ts_54'!D323+'AARnetCBR-CamDTN1_tcpmon_ts_55'!D323</f>
        <v>0</v>
      </c>
    </row>
    <row r="324" spans="1:16">
      <c r="A324">
        <f>'AARnetCBR-CamDTN1_tcpmon_ts_11'!A338</f>
        <v>0</v>
      </c>
      <c r="C324">
        <f>'AARnetCBR-CamDTN1_tcpmon_ts_11'!C338</f>
        <v>0</v>
      </c>
      <c r="D324">
        <f>'AARnetCBR-CamDTN1_tcpmon_ts_21'!C338+'AARnetCBR-CamDTN1_tcpmon_ts_22'!C338</f>
        <v>0</v>
      </c>
      <c r="E324">
        <f>'AARnetCBR-CamDTN1_tcpmon_ts_31'!C338+'AARnetCBR-CamDTN1_tcpmon_ts_32'!C338+'AARnetCBR-CamDTN1_tcpmon_ts_33'!C338</f>
        <v>0</v>
      </c>
      <c r="F324">
        <f>'AARnetCBR-CamDTN1_tcpmon_ts_41'!C338+'AARnetCBR-CamDTN1_tcpmon_ts_42'!C338+'AARnetCBR-CamDTN1_tcpmon_ts_43'!C338+'AARnetCBR-CamDTN1_tcpmon_ts_44'!C338</f>
        <v>0</v>
      </c>
      <c r="L324">
        <f>'AARnetCBR-CamDTN1_tcpmon_ts_11'!D324</f>
        <v>0</v>
      </c>
      <c r="M324">
        <f>'AARnetCBR-CamDTN1_tcpmon_ts_21'!D324+'AARnetCBR-CamDTN1_tcpmon_ts_22'!D324</f>
        <v>0</v>
      </c>
      <c r="N324">
        <f>'AARnetCBR-CamDTN1_tcpmon_ts_31'!D324+'AARnetCBR-CamDTN1_tcpmon_ts_32'!D324+'AARnetCBR-CamDTN1_tcpmon_ts_33'!D324</f>
        <v>0</v>
      </c>
      <c r="O324">
        <f>'AARnetCBR-CamDTN1_tcpmon_ts_41'!D324+'AARnetCBR-CamDTN1_tcpmon_ts_42'!D324+'AARnetCBR-CamDTN1_tcpmon_ts_43'!D324+'AARnetCBR-CamDTN1_tcpmon_ts_44'!D324</f>
        <v>0</v>
      </c>
      <c r="P324">
        <f>'AARnetCBR-CamDTN1_tcpmon_ts_51'!D324+'AARnetCBR-CamDTN1_tcpmon_ts_52'!D324+'AARnetCBR-CamDTN1_tcpmon_ts_53'!D324+'AARnetCBR-CamDTN1_tcpmon_ts_54'!D324+'AARnetCBR-CamDTN1_tcpmon_ts_55'!D324</f>
        <v>0</v>
      </c>
    </row>
    <row r="325" spans="1:16">
      <c r="A325">
        <f>'AARnetCBR-CamDTN1_tcpmon_ts_11'!A339</f>
        <v>0</v>
      </c>
      <c r="C325">
        <f>'AARnetCBR-CamDTN1_tcpmon_ts_11'!C339</f>
        <v>0</v>
      </c>
      <c r="D325">
        <f>'AARnetCBR-CamDTN1_tcpmon_ts_21'!C339+'AARnetCBR-CamDTN1_tcpmon_ts_22'!C339</f>
        <v>0</v>
      </c>
      <c r="E325">
        <f>'AARnetCBR-CamDTN1_tcpmon_ts_31'!C339+'AARnetCBR-CamDTN1_tcpmon_ts_32'!C339+'AARnetCBR-CamDTN1_tcpmon_ts_33'!C339</f>
        <v>0</v>
      </c>
      <c r="F325">
        <f>'AARnetCBR-CamDTN1_tcpmon_ts_41'!C339+'AARnetCBR-CamDTN1_tcpmon_ts_42'!C339+'AARnetCBR-CamDTN1_tcpmon_ts_43'!C339+'AARnetCBR-CamDTN1_tcpmon_ts_44'!C339</f>
        <v>0</v>
      </c>
      <c r="L325">
        <f>'AARnetCBR-CamDTN1_tcpmon_ts_11'!D325</f>
        <v>0</v>
      </c>
      <c r="M325">
        <f>'AARnetCBR-CamDTN1_tcpmon_ts_21'!D325+'AARnetCBR-CamDTN1_tcpmon_ts_22'!D325</f>
        <v>0</v>
      </c>
      <c r="N325">
        <f>'AARnetCBR-CamDTN1_tcpmon_ts_31'!D325+'AARnetCBR-CamDTN1_tcpmon_ts_32'!D325+'AARnetCBR-CamDTN1_tcpmon_ts_33'!D325</f>
        <v>0</v>
      </c>
      <c r="O325">
        <f>'AARnetCBR-CamDTN1_tcpmon_ts_41'!D325+'AARnetCBR-CamDTN1_tcpmon_ts_42'!D325+'AARnetCBR-CamDTN1_tcpmon_ts_43'!D325+'AARnetCBR-CamDTN1_tcpmon_ts_44'!D325</f>
        <v>0</v>
      </c>
      <c r="P325">
        <f>'AARnetCBR-CamDTN1_tcpmon_ts_51'!D325+'AARnetCBR-CamDTN1_tcpmon_ts_52'!D325+'AARnetCBR-CamDTN1_tcpmon_ts_53'!D325+'AARnetCBR-CamDTN1_tcpmon_ts_54'!D325+'AARnetCBR-CamDTN1_tcpmon_ts_55'!D325</f>
        <v>0</v>
      </c>
    </row>
    <row r="326" spans="1:16">
      <c r="A326">
        <f>'AARnetCBR-CamDTN1_tcpmon_ts_11'!A340</f>
        <v>0</v>
      </c>
      <c r="C326">
        <f>'AARnetCBR-CamDTN1_tcpmon_ts_11'!C340</f>
        <v>0</v>
      </c>
      <c r="D326">
        <f>'AARnetCBR-CamDTN1_tcpmon_ts_21'!C340+'AARnetCBR-CamDTN1_tcpmon_ts_22'!C340</f>
        <v>0</v>
      </c>
      <c r="E326">
        <f>'AARnetCBR-CamDTN1_tcpmon_ts_31'!C340+'AARnetCBR-CamDTN1_tcpmon_ts_32'!C340+'AARnetCBR-CamDTN1_tcpmon_ts_33'!C340</f>
        <v>0</v>
      </c>
      <c r="F326">
        <f>'AARnetCBR-CamDTN1_tcpmon_ts_41'!C340+'AARnetCBR-CamDTN1_tcpmon_ts_42'!C340+'AARnetCBR-CamDTN1_tcpmon_ts_43'!C340+'AARnetCBR-CamDTN1_tcpmon_ts_44'!C340</f>
        <v>0</v>
      </c>
      <c r="L326">
        <f>'AARnetCBR-CamDTN1_tcpmon_ts_11'!D326</f>
        <v>0</v>
      </c>
      <c r="M326">
        <f>'AARnetCBR-CamDTN1_tcpmon_ts_21'!D326+'AARnetCBR-CamDTN1_tcpmon_ts_22'!D326</f>
        <v>0</v>
      </c>
      <c r="N326">
        <f>'AARnetCBR-CamDTN1_tcpmon_ts_31'!D326+'AARnetCBR-CamDTN1_tcpmon_ts_32'!D326+'AARnetCBR-CamDTN1_tcpmon_ts_33'!D326</f>
        <v>0</v>
      </c>
      <c r="O326">
        <f>'AARnetCBR-CamDTN1_tcpmon_ts_41'!D326+'AARnetCBR-CamDTN1_tcpmon_ts_42'!D326+'AARnetCBR-CamDTN1_tcpmon_ts_43'!D326+'AARnetCBR-CamDTN1_tcpmon_ts_44'!D326</f>
        <v>0</v>
      </c>
      <c r="P326">
        <f>'AARnetCBR-CamDTN1_tcpmon_ts_51'!D326+'AARnetCBR-CamDTN1_tcpmon_ts_52'!D326+'AARnetCBR-CamDTN1_tcpmon_ts_53'!D326+'AARnetCBR-CamDTN1_tcpmon_ts_54'!D326+'AARnetCBR-CamDTN1_tcpmon_ts_55'!D326</f>
        <v>0</v>
      </c>
    </row>
    <row r="327" spans="1:16">
      <c r="A327">
        <f>'AARnetCBR-CamDTN1_tcpmon_ts_11'!A341</f>
        <v>0</v>
      </c>
      <c r="C327">
        <f>'AARnetCBR-CamDTN1_tcpmon_ts_11'!C341</f>
        <v>0</v>
      </c>
      <c r="D327">
        <f>'AARnetCBR-CamDTN1_tcpmon_ts_21'!C341+'AARnetCBR-CamDTN1_tcpmon_ts_22'!C341</f>
        <v>0</v>
      </c>
      <c r="E327">
        <f>'AARnetCBR-CamDTN1_tcpmon_ts_31'!C341+'AARnetCBR-CamDTN1_tcpmon_ts_32'!C341+'AARnetCBR-CamDTN1_tcpmon_ts_33'!C341</f>
        <v>0</v>
      </c>
      <c r="F327">
        <f>'AARnetCBR-CamDTN1_tcpmon_ts_41'!C341+'AARnetCBR-CamDTN1_tcpmon_ts_42'!C341+'AARnetCBR-CamDTN1_tcpmon_ts_43'!C341+'AARnetCBR-CamDTN1_tcpmon_ts_44'!C341</f>
        <v>0</v>
      </c>
      <c r="L327">
        <f>'AARnetCBR-CamDTN1_tcpmon_ts_11'!D327</f>
        <v>0</v>
      </c>
      <c r="M327">
        <f>'AARnetCBR-CamDTN1_tcpmon_ts_21'!D327+'AARnetCBR-CamDTN1_tcpmon_ts_22'!D327</f>
        <v>0</v>
      </c>
      <c r="N327">
        <f>'AARnetCBR-CamDTN1_tcpmon_ts_31'!D327+'AARnetCBR-CamDTN1_tcpmon_ts_32'!D327+'AARnetCBR-CamDTN1_tcpmon_ts_33'!D327</f>
        <v>0</v>
      </c>
      <c r="O327">
        <f>'AARnetCBR-CamDTN1_tcpmon_ts_41'!D327+'AARnetCBR-CamDTN1_tcpmon_ts_42'!D327+'AARnetCBR-CamDTN1_tcpmon_ts_43'!D327+'AARnetCBR-CamDTN1_tcpmon_ts_44'!D327</f>
        <v>0</v>
      </c>
      <c r="P327">
        <f>'AARnetCBR-CamDTN1_tcpmon_ts_51'!D327+'AARnetCBR-CamDTN1_tcpmon_ts_52'!D327+'AARnetCBR-CamDTN1_tcpmon_ts_53'!D327+'AARnetCBR-CamDTN1_tcpmon_ts_54'!D327+'AARnetCBR-CamDTN1_tcpmon_ts_55'!D327</f>
        <v>0</v>
      </c>
    </row>
    <row r="328" spans="1:16">
      <c r="A328">
        <f>'AARnetCBR-CamDTN1_tcpmon_ts_11'!A342</f>
        <v>0</v>
      </c>
      <c r="C328">
        <f>'AARnetCBR-CamDTN1_tcpmon_ts_11'!C342</f>
        <v>0</v>
      </c>
      <c r="D328">
        <f>'AARnetCBR-CamDTN1_tcpmon_ts_21'!C342+'AARnetCBR-CamDTN1_tcpmon_ts_22'!C342</f>
        <v>0</v>
      </c>
      <c r="E328">
        <f>'AARnetCBR-CamDTN1_tcpmon_ts_31'!C342+'AARnetCBR-CamDTN1_tcpmon_ts_32'!C342+'AARnetCBR-CamDTN1_tcpmon_ts_33'!C342</f>
        <v>0</v>
      </c>
      <c r="F328">
        <f>'AARnetCBR-CamDTN1_tcpmon_ts_41'!C342+'AARnetCBR-CamDTN1_tcpmon_ts_42'!C342+'AARnetCBR-CamDTN1_tcpmon_ts_43'!C342+'AARnetCBR-CamDTN1_tcpmon_ts_44'!C342</f>
        <v>0</v>
      </c>
      <c r="L328">
        <f>'AARnetCBR-CamDTN1_tcpmon_ts_11'!D328</f>
        <v>0</v>
      </c>
      <c r="M328">
        <f>'AARnetCBR-CamDTN1_tcpmon_ts_21'!D328+'AARnetCBR-CamDTN1_tcpmon_ts_22'!D328</f>
        <v>0</v>
      </c>
      <c r="N328">
        <f>'AARnetCBR-CamDTN1_tcpmon_ts_31'!D328+'AARnetCBR-CamDTN1_tcpmon_ts_32'!D328+'AARnetCBR-CamDTN1_tcpmon_ts_33'!D328</f>
        <v>0</v>
      </c>
      <c r="O328">
        <f>'AARnetCBR-CamDTN1_tcpmon_ts_41'!D328+'AARnetCBR-CamDTN1_tcpmon_ts_42'!D328+'AARnetCBR-CamDTN1_tcpmon_ts_43'!D328+'AARnetCBR-CamDTN1_tcpmon_ts_44'!D328</f>
        <v>0</v>
      </c>
      <c r="P328">
        <f>'AARnetCBR-CamDTN1_tcpmon_ts_51'!D328+'AARnetCBR-CamDTN1_tcpmon_ts_52'!D328+'AARnetCBR-CamDTN1_tcpmon_ts_53'!D328+'AARnetCBR-CamDTN1_tcpmon_ts_54'!D328+'AARnetCBR-CamDTN1_tcpmon_ts_55'!D328</f>
        <v>0</v>
      </c>
    </row>
    <row r="329" spans="1:16">
      <c r="A329">
        <f>'AARnetCBR-CamDTN1_tcpmon_ts_11'!A343</f>
        <v>0</v>
      </c>
      <c r="C329">
        <f>'AARnetCBR-CamDTN1_tcpmon_ts_11'!C343</f>
        <v>0</v>
      </c>
      <c r="D329">
        <f>'AARnetCBR-CamDTN1_tcpmon_ts_21'!C343+'AARnetCBR-CamDTN1_tcpmon_ts_22'!C343</f>
        <v>0</v>
      </c>
      <c r="E329">
        <f>'AARnetCBR-CamDTN1_tcpmon_ts_31'!C343+'AARnetCBR-CamDTN1_tcpmon_ts_32'!C343+'AARnetCBR-CamDTN1_tcpmon_ts_33'!C343</f>
        <v>0</v>
      </c>
      <c r="F329">
        <f>'AARnetCBR-CamDTN1_tcpmon_ts_41'!C343+'AARnetCBR-CamDTN1_tcpmon_ts_42'!C343+'AARnetCBR-CamDTN1_tcpmon_ts_43'!C343+'AARnetCBR-CamDTN1_tcpmon_ts_44'!C343</f>
        <v>0</v>
      </c>
      <c r="L329">
        <f>'AARnetCBR-CamDTN1_tcpmon_ts_11'!D329</f>
        <v>0</v>
      </c>
      <c r="M329">
        <f>'AARnetCBR-CamDTN1_tcpmon_ts_21'!D329+'AARnetCBR-CamDTN1_tcpmon_ts_22'!D329</f>
        <v>0</v>
      </c>
      <c r="N329">
        <f>'AARnetCBR-CamDTN1_tcpmon_ts_31'!D329+'AARnetCBR-CamDTN1_tcpmon_ts_32'!D329+'AARnetCBR-CamDTN1_tcpmon_ts_33'!D329</f>
        <v>0</v>
      </c>
      <c r="O329">
        <f>'AARnetCBR-CamDTN1_tcpmon_ts_41'!D329+'AARnetCBR-CamDTN1_tcpmon_ts_42'!D329+'AARnetCBR-CamDTN1_tcpmon_ts_43'!D329+'AARnetCBR-CamDTN1_tcpmon_ts_44'!D329</f>
        <v>0</v>
      </c>
      <c r="P329">
        <f>'AARnetCBR-CamDTN1_tcpmon_ts_51'!D329+'AARnetCBR-CamDTN1_tcpmon_ts_52'!D329+'AARnetCBR-CamDTN1_tcpmon_ts_53'!D329+'AARnetCBR-CamDTN1_tcpmon_ts_54'!D329+'AARnetCBR-CamDTN1_tcpmon_ts_55'!D329</f>
        <v>0</v>
      </c>
    </row>
    <row r="330" spans="1:16">
      <c r="A330">
        <f>'AARnetCBR-CamDTN1_tcpmon_ts_11'!A344</f>
        <v>0</v>
      </c>
      <c r="C330">
        <f>'AARnetCBR-CamDTN1_tcpmon_ts_11'!C344</f>
        <v>0</v>
      </c>
      <c r="D330">
        <f>'AARnetCBR-CamDTN1_tcpmon_ts_21'!C344+'AARnetCBR-CamDTN1_tcpmon_ts_22'!C344</f>
        <v>0</v>
      </c>
      <c r="E330">
        <f>'AARnetCBR-CamDTN1_tcpmon_ts_31'!C344+'AARnetCBR-CamDTN1_tcpmon_ts_32'!C344+'AARnetCBR-CamDTN1_tcpmon_ts_33'!C344</f>
        <v>0</v>
      </c>
      <c r="F330">
        <f>'AARnetCBR-CamDTN1_tcpmon_ts_41'!C344+'AARnetCBR-CamDTN1_tcpmon_ts_42'!C344+'AARnetCBR-CamDTN1_tcpmon_ts_43'!C344+'AARnetCBR-CamDTN1_tcpmon_ts_44'!C344</f>
        <v>0</v>
      </c>
      <c r="L330">
        <f>'AARnetCBR-CamDTN1_tcpmon_ts_11'!D330</f>
        <v>0</v>
      </c>
      <c r="M330">
        <f>'AARnetCBR-CamDTN1_tcpmon_ts_21'!D330+'AARnetCBR-CamDTN1_tcpmon_ts_22'!D330</f>
        <v>0</v>
      </c>
      <c r="N330">
        <f>'AARnetCBR-CamDTN1_tcpmon_ts_31'!D330+'AARnetCBR-CamDTN1_tcpmon_ts_32'!D330+'AARnetCBR-CamDTN1_tcpmon_ts_33'!D330</f>
        <v>0</v>
      </c>
      <c r="O330">
        <f>'AARnetCBR-CamDTN1_tcpmon_ts_41'!D330+'AARnetCBR-CamDTN1_tcpmon_ts_42'!D330+'AARnetCBR-CamDTN1_tcpmon_ts_43'!D330+'AARnetCBR-CamDTN1_tcpmon_ts_44'!D330</f>
        <v>0</v>
      </c>
      <c r="P330">
        <f>'AARnetCBR-CamDTN1_tcpmon_ts_51'!D330+'AARnetCBR-CamDTN1_tcpmon_ts_52'!D330+'AARnetCBR-CamDTN1_tcpmon_ts_53'!D330+'AARnetCBR-CamDTN1_tcpmon_ts_54'!D330+'AARnetCBR-CamDTN1_tcpmon_ts_55'!D330</f>
        <v>0</v>
      </c>
    </row>
    <row r="331" spans="1:16">
      <c r="A331">
        <f>'AARnetCBR-CamDTN1_tcpmon_ts_11'!A345</f>
        <v>0</v>
      </c>
      <c r="C331">
        <f>'AARnetCBR-CamDTN1_tcpmon_ts_11'!C345</f>
        <v>0</v>
      </c>
      <c r="D331">
        <f>'AARnetCBR-CamDTN1_tcpmon_ts_21'!C345+'AARnetCBR-CamDTN1_tcpmon_ts_22'!C345</f>
        <v>0</v>
      </c>
      <c r="E331">
        <f>'AARnetCBR-CamDTN1_tcpmon_ts_31'!C345+'AARnetCBR-CamDTN1_tcpmon_ts_32'!C345+'AARnetCBR-CamDTN1_tcpmon_ts_33'!C345</f>
        <v>0</v>
      </c>
      <c r="F331">
        <f>'AARnetCBR-CamDTN1_tcpmon_ts_41'!C345+'AARnetCBR-CamDTN1_tcpmon_ts_42'!C345+'AARnetCBR-CamDTN1_tcpmon_ts_43'!C345+'AARnetCBR-CamDTN1_tcpmon_ts_44'!C345</f>
        <v>0</v>
      </c>
      <c r="L331">
        <f>'AARnetCBR-CamDTN1_tcpmon_ts_11'!D331</f>
        <v>0</v>
      </c>
      <c r="M331">
        <f>'AARnetCBR-CamDTN1_tcpmon_ts_21'!D331+'AARnetCBR-CamDTN1_tcpmon_ts_22'!D331</f>
        <v>0</v>
      </c>
      <c r="N331">
        <f>'AARnetCBR-CamDTN1_tcpmon_ts_31'!D331+'AARnetCBR-CamDTN1_tcpmon_ts_32'!D331+'AARnetCBR-CamDTN1_tcpmon_ts_33'!D331</f>
        <v>0</v>
      </c>
      <c r="O331">
        <f>'AARnetCBR-CamDTN1_tcpmon_ts_41'!D331+'AARnetCBR-CamDTN1_tcpmon_ts_42'!D331+'AARnetCBR-CamDTN1_tcpmon_ts_43'!D331+'AARnetCBR-CamDTN1_tcpmon_ts_44'!D331</f>
        <v>0</v>
      </c>
      <c r="P331">
        <f>'AARnetCBR-CamDTN1_tcpmon_ts_51'!D331+'AARnetCBR-CamDTN1_tcpmon_ts_52'!D331+'AARnetCBR-CamDTN1_tcpmon_ts_53'!D331+'AARnetCBR-CamDTN1_tcpmon_ts_54'!D331+'AARnetCBR-CamDTN1_tcpmon_ts_55'!D331</f>
        <v>0</v>
      </c>
    </row>
    <row r="332" spans="1:16">
      <c r="A332">
        <f>'AARnetCBR-CamDTN1_tcpmon_ts_11'!A346</f>
        <v>0</v>
      </c>
      <c r="C332">
        <f>'AARnetCBR-CamDTN1_tcpmon_ts_11'!C346</f>
        <v>0</v>
      </c>
      <c r="D332">
        <f>'AARnetCBR-CamDTN1_tcpmon_ts_21'!C346+'AARnetCBR-CamDTN1_tcpmon_ts_22'!C346</f>
        <v>0</v>
      </c>
      <c r="E332">
        <f>'AARnetCBR-CamDTN1_tcpmon_ts_31'!C346+'AARnetCBR-CamDTN1_tcpmon_ts_32'!C346+'AARnetCBR-CamDTN1_tcpmon_ts_33'!C346</f>
        <v>0</v>
      </c>
      <c r="F332">
        <f>'AARnetCBR-CamDTN1_tcpmon_ts_41'!C346+'AARnetCBR-CamDTN1_tcpmon_ts_42'!C346+'AARnetCBR-CamDTN1_tcpmon_ts_43'!C346+'AARnetCBR-CamDTN1_tcpmon_ts_44'!C346</f>
        <v>0</v>
      </c>
      <c r="L332">
        <f>'AARnetCBR-CamDTN1_tcpmon_ts_11'!D332</f>
        <v>0</v>
      </c>
      <c r="M332">
        <f>'AARnetCBR-CamDTN1_tcpmon_ts_21'!D332+'AARnetCBR-CamDTN1_tcpmon_ts_22'!D332</f>
        <v>0</v>
      </c>
      <c r="N332">
        <f>'AARnetCBR-CamDTN1_tcpmon_ts_31'!D332+'AARnetCBR-CamDTN1_tcpmon_ts_32'!D332+'AARnetCBR-CamDTN1_tcpmon_ts_33'!D332</f>
        <v>0</v>
      </c>
      <c r="O332">
        <f>'AARnetCBR-CamDTN1_tcpmon_ts_41'!D332+'AARnetCBR-CamDTN1_tcpmon_ts_42'!D332+'AARnetCBR-CamDTN1_tcpmon_ts_43'!D332+'AARnetCBR-CamDTN1_tcpmon_ts_44'!D332</f>
        <v>0</v>
      </c>
      <c r="P332">
        <f>'AARnetCBR-CamDTN1_tcpmon_ts_51'!D332+'AARnetCBR-CamDTN1_tcpmon_ts_52'!D332+'AARnetCBR-CamDTN1_tcpmon_ts_53'!D332+'AARnetCBR-CamDTN1_tcpmon_ts_54'!D332+'AARnetCBR-CamDTN1_tcpmon_ts_55'!D332</f>
        <v>0</v>
      </c>
    </row>
    <row r="333" spans="1:16">
      <c r="A333">
        <f>'AARnetCBR-CamDTN1_tcpmon_ts_11'!A347</f>
        <v>0</v>
      </c>
      <c r="C333">
        <f>'AARnetCBR-CamDTN1_tcpmon_ts_11'!C347</f>
        <v>0</v>
      </c>
      <c r="D333">
        <f>'AARnetCBR-CamDTN1_tcpmon_ts_21'!C347+'AARnetCBR-CamDTN1_tcpmon_ts_22'!C347</f>
        <v>0</v>
      </c>
      <c r="E333">
        <f>'AARnetCBR-CamDTN1_tcpmon_ts_31'!C347+'AARnetCBR-CamDTN1_tcpmon_ts_32'!C347+'AARnetCBR-CamDTN1_tcpmon_ts_33'!C347</f>
        <v>0</v>
      </c>
      <c r="F333">
        <f>'AARnetCBR-CamDTN1_tcpmon_ts_41'!C347+'AARnetCBR-CamDTN1_tcpmon_ts_42'!C347+'AARnetCBR-CamDTN1_tcpmon_ts_43'!C347+'AARnetCBR-CamDTN1_tcpmon_ts_44'!C347</f>
        <v>0</v>
      </c>
      <c r="L333">
        <f>'AARnetCBR-CamDTN1_tcpmon_ts_11'!D333</f>
        <v>0</v>
      </c>
      <c r="M333">
        <f>'AARnetCBR-CamDTN1_tcpmon_ts_21'!D333+'AARnetCBR-CamDTN1_tcpmon_ts_22'!D333</f>
        <v>0</v>
      </c>
      <c r="N333">
        <f>'AARnetCBR-CamDTN1_tcpmon_ts_31'!D333+'AARnetCBR-CamDTN1_tcpmon_ts_32'!D333+'AARnetCBR-CamDTN1_tcpmon_ts_33'!D333</f>
        <v>0</v>
      </c>
      <c r="O333">
        <f>'AARnetCBR-CamDTN1_tcpmon_ts_41'!D333+'AARnetCBR-CamDTN1_tcpmon_ts_42'!D333+'AARnetCBR-CamDTN1_tcpmon_ts_43'!D333+'AARnetCBR-CamDTN1_tcpmon_ts_44'!D333</f>
        <v>0</v>
      </c>
      <c r="P333">
        <f>'AARnetCBR-CamDTN1_tcpmon_ts_51'!D333+'AARnetCBR-CamDTN1_tcpmon_ts_52'!D333+'AARnetCBR-CamDTN1_tcpmon_ts_53'!D333+'AARnetCBR-CamDTN1_tcpmon_ts_54'!D333+'AARnetCBR-CamDTN1_tcpmon_ts_55'!D333</f>
        <v>0</v>
      </c>
    </row>
    <row r="334" spans="1:16">
      <c r="A334">
        <f>'AARnetCBR-CamDTN1_tcpmon_ts_11'!A348</f>
        <v>0</v>
      </c>
      <c r="C334">
        <f>'AARnetCBR-CamDTN1_tcpmon_ts_11'!C348</f>
        <v>0</v>
      </c>
      <c r="D334">
        <f>'AARnetCBR-CamDTN1_tcpmon_ts_21'!C348+'AARnetCBR-CamDTN1_tcpmon_ts_22'!C348</f>
        <v>0</v>
      </c>
      <c r="E334">
        <f>'AARnetCBR-CamDTN1_tcpmon_ts_31'!C348+'AARnetCBR-CamDTN1_tcpmon_ts_32'!C348+'AARnetCBR-CamDTN1_tcpmon_ts_33'!C348</f>
        <v>0</v>
      </c>
      <c r="F334">
        <f>'AARnetCBR-CamDTN1_tcpmon_ts_41'!C348+'AARnetCBR-CamDTN1_tcpmon_ts_42'!C348+'AARnetCBR-CamDTN1_tcpmon_ts_43'!C348+'AARnetCBR-CamDTN1_tcpmon_ts_44'!C348</f>
        <v>0</v>
      </c>
      <c r="L334">
        <f>'AARnetCBR-CamDTN1_tcpmon_ts_11'!D334</f>
        <v>0</v>
      </c>
      <c r="M334">
        <f>'AARnetCBR-CamDTN1_tcpmon_ts_21'!D334+'AARnetCBR-CamDTN1_tcpmon_ts_22'!D334</f>
        <v>0</v>
      </c>
      <c r="N334">
        <f>'AARnetCBR-CamDTN1_tcpmon_ts_31'!D334+'AARnetCBR-CamDTN1_tcpmon_ts_32'!D334+'AARnetCBR-CamDTN1_tcpmon_ts_33'!D334</f>
        <v>0</v>
      </c>
      <c r="O334">
        <f>'AARnetCBR-CamDTN1_tcpmon_ts_41'!D334+'AARnetCBR-CamDTN1_tcpmon_ts_42'!D334+'AARnetCBR-CamDTN1_tcpmon_ts_43'!D334+'AARnetCBR-CamDTN1_tcpmon_ts_44'!D334</f>
        <v>0</v>
      </c>
      <c r="P334">
        <f>'AARnetCBR-CamDTN1_tcpmon_ts_51'!D334+'AARnetCBR-CamDTN1_tcpmon_ts_52'!D334+'AARnetCBR-CamDTN1_tcpmon_ts_53'!D334+'AARnetCBR-CamDTN1_tcpmon_ts_54'!D334+'AARnetCBR-CamDTN1_tcpmon_ts_55'!D334</f>
        <v>0</v>
      </c>
    </row>
    <row r="335" spans="1:16">
      <c r="A335">
        <f>'AARnetCBR-CamDTN1_tcpmon_ts_11'!A349</f>
        <v>0</v>
      </c>
      <c r="C335">
        <f>'AARnetCBR-CamDTN1_tcpmon_ts_11'!C349</f>
        <v>0</v>
      </c>
      <c r="D335">
        <f>'AARnetCBR-CamDTN1_tcpmon_ts_21'!C349+'AARnetCBR-CamDTN1_tcpmon_ts_22'!C349</f>
        <v>0</v>
      </c>
      <c r="E335">
        <f>'AARnetCBR-CamDTN1_tcpmon_ts_31'!C349+'AARnetCBR-CamDTN1_tcpmon_ts_32'!C349+'AARnetCBR-CamDTN1_tcpmon_ts_33'!C349</f>
        <v>0</v>
      </c>
      <c r="F335">
        <f>'AARnetCBR-CamDTN1_tcpmon_ts_41'!C349+'AARnetCBR-CamDTN1_tcpmon_ts_42'!C349+'AARnetCBR-CamDTN1_tcpmon_ts_43'!C349+'AARnetCBR-CamDTN1_tcpmon_ts_44'!C349</f>
        <v>0</v>
      </c>
      <c r="L335">
        <f>'AARnetCBR-CamDTN1_tcpmon_ts_11'!D335</f>
        <v>0</v>
      </c>
      <c r="M335">
        <f>'AARnetCBR-CamDTN1_tcpmon_ts_21'!D335+'AARnetCBR-CamDTN1_tcpmon_ts_22'!D335</f>
        <v>0</v>
      </c>
      <c r="N335">
        <f>'AARnetCBR-CamDTN1_tcpmon_ts_31'!D335+'AARnetCBR-CamDTN1_tcpmon_ts_32'!D335+'AARnetCBR-CamDTN1_tcpmon_ts_33'!D335</f>
        <v>0</v>
      </c>
      <c r="O335">
        <f>'AARnetCBR-CamDTN1_tcpmon_ts_41'!D335+'AARnetCBR-CamDTN1_tcpmon_ts_42'!D335+'AARnetCBR-CamDTN1_tcpmon_ts_43'!D335+'AARnetCBR-CamDTN1_tcpmon_ts_44'!D335</f>
        <v>0</v>
      </c>
      <c r="P335">
        <f>'AARnetCBR-CamDTN1_tcpmon_ts_51'!D335+'AARnetCBR-CamDTN1_tcpmon_ts_52'!D335+'AARnetCBR-CamDTN1_tcpmon_ts_53'!D335+'AARnetCBR-CamDTN1_tcpmon_ts_54'!D335+'AARnetCBR-CamDTN1_tcpmon_ts_55'!D335</f>
        <v>0</v>
      </c>
    </row>
    <row r="336" spans="1:16">
      <c r="A336">
        <f>'AARnetCBR-CamDTN1_tcpmon_ts_11'!A350</f>
        <v>0</v>
      </c>
      <c r="C336">
        <f>'AARnetCBR-CamDTN1_tcpmon_ts_11'!C350</f>
        <v>0</v>
      </c>
      <c r="D336">
        <f>'AARnetCBR-CamDTN1_tcpmon_ts_21'!C350+'AARnetCBR-CamDTN1_tcpmon_ts_22'!C350</f>
        <v>0</v>
      </c>
      <c r="E336">
        <f>'AARnetCBR-CamDTN1_tcpmon_ts_31'!C350+'AARnetCBR-CamDTN1_tcpmon_ts_32'!C350+'AARnetCBR-CamDTN1_tcpmon_ts_33'!C350</f>
        <v>0</v>
      </c>
      <c r="F336">
        <f>'AARnetCBR-CamDTN1_tcpmon_ts_41'!C350+'AARnetCBR-CamDTN1_tcpmon_ts_42'!C350+'AARnetCBR-CamDTN1_tcpmon_ts_43'!C350+'AARnetCBR-CamDTN1_tcpmon_ts_44'!C350</f>
        <v>0</v>
      </c>
      <c r="L336">
        <f>'AARnetCBR-CamDTN1_tcpmon_ts_11'!D336</f>
        <v>0</v>
      </c>
      <c r="M336">
        <f>'AARnetCBR-CamDTN1_tcpmon_ts_21'!D336+'AARnetCBR-CamDTN1_tcpmon_ts_22'!D336</f>
        <v>0</v>
      </c>
      <c r="N336">
        <f>'AARnetCBR-CamDTN1_tcpmon_ts_31'!D336+'AARnetCBR-CamDTN1_tcpmon_ts_32'!D336+'AARnetCBR-CamDTN1_tcpmon_ts_33'!D336</f>
        <v>0</v>
      </c>
      <c r="O336">
        <f>'AARnetCBR-CamDTN1_tcpmon_ts_41'!D336+'AARnetCBR-CamDTN1_tcpmon_ts_42'!D336+'AARnetCBR-CamDTN1_tcpmon_ts_43'!D336+'AARnetCBR-CamDTN1_tcpmon_ts_44'!D336</f>
        <v>0</v>
      </c>
      <c r="P336">
        <f>'AARnetCBR-CamDTN1_tcpmon_ts_51'!D336+'AARnetCBR-CamDTN1_tcpmon_ts_52'!D336+'AARnetCBR-CamDTN1_tcpmon_ts_53'!D336+'AARnetCBR-CamDTN1_tcpmon_ts_54'!D336+'AARnetCBR-CamDTN1_tcpmon_ts_55'!D336</f>
        <v>0</v>
      </c>
    </row>
    <row r="337" spans="1:16">
      <c r="A337">
        <f>'AARnetCBR-CamDTN1_tcpmon_ts_11'!A351</f>
        <v>0</v>
      </c>
      <c r="C337">
        <f>'AARnetCBR-CamDTN1_tcpmon_ts_11'!C351</f>
        <v>0</v>
      </c>
      <c r="D337">
        <f>'AARnetCBR-CamDTN1_tcpmon_ts_21'!C351+'AARnetCBR-CamDTN1_tcpmon_ts_22'!C351</f>
        <v>0</v>
      </c>
      <c r="E337">
        <f>'AARnetCBR-CamDTN1_tcpmon_ts_31'!C351+'AARnetCBR-CamDTN1_tcpmon_ts_32'!C351+'AARnetCBR-CamDTN1_tcpmon_ts_33'!C351</f>
        <v>0</v>
      </c>
      <c r="F337">
        <f>'AARnetCBR-CamDTN1_tcpmon_ts_41'!C351+'AARnetCBR-CamDTN1_tcpmon_ts_42'!C351+'AARnetCBR-CamDTN1_tcpmon_ts_43'!C351+'AARnetCBR-CamDTN1_tcpmon_ts_44'!C351</f>
        <v>0</v>
      </c>
      <c r="L337">
        <f>'AARnetCBR-CamDTN1_tcpmon_ts_11'!D337</f>
        <v>0</v>
      </c>
      <c r="M337">
        <f>'AARnetCBR-CamDTN1_tcpmon_ts_21'!D337+'AARnetCBR-CamDTN1_tcpmon_ts_22'!D337</f>
        <v>0</v>
      </c>
      <c r="N337">
        <f>'AARnetCBR-CamDTN1_tcpmon_ts_31'!D337+'AARnetCBR-CamDTN1_tcpmon_ts_32'!D337+'AARnetCBR-CamDTN1_tcpmon_ts_33'!D337</f>
        <v>0</v>
      </c>
      <c r="O337">
        <f>'AARnetCBR-CamDTN1_tcpmon_ts_41'!D337+'AARnetCBR-CamDTN1_tcpmon_ts_42'!D337+'AARnetCBR-CamDTN1_tcpmon_ts_43'!D337+'AARnetCBR-CamDTN1_tcpmon_ts_44'!D337</f>
        <v>0</v>
      </c>
      <c r="P337">
        <f>'AARnetCBR-CamDTN1_tcpmon_ts_51'!D337+'AARnetCBR-CamDTN1_tcpmon_ts_52'!D337+'AARnetCBR-CamDTN1_tcpmon_ts_53'!D337+'AARnetCBR-CamDTN1_tcpmon_ts_54'!D337+'AARnetCBR-CamDTN1_tcpmon_ts_55'!D337</f>
        <v>0</v>
      </c>
    </row>
    <row r="338" spans="1:16">
      <c r="A338">
        <f>'AARnetCBR-CamDTN1_tcpmon_ts_11'!A352</f>
        <v>0</v>
      </c>
      <c r="C338">
        <f>'AARnetCBR-CamDTN1_tcpmon_ts_11'!C352</f>
        <v>0</v>
      </c>
      <c r="D338">
        <f>'AARnetCBR-CamDTN1_tcpmon_ts_21'!C352+'AARnetCBR-CamDTN1_tcpmon_ts_22'!C352</f>
        <v>0</v>
      </c>
      <c r="E338">
        <f>'AARnetCBR-CamDTN1_tcpmon_ts_31'!C352+'AARnetCBR-CamDTN1_tcpmon_ts_32'!C352+'AARnetCBR-CamDTN1_tcpmon_ts_33'!C352</f>
        <v>0</v>
      </c>
      <c r="F338">
        <f>'AARnetCBR-CamDTN1_tcpmon_ts_41'!C352+'AARnetCBR-CamDTN1_tcpmon_ts_42'!C352+'AARnetCBR-CamDTN1_tcpmon_ts_43'!C352+'AARnetCBR-CamDTN1_tcpmon_ts_44'!C352</f>
        <v>0</v>
      </c>
      <c r="L338">
        <f>'AARnetCBR-CamDTN1_tcpmon_ts_11'!D338</f>
        <v>0</v>
      </c>
      <c r="M338">
        <f>'AARnetCBR-CamDTN1_tcpmon_ts_21'!D338+'AARnetCBR-CamDTN1_tcpmon_ts_22'!D338</f>
        <v>0</v>
      </c>
      <c r="N338">
        <f>'AARnetCBR-CamDTN1_tcpmon_ts_31'!D338+'AARnetCBR-CamDTN1_tcpmon_ts_32'!D338+'AARnetCBR-CamDTN1_tcpmon_ts_33'!D338</f>
        <v>0</v>
      </c>
      <c r="O338">
        <f>'AARnetCBR-CamDTN1_tcpmon_ts_41'!D338+'AARnetCBR-CamDTN1_tcpmon_ts_42'!D338+'AARnetCBR-CamDTN1_tcpmon_ts_43'!D338+'AARnetCBR-CamDTN1_tcpmon_ts_44'!D338</f>
        <v>0</v>
      </c>
      <c r="P338">
        <f>'AARnetCBR-CamDTN1_tcpmon_ts_51'!D338+'AARnetCBR-CamDTN1_tcpmon_ts_52'!D338+'AARnetCBR-CamDTN1_tcpmon_ts_53'!D338+'AARnetCBR-CamDTN1_tcpmon_ts_54'!D338+'AARnetCBR-CamDTN1_tcpmon_ts_55'!D338</f>
        <v>0</v>
      </c>
    </row>
    <row r="339" spans="1:16">
      <c r="A339">
        <f>'AARnetCBR-CamDTN1_tcpmon_ts_11'!A353</f>
        <v>0</v>
      </c>
      <c r="C339">
        <f>'AARnetCBR-CamDTN1_tcpmon_ts_11'!C353</f>
        <v>0</v>
      </c>
      <c r="D339">
        <f>'AARnetCBR-CamDTN1_tcpmon_ts_21'!C353+'AARnetCBR-CamDTN1_tcpmon_ts_22'!C353</f>
        <v>0</v>
      </c>
      <c r="E339">
        <f>'AARnetCBR-CamDTN1_tcpmon_ts_31'!C353+'AARnetCBR-CamDTN1_tcpmon_ts_32'!C353+'AARnetCBR-CamDTN1_tcpmon_ts_33'!C353</f>
        <v>0</v>
      </c>
      <c r="F339">
        <f>'AARnetCBR-CamDTN1_tcpmon_ts_41'!C353+'AARnetCBR-CamDTN1_tcpmon_ts_42'!C353+'AARnetCBR-CamDTN1_tcpmon_ts_43'!C353+'AARnetCBR-CamDTN1_tcpmon_ts_44'!C353</f>
        <v>0</v>
      </c>
      <c r="L339">
        <f>'AARnetCBR-CamDTN1_tcpmon_ts_11'!D339</f>
        <v>0</v>
      </c>
      <c r="M339">
        <f>'AARnetCBR-CamDTN1_tcpmon_ts_21'!D339+'AARnetCBR-CamDTN1_tcpmon_ts_22'!D339</f>
        <v>0</v>
      </c>
      <c r="N339">
        <f>'AARnetCBR-CamDTN1_tcpmon_ts_31'!D339+'AARnetCBR-CamDTN1_tcpmon_ts_32'!D339+'AARnetCBR-CamDTN1_tcpmon_ts_33'!D339</f>
        <v>0</v>
      </c>
      <c r="O339">
        <f>'AARnetCBR-CamDTN1_tcpmon_ts_41'!D339+'AARnetCBR-CamDTN1_tcpmon_ts_42'!D339+'AARnetCBR-CamDTN1_tcpmon_ts_43'!D339+'AARnetCBR-CamDTN1_tcpmon_ts_44'!D339</f>
        <v>0</v>
      </c>
      <c r="P339">
        <f>'AARnetCBR-CamDTN1_tcpmon_ts_51'!D339+'AARnetCBR-CamDTN1_tcpmon_ts_52'!D339+'AARnetCBR-CamDTN1_tcpmon_ts_53'!D339+'AARnetCBR-CamDTN1_tcpmon_ts_54'!D339+'AARnetCBR-CamDTN1_tcpmon_ts_55'!D339</f>
        <v>0</v>
      </c>
    </row>
    <row r="340" spans="1:16">
      <c r="A340">
        <f>'AARnetCBR-CamDTN1_tcpmon_ts_11'!A354</f>
        <v>0</v>
      </c>
      <c r="C340">
        <f>'AARnetCBR-CamDTN1_tcpmon_ts_11'!C354</f>
        <v>0</v>
      </c>
      <c r="D340">
        <f>'AARnetCBR-CamDTN1_tcpmon_ts_21'!C354+'AARnetCBR-CamDTN1_tcpmon_ts_22'!C354</f>
        <v>0</v>
      </c>
      <c r="E340">
        <f>'AARnetCBR-CamDTN1_tcpmon_ts_31'!C354+'AARnetCBR-CamDTN1_tcpmon_ts_32'!C354+'AARnetCBR-CamDTN1_tcpmon_ts_33'!C354</f>
        <v>0</v>
      </c>
      <c r="F340">
        <f>'AARnetCBR-CamDTN1_tcpmon_ts_41'!C354+'AARnetCBR-CamDTN1_tcpmon_ts_42'!C354+'AARnetCBR-CamDTN1_tcpmon_ts_43'!C354+'AARnetCBR-CamDTN1_tcpmon_ts_44'!C354</f>
        <v>0</v>
      </c>
      <c r="L340">
        <f>'AARnetCBR-CamDTN1_tcpmon_ts_11'!D340</f>
        <v>0</v>
      </c>
      <c r="M340">
        <f>'AARnetCBR-CamDTN1_tcpmon_ts_21'!D340+'AARnetCBR-CamDTN1_tcpmon_ts_22'!D340</f>
        <v>0</v>
      </c>
      <c r="N340">
        <f>'AARnetCBR-CamDTN1_tcpmon_ts_31'!D340+'AARnetCBR-CamDTN1_tcpmon_ts_32'!D340+'AARnetCBR-CamDTN1_tcpmon_ts_33'!D340</f>
        <v>0</v>
      </c>
      <c r="O340">
        <f>'AARnetCBR-CamDTN1_tcpmon_ts_41'!D340+'AARnetCBR-CamDTN1_tcpmon_ts_42'!D340+'AARnetCBR-CamDTN1_tcpmon_ts_43'!D340+'AARnetCBR-CamDTN1_tcpmon_ts_44'!D340</f>
        <v>0</v>
      </c>
      <c r="P340">
        <f>'AARnetCBR-CamDTN1_tcpmon_ts_51'!D340+'AARnetCBR-CamDTN1_tcpmon_ts_52'!D340+'AARnetCBR-CamDTN1_tcpmon_ts_53'!D340+'AARnetCBR-CamDTN1_tcpmon_ts_54'!D340+'AARnetCBR-CamDTN1_tcpmon_ts_55'!D340</f>
        <v>0</v>
      </c>
    </row>
    <row r="341" spans="1:16">
      <c r="A341">
        <f>'AARnetCBR-CamDTN1_tcpmon_ts_11'!A355</f>
        <v>0</v>
      </c>
      <c r="C341">
        <f>'AARnetCBR-CamDTN1_tcpmon_ts_11'!C355</f>
        <v>0</v>
      </c>
      <c r="D341">
        <f>'AARnetCBR-CamDTN1_tcpmon_ts_21'!C355+'AARnetCBR-CamDTN1_tcpmon_ts_22'!C355</f>
        <v>0</v>
      </c>
      <c r="E341">
        <f>'AARnetCBR-CamDTN1_tcpmon_ts_31'!C355+'AARnetCBR-CamDTN1_tcpmon_ts_32'!C355+'AARnetCBR-CamDTN1_tcpmon_ts_33'!C355</f>
        <v>0</v>
      </c>
      <c r="F341">
        <f>'AARnetCBR-CamDTN1_tcpmon_ts_41'!C355+'AARnetCBR-CamDTN1_tcpmon_ts_42'!C355+'AARnetCBR-CamDTN1_tcpmon_ts_43'!C355+'AARnetCBR-CamDTN1_tcpmon_ts_44'!C355</f>
        <v>0</v>
      </c>
      <c r="L341">
        <f>'AARnetCBR-CamDTN1_tcpmon_ts_11'!D341</f>
        <v>0</v>
      </c>
      <c r="M341">
        <f>'AARnetCBR-CamDTN1_tcpmon_ts_21'!D341+'AARnetCBR-CamDTN1_tcpmon_ts_22'!D341</f>
        <v>0</v>
      </c>
      <c r="N341">
        <f>'AARnetCBR-CamDTN1_tcpmon_ts_31'!D341+'AARnetCBR-CamDTN1_tcpmon_ts_32'!D341+'AARnetCBR-CamDTN1_tcpmon_ts_33'!D341</f>
        <v>0</v>
      </c>
      <c r="O341">
        <f>'AARnetCBR-CamDTN1_tcpmon_ts_41'!D341+'AARnetCBR-CamDTN1_tcpmon_ts_42'!D341+'AARnetCBR-CamDTN1_tcpmon_ts_43'!D341+'AARnetCBR-CamDTN1_tcpmon_ts_44'!D341</f>
        <v>0</v>
      </c>
      <c r="P341">
        <f>'AARnetCBR-CamDTN1_tcpmon_ts_51'!D341+'AARnetCBR-CamDTN1_tcpmon_ts_52'!D341+'AARnetCBR-CamDTN1_tcpmon_ts_53'!D341+'AARnetCBR-CamDTN1_tcpmon_ts_54'!D341+'AARnetCBR-CamDTN1_tcpmon_ts_55'!D341</f>
        <v>0</v>
      </c>
    </row>
    <row r="342" spans="1:16">
      <c r="A342">
        <f>'AARnetCBR-CamDTN1_tcpmon_ts_11'!A356</f>
        <v>0</v>
      </c>
      <c r="C342">
        <f>'AARnetCBR-CamDTN1_tcpmon_ts_11'!C356</f>
        <v>0</v>
      </c>
      <c r="D342">
        <f>'AARnetCBR-CamDTN1_tcpmon_ts_21'!C356+'AARnetCBR-CamDTN1_tcpmon_ts_22'!C356</f>
        <v>0</v>
      </c>
      <c r="E342">
        <f>'AARnetCBR-CamDTN1_tcpmon_ts_31'!C356+'AARnetCBR-CamDTN1_tcpmon_ts_32'!C356+'AARnetCBR-CamDTN1_tcpmon_ts_33'!C356</f>
        <v>0</v>
      </c>
      <c r="F342">
        <f>'AARnetCBR-CamDTN1_tcpmon_ts_41'!C356+'AARnetCBR-CamDTN1_tcpmon_ts_42'!C356+'AARnetCBR-CamDTN1_tcpmon_ts_43'!C356+'AARnetCBR-CamDTN1_tcpmon_ts_44'!C356</f>
        <v>0</v>
      </c>
      <c r="L342">
        <f>'AARnetCBR-CamDTN1_tcpmon_ts_11'!D342</f>
        <v>0</v>
      </c>
      <c r="M342">
        <f>'AARnetCBR-CamDTN1_tcpmon_ts_21'!D342+'AARnetCBR-CamDTN1_tcpmon_ts_22'!D342</f>
        <v>0</v>
      </c>
      <c r="N342">
        <f>'AARnetCBR-CamDTN1_tcpmon_ts_31'!D342+'AARnetCBR-CamDTN1_tcpmon_ts_32'!D342+'AARnetCBR-CamDTN1_tcpmon_ts_33'!D342</f>
        <v>0</v>
      </c>
      <c r="O342">
        <f>'AARnetCBR-CamDTN1_tcpmon_ts_41'!D342+'AARnetCBR-CamDTN1_tcpmon_ts_42'!D342+'AARnetCBR-CamDTN1_tcpmon_ts_43'!D342+'AARnetCBR-CamDTN1_tcpmon_ts_44'!D342</f>
        <v>0</v>
      </c>
      <c r="P342">
        <f>'AARnetCBR-CamDTN1_tcpmon_ts_51'!D342+'AARnetCBR-CamDTN1_tcpmon_ts_52'!D342+'AARnetCBR-CamDTN1_tcpmon_ts_53'!D342+'AARnetCBR-CamDTN1_tcpmon_ts_54'!D342+'AARnetCBR-CamDTN1_tcpmon_ts_55'!D342</f>
        <v>0</v>
      </c>
    </row>
    <row r="343" spans="1:16">
      <c r="A343">
        <f>'AARnetCBR-CamDTN1_tcpmon_ts_11'!A357</f>
        <v>0</v>
      </c>
      <c r="C343">
        <f>'AARnetCBR-CamDTN1_tcpmon_ts_11'!C357</f>
        <v>0</v>
      </c>
      <c r="D343">
        <f>'AARnetCBR-CamDTN1_tcpmon_ts_21'!C357+'AARnetCBR-CamDTN1_tcpmon_ts_22'!C357</f>
        <v>0</v>
      </c>
      <c r="E343">
        <f>'AARnetCBR-CamDTN1_tcpmon_ts_31'!C357+'AARnetCBR-CamDTN1_tcpmon_ts_32'!C357+'AARnetCBR-CamDTN1_tcpmon_ts_33'!C357</f>
        <v>0</v>
      </c>
      <c r="F343">
        <f>'AARnetCBR-CamDTN1_tcpmon_ts_41'!C357+'AARnetCBR-CamDTN1_tcpmon_ts_42'!C357+'AARnetCBR-CamDTN1_tcpmon_ts_43'!C357+'AARnetCBR-CamDTN1_tcpmon_ts_44'!C357</f>
        <v>0</v>
      </c>
      <c r="L343">
        <f>'AARnetCBR-CamDTN1_tcpmon_ts_11'!D343</f>
        <v>0</v>
      </c>
      <c r="M343">
        <f>'AARnetCBR-CamDTN1_tcpmon_ts_21'!D343+'AARnetCBR-CamDTN1_tcpmon_ts_22'!D343</f>
        <v>0</v>
      </c>
      <c r="N343">
        <f>'AARnetCBR-CamDTN1_tcpmon_ts_31'!D343+'AARnetCBR-CamDTN1_tcpmon_ts_32'!D343+'AARnetCBR-CamDTN1_tcpmon_ts_33'!D343</f>
        <v>0</v>
      </c>
      <c r="O343">
        <f>'AARnetCBR-CamDTN1_tcpmon_ts_41'!D343+'AARnetCBR-CamDTN1_tcpmon_ts_42'!D343+'AARnetCBR-CamDTN1_tcpmon_ts_43'!D343+'AARnetCBR-CamDTN1_tcpmon_ts_44'!D343</f>
        <v>0</v>
      </c>
      <c r="P343">
        <f>'AARnetCBR-CamDTN1_tcpmon_ts_51'!D343+'AARnetCBR-CamDTN1_tcpmon_ts_52'!D343+'AARnetCBR-CamDTN1_tcpmon_ts_53'!D343+'AARnetCBR-CamDTN1_tcpmon_ts_54'!D343+'AARnetCBR-CamDTN1_tcpmon_ts_55'!D343</f>
        <v>0</v>
      </c>
    </row>
    <row r="344" spans="1:16">
      <c r="A344">
        <f>'AARnetCBR-CamDTN1_tcpmon_ts_11'!A358</f>
        <v>0</v>
      </c>
      <c r="C344">
        <f>'AARnetCBR-CamDTN1_tcpmon_ts_11'!C358</f>
        <v>0</v>
      </c>
      <c r="D344">
        <f>'AARnetCBR-CamDTN1_tcpmon_ts_21'!C358+'AARnetCBR-CamDTN1_tcpmon_ts_22'!C358</f>
        <v>0</v>
      </c>
      <c r="E344">
        <f>'AARnetCBR-CamDTN1_tcpmon_ts_31'!C358+'AARnetCBR-CamDTN1_tcpmon_ts_32'!C358+'AARnetCBR-CamDTN1_tcpmon_ts_33'!C358</f>
        <v>0</v>
      </c>
      <c r="F344">
        <f>'AARnetCBR-CamDTN1_tcpmon_ts_41'!C358+'AARnetCBR-CamDTN1_tcpmon_ts_42'!C358+'AARnetCBR-CamDTN1_tcpmon_ts_43'!C358+'AARnetCBR-CamDTN1_tcpmon_ts_44'!C358</f>
        <v>0</v>
      </c>
      <c r="L344">
        <f>'AARnetCBR-CamDTN1_tcpmon_ts_11'!D344</f>
        <v>0</v>
      </c>
      <c r="M344">
        <f>'AARnetCBR-CamDTN1_tcpmon_ts_21'!D344+'AARnetCBR-CamDTN1_tcpmon_ts_22'!D344</f>
        <v>0</v>
      </c>
      <c r="N344">
        <f>'AARnetCBR-CamDTN1_tcpmon_ts_31'!D344+'AARnetCBR-CamDTN1_tcpmon_ts_32'!D344+'AARnetCBR-CamDTN1_tcpmon_ts_33'!D344</f>
        <v>0</v>
      </c>
      <c r="O344">
        <f>'AARnetCBR-CamDTN1_tcpmon_ts_41'!D344+'AARnetCBR-CamDTN1_tcpmon_ts_42'!D344+'AARnetCBR-CamDTN1_tcpmon_ts_43'!D344+'AARnetCBR-CamDTN1_tcpmon_ts_44'!D344</f>
        <v>0</v>
      </c>
      <c r="P344">
        <f>'AARnetCBR-CamDTN1_tcpmon_ts_51'!D344+'AARnetCBR-CamDTN1_tcpmon_ts_52'!D344+'AARnetCBR-CamDTN1_tcpmon_ts_53'!D344+'AARnetCBR-CamDTN1_tcpmon_ts_54'!D344+'AARnetCBR-CamDTN1_tcpmon_ts_55'!D344</f>
        <v>0</v>
      </c>
    </row>
    <row r="345" spans="1:16">
      <c r="A345">
        <f>'AARnetCBR-CamDTN1_tcpmon_ts_11'!A359</f>
        <v>0</v>
      </c>
      <c r="C345">
        <f>'AARnetCBR-CamDTN1_tcpmon_ts_11'!C359</f>
        <v>0</v>
      </c>
      <c r="D345">
        <f>'AARnetCBR-CamDTN1_tcpmon_ts_21'!C359+'AARnetCBR-CamDTN1_tcpmon_ts_22'!C359</f>
        <v>0</v>
      </c>
      <c r="E345">
        <f>'AARnetCBR-CamDTN1_tcpmon_ts_31'!C359+'AARnetCBR-CamDTN1_tcpmon_ts_32'!C359+'AARnetCBR-CamDTN1_tcpmon_ts_33'!C359</f>
        <v>0</v>
      </c>
      <c r="F345">
        <f>'AARnetCBR-CamDTN1_tcpmon_ts_41'!C359+'AARnetCBR-CamDTN1_tcpmon_ts_42'!C359+'AARnetCBR-CamDTN1_tcpmon_ts_43'!C359+'AARnetCBR-CamDTN1_tcpmon_ts_44'!C359</f>
        <v>0</v>
      </c>
      <c r="L345">
        <f>'AARnetCBR-CamDTN1_tcpmon_ts_11'!D345</f>
        <v>0</v>
      </c>
      <c r="M345">
        <f>'AARnetCBR-CamDTN1_tcpmon_ts_21'!D345+'AARnetCBR-CamDTN1_tcpmon_ts_22'!D345</f>
        <v>0</v>
      </c>
      <c r="N345">
        <f>'AARnetCBR-CamDTN1_tcpmon_ts_31'!D345+'AARnetCBR-CamDTN1_tcpmon_ts_32'!D345+'AARnetCBR-CamDTN1_tcpmon_ts_33'!D345</f>
        <v>0</v>
      </c>
      <c r="O345">
        <f>'AARnetCBR-CamDTN1_tcpmon_ts_41'!D345+'AARnetCBR-CamDTN1_tcpmon_ts_42'!D345+'AARnetCBR-CamDTN1_tcpmon_ts_43'!D345+'AARnetCBR-CamDTN1_tcpmon_ts_44'!D345</f>
        <v>0</v>
      </c>
      <c r="P345">
        <f>'AARnetCBR-CamDTN1_tcpmon_ts_51'!D345+'AARnetCBR-CamDTN1_tcpmon_ts_52'!D345+'AARnetCBR-CamDTN1_tcpmon_ts_53'!D345+'AARnetCBR-CamDTN1_tcpmon_ts_54'!D345+'AARnetCBR-CamDTN1_tcpmon_ts_55'!D345</f>
        <v>0</v>
      </c>
    </row>
    <row r="346" spans="1:16">
      <c r="A346">
        <f>'AARnetCBR-CamDTN1_tcpmon_ts_11'!A360</f>
        <v>0</v>
      </c>
      <c r="C346">
        <f>'AARnetCBR-CamDTN1_tcpmon_ts_11'!C360</f>
        <v>0</v>
      </c>
      <c r="D346">
        <f>'AARnetCBR-CamDTN1_tcpmon_ts_21'!C360+'AARnetCBR-CamDTN1_tcpmon_ts_22'!C360</f>
        <v>0</v>
      </c>
      <c r="E346">
        <f>'AARnetCBR-CamDTN1_tcpmon_ts_31'!C360+'AARnetCBR-CamDTN1_tcpmon_ts_32'!C360+'AARnetCBR-CamDTN1_tcpmon_ts_33'!C360</f>
        <v>0</v>
      </c>
      <c r="F346">
        <f>'AARnetCBR-CamDTN1_tcpmon_ts_41'!C360+'AARnetCBR-CamDTN1_tcpmon_ts_42'!C360+'AARnetCBR-CamDTN1_tcpmon_ts_43'!C360+'AARnetCBR-CamDTN1_tcpmon_ts_44'!C360</f>
        <v>0</v>
      </c>
      <c r="L346">
        <f>'AARnetCBR-CamDTN1_tcpmon_ts_11'!D346</f>
        <v>0</v>
      </c>
      <c r="M346">
        <f>'AARnetCBR-CamDTN1_tcpmon_ts_21'!D346+'AARnetCBR-CamDTN1_tcpmon_ts_22'!D346</f>
        <v>0</v>
      </c>
      <c r="N346">
        <f>'AARnetCBR-CamDTN1_tcpmon_ts_31'!D346+'AARnetCBR-CamDTN1_tcpmon_ts_32'!D346+'AARnetCBR-CamDTN1_tcpmon_ts_33'!D346</f>
        <v>0</v>
      </c>
      <c r="O346">
        <f>'AARnetCBR-CamDTN1_tcpmon_ts_41'!D346+'AARnetCBR-CamDTN1_tcpmon_ts_42'!D346+'AARnetCBR-CamDTN1_tcpmon_ts_43'!D346+'AARnetCBR-CamDTN1_tcpmon_ts_44'!D346</f>
        <v>0</v>
      </c>
      <c r="P346">
        <f>'AARnetCBR-CamDTN1_tcpmon_ts_51'!D346+'AARnetCBR-CamDTN1_tcpmon_ts_52'!D346+'AARnetCBR-CamDTN1_tcpmon_ts_53'!D346+'AARnetCBR-CamDTN1_tcpmon_ts_54'!D346+'AARnetCBR-CamDTN1_tcpmon_ts_55'!D346</f>
        <v>0</v>
      </c>
    </row>
    <row r="347" spans="1:16">
      <c r="A347">
        <f>'AARnetCBR-CamDTN1_tcpmon_ts_11'!A361</f>
        <v>0</v>
      </c>
      <c r="C347">
        <f>'AARnetCBR-CamDTN1_tcpmon_ts_11'!C361</f>
        <v>0</v>
      </c>
      <c r="D347">
        <f>'AARnetCBR-CamDTN1_tcpmon_ts_21'!C361+'AARnetCBR-CamDTN1_tcpmon_ts_22'!C361</f>
        <v>0</v>
      </c>
      <c r="E347">
        <f>'AARnetCBR-CamDTN1_tcpmon_ts_31'!C361+'AARnetCBR-CamDTN1_tcpmon_ts_32'!C361+'AARnetCBR-CamDTN1_tcpmon_ts_33'!C361</f>
        <v>0</v>
      </c>
      <c r="F347">
        <f>'AARnetCBR-CamDTN1_tcpmon_ts_41'!C361+'AARnetCBR-CamDTN1_tcpmon_ts_42'!C361+'AARnetCBR-CamDTN1_tcpmon_ts_43'!C361+'AARnetCBR-CamDTN1_tcpmon_ts_44'!C361</f>
        <v>0</v>
      </c>
      <c r="L347">
        <f>'AARnetCBR-CamDTN1_tcpmon_ts_11'!D347</f>
        <v>0</v>
      </c>
      <c r="M347">
        <f>'AARnetCBR-CamDTN1_tcpmon_ts_21'!D347+'AARnetCBR-CamDTN1_tcpmon_ts_22'!D347</f>
        <v>0</v>
      </c>
      <c r="N347">
        <f>'AARnetCBR-CamDTN1_tcpmon_ts_31'!D347+'AARnetCBR-CamDTN1_tcpmon_ts_32'!D347+'AARnetCBR-CamDTN1_tcpmon_ts_33'!D347</f>
        <v>0</v>
      </c>
      <c r="O347">
        <f>'AARnetCBR-CamDTN1_tcpmon_ts_41'!D347+'AARnetCBR-CamDTN1_tcpmon_ts_42'!D347+'AARnetCBR-CamDTN1_tcpmon_ts_43'!D347+'AARnetCBR-CamDTN1_tcpmon_ts_44'!D347</f>
        <v>0</v>
      </c>
      <c r="P347">
        <f>'AARnetCBR-CamDTN1_tcpmon_ts_51'!D347+'AARnetCBR-CamDTN1_tcpmon_ts_52'!D347+'AARnetCBR-CamDTN1_tcpmon_ts_53'!D347+'AARnetCBR-CamDTN1_tcpmon_ts_54'!D347+'AARnetCBR-CamDTN1_tcpmon_ts_55'!D347</f>
        <v>0</v>
      </c>
    </row>
    <row r="348" spans="1:16">
      <c r="A348">
        <f>'AARnetCBR-CamDTN1_tcpmon_ts_11'!A362</f>
        <v>0</v>
      </c>
      <c r="C348">
        <f>'AARnetCBR-CamDTN1_tcpmon_ts_11'!C362</f>
        <v>0</v>
      </c>
      <c r="D348">
        <f>'AARnetCBR-CamDTN1_tcpmon_ts_21'!C362+'AARnetCBR-CamDTN1_tcpmon_ts_22'!C362</f>
        <v>0</v>
      </c>
      <c r="E348">
        <f>'AARnetCBR-CamDTN1_tcpmon_ts_31'!C362+'AARnetCBR-CamDTN1_tcpmon_ts_32'!C362+'AARnetCBR-CamDTN1_tcpmon_ts_33'!C362</f>
        <v>0</v>
      </c>
      <c r="F348">
        <f>'AARnetCBR-CamDTN1_tcpmon_ts_41'!C362+'AARnetCBR-CamDTN1_tcpmon_ts_42'!C362+'AARnetCBR-CamDTN1_tcpmon_ts_43'!C362+'AARnetCBR-CamDTN1_tcpmon_ts_44'!C362</f>
        <v>0</v>
      </c>
      <c r="L348">
        <f>'AARnetCBR-CamDTN1_tcpmon_ts_11'!D348</f>
        <v>0</v>
      </c>
      <c r="M348">
        <f>'AARnetCBR-CamDTN1_tcpmon_ts_21'!D348+'AARnetCBR-CamDTN1_tcpmon_ts_22'!D348</f>
        <v>0</v>
      </c>
      <c r="N348">
        <f>'AARnetCBR-CamDTN1_tcpmon_ts_31'!D348+'AARnetCBR-CamDTN1_tcpmon_ts_32'!D348+'AARnetCBR-CamDTN1_tcpmon_ts_33'!D348</f>
        <v>0</v>
      </c>
      <c r="O348">
        <f>'AARnetCBR-CamDTN1_tcpmon_ts_41'!D348+'AARnetCBR-CamDTN1_tcpmon_ts_42'!D348+'AARnetCBR-CamDTN1_tcpmon_ts_43'!D348+'AARnetCBR-CamDTN1_tcpmon_ts_44'!D348</f>
        <v>0</v>
      </c>
      <c r="P348">
        <f>'AARnetCBR-CamDTN1_tcpmon_ts_51'!D348+'AARnetCBR-CamDTN1_tcpmon_ts_52'!D348+'AARnetCBR-CamDTN1_tcpmon_ts_53'!D348+'AARnetCBR-CamDTN1_tcpmon_ts_54'!D348+'AARnetCBR-CamDTN1_tcpmon_ts_55'!D348</f>
        <v>0</v>
      </c>
    </row>
    <row r="349" spans="1:16">
      <c r="A349">
        <f>'AARnetCBR-CamDTN1_tcpmon_ts_11'!A363</f>
        <v>0</v>
      </c>
      <c r="C349">
        <f>'AARnetCBR-CamDTN1_tcpmon_ts_11'!C363</f>
        <v>0</v>
      </c>
      <c r="D349">
        <f>'AARnetCBR-CamDTN1_tcpmon_ts_21'!C363+'AARnetCBR-CamDTN1_tcpmon_ts_22'!C363</f>
        <v>0</v>
      </c>
      <c r="E349">
        <f>'AARnetCBR-CamDTN1_tcpmon_ts_31'!C363+'AARnetCBR-CamDTN1_tcpmon_ts_32'!C363+'AARnetCBR-CamDTN1_tcpmon_ts_33'!C363</f>
        <v>0</v>
      </c>
      <c r="F349">
        <f>'AARnetCBR-CamDTN1_tcpmon_ts_41'!C363+'AARnetCBR-CamDTN1_tcpmon_ts_42'!C363+'AARnetCBR-CamDTN1_tcpmon_ts_43'!C363+'AARnetCBR-CamDTN1_tcpmon_ts_44'!C363</f>
        <v>0</v>
      </c>
      <c r="L349">
        <f>'AARnetCBR-CamDTN1_tcpmon_ts_11'!D349</f>
        <v>0</v>
      </c>
      <c r="M349">
        <f>'AARnetCBR-CamDTN1_tcpmon_ts_21'!D349+'AARnetCBR-CamDTN1_tcpmon_ts_22'!D349</f>
        <v>0</v>
      </c>
      <c r="N349">
        <f>'AARnetCBR-CamDTN1_tcpmon_ts_31'!D349+'AARnetCBR-CamDTN1_tcpmon_ts_32'!D349+'AARnetCBR-CamDTN1_tcpmon_ts_33'!D349</f>
        <v>0</v>
      </c>
      <c r="O349">
        <f>'AARnetCBR-CamDTN1_tcpmon_ts_41'!D349+'AARnetCBR-CamDTN1_tcpmon_ts_42'!D349+'AARnetCBR-CamDTN1_tcpmon_ts_43'!D349+'AARnetCBR-CamDTN1_tcpmon_ts_44'!D349</f>
        <v>0</v>
      </c>
      <c r="P349">
        <f>'AARnetCBR-CamDTN1_tcpmon_ts_51'!D349+'AARnetCBR-CamDTN1_tcpmon_ts_52'!D349+'AARnetCBR-CamDTN1_tcpmon_ts_53'!D349+'AARnetCBR-CamDTN1_tcpmon_ts_54'!D349+'AARnetCBR-CamDTN1_tcpmon_ts_55'!D349</f>
        <v>0</v>
      </c>
    </row>
    <row r="350" spans="1:16">
      <c r="A350">
        <f>'AARnetCBR-CamDTN1_tcpmon_ts_11'!A364</f>
        <v>0</v>
      </c>
      <c r="C350">
        <f>'AARnetCBR-CamDTN1_tcpmon_ts_11'!C364</f>
        <v>0</v>
      </c>
      <c r="D350">
        <f>'AARnetCBR-CamDTN1_tcpmon_ts_21'!C364+'AARnetCBR-CamDTN1_tcpmon_ts_22'!C364</f>
        <v>0</v>
      </c>
      <c r="E350">
        <f>'AARnetCBR-CamDTN1_tcpmon_ts_31'!C364+'AARnetCBR-CamDTN1_tcpmon_ts_32'!C364+'AARnetCBR-CamDTN1_tcpmon_ts_33'!C364</f>
        <v>0</v>
      </c>
      <c r="F350">
        <f>'AARnetCBR-CamDTN1_tcpmon_ts_41'!C364+'AARnetCBR-CamDTN1_tcpmon_ts_42'!C364+'AARnetCBR-CamDTN1_tcpmon_ts_43'!C364+'AARnetCBR-CamDTN1_tcpmon_ts_44'!C364</f>
        <v>0</v>
      </c>
      <c r="L350">
        <f>'AARnetCBR-CamDTN1_tcpmon_ts_11'!D350</f>
        <v>0</v>
      </c>
      <c r="M350">
        <f>'AARnetCBR-CamDTN1_tcpmon_ts_21'!D350+'AARnetCBR-CamDTN1_tcpmon_ts_22'!D350</f>
        <v>0</v>
      </c>
      <c r="N350">
        <f>'AARnetCBR-CamDTN1_tcpmon_ts_31'!D350+'AARnetCBR-CamDTN1_tcpmon_ts_32'!D350+'AARnetCBR-CamDTN1_tcpmon_ts_33'!D350</f>
        <v>0</v>
      </c>
      <c r="O350">
        <f>'AARnetCBR-CamDTN1_tcpmon_ts_41'!D350+'AARnetCBR-CamDTN1_tcpmon_ts_42'!D350+'AARnetCBR-CamDTN1_tcpmon_ts_43'!D350+'AARnetCBR-CamDTN1_tcpmon_ts_44'!D350</f>
        <v>0</v>
      </c>
      <c r="P350">
        <f>'AARnetCBR-CamDTN1_tcpmon_ts_51'!D350+'AARnetCBR-CamDTN1_tcpmon_ts_52'!D350+'AARnetCBR-CamDTN1_tcpmon_ts_53'!D350+'AARnetCBR-CamDTN1_tcpmon_ts_54'!D350+'AARnetCBR-CamDTN1_tcpmon_ts_55'!D350</f>
        <v>0</v>
      </c>
    </row>
    <row r="351" spans="1:16">
      <c r="A351">
        <f>'AARnetCBR-CamDTN1_tcpmon_ts_11'!A365</f>
        <v>0</v>
      </c>
      <c r="C351">
        <f>'AARnetCBR-CamDTN1_tcpmon_ts_11'!C365</f>
        <v>0</v>
      </c>
      <c r="D351">
        <f>'AARnetCBR-CamDTN1_tcpmon_ts_21'!C365+'AARnetCBR-CamDTN1_tcpmon_ts_22'!C365</f>
        <v>0</v>
      </c>
      <c r="E351">
        <f>'AARnetCBR-CamDTN1_tcpmon_ts_31'!C365+'AARnetCBR-CamDTN1_tcpmon_ts_32'!C365+'AARnetCBR-CamDTN1_tcpmon_ts_33'!C365</f>
        <v>0</v>
      </c>
      <c r="F351">
        <f>'AARnetCBR-CamDTN1_tcpmon_ts_41'!C365+'AARnetCBR-CamDTN1_tcpmon_ts_42'!C365+'AARnetCBR-CamDTN1_tcpmon_ts_43'!C365+'AARnetCBR-CamDTN1_tcpmon_ts_44'!C365</f>
        <v>0</v>
      </c>
      <c r="L351">
        <f>'AARnetCBR-CamDTN1_tcpmon_ts_11'!D351</f>
        <v>0</v>
      </c>
      <c r="M351">
        <f>'AARnetCBR-CamDTN1_tcpmon_ts_21'!D351+'AARnetCBR-CamDTN1_tcpmon_ts_22'!D351</f>
        <v>0</v>
      </c>
      <c r="N351">
        <f>'AARnetCBR-CamDTN1_tcpmon_ts_31'!D351+'AARnetCBR-CamDTN1_tcpmon_ts_32'!D351+'AARnetCBR-CamDTN1_tcpmon_ts_33'!D351</f>
        <v>0</v>
      </c>
      <c r="O351">
        <f>'AARnetCBR-CamDTN1_tcpmon_ts_41'!D351+'AARnetCBR-CamDTN1_tcpmon_ts_42'!D351+'AARnetCBR-CamDTN1_tcpmon_ts_43'!D351+'AARnetCBR-CamDTN1_tcpmon_ts_44'!D351</f>
        <v>0</v>
      </c>
      <c r="P351">
        <f>'AARnetCBR-CamDTN1_tcpmon_ts_51'!D351+'AARnetCBR-CamDTN1_tcpmon_ts_52'!D351+'AARnetCBR-CamDTN1_tcpmon_ts_53'!D351+'AARnetCBR-CamDTN1_tcpmon_ts_54'!D351+'AARnetCBR-CamDTN1_tcpmon_ts_55'!D351</f>
        <v>0</v>
      </c>
    </row>
    <row r="352" spans="1:16">
      <c r="A352">
        <f>'AARnetCBR-CamDTN1_tcpmon_ts_11'!A366</f>
        <v>0</v>
      </c>
      <c r="C352">
        <f>'AARnetCBR-CamDTN1_tcpmon_ts_11'!C366</f>
        <v>0</v>
      </c>
      <c r="D352">
        <f>'AARnetCBR-CamDTN1_tcpmon_ts_21'!C366+'AARnetCBR-CamDTN1_tcpmon_ts_22'!C366</f>
        <v>0</v>
      </c>
      <c r="E352">
        <f>'AARnetCBR-CamDTN1_tcpmon_ts_31'!C366+'AARnetCBR-CamDTN1_tcpmon_ts_32'!C366+'AARnetCBR-CamDTN1_tcpmon_ts_33'!C366</f>
        <v>0</v>
      </c>
      <c r="F352">
        <f>'AARnetCBR-CamDTN1_tcpmon_ts_41'!C366+'AARnetCBR-CamDTN1_tcpmon_ts_42'!C366+'AARnetCBR-CamDTN1_tcpmon_ts_43'!C366+'AARnetCBR-CamDTN1_tcpmon_ts_44'!C366</f>
        <v>0</v>
      </c>
      <c r="L352">
        <f>'AARnetCBR-CamDTN1_tcpmon_ts_11'!D352</f>
        <v>0</v>
      </c>
      <c r="M352">
        <f>'AARnetCBR-CamDTN1_tcpmon_ts_21'!D352+'AARnetCBR-CamDTN1_tcpmon_ts_22'!D352</f>
        <v>0</v>
      </c>
      <c r="N352">
        <f>'AARnetCBR-CamDTN1_tcpmon_ts_31'!D352+'AARnetCBR-CamDTN1_tcpmon_ts_32'!D352+'AARnetCBR-CamDTN1_tcpmon_ts_33'!D352</f>
        <v>0</v>
      </c>
      <c r="O352">
        <f>'AARnetCBR-CamDTN1_tcpmon_ts_41'!D352+'AARnetCBR-CamDTN1_tcpmon_ts_42'!D352+'AARnetCBR-CamDTN1_tcpmon_ts_43'!D352+'AARnetCBR-CamDTN1_tcpmon_ts_44'!D352</f>
        <v>0</v>
      </c>
      <c r="P352">
        <f>'AARnetCBR-CamDTN1_tcpmon_ts_51'!D352+'AARnetCBR-CamDTN1_tcpmon_ts_52'!D352+'AARnetCBR-CamDTN1_tcpmon_ts_53'!D352+'AARnetCBR-CamDTN1_tcpmon_ts_54'!D352+'AARnetCBR-CamDTN1_tcpmon_ts_55'!D352</f>
        <v>0</v>
      </c>
    </row>
    <row r="353" spans="1:16">
      <c r="A353">
        <f>'AARnetCBR-CamDTN1_tcpmon_ts_11'!A367</f>
        <v>0</v>
      </c>
      <c r="C353">
        <f>'AARnetCBR-CamDTN1_tcpmon_ts_11'!C367</f>
        <v>0</v>
      </c>
      <c r="D353">
        <f>'AARnetCBR-CamDTN1_tcpmon_ts_21'!C367+'AARnetCBR-CamDTN1_tcpmon_ts_22'!C367</f>
        <v>0</v>
      </c>
      <c r="E353">
        <f>'AARnetCBR-CamDTN1_tcpmon_ts_31'!C367+'AARnetCBR-CamDTN1_tcpmon_ts_32'!C367+'AARnetCBR-CamDTN1_tcpmon_ts_33'!C367</f>
        <v>0</v>
      </c>
      <c r="F353">
        <f>'AARnetCBR-CamDTN1_tcpmon_ts_41'!C367+'AARnetCBR-CamDTN1_tcpmon_ts_42'!C367+'AARnetCBR-CamDTN1_tcpmon_ts_43'!C367+'AARnetCBR-CamDTN1_tcpmon_ts_44'!C367</f>
        <v>0</v>
      </c>
      <c r="L353">
        <f>'AARnetCBR-CamDTN1_tcpmon_ts_11'!D353</f>
        <v>0</v>
      </c>
      <c r="M353">
        <f>'AARnetCBR-CamDTN1_tcpmon_ts_21'!D353+'AARnetCBR-CamDTN1_tcpmon_ts_22'!D353</f>
        <v>0</v>
      </c>
      <c r="N353">
        <f>'AARnetCBR-CamDTN1_tcpmon_ts_31'!D353+'AARnetCBR-CamDTN1_tcpmon_ts_32'!D353+'AARnetCBR-CamDTN1_tcpmon_ts_33'!D353</f>
        <v>0</v>
      </c>
      <c r="O353">
        <f>'AARnetCBR-CamDTN1_tcpmon_ts_41'!D353+'AARnetCBR-CamDTN1_tcpmon_ts_42'!D353+'AARnetCBR-CamDTN1_tcpmon_ts_43'!D353+'AARnetCBR-CamDTN1_tcpmon_ts_44'!D353</f>
        <v>0</v>
      </c>
      <c r="P353">
        <f>'AARnetCBR-CamDTN1_tcpmon_ts_51'!D353+'AARnetCBR-CamDTN1_tcpmon_ts_52'!D353+'AARnetCBR-CamDTN1_tcpmon_ts_53'!D353+'AARnetCBR-CamDTN1_tcpmon_ts_54'!D353+'AARnetCBR-CamDTN1_tcpmon_ts_55'!D353</f>
        <v>0</v>
      </c>
    </row>
    <row r="354" spans="1:16">
      <c r="A354">
        <f>'AARnetCBR-CamDTN1_tcpmon_ts_11'!A368</f>
        <v>0</v>
      </c>
      <c r="C354">
        <f>'AARnetCBR-CamDTN1_tcpmon_ts_11'!C368</f>
        <v>0</v>
      </c>
      <c r="D354">
        <f>'AARnetCBR-CamDTN1_tcpmon_ts_21'!C368+'AARnetCBR-CamDTN1_tcpmon_ts_22'!C368</f>
        <v>0</v>
      </c>
      <c r="E354">
        <f>'AARnetCBR-CamDTN1_tcpmon_ts_31'!C368+'AARnetCBR-CamDTN1_tcpmon_ts_32'!C368+'AARnetCBR-CamDTN1_tcpmon_ts_33'!C368</f>
        <v>0</v>
      </c>
      <c r="F354">
        <f>'AARnetCBR-CamDTN1_tcpmon_ts_41'!C368+'AARnetCBR-CamDTN1_tcpmon_ts_42'!C368+'AARnetCBR-CamDTN1_tcpmon_ts_43'!C368+'AARnetCBR-CamDTN1_tcpmon_ts_44'!C368</f>
        <v>0</v>
      </c>
      <c r="L354">
        <f>'AARnetCBR-CamDTN1_tcpmon_ts_11'!D354</f>
        <v>0</v>
      </c>
      <c r="M354">
        <f>'AARnetCBR-CamDTN1_tcpmon_ts_21'!D354+'AARnetCBR-CamDTN1_tcpmon_ts_22'!D354</f>
        <v>0</v>
      </c>
      <c r="N354">
        <f>'AARnetCBR-CamDTN1_tcpmon_ts_31'!D354+'AARnetCBR-CamDTN1_tcpmon_ts_32'!D354+'AARnetCBR-CamDTN1_tcpmon_ts_33'!D354</f>
        <v>0</v>
      </c>
      <c r="O354">
        <f>'AARnetCBR-CamDTN1_tcpmon_ts_41'!D354+'AARnetCBR-CamDTN1_tcpmon_ts_42'!D354+'AARnetCBR-CamDTN1_tcpmon_ts_43'!D354+'AARnetCBR-CamDTN1_tcpmon_ts_44'!D354</f>
        <v>0</v>
      </c>
      <c r="P354">
        <f>'AARnetCBR-CamDTN1_tcpmon_ts_51'!D354+'AARnetCBR-CamDTN1_tcpmon_ts_52'!D354+'AARnetCBR-CamDTN1_tcpmon_ts_53'!D354+'AARnetCBR-CamDTN1_tcpmon_ts_54'!D354+'AARnetCBR-CamDTN1_tcpmon_ts_55'!D354</f>
        <v>0</v>
      </c>
    </row>
    <row r="355" spans="1:16">
      <c r="A355">
        <f>'AARnetCBR-CamDTN1_tcpmon_ts_11'!A369</f>
        <v>0</v>
      </c>
      <c r="C355">
        <f>'AARnetCBR-CamDTN1_tcpmon_ts_11'!C369</f>
        <v>0</v>
      </c>
      <c r="D355">
        <f>'AARnetCBR-CamDTN1_tcpmon_ts_21'!C369+'AARnetCBR-CamDTN1_tcpmon_ts_22'!C369</f>
        <v>0</v>
      </c>
      <c r="E355">
        <f>'AARnetCBR-CamDTN1_tcpmon_ts_31'!C369+'AARnetCBR-CamDTN1_tcpmon_ts_32'!C369+'AARnetCBR-CamDTN1_tcpmon_ts_33'!C369</f>
        <v>0</v>
      </c>
      <c r="F355">
        <f>'AARnetCBR-CamDTN1_tcpmon_ts_41'!C369+'AARnetCBR-CamDTN1_tcpmon_ts_42'!C369+'AARnetCBR-CamDTN1_tcpmon_ts_43'!C369+'AARnetCBR-CamDTN1_tcpmon_ts_44'!C369</f>
        <v>0</v>
      </c>
      <c r="L355">
        <f>'AARnetCBR-CamDTN1_tcpmon_ts_11'!D355</f>
        <v>0</v>
      </c>
      <c r="M355">
        <f>'AARnetCBR-CamDTN1_tcpmon_ts_21'!D355+'AARnetCBR-CamDTN1_tcpmon_ts_22'!D355</f>
        <v>0</v>
      </c>
      <c r="N355">
        <f>'AARnetCBR-CamDTN1_tcpmon_ts_31'!D355+'AARnetCBR-CamDTN1_tcpmon_ts_32'!D355+'AARnetCBR-CamDTN1_tcpmon_ts_33'!D355</f>
        <v>0</v>
      </c>
      <c r="O355">
        <f>'AARnetCBR-CamDTN1_tcpmon_ts_41'!D355+'AARnetCBR-CamDTN1_tcpmon_ts_42'!D355+'AARnetCBR-CamDTN1_tcpmon_ts_43'!D355+'AARnetCBR-CamDTN1_tcpmon_ts_44'!D355</f>
        <v>0</v>
      </c>
      <c r="P355">
        <f>'AARnetCBR-CamDTN1_tcpmon_ts_51'!D355+'AARnetCBR-CamDTN1_tcpmon_ts_52'!D355+'AARnetCBR-CamDTN1_tcpmon_ts_53'!D355+'AARnetCBR-CamDTN1_tcpmon_ts_54'!D355+'AARnetCBR-CamDTN1_tcpmon_ts_55'!D355</f>
        <v>0</v>
      </c>
    </row>
    <row r="356" spans="1:16">
      <c r="A356">
        <f>'AARnetCBR-CamDTN1_tcpmon_ts_11'!A370</f>
        <v>0</v>
      </c>
      <c r="C356">
        <f>'AARnetCBR-CamDTN1_tcpmon_ts_11'!C370</f>
        <v>0</v>
      </c>
      <c r="D356">
        <f>'AARnetCBR-CamDTN1_tcpmon_ts_21'!C370+'AARnetCBR-CamDTN1_tcpmon_ts_22'!C370</f>
        <v>0</v>
      </c>
      <c r="E356">
        <f>'AARnetCBR-CamDTN1_tcpmon_ts_31'!C370+'AARnetCBR-CamDTN1_tcpmon_ts_32'!C370+'AARnetCBR-CamDTN1_tcpmon_ts_33'!C370</f>
        <v>0</v>
      </c>
      <c r="F356">
        <f>'AARnetCBR-CamDTN1_tcpmon_ts_41'!C370+'AARnetCBR-CamDTN1_tcpmon_ts_42'!C370+'AARnetCBR-CamDTN1_tcpmon_ts_43'!C370+'AARnetCBR-CamDTN1_tcpmon_ts_44'!C370</f>
        <v>0</v>
      </c>
      <c r="L356">
        <f>'AARnetCBR-CamDTN1_tcpmon_ts_11'!D356</f>
        <v>0</v>
      </c>
      <c r="M356">
        <f>'AARnetCBR-CamDTN1_tcpmon_ts_21'!D356+'AARnetCBR-CamDTN1_tcpmon_ts_22'!D356</f>
        <v>0</v>
      </c>
      <c r="N356">
        <f>'AARnetCBR-CamDTN1_tcpmon_ts_31'!D356+'AARnetCBR-CamDTN1_tcpmon_ts_32'!D356+'AARnetCBR-CamDTN1_tcpmon_ts_33'!D356</f>
        <v>0</v>
      </c>
      <c r="O356">
        <f>'AARnetCBR-CamDTN1_tcpmon_ts_41'!D356+'AARnetCBR-CamDTN1_tcpmon_ts_42'!D356+'AARnetCBR-CamDTN1_tcpmon_ts_43'!D356+'AARnetCBR-CamDTN1_tcpmon_ts_44'!D356</f>
        <v>0</v>
      </c>
      <c r="P356">
        <f>'AARnetCBR-CamDTN1_tcpmon_ts_51'!D356+'AARnetCBR-CamDTN1_tcpmon_ts_52'!D356+'AARnetCBR-CamDTN1_tcpmon_ts_53'!D356+'AARnetCBR-CamDTN1_tcpmon_ts_54'!D356+'AARnetCBR-CamDTN1_tcpmon_ts_55'!D356</f>
        <v>0</v>
      </c>
    </row>
    <row r="357" spans="1:16">
      <c r="A357">
        <f>'AARnetCBR-CamDTN1_tcpmon_ts_11'!A371</f>
        <v>0</v>
      </c>
      <c r="C357">
        <f>'AARnetCBR-CamDTN1_tcpmon_ts_11'!C371</f>
        <v>0</v>
      </c>
      <c r="D357">
        <f>'AARnetCBR-CamDTN1_tcpmon_ts_21'!C371+'AARnetCBR-CamDTN1_tcpmon_ts_22'!C371</f>
        <v>0</v>
      </c>
      <c r="E357">
        <f>'AARnetCBR-CamDTN1_tcpmon_ts_31'!C371+'AARnetCBR-CamDTN1_tcpmon_ts_32'!C371+'AARnetCBR-CamDTN1_tcpmon_ts_33'!C371</f>
        <v>0</v>
      </c>
      <c r="F357">
        <f>'AARnetCBR-CamDTN1_tcpmon_ts_41'!C371+'AARnetCBR-CamDTN1_tcpmon_ts_42'!C371+'AARnetCBR-CamDTN1_tcpmon_ts_43'!C371+'AARnetCBR-CamDTN1_tcpmon_ts_44'!C371</f>
        <v>0</v>
      </c>
      <c r="L357">
        <f>'AARnetCBR-CamDTN1_tcpmon_ts_11'!D357</f>
        <v>0</v>
      </c>
      <c r="M357">
        <f>'AARnetCBR-CamDTN1_tcpmon_ts_21'!D357+'AARnetCBR-CamDTN1_tcpmon_ts_22'!D357</f>
        <v>0</v>
      </c>
      <c r="N357">
        <f>'AARnetCBR-CamDTN1_tcpmon_ts_31'!D357+'AARnetCBR-CamDTN1_tcpmon_ts_32'!D357+'AARnetCBR-CamDTN1_tcpmon_ts_33'!D357</f>
        <v>0</v>
      </c>
      <c r="O357">
        <f>'AARnetCBR-CamDTN1_tcpmon_ts_41'!D357+'AARnetCBR-CamDTN1_tcpmon_ts_42'!D357+'AARnetCBR-CamDTN1_tcpmon_ts_43'!D357+'AARnetCBR-CamDTN1_tcpmon_ts_44'!D357</f>
        <v>0</v>
      </c>
      <c r="P357">
        <f>'AARnetCBR-CamDTN1_tcpmon_ts_51'!D357+'AARnetCBR-CamDTN1_tcpmon_ts_52'!D357+'AARnetCBR-CamDTN1_tcpmon_ts_53'!D357+'AARnetCBR-CamDTN1_tcpmon_ts_54'!D357+'AARnetCBR-CamDTN1_tcpmon_ts_55'!D357</f>
        <v>0</v>
      </c>
    </row>
    <row r="358" spans="1:16">
      <c r="A358">
        <f>'AARnetCBR-CamDTN1_tcpmon_ts_11'!A372</f>
        <v>0</v>
      </c>
      <c r="C358">
        <f>'AARnetCBR-CamDTN1_tcpmon_ts_11'!C372</f>
        <v>0</v>
      </c>
      <c r="D358">
        <f>'AARnetCBR-CamDTN1_tcpmon_ts_21'!C372+'AARnetCBR-CamDTN1_tcpmon_ts_22'!C372</f>
        <v>0</v>
      </c>
      <c r="E358">
        <f>'AARnetCBR-CamDTN1_tcpmon_ts_31'!C372+'AARnetCBR-CamDTN1_tcpmon_ts_32'!C372+'AARnetCBR-CamDTN1_tcpmon_ts_33'!C372</f>
        <v>0</v>
      </c>
      <c r="F358">
        <f>'AARnetCBR-CamDTN1_tcpmon_ts_41'!C372+'AARnetCBR-CamDTN1_tcpmon_ts_42'!C372+'AARnetCBR-CamDTN1_tcpmon_ts_43'!C372+'AARnetCBR-CamDTN1_tcpmon_ts_44'!C372</f>
        <v>0</v>
      </c>
      <c r="L358">
        <f>'AARnetCBR-CamDTN1_tcpmon_ts_11'!D358</f>
        <v>0</v>
      </c>
      <c r="M358">
        <f>'AARnetCBR-CamDTN1_tcpmon_ts_21'!D358+'AARnetCBR-CamDTN1_tcpmon_ts_22'!D358</f>
        <v>0</v>
      </c>
      <c r="N358">
        <f>'AARnetCBR-CamDTN1_tcpmon_ts_31'!D358+'AARnetCBR-CamDTN1_tcpmon_ts_32'!D358+'AARnetCBR-CamDTN1_tcpmon_ts_33'!D358</f>
        <v>0</v>
      </c>
      <c r="O358">
        <f>'AARnetCBR-CamDTN1_tcpmon_ts_41'!D358+'AARnetCBR-CamDTN1_tcpmon_ts_42'!D358+'AARnetCBR-CamDTN1_tcpmon_ts_43'!D358+'AARnetCBR-CamDTN1_tcpmon_ts_44'!D358</f>
        <v>0</v>
      </c>
      <c r="P358">
        <f>'AARnetCBR-CamDTN1_tcpmon_ts_51'!D358+'AARnetCBR-CamDTN1_tcpmon_ts_52'!D358+'AARnetCBR-CamDTN1_tcpmon_ts_53'!D358+'AARnetCBR-CamDTN1_tcpmon_ts_54'!D358+'AARnetCBR-CamDTN1_tcpmon_ts_55'!D358</f>
        <v>0</v>
      </c>
    </row>
    <row r="359" spans="1:16">
      <c r="A359">
        <f>'AARnetCBR-CamDTN1_tcpmon_ts_11'!A373</f>
        <v>0</v>
      </c>
      <c r="C359">
        <f>'AARnetCBR-CamDTN1_tcpmon_ts_11'!C373</f>
        <v>0</v>
      </c>
      <c r="D359">
        <f>'AARnetCBR-CamDTN1_tcpmon_ts_21'!C373+'AARnetCBR-CamDTN1_tcpmon_ts_22'!C373</f>
        <v>0</v>
      </c>
      <c r="E359">
        <f>'AARnetCBR-CamDTN1_tcpmon_ts_31'!C373+'AARnetCBR-CamDTN1_tcpmon_ts_32'!C373+'AARnetCBR-CamDTN1_tcpmon_ts_33'!C373</f>
        <v>0</v>
      </c>
      <c r="F359">
        <f>'AARnetCBR-CamDTN1_tcpmon_ts_41'!C373+'AARnetCBR-CamDTN1_tcpmon_ts_42'!C373+'AARnetCBR-CamDTN1_tcpmon_ts_43'!C373+'AARnetCBR-CamDTN1_tcpmon_ts_44'!C373</f>
        <v>0</v>
      </c>
      <c r="L359">
        <f>'AARnetCBR-CamDTN1_tcpmon_ts_11'!D359</f>
        <v>0</v>
      </c>
      <c r="M359">
        <f>'AARnetCBR-CamDTN1_tcpmon_ts_21'!D359+'AARnetCBR-CamDTN1_tcpmon_ts_22'!D359</f>
        <v>0</v>
      </c>
      <c r="N359">
        <f>'AARnetCBR-CamDTN1_tcpmon_ts_31'!D359+'AARnetCBR-CamDTN1_tcpmon_ts_32'!D359+'AARnetCBR-CamDTN1_tcpmon_ts_33'!D359</f>
        <v>0</v>
      </c>
      <c r="O359">
        <f>'AARnetCBR-CamDTN1_tcpmon_ts_41'!D359+'AARnetCBR-CamDTN1_tcpmon_ts_42'!D359+'AARnetCBR-CamDTN1_tcpmon_ts_43'!D359+'AARnetCBR-CamDTN1_tcpmon_ts_44'!D359</f>
        <v>0</v>
      </c>
      <c r="P359">
        <f>'AARnetCBR-CamDTN1_tcpmon_ts_51'!D359+'AARnetCBR-CamDTN1_tcpmon_ts_52'!D359+'AARnetCBR-CamDTN1_tcpmon_ts_53'!D359+'AARnetCBR-CamDTN1_tcpmon_ts_54'!D359+'AARnetCBR-CamDTN1_tcpmon_ts_55'!D359</f>
        <v>0</v>
      </c>
    </row>
    <row r="360" spans="1:16">
      <c r="A360">
        <f>'AARnetCBR-CamDTN1_tcpmon_ts_11'!A374</f>
        <v>0</v>
      </c>
      <c r="C360">
        <f>'AARnetCBR-CamDTN1_tcpmon_ts_11'!C374</f>
        <v>0</v>
      </c>
      <c r="D360">
        <f>'AARnetCBR-CamDTN1_tcpmon_ts_21'!C374+'AARnetCBR-CamDTN1_tcpmon_ts_22'!C374</f>
        <v>0</v>
      </c>
      <c r="E360">
        <f>'AARnetCBR-CamDTN1_tcpmon_ts_31'!C374+'AARnetCBR-CamDTN1_tcpmon_ts_32'!C374+'AARnetCBR-CamDTN1_tcpmon_ts_33'!C374</f>
        <v>0</v>
      </c>
      <c r="F360">
        <f>'AARnetCBR-CamDTN1_tcpmon_ts_41'!C374+'AARnetCBR-CamDTN1_tcpmon_ts_42'!C374+'AARnetCBR-CamDTN1_tcpmon_ts_43'!C374+'AARnetCBR-CamDTN1_tcpmon_ts_44'!C374</f>
        <v>0</v>
      </c>
      <c r="L360">
        <f>'AARnetCBR-CamDTN1_tcpmon_ts_11'!D360</f>
        <v>0</v>
      </c>
      <c r="M360">
        <f>'AARnetCBR-CamDTN1_tcpmon_ts_21'!D360+'AARnetCBR-CamDTN1_tcpmon_ts_22'!D360</f>
        <v>0</v>
      </c>
      <c r="N360">
        <f>'AARnetCBR-CamDTN1_tcpmon_ts_31'!D360+'AARnetCBR-CamDTN1_tcpmon_ts_32'!D360+'AARnetCBR-CamDTN1_tcpmon_ts_33'!D360</f>
        <v>0</v>
      </c>
      <c r="O360">
        <f>'AARnetCBR-CamDTN1_tcpmon_ts_41'!D360+'AARnetCBR-CamDTN1_tcpmon_ts_42'!D360+'AARnetCBR-CamDTN1_tcpmon_ts_43'!D360+'AARnetCBR-CamDTN1_tcpmon_ts_44'!D360</f>
        <v>0</v>
      </c>
      <c r="P360">
        <f>'AARnetCBR-CamDTN1_tcpmon_ts_51'!D360+'AARnetCBR-CamDTN1_tcpmon_ts_52'!D360+'AARnetCBR-CamDTN1_tcpmon_ts_53'!D360+'AARnetCBR-CamDTN1_tcpmon_ts_54'!D360+'AARnetCBR-CamDTN1_tcpmon_ts_55'!D360</f>
        <v>0</v>
      </c>
    </row>
    <row r="361" spans="1:16">
      <c r="A361">
        <f>'AARnetCBR-CamDTN1_tcpmon_ts_11'!A375</f>
        <v>0</v>
      </c>
      <c r="C361">
        <f>'AARnetCBR-CamDTN1_tcpmon_ts_11'!C375</f>
        <v>0</v>
      </c>
      <c r="D361">
        <f>'AARnetCBR-CamDTN1_tcpmon_ts_21'!C375+'AARnetCBR-CamDTN1_tcpmon_ts_22'!C375</f>
        <v>0</v>
      </c>
      <c r="E361">
        <f>'AARnetCBR-CamDTN1_tcpmon_ts_31'!C375+'AARnetCBR-CamDTN1_tcpmon_ts_32'!C375+'AARnetCBR-CamDTN1_tcpmon_ts_33'!C375</f>
        <v>0</v>
      </c>
      <c r="F361">
        <f>'AARnetCBR-CamDTN1_tcpmon_ts_41'!C375+'AARnetCBR-CamDTN1_tcpmon_ts_42'!C375+'AARnetCBR-CamDTN1_tcpmon_ts_43'!C375+'AARnetCBR-CamDTN1_tcpmon_ts_44'!C375</f>
        <v>0</v>
      </c>
      <c r="L361">
        <f>'AARnetCBR-CamDTN1_tcpmon_ts_11'!D361</f>
        <v>0</v>
      </c>
      <c r="M361">
        <f>'AARnetCBR-CamDTN1_tcpmon_ts_21'!D361+'AARnetCBR-CamDTN1_tcpmon_ts_22'!D361</f>
        <v>0</v>
      </c>
      <c r="N361">
        <f>'AARnetCBR-CamDTN1_tcpmon_ts_31'!D361+'AARnetCBR-CamDTN1_tcpmon_ts_32'!D361+'AARnetCBR-CamDTN1_tcpmon_ts_33'!D361</f>
        <v>0</v>
      </c>
      <c r="O361">
        <f>'AARnetCBR-CamDTN1_tcpmon_ts_41'!D361+'AARnetCBR-CamDTN1_tcpmon_ts_42'!D361+'AARnetCBR-CamDTN1_tcpmon_ts_43'!D361+'AARnetCBR-CamDTN1_tcpmon_ts_44'!D361</f>
        <v>0</v>
      </c>
      <c r="P361">
        <f>'AARnetCBR-CamDTN1_tcpmon_ts_51'!D361+'AARnetCBR-CamDTN1_tcpmon_ts_52'!D361+'AARnetCBR-CamDTN1_tcpmon_ts_53'!D361+'AARnetCBR-CamDTN1_tcpmon_ts_54'!D361+'AARnetCBR-CamDTN1_tcpmon_ts_55'!D361</f>
        <v>0</v>
      </c>
    </row>
    <row r="362" spans="1:16">
      <c r="A362">
        <f>'AARnetCBR-CamDTN1_tcpmon_ts_11'!A376</f>
        <v>0</v>
      </c>
      <c r="C362">
        <f>'AARnetCBR-CamDTN1_tcpmon_ts_11'!C376</f>
        <v>0</v>
      </c>
      <c r="D362">
        <f>'AARnetCBR-CamDTN1_tcpmon_ts_21'!C376+'AARnetCBR-CamDTN1_tcpmon_ts_22'!C376</f>
        <v>0</v>
      </c>
      <c r="E362">
        <f>'AARnetCBR-CamDTN1_tcpmon_ts_31'!C376+'AARnetCBR-CamDTN1_tcpmon_ts_32'!C376+'AARnetCBR-CamDTN1_tcpmon_ts_33'!C376</f>
        <v>0</v>
      </c>
      <c r="F362">
        <f>'AARnetCBR-CamDTN1_tcpmon_ts_41'!C376+'AARnetCBR-CamDTN1_tcpmon_ts_42'!C376+'AARnetCBR-CamDTN1_tcpmon_ts_43'!C376+'AARnetCBR-CamDTN1_tcpmon_ts_44'!C376</f>
        <v>0</v>
      </c>
      <c r="L362">
        <f>'AARnetCBR-CamDTN1_tcpmon_ts_11'!D362</f>
        <v>0</v>
      </c>
      <c r="M362">
        <f>'AARnetCBR-CamDTN1_tcpmon_ts_21'!D362+'AARnetCBR-CamDTN1_tcpmon_ts_22'!D362</f>
        <v>0</v>
      </c>
      <c r="N362">
        <f>'AARnetCBR-CamDTN1_tcpmon_ts_31'!D362+'AARnetCBR-CamDTN1_tcpmon_ts_32'!D362+'AARnetCBR-CamDTN1_tcpmon_ts_33'!D362</f>
        <v>0</v>
      </c>
      <c r="O362">
        <f>'AARnetCBR-CamDTN1_tcpmon_ts_41'!D362+'AARnetCBR-CamDTN1_tcpmon_ts_42'!D362+'AARnetCBR-CamDTN1_tcpmon_ts_43'!D362+'AARnetCBR-CamDTN1_tcpmon_ts_44'!D362</f>
        <v>0</v>
      </c>
      <c r="P362">
        <f>'AARnetCBR-CamDTN1_tcpmon_ts_51'!D362+'AARnetCBR-CamDTN1_tcpmon_ts_52'!D362+'AARnetCBR-CamDTN1_tcpmon_ts_53'!D362+'AARnetCBR-CamDTN1_tcpmon_ts_54'!D362+'AARnetCBR-CamDTN1_tcpmon_ts_55'!D362</f>
        <v>0</v>
      </c>
    </row>
    <row r="363" spans="1:16">
      <c r="A363">
        <f>'AARnetCBR-CamDTN1_tcpmon_ts_11'!A377</f>
        <v>0</v>
      </c>
      <c r="C363">
        <f>'AARnetCBR-CamDTN1_tcpmon_ts_11'!C377</f>
        <v>0</v>
      </c>
      <c r="D363">
        <f>'AARnetCBR-CamDTN1_tcpmon_ts_21'!C377+'AARnetCBR-CamDTN1_tcpmon_ts_22'!C377</f>
        <v>0</v>
      </c>
      <c r="E363">
        <f>'AARnetCBR-CamDTN1_tcpmon_ts_31'!C377+'AARnetCBR-CamDTN1_tcpmon_ts_32'!C377+'AARnetCBR-CamDTN1_tcpmon_ts_33'!C377</f>
        <v>0</v>
      </c>
      <c r="F363">
        <f>'AARnetCBR-CamDTN1_tcpmon_ts_41'!C377+'AARnetCBR-CamDTN1_tcpmon_ts_42'!C377+'AARnetCBR-CamDTN1_tcpmon_ts_43'!C377+'AARnetCBR-CamDTN1_tcpmon_ts_44'!C377</f>
        <v>0</v>
      </c>
      <c r="L363">
        <f>'AARnetCBR-CamDTN1_tcpmon_ts_11'!D363</f>
        <v>0</v>
      </c>
      <c r="M363">
        <f>'AARnetCBR-CamDTN1_tcpmon_ts_21'!D363+'AARnetCBR-CamDTN1_tcpmon_ts_22'!D363</f>
        <v>0</v>
      </c>
      <c r="N363">
        <f>'AARnetCBR-CamDTN1_tcpmon_ts_31'!D363+'AARnetCBR-CamDTN1_tcpmon_ts_32'!D363+'AARnetCBR-CamDTN1_tcpmon_ts_33'!D363</f>
        <v>0</v>
      </c>
      <c r="O363">
        <f>'AARnetCBR-CamDTN1_tcpmon_ts_41'!D363+'AARnetCBR-CamDTN1_tcpmon_ts_42'!D363+'AARnetCBR-CamDTN1_tcpmon_ts_43'!D363+'AARnetCBR-CamDTN1_tcpmon_ts_44'!D363</f>
        <v>0</v>
      </c>
      <c r="P363">
        <f>'AARnetCBR-CamDTN1_tcpmon_ts_51'!D363+'AARnetCBR-CamDTN1_tcpmon_ts_52'!D363+'AARnetCBR-CamDTN1_tcpmon_ts_53'!D363+'AARnetCBR-CamDTN1_tcpmon_ts_54'!D363+'AARnetCBR-CamDTN1_tcpmon_ts_55'!D363</f>
        <v>0</v>
      </c>
    </row>
    <row r="364" spans="1:16">
      <c r="A364">
        <f>'AARnetCBR-CamDTN1_tcpmon_ts_11'!A378</f>
        <v>0</v>
      </c>
      <c r="C364">
        <f>'AARnetCBR-CamDTN1_tcpmon_ts_11'!C378</f>
        <v>0</v>
      </c>
      <c r="D364">
        <f>'AARnetCBR-CamDTN1_tcpmon_ts_21'!C378+'AARnetCBR-CamDTN1_tcpmon_ts_22'!C378</f>
        <v>0</v>
      </c>
      <c r="E364">
        <f>'AARnetCBR-CamDTN1_tcpmon_ts_31'!C378+'AARnetCBR-CamDTN1_tcpmon_ts_32'!C378+'AARnetCBR-CamDTN1_tcpmon_ts_33'!C378</f>
        <v>0</v>
      </c>
      <c r="F364">
        <f>'AARnetCBR-CamDTN1_tcpmon_ts_41'!C378+'AARnetCBR-CamDTN1_tcpmon_ts_42'!C378+'AARnetCBR-CamDTN1_tcpmon_ts_43'!C378+'AARnetCBR-CamDTN1_tcpmon_ts_44'!C378</f>
        <v>0</v>
      </c>
      <c r="L364">
        <f>'AARnetCBR-CamDTN1_tcpmon_ts_11'!D364</f>
        <v>0</v>
      </c>
      <c r="M364">
        <f>'AARnetCBR-CamDTN1_tcpmon_ts_21'!D364+'AARnetCBR-CamDTN1_tcpmon_ts_22'!D364</f>
        <v>0</v>
      </c>
      <c r="N364">
        <f>'AARnetCBR-CamDTN1_tcpmon_ts_31'!D364+'AARnetCBR-CamDTN1_tcpmon_ts_32'!D364+'AARnetCBR-CamDTN1_tcpmon_ts_33'!D364</f>
        <v>0</v>
      </c>
      <c r="O364">
        <f>'AARnetCBR-CamDTN1_tcpmon_ts_41'!D364+'AARnetCBR-CamDTN1_tcpmon_ts_42'!D364+'AARnetCBR-CamDTN1_tcpmon_ts_43'!D364+'AARnetCBR-CamDTN1_tcpmon_ts_44'!D364</f>
        <v>0</v>
      </c>
      <c r="P364">
        <f>'AARnetCBR-CamDTN1_tcpmon_ts_51'!D364+'AARnetCBR-CamDTN1_tcpmon_ts_52'!D364+'AARnetCBR-CamDTN1_tcpmon_ts_53'!D364+'AARnetCBR-CamDTN1_tcpmon_ts_54'!D364+'AARnetCBR-CamDTN1_tcpmon_ts_55'!D364</f>
        <v>0</v>
      </c>
    </row>
    <row r="365" spans="1:16">
      <c r="A365">
        <f>'AARnetCBR-CamDTN1_tcpmon_ts_11'!A379</f>
        <v>0</v>
      </c>
      <c r="C365">
        <f>'AARnetCBR-CamDTN1_tcpmon_ts_11'!C379</f>
        <v>0</v>
      </c>
      <c r="D365">
        <f>'AARnetCBR-CamDTN1_tcpmon_ts_21'!C379+'AARnetCBR-CamDTN1_tcpmon_ts_22'!C379</f>
        <v>0</v>
      </c>
      <c r="E365">
        <f>'AARnetCBR-CamDTN1_tcpmon_ts_31'!C379+'AARnetCBR-CamDTN1_tcpmon_ts_32'!C379+'AARnetCBR-CamDTN1_tcpmon_ts_33'!C379</f>
        <v>0</v>
      </c>
      <c r="F365">
        <f>'AARnetCBR-CamDTN1_tcpmon_ts_41'!C379+'AARnetCBR-CamDTN1_tcpmon_ts_42'!C379+'AARnetCBR-CamDTN1_tcpmon_ts_43'!C379+'AARnetCBR-CamDTN1_tcpmon_ts_44'!C379</f>
        <v>0</v>
      </c>
      <c r="L365">
        <f>'AARnetCBR-CamDTN1_tcpmon_ts_11'!D365</f>
        <v>0</v>
      </c>
      <c r="M365">
        <f>'AARnetCBR-CamDTN1_tcpmon_ts_21'!D365+'AARnetCBR-CamDTN1_tcpmon_ts_22'!D365</f>
        <v>0</v>
      </c>
      <c r="N365">
        <f>'AARnetCBR-CamDTN1_tcpmon_ts_31'!D365+'AARnetCBR-CamDTN1_tcpmon_ts_32'!D365+'AARnetCBR-CamDTN1_tcpmon_ts_33'!D365</f>
        <v>0</v>
      </c>
      <c r="O365">
        <f>'AARnetCBR-CamDTN1_tcpmon_ts_41'!D365+'AARnetCBR-CamDTN1_tcpmon_ts_42'!D365+'AARnetCBR-CamDTN1_tcpmon_ts_43'!D365+'AARnetCBR-CamDTN1_tcpmon_ts_44'!D365</f>
        <v>0</v>
      </c>
      <c r="P365">
        <f>'AARnetCBR-CamDTN1_tcpmon_ts_51'!D365+'AARnetCBR-CamDTN1_tcpmon_ts_52'!D365+'AARnetCBR-CamDTN1_tcpmon_ts_53'!D365+'AARnetCBR-CamDTN1_tcpmon_ts_54'!D365+'AARnetCBR-CamDTN1_tcpmon_ts_55'!D365</f>
        <v>0</v>
      </c>
    </row>
    <row r="366" spans="1:16">
      <c r="A366">
        <f>'AARnetCBR-CamDTN1_tcpmon_ts_11'!A380</f>
        <v>0</v>
      </c>
      <c r="C366">
        <f>'AARnetCBR-CamDTN1_tcpmon_ts_11'!C380</f>
        <v>0</v>
      </c>
      <c r="D366">
        <f>'AARnetCBR-CamDTN1_tcpmon_ts_21'!C380+'AARnetCBR-CamDTN1_tcpmon_ts_22'!C380</f>
        <v>0</v>
      </c>
      <c r="E366">
        <f>'AARnetCBR-CamDTN1_tcpmon_ts_31'!C380+'AARnetCBR-CamDTN1_tcpmon_ts_32'!C380+'AARnetCBR-CamDTN1_tcpmon_ts_33'!C380</f>
        <v>0</v>
      </c>
      <c r="F366">
        <f>'AARnetCBR-CamDTN1_tcpmon_ts_41'!C380+'AARnetCBR-CamDTN1_tcpmon_ts_42'!C380+'AARnetCBR-CamDTN1_tcpmon_ts_43'!C380+'AARnetCBR-CamDTN1_tcpmon_ts_44'!C380</f>
        <v>0</v>
      </c>
      <c r="L366">
        <f>'AARnetCBR-CamDTN1_tcpmon_ts_11'!D366</f>
        <v>0</v>
      </c>
      <c r="M366">
        <f>'AARnetCBR-CamDTN1_tcpmon_ts_21'!D366+'AARnetCBR-CamDTN1_tcpmon_ts_22'!D366</f>
        <v>0</v>
      </c>
      <c r="N366">
        <f>'AARnetCBR-CamDTN1_tcpmon_ts_31'!D366+'AARnetCBR-CamDTN1_tcpmon_ts_32'!D366+'AARnetCBR-CamDTN1_tcpmon_ts_33'!D366</f>
        <v>0</v>
      </c>
      <c r="O366">
        <f>'AARnetCBR-CamDTN1_tcpmon_ts_41'!D366+'AARnetCBR-CamDTN1_tcpmon_ts_42'!D366+'AARnetCBR-CamDTN1_tcpmon_ts_43'!D366+'AARnetCBR-CamDTN1_tcpmon_ts_44'!D366</f>
        <v>0</v>
      </c>
      <c r="P366">
        <f>'AARnetCBR-CamDTN1_tcpmon_ts_51'!D366+'AARnetCBR-CamDTN1_tcpmon_ts_52'!D366+'AARnetCBR-CamDTN1_tcpmon_ts_53'!D366+'AARnetCBR-CamDTN1_tcpmon_ts_54'!D366+'AARnetCBR-CamDTN1_tcpmon_ts_55'!D366</f>
        <v>0</v>
      </c>
    </row>
    <row r="367" spans="1:16">
      <c r="A367">
        <f>'AARnetCBR-CamDTN1_tcpmon_ts_11'!A381</f>
        <v>0</v>
      </c>
      <c r="C367">
        <f>'AARnetCBR-CamDTN1_tcpmon_ts_11'!C381</f>
        <v>0</v>
      </c>
      <c r="D367">
        <f>'AARnetCBR-CamDTN1_tcpmon_ts_21'!C381+'AARnetCBR-CamDTN1_tcpmon_ts_22'!C381</f>
        <v>0</v>
      </c>
      <c r="E367">
        <f>'AARnetCBR-CamDTN1_tcpmon_ts_31'!C381+'AARnetCBR-CamDTN1_tcpmon_ts_32'!C381+'AARnetCBR-CamDTN1_tcpmon_ts_33'!C381</f>
        <v>0</v>
      </c>
      <c r="F367">
        <f>'AARnetCBR-CamDTN1_tcpmon_ts_41'!C381+'AARnetCBR-CamDTN1_tcpmon_ts_42'!C381+'AARnetCBR-CamDTN1_tcpmon_ts_43'!C381+'AARnetCBR-CamDTN1_tcpmon_ts_44'!C381</f>
        <v>0</v>
      </c>
      <c r="L367">
        <f>'AARnetCBR-CamDTN1_tcpmon_ts_11'!D367</f>
        <v>0</v>
      </c>
      <c r="M367">
        <f>'AARnetCBR-CamDTN1_tcpmon_ts_21'!D367+'AARnetCBR-CamDTN1_tcpmon_ts_22'!D367</f>
        <v>0</v>
      </c>
      <c r="N367">
        <f>'AARnetCBR-CamDTN1_tcpmon_ts_31'!D367+'AARnetCBR-CamDTN1_tcpmon_ts_32'!D367+'AARnetCBR-CamDTN1_tcpmon_ts_33'!D367</f>
        <v>0</v>
      </c>
      <c r="O367">
        <f>'AARnetCBR-CamDTN1_tcpmon_ts_41'!D367+'AARnetCBR-CamDTN1_tcpmon_ts_42'!D367+'AARnetCBR-CamDTN1_tcpmon_ts_43'!D367+'AARnetCBR-CamDTN1_tcpmon_ts_44'!D367</f>
        <v>0</v>
      </c>
      <c r="P367">
        <f>'AARnetCBR-CamDTN1_tcpmon_ts_51'!D367+'AARnetCBR-CamDTN1_tcpmon_ts_52'!D367+'AARnetCBR-CamDTN1_tcpmon_ts_53'!D367+'AARnetCBR-CamDTN1_tcpmon_ts_54'!D367+'AARnetCBR-CamDTN1_tcpmon_ts_55'!D367</f>
        <v>0</v>
      </c>
    </row>
    <row r="368" spans="1:16">
      <c r="A368">
        <f>'AARnetCBR-CamDTN1_tcpmon_ts_11'!A382</f>
        <v>0</v>
      </c>
      <c r="C368">
        <f>'AARnetCBR-CamDTN1_tcpmon_ts_11'!C382</f>
        <v>0</v>
      </c>
      <c r="D368">
        <f>'AARnetCBR-CamDTN1_tcpmon_ts_21'!C382+'AARnetCBR-CamDTN1_tcpmon_ts_22'!C382</f>
        <v>0</v>
      </c>
      <c r="E368">
        <f>'AARnetCBR-CamDTN1_tcpmon_ts_31'!C382+'AARnetCBR-CamDTN1_tcpmon_ts_32'!C382+'AARnetCBR-CamDTN1_tcpmon_ts_33'!C382</f>
        <v>0</v>
      </c>
      <c r="F368">
        <f>'AARnetCBR-CamDTN1_tcpmon_ts_41'!C382+'AARnetCBR-CamDTN1_tcpmon_ts_42'!C382+'AARnetCBR-CamDTN1_tcpmon_ts_43'!C382+'AARnetCBR-CamDTN1_tcpmon_ts_44'!C382</f>
        <v>0</v>
      </c>
      <c r="L368">
        <f>'AARnetCBR-CamDTN1_tcpmon_ts_11'!D368</f>
        <v>0</v>
      </c>
      <c r="M368">
        <f>'AARnetCBR-CamDTN1_tcpmon_ts_21'!D368+'AARnetCBR-CamDTN1_tcpmon_ts_22'!D368</f>
        <v>0</v>
      </c>
      <c r="N368">
        <f>'AARnetCBR-CamDTN1_tcpmon_ts_31'!D368+'AARnetCBR-CamDTN1_tcpmon_ts_32'!D368+'AARnetCBR-CamDTN1_tcpmon_ts_33'!D368</f>
        <v>0</v>
      </c>
      <c r="O368">
        <f>'AARnetCBR-CamDTN1_tcpmon_ts_41'!D368+'AARnetCBR-CamDTN1_tcpmon_ts_42'!D368+'AARnetCBR-CamDTN1_tcpmon_ts_43'!D368+'AARnetCBR-CamDTN1_tcpmon_ts_44'!D368</f>
        <v>0</v>
      </c>
      <c r="P368">
        <f>'AARnetCBR-CamDTN1_tcpmon_ts_51'!D368+'AARnetCBR-CamDTN1_tcpmon_ts_52'!D368+'AARnetCBR-CamDTN1_tcpmon_ts_53'!D368+'AARnetCBR-CamDTN1_tcpmon_ts_54'!D368+'AARnetCBR-CamDTN1_tcpmon_ts_55'!D368</f>
        <v>0</v>
      </c>
    </row>
    <row r="369" spans="1:16">
      <c r="A369">
        <f>'AARnetCBR-CamDTN1_tcpmon_ts_11'!A383</f>
        <v>0</v>
      </c>
      <c r="C369">
        <f>'AARnetCBR-CamDTN1_tcpmon_ts_11'!C383</f>
        <v>0</v>
      </c>
      <c r="D369">
        <f>'AARnetCBR-CamDTN1_tcpmon_ts_21'!C383+'AARnetCBR-CamDTN1_tcpmon_ts_22'!C383</f>
        <v>0</v>
      </c>
      <c r="E369">
        <f>'AARnetCBR-CamDTN1_tcpmon_ts_31'!C383+'AARnetCBR-CamDTN1_tcpmon_ts_32'!C383+'AARnetCBR-CamDTN1_tcpmon_ts_33'!C383</f>
        <v>0</v>
      </c>
      <c r="F369">
        <f>'AARnetCBR-CamDTN1_tcpmon_ts_41'!C383+'AARnetCBR-CamDTN1_tcpmon_ts_42'!C383+'AARnetCBR-CamDTN1_tcpmon_ts_43'!C383+'AARnetCBR-CamDTN1_tcpmon_ts_44'!C383</f>
        <v>0</v>
      </c>
      <c r="L369">
        <f>'AARnetCBR-CamDTN1_tcpmon_ts_11'!D369</f>
        <v>0</v>
      </c>
      <c r="M369">
        <f>'AARnetCBR-CamDTN1_tcpmon_ts_21'!D369+'AARnetCBR-CamDTN1_tcpmon_ts_22'!D369</f>
        <v>0</v>
      </c>
      <c r="N369">
        <f>'AARnetCBR-CamDTN1_tcpmon_ts_31'!D369+'AARnetCBR-CamDTN1_tcpmon_ts_32'!D369+'AARnetCBR-CamDTN1_tcpmon_ts_33'!D369</f>
        <v>0</v>
      </c>
      <c r="O369">
        <f>'AARnetCBR-CamDTN1_tcpmon_ts_41'!D369+'AARnetCBR-CamDTN1_tcpmon_ts_42'!D369+'AARnetCBR-CamDTN1_tcpmon_ts_43'!D369+'AARnetCBR-CamDTN1_tcpmon_ts_44'!D369</f>
        <v>0</v>
      </c>
      <c r="P369">
        <f>'AARnetCBR-CamDTN1_tcpmon_ts_51'!D369+'AARnetCBR-CamDTN1_tcpmon_ts_52'!D369+'AARnetCBR-CamDTN1_tcpmon_ts_53'!D369+'AARnetCBR-CamDTN1_tcpmon_ts_54'!D369+'AARnetCBR-CamDTN1_tcpmon_ts_55'!D369</f>
        <v>0</v>
      </c>
    </row>
    <row r="370" spans="1:16">
      <c r="A370">
        <f>'AARnetCBR-CamDTN1_tcpmon_ts_11'!A384</f>
        <v>0</v>
      </c>
      <c r="C370">
        <f>'AARnetCBR-CamDTN1_tcpmon_ts_11'!C384</f>
        <v>0</v>
      </c>
      <c r="D370">
        <f>'AARnetCBR-CamDTN1_tcpmon_ts_21'!C384+'AARnetCBR-CamDTN1_tcpmon_ts_22'!C384</f>
        <v>0</v>
      </c>
      <c r="E370">
        <f>'AARnetCBR-CamDTN1_tcpmon_ts_31'!C384+'AARnetCBR-CamDTN1_tcpmon_ts_32'!C384+'AARnetCBR-CamDTN1_tcpmon_ts_33'!C384</f>
        <v>0</v>
      </c>
      <c r="F370">
        <f>'AARnetCBR-CamDTN1_tcpmon_ts_41'!C384+'AARnetCBR-CamDTN1_tcpmon_ts_42'!C384+'AARnetCBR-CamDTN1_tcpmon_ts_43'!C384+'AARnetCBR-CamDTN1_tcpmon_ts_44'!C384</f>
        <v>0</v>
      </c>
      <c r="L370">
        <f>'AARnetCBR-CamDTN1_tcpmon_ts_11'!D370</f>
        <v>0</v>
      </c>
      <c r="M370">
        <f>'AARnetCBR-CamDTN1_tcpmon_ts_21'!D370+'AARnetCBR-CamDTN1_tcpmon_ts_22'!D370</f>
        <v>0</v>
      </c>
      <c r="N370">
        <f>'AARnetCBR-CamDTN1_tcpmon_ts_31'!D370+'AARnetCBR-CamDTN1_tcpmon_ts_32'!D370+'AARnetCBR-CamDTN1_tcpmon_ts_33'!D370</f>
        <v>0</v>
      </c>
      <c r="O370">
        <f>'AARnetCBR-CamDTN1_tcpmon_ts_41'!D370+'AARnetCBR-CamDTN1_tcpmon_ts_42'!D370+'AARnetCBR-CamDTN1_tcpmon_ts_43'!D370+'AARnetCBR-CamDTN1_tcpmon_ts_44'!D370</f>
        <v>0</v>
      </c>
      <c r="P370">
        <f>'AARnetCBR-CamDTN1_tcpmon_ts_51'!D370+'AARnetCBR-CamDTN1_tcpmon_ts_52'!D370+'AARnetCBR-CamDTN1_tcpmon_ts_53'!D370+'AARnetCBR-CamDTN1_tcpmon_ts_54'!D370+'AARnetCBR-CamDTN1_tcpmon_ts_55'!D370</f>
        <v>0</v>
      </c>
    </row>
    <row r="371" spans="1:16">
      <c r="A371">
        <f>'AARnetCBR-CamDTN1_tcpmon_ts_11'!A385</f>
        <v>0</v>
      </c>
      <c r="C371">
        <f>'AARnetCBR-CamDTN1_tcpmon_ts_11'!C385</f>
        <v>0</v>
      </c>
      <c r="D371">
        <f>'AARnetCBR-CamDTN1_tcpmon_ts_21'!C385+'AARnetCBR-CamDTN1_tcpmon_ts_22'!C385</f>
        <v>0</v>
      </c>
      <c r="E371">
        <f>'AARnetCBR-CamDTN1_tcpmon_ts_31'!C385+'AARnetCBR-CamDTN1_tcpmon_ts_32'!C385+'AARnetCBR-CamDTN1_tcpmon_ts_33'!C385</f>
        <v>0</v>
      </c>
      <c r="F371">
        <f>'AARnetCBR-CamDTN1_tcpmon_ts_41'!C385+'AARnetCBR-CamDTN1_tcpmon_ts_42'!C385+'AARnetCBR-CamDTN1_tcpmon_ts_43'!C385+'AARnetCBR-CamDTN1_tcpmon_ts_44'!C385</f>
        <v>0</v>
      </c>
      <c r="L371">
        <f>'AARnetCBR-CamDTN1_tcpmon_ts_11'!D371</f>
        <v>0</v>
      </c>
      <c r="M371">
        <f>'AARnetCBR-CamDTN1_tcpmon_ts_21'!D371+'AARnetCBR-CamDTN1_tcpmon_ts_22'!D371</f>
        <v>0</v>
      </c>
      <c r="N371">
        <f>'AARnetCBR-CamDTN1_tcpmon_ts_31'!D371+'AARnetCBR-CamDTN1_tcpmon_ts_32'!D371+'AARnetCBR-CamDTN1_tcpmon_ts_33'!D371</f>
        <v>0</v>
      </c>
      <c r="O371">
        <f>'AARnetCBR-CamDTN1_tcpmon_ts_41'!D371+'AARnetCBR-CamDTN1_tcpmon_ts_42'!D371+'AARnetCBR-CamDTN1_tcpmon_ts_43'!D371+'AARnetCBR-CamDTN1_tcpmon_ts_44'!D371</f>
        <v>0</v>
      </c>
      <c r="P371">
        <f>'AARnetCBR-CamDTN1_tcpmon_ts_51'!D371+'AARnetCBR-CamDTN1_tcpmon_ts_52'!D371+'AARnetCBR-CamDTN1_tcpmon_ts_53'!D371+'AARnetCBR-CamDTN1_tcpmon_ts_54'!D371+'AARnetCBR-CamDTN1_tcpmon_ts_55'!D371</f>
        <v>0</v>
      </c>
    </row>
    <row r="372" spans="1:16">
      <c r="A372">
        <f>'AARnetCBR-CamDTN1_tcpmon_ts_11'!A386</f>
        <v>0</v>
      </c>
      <c r="C372">
        <f>'AARnetCBR-CamDTN1_tcpmon_ts_11'!C386</f>
        <v>0</v>
      </c>
      <c r="D372">
        <f>'AARnetCBR-CamDTN1_tcpmon_ts_21'!C386+'AARnetCBR-CamDTN1_tcpmon_ts_22'!C386</f>
        <v>0</v>
      </c>
      <c r="E372">
        <f>'AARnetCBR-CamDTN1_tcpmon_ts_31'!C386+'AARnetCBR-CamDTN1_tcpmon_ts_32'!C386+'AARnetCBR-CamDTN1_tcpmon_ts_33'!C386</f>
        <v>0</v>
      </c>
      <c r="F372">
        <f>'AARnetCBR-CamDTN1_tcpmon_ts_41'!C386+'AARnetCBR-CamDTN1_tcpmon_ts_42'!C386+'AARnetCBR-CamDTN1_tcpmon_ts_43'!C386+'AARnetCBR-CamDTN1_tcpmon_ts_44'!C386</f>
        <v>0</v>
      </c>
      <c r="L372">
        <f>'AARnetCBR-CamDTN1_tcpmon_ts_11'!D372</f>
        <v>0</v>
      </c>
      <c r="M372">
        <f>'AARnetCBR-CamDTN1_tcpmon_ts_21'!D372+'AARnetCBR-CamDTN1_tcpmon_ts_22'!D372</f>
        <v>0</v>
      </c>
      <c r="N372">
        <f>'AARnetCBR-CamDTN1_tcpmon_ts_31'!D372+'AARnetCBR-CamDTN1_tcpmon_ts_32'!D372+'AARnetCBR-CamDTN1_tcpmon_ts_33'!D372</f>
        <v>0</v>
      </c>
      <c r="O372">
        <f>'AARnetCBR-CamDTN1_tcpmon_ts_41'!D372+'AARnetCBR-CamDTN1_tcpmon_ts_42'!D372+'AARnetCBR-CamDTN1_tcpmon_ts_43'!D372+'AARnetCBR-CamDTN1_tcpmon_ts_44'!D372</f>
        <v>0</v>
      </c>
      <c r="P372">
        <f>'AARnetCBR-CamDTN1_tcpmon_ts_51'!D372+'AARnetCBR-CamDTN1_tcpmon_ts_52'!D372+'AARnetCBR-CamDTN1_tcpmon_ts_53'!D372+'AARnetCBR-CamDTN1_tcpmon_ts_54'!D372+'AARnetCBR-CamDTN1_tcpmon_ts_55'!D372</f>
        <v>0</v>
      </c>
    </row>
    <row r="373" spans="1:16">
      <c r="A373">
        <f>'AARnetCBR-CamDTN1_tcpmon_ts_11'!A387</f>
        <v>0</v>
      </c>
      <c r="C373">
        <f>'AARnetCBR-CamDTN1_tcpmon_ts_11'!C387</f>
        <v>0</v>
      </c>
      <c r="D373">
        <f>'AARnetCBR-CamDTN1_tcpmon_ts_21'!C387+'AARnetCBR-CamDTN1_tcpmon_ts_22'!C387</f>
        <v>0</v>
      </c>
      <c r="E373">
        <f>'AARnetCBR-CamDTN1_tcpmon_ts_31'!C387+'AARnetCBR-CamDTN1_tcpmon_ts_32'!C387+'AARnetCBR-CamDTN1_tcpmon_ts_33'!C387</f>
        <v>0</v>
      </c>
      <c r="F373">
        <f>'AARnetCBR-CamDTN1_tcpmon_ts_41'!C387+'AARnetCBR-CamDTN1_tcpmon_ts_42'!C387+'AARnetCBR-CamDTN1_tcpmon_ts_43'!C387+'AARnetCBR-CamDTN1_tcpmon_ts_44'!C387</f>
        <v>0</v>
      </c>
      <c r="L373">
        <f>'AARnetCBR-CamDTN1_tcpmon_ts_11'!D373</f>
        <v>0</v>
      </c>
      <c r="M373">
        <f>'AARnetCBR-CamDTN1_tcpmon_ts_21'!D373+'AARnetCBR-CamDTN1_tcpmon_ts_22'!D373</f>
        <v>0</v>
      </c>
      <c r="N373">
        <f>'AARnetCBR-CamDTN1_tcpmon_ts_31'!D373+'AARnetCBR-CamDTN1_tcpmon_ts_32'!D373+'AARnetCBR-CamDTN1_tcpmon_ts_33'!D373</f>
        <v>0</v>
      </c>
      <c r="O373">
        <f>'AARnetCBR-CamDTN1_tcpmon_ts_41'!D373+'AARnetCBR-CamDTN1_tcpmon_ts_42'!D373+'AARnetCBR-CamDTN1_tcpmon_ts_43'!D373+'AARnetCBR-CamDTN1_tcpmon_ts_44'!D373</f>
        <v>0</v>
      </c>
      <c r="P373">
        <f>'AARnetCBR-CamDTN1_tcpmon_ts_51'!D373+'AARnetCBR-CamDTN1_tcpmon_ts_52'!D373+'AARnetCBR-CamDTN1_tcpmon_ts_53'!D373+'AARnetCBR-CamDTN1_tcpmon_ts_54'!D373+'AARnetCBR-CamDTN1_tcpmon_ts_55'!D373</f>
        <v>0</v>
      </c>
    </row>
    <row r="374" spans="1:16">
      <c r="A374">
        <f>'AARnetCBR-CamDTN1_tcpmon_ts_11'!A388</f>
        <v>0</v>
      </c>
      <c r="C374">
        <f>'AARnetCBR-CamDTN1_tcpmon_ts_11'!C388</f>
        <v>0</v>
      </c>
      <c r="D374">
        <f>'AARnetCBR-CamDTN1_tcpmon_ts_21'!C388+'AARnetCBR-CamDTN1_tcpmon_ts_22'!C388</f>
        <v>0</v>
      </c>
      <c r="E374">
        <f>'AARnetCBR-CamDTN1_tcpmon_ts_31'!C388+'AARnetCBR-CamDTN1_tcpmon_ts_32'!C388+'AARnetCBR-CamDTN1_tcpmon_ts_33'!C388</f>
        <v>0</v>
      </c>
      <c r="F374">
        <f>'AARnetCBR-CamDTN1_tcpmon_ts_41'!C388+'AARnetCBR-CamDTN1_tcpmon_ts_42'!C388+'AARnetCBR-CamDTN1_tcpmon_ts_43'!C388+'AARnetCBR-CamDTN1_tcpmon_ts_44'!C388</f>
        <v>0</v>
      </c>
      <c r="L374">
        <f>'AARnetCBR-CamDTN1_tcpmon_ts_11'!D374</f>
        <v>0</v>
      </c>
      <c r="M374">
        <f>'AARnetCBR-CamDTN1_tcpmon_ts_21'!D374+'AARnetCBR-CamDTN1_tcpmon_ts_22'!D374</f>
        <v>0</v>
      </c>
      <c r="N374">
        <f>'AARnetCBR-CamDTN1_tcpmon_ts_31'!D374+'AARnetCBR-CamDTN1_tcpmon_ts_32'!D374+'AARnetCBR-CamDTN1_tcpmon_ts_33'!D374</f>
        <v>0</v>
      </c>
      <c r="O374">
        <f>'AARnetCBR-CamDTN1_tcpmon_ts_41'!D374+'AARnetCBR-CamDTN1_tcpmon_ts_42'!D374+'AARnetCBR-CamDTN1_tcpmon_ts_43'!D374+'AARnetCBR-CamDTN1_tcpmon_ts_44'!D374</f>
        <v>0</v>
      </c>
      <c r="P374">
        <f>'AARnetCBR-CamDTN1_tcpmon_ts_51'!D374+'AARnetCBR-CamDTN1_tcpmon_ts_52'!D374+'AARnetCBR-CamDTN1_tcpmon_ts_53'!D374+'AARnetCBR-CamDTN1_tcpmon_ts_54'!D374+'AARnetCBR-CamDTN1_tcpmon_ts_55'!D374</f>
        <v>0</v>
      </c>
    </row>
    <row r="375" spans="1:16">
      <c r="A375">
        <f>'AARnetCBR-CamDTN1_tcpmon_ts_11'!A389</f>
        <v>0</v>
      </c>
      <c r="C375">
        <f>'AARnetCBR-CamDTN1_tcpmon_ts_11'!C389</f>
        <v>0</v>
      </c>
      <c r="D375">
        <f>'AARnetCBR-CamDTN1_tcpmon_ts_21'!C389+'AARnetCBR-CamDTN1_tcpmon_ts_22'!C389</f>
        <v>0</v>
      </c>
      <c r="E375">
        <f>'AARnetCBR-CamDTN1_tcpmon_ts_31'!C389+'AARnetCBR-CamDTN1_tcpmon_ts_32'!C389+'AARnetCBR-CamDTN1_tcpmon_ts_33'!C389</f>
        <v>0</v>
      </c>
      <c r="F375">
        <f>'AARnetCBR-CamDTN1_tcpmon_ts_41'!C389+'AARnetCBR-CamDTN1_tcpmon_ts_42'!C389+'AARnetCBR-CamDTN1_tcpmon_ts_43'!C389+'AARnetCBR-CamDTN1_tcpmon_ts_44'!C389</f>
        <v>0</v>
      </c>
      <c r="L375">
        <f>'AARnetCBR-CamDTN1_tcpmon_ts_11'!D375</f>
        <v>0</v>
      </c>
      <c r="M375">
        <f>'AARnetCBR-CamDTN1_tcpmon_ts_21'!D375+'AARnetCBR-CamDTN1_tcpmon_ts_22'!D375</f>
        <v>0</v>
      </c>
      <c r="N375">
        <f>'AARnetCBR-CamDTN1_tcpmon_ts_31'!D375+'AARnetCBR-CamDTN1_tcpmon_ts_32'!D375+'AARnetCBR-CamDTN1_tcpmon_ts_33'!D375</f>
        <v>0</v>
      </c>
      <c r="O375">
        <f>'AARnetCBR-CamDTN1_tcpmon_ts_41'!D375+'AARnetCBR-CamDTN1_tcpmon_ts_42'!D375+'AARnetCBR-CamDTN1_tcpmon_ts_43'!D375+'AARnetCBR-CamDTN1_tcpmon_ts_44'!D375</f>
        <v>0</v>
      </c>
      <c r="P375">
        <f>'AARnetCBR-CamDTN1_tcpmon_ts_51'!D375+'AARnetCBR-CamDTN1_tcpmon_ts_52'!D375+'AARnetCBR-CamDTN1_tcpmon_ts_53'!D375+'AARnetCBR-CamDTN1_tcpmon_ts_54'!D375+'AARnetCBR-CamDTN1_tcpmon_ts_55'!D375</f>
        <v>0</v>
      </c>
    </row>
    <row r="376" spans="1:16">
      <c r="A376">
        <f>'AARnetCBR-CamDTN1_tcpmon_ts_11'!A390</f>
        <v>0</v>
      </c>
      <c r="C376">
        <f>'AARnetCBR-CamDTN1_tcpmon_ts_11'!C390</f>
        <v>0</v>
      </c>
      <c r="D376">
        <f>'AARnetCBR-CamDTN1_tcpmon_ts_21'!C390+'AARnetCBR-CamDTN1_tcpmon_ts_22'!C390</f>
        <v>0</v>
      </c>
      <c r="E376">
        <f>'AARnetCBR-CamDTN1_tcpmon_ts_31'!C390+'AARnetCBR-CamDTN1_tcpmon_ts_32'!C390+'AARnetCBR-CamDTN1_tcpmon_ts_33'!C390</f>
        <v>0</v>
      </c>
      <c r="F376">
        <f>'AARnetCBR-CamDTN1_tcpmon_ts_41'!C390+'AARnetCBR-CamDTN1_tcpmon_ts_42'!C390+'AARnetCBR-CamDTN1_tcpmon_ts_43'!C390+'AARnetCBR-CamDTN1_tcpmon_ts_44'!C390</f>
        <v>0</v>
      </c>
      <c r="L376">
        <f>'AARnetCBR-CamDTN1_tcpmon_ts_11'!D376</f>
        <v>0</v>
      </c>
      <c r="M376">
        <f>'AARnetCBR-CamDTN1_tcpmon_ts_21'!D376+'AARnetCBR-CamDTN1_tcpmon_ts_22'!D376</f>
        <v>0</v>
      </c>
      <c r="N376">
        <f>'AARnetCBR-CamDTN1_tcpmon_ts_31'!D376+'AARnetCBR-CamDTN1_tcpmon_ts_32'!D376+'AARnetCBR-CamDTN1_tcpmon_ts_33'!D376</f>
        <v>0</v>
      </c>
      <c r="O376">
        <f>'AARnetCBR-CamDTN1_tcpmon_ts_41'!D376+'AARnetCBR-CamDTN1_tcpmon_ts_42'!D376+'AARnetCBR-CamDTN1_tcpmon_ts_43'!D376+'AARnetCBR-CamDTN1_tcpmon_ts_44'!D376</f>
        <v>0</v>
      </c>
      <c r="P376">
        <f>'AARnetCBR-CamDTN1_tcpmon_ts_51'!D376+'AARnetCBR-CamDTN1_tcpmon_ts_52'!D376+'AARnetCBR-CamDTN1_tcpmon_ts_53'!D376+'AARnetCBR-CamDTN1_tcpmon_ts_54'!D376+'AARnetCBR-CamDTN1_tcpmon_ts_55'!D376</f>
        <v>0</v>
      </c>
    </row>
    <row r="377" spans="1:16">
      <c r="A377">
        <f>'AARnetCBR-CamDTN1_tcpmon_ts_11'!A391</f>
        <v>0</v>
      </c>
      <c r="C377">
        <f>'AARnetCBR-CamDTN1_tcpmon_ts_11'!C391</f>
        <v>0</v>
      </c>
      <c r="D377">
        <f>'AARnetCBR-CamDTN1_tcpmon_ts_21'!C391+'AARnetCBR-CamDTN1_tcpmon_ts_22'!C391</f>
        <v>0</v>
      </c>
      <c r="E377">
        <f>'AARnetCBR-CamDTN1_tcpmon_ts_31'!C391+'AARnetCBR-CamDTN1_tcpmon_ts_32'!C391+'AARnetCBR-CamDTN1_tcpmon_ts_33'!C391</f>
        <v>0</v>
      </c>
      <c r="F377">
        <f>'AARnetCBR-CamDTN1_tcpmon_ts_41'!C391+'AARnetCBR-CamDTN1_tcpmon_ts_42'!C391+'AARnetCBR-CamDTN1_tcpmon_ts_43'!C391+'AARnetCBR-CamDTN1_tcpmon_ts_44'!C391</f>
        <v>0</v>
      </c>
      <c r="L377">
        <f>'AARnetCBR-CamDTN1_tcpmon_ts_11'!D377</f>
        <v>0</v>
      </c>
      <c r="M377">
        <f>'AARnetCBR-CamDTN1_tcpmon_ts_21'!D377+'AARnetCBR-CamDTN1_tcpmon_ts_22'!D377</f>
        <v>0</v>
      </c>
      <c r="N377">
        <f>'AARnetCBR-CamDTN1_tcpmon_ts_31'!D377+'AARnetCBR-CamDTN1_tcpmon_ts_32'!D377+'AARnetCBR-CamDTN1_tcpmon_ts_33'!D377</f>
        <v>0</v>
      </c>
      <c r="O377">
        <f>'AARnetCBR-CamDTN1_tcpmon_ts_41'!D377+'AARnetCBR-CamDTN1_tcpmon_ts_42'!D377+'AARnetCBR-CamDTN1_tcpmon_ts_43'!D377+'AARnetCBR-CamDTN1_tcpmon_ts_44'!D377</f>
        <v>0</v>
      </c>
      <c r="P377">
        <f>'AARnetCBR-CamDTN1_tcpmon_ts_51'!D377+'AARnetCBR-CamDTN1_tcpmon_ts_52'!D377+'AARnetCBR-CamDTN1_tcpmon_ts_53'!D377+'AARnetCBR-CamDTN1_tcpmon_ts_54'!D377+'AARnetCBR-CamDTN1_tcpmon_ts_55'!D377</f>
        <v>0</v>
      </c>
    </row>
    <row r="378" spans="1:16">
      <c r="A378">
        <f>'AARnetCBR-CamDTN1_tcpmon_ts_11'!A392</f>
        <v>0</v>
      </c>
      <c r="C378">
        <f>'AARnetCBR-CamDTN1_tcpmon_ts_11'!C392</f>
        <v>0</v>
      </c>
      <c r="D378">
        <f>'AARnetCBR-CamDTN1_tcpmon_ts_21'!C392+'AARnetCBR-CamDTN1_tcpmon_ts_22'!C392</f>
        <v>0</v>
      </c>
      <c r="E378">
        <f>'AARnetCBR-CamDTN1_tcpmon_ts_31'!C392+'AARnetCBR-CamDTN1_tcpmon_ts_32'!C392+'AARnetCBR-CamDTN1_tcpmon_ts_33'!C392</f>
        <v>0</v>
      </c>
      <c r="F378">
        <f>'AARnetCBR-CamDTN1_tcpmon_ts_41'!C392+'AARnetCBR-CamDTN1_tcpmon_ts_42'!C392+'AARnetCBR-CamDTN1_tcpmon_ts_43'!C392+'AARnetCBR-CamDTN1_tcpmon_ts_44'!C392</f>
        <v>0</v>
      </c>
      <c r="L378">
        <f>'AARnetCBR-CamDTN1_tcpmon_ts_11'!D378</f>
        <v>0</v>
      </c>
      <c r="M378">
        <f>'AARnetCBR-CamDTN1_tcpmon_ts_21'!D378+'AARnetCBR-CamDTN1_tcpmon_ts_22'!D378</f>
        <v>0</v>
      </c>
      <c r="N378">
        <f>'AARnetCBR-CamDTN1_tcpmon_ts_31'!D378+'AARnetCBR-CamDTN1_tcpmon_ts_32'!D378+'AARnetCBR-CamDTN1_tcpmon_ts_33'!D378</f>
        <v>0</v>
      </c>
      <c r="O378">
        <f>'AARnetCBR-CamDTN1_tcpmon_ts_41'!D378+'AARnetCBR-CamDTN1_tcpmon_ts_42'!D378+'AARnetCBR-CamDTN1_tcpmon_ts_43'!D378+'AARnetCBR-CamDTN1_tcpmon_ts_44'!D378</f>
        <v>0</v>
      </c>
      <c r="P378">
        <f>'AARnetCBR-CamDTN1_tcpmon_ts_51'!D378+'AARnetCBR-CamDTN1_tcpmon_ts_52'!D378+'AARnetCBR-CamDTN1_tcpmon_ts_53'!D378+'AARnetCBR-CamDTN1_tcpmon_ts_54'!D378+'AARnetCBR-CamDTN1_tcpmon_ts_55'!D378</f>
        <v>0</v>
      </c>
    </row>
    <row r="379" spans="1:16">
      <c r="A379">
        <f>'AARnetCBR-CamDTN1_tcpmon_ts_11'!A393</f>
        <v>0</v>
      </c>
      <c r="C379">
        <f>'AARnetCBR-CamDTN1_tcpmon_ts_11'!C393</f>
        <v>0</v>
      </c>
      <c r="D379">
        <f>'AARnetCBR-CamDTN1_tcpmon_ts_21'!C393+'AARnetCBR-CamDTN1_tcpmon_ts_22'!C393</f>
        <v>0</v>
      </c>
      <c r="E379">
        <f>'AARnetCBR-CamDTN1_tcpmon_ts_31'!C393+'AARnetCBR-CamDTN1_tcpmon_ts_32'!C393+'AARnetCBR-CamDTN1_tcpmon_ts_33'!C393</f>
        <v>0</v>
      </c>
      <c r="F379">
        <f>'AARnetCBR-CamDTN1_tcpmon_ts_41'!C393+'AARnetCBR-CamDTN1_tcpmon_ts_42'!C393+'AARnetCBR-CamDTN1_tcpmon_ts_43'!C393+'AARnetCBR-CamDTN1_tcpmon_ts_44'!C393</f>
        <v>0</v>
      </c>
      <c r="L379">
        <f>'AARnetCBR-CamDTN1_tcpmon_ts_11'!D379</f>
        <v>0</v>
      </c>
      <c r="M379">
        <f>'AARnetCBR-CamDTN1_tcpmon_ts_21'!D379+'AARnetCBR-CamDTN1_tcpmon_ts_22'!D379</f>
        <v>0</v>
      </c>
      <c r="N379">
        <f>'AARnetCBR-CamDTN1_tcpmon_ts_31'!D379+'AARnetCBR-CamDTN1_tcpmon_ts_32'!D379+'AARnetCBR-CamDTN1_tcpmon_ts_33'!D379</f>
        <v>0</v>
      </c>
      <c r="O379">
        <f>'AARnetCBR-CamDTN1_tcpmon_ts_41'!D379+'AARnetCBR-CamDTN1_tcpmon_ts_42'!D379+'AARnetCBR-CamDTN1_tcpmon_ts_43'!D379+'AARnetCBR-CamDTN1_tcpmon_ts_44'!D379</f>
        <v>0</v>
      </c>
      <c r="P379">
        <f>'AARnetCBR-CamDTN1_tcpmon_ts_51'!D379+'AARnetCBR-CamDTN1_tcpmon_ts_52'!D379+'AARnetCBR-CamDTN1_tcpmon_ts_53'!D379+'AARnetCBR-CamDTN1_tcpmon_ts_54'!D379+'AARnetCBR-CamDTN1_tcpmon_ts_55'!D379</f>
        <v>0</v>
      </c>
    </row>
    <row r="380" spans="1:16">
      <c r="A380">
        <f>'AARnetCBR-CamDTN1_tcpmon_ts_11'!A394</f>
        <v>0</v>
      </c>
      <c r="C380">
        <f>'AARnetCBR-CamDTN1_tcpmon_ts_11'!C394</f>
        <v>0</v>
      </c>
      <c r="D380">
        <f>'AARnetCBR-CamDTN1_tcpmon_ts_21'!C394+'AARnetCBR-CamDTN1_tcpmon_ts_22'!C394</f>
        <v>0</v>
      </c>
      <c r="E380">
        <f>'AARnetCBR-CamDTN1_tcpmon_ts_31'!C394+'AARnetCBR-CamDTN1_tcpmon_ts_32'!C394+'AARnetCBR-CamDTN1_tcpmon_ts_33'!C394</f>
        <v>0</v>
      </c>
      <c r="F380">
        <f>'AARnetCBR-CamDTN1_tcpmon_ts_41'!C394+'AARnetCBR-CamDTN1_tcpmon_ts_42'!C394+'AARnetCBR-CamDTN1_tcpmon_ts_43'!C394+'AARnetCBR-CamDTN1_tcpmon_ts_44'!C394</f>
        <v>0</v>
      </c>
      <c r="L380">
        <f>'AARnetCBR-CamDTN1_tcpmon_ts_11'!D380</f>
        <v>0</v>
      </c>
      <c r="M380">
        <f>'AARnetCBR-CamDTN1_tcpmon_ts_21'!D380+'AARnetCBR-CamDTN1_tcpmon_ts_22'!D380</f>
        <v>0</v>
      </c>
      <c r="N380">
        <f>'AARnetCBR-CamDTN1_tcpmon_ts_31'!D380+'AARnetCBR-CamDTN1_tcpmon_ts_32'!D380+'AARnetCBR-CamDTN1_tcpmon_ts_33'!D380</f>
        <v>0</v>
      </c>
      <c r="O380">
        <f>'AARnetCBR-CamDTN1_tcpmon_ts_41'!D380+'AARnetCBR-CamDTN1_tcpmon_ts_42'!D380+'AARnetCBR-CamDTN1_tcpmon_ts_43'!D380+'AARnetCBR-CamDTN1_tcpmon_ts_44'!D380</f>
        <v>0</v>
      </c>
      <c r="P380">
        <f>'AARnetCBR-CamDTN1_tcpmon_ts_51'!D380+'AARnetCBR-CamDTN1_tcpmon_ts_52'!D380+'AARnetCBR-CamDTN1_tcpmon_ts_53'!D380+'AARnetCBR-CamDTN1_tcpmon_ts_54'!D380+'AARnetCBR-CamDTN1_tcpmon_ts_55'!D380</f>
        <v>0</v>
      </c>
    </row>
    <row r="381" spans="1:16">
      <c r="A381">
        <f>'AARnetCBR-CamDTN1_tcpmon_ts_11'!A395</f>
        <v>0</v>
      </c>
      <c r="C381">
        <f>'AARnetCBR-CamDTN1_tcpmon_ts_11'!C395</f>
        <v>0</v>
      </c>
      <c r="D381">
        <f>'AARnetCBR-CamDTN1_tcpmon_ts_21'!C395+'AARnetCBR-CamDTN1_tcpmon_ts_22'!C395</f>
        <v>0</v>
      </c>
      <c r="E381">
        <f>'AARnetCBR-CamDTN1_tcpmon_ts_31'!C395+'AARnetCBR-CamDTN1_tcpmon_ts_32'!C395+'AARnetCBR-CamDTN1_tcpmon_ts_33'!C395</f>
        <v>0</v>
      </c>
      <c r="F381">
        <f>'AARnetCBR-CamDTN1_tcpmon_ts_41'!C395+'AARnetCBR-CamDTN1_tcpmon_ts_42'!C395+'AARnetCBR-CamDTN1_tcpmon_ts_43'!C395+'AARnetCBR-CamDTN1_tcpmon_ts_44'!C395</f>
        <v>0</v>
      </c>
      <c r="L381">
        <f>'AARnetCBR-CamDTN1_tcpmon_ts_11'!D381</f>
        <v>0</v>
      </c>
      <c r="M381">
        <f>'AARnetCBR-CamDTN1_tcpmon_ts_21'!D381+'AARnetCBR-CamDTN1_tcpmon_ts_22'!D381</f>
        <v>0</v>
      </c>
      <c r="N381">
        <f>'AARnetCBR-CamDTN1_tcpmon_ts_31'!D381+'AARnetCBR-CamDTN1_tcpmon_ts_32'!D381+'AARnetCBR-CamDTN1_tcpmon_ts_33'!D381</f>
        <v>0</v>
      </c>
      <c r="O381">
        <f>'AARnetCBR-CamDTN1_tcpmon_ts_41'!D381+'AARnetCBR-CamDTN1_tcpmon_ts_42'!D381+'AARnetCBR-CamDTN1_tcpmon_ts_43'!D381+'AARnetCBR-CamDTN1_tcpmon_ts_44'!D381</f>
        <v>0</v>
      </c>
      <c r="P381">
        <f>'AARnetCBR-CamDTN1_tcpmon_ts_51'!D381+'AARnetCBR-CamDTN1_tcpmon_ts_52'!D381+'AARnetCBR-CamDTN1_tcpmon_ts_53'!D381+'AARnetCBR-CamDTN1_tcpmon_ts_54'!D381+'AARnetCBR-CamDTN1_tcpmon_ts_55'!D381</f>
        <v>0</v>
      </c>
    </row>
    <row r="382" spans="1:16">
      <c r="A382">
        <f>'AARnetCBR-CamDTN1_tcpmon_ts_11'!A396</f>
        <v>0</v>
      </c>
      <c r="C382">
        <f>'AARnetCBR-CamDTN1_tcpmon_ts_11'!C396</f>
        <v>0</v>
      </c>
      <c r="D382">
        <f>'AARnetCBR-CamDTN1_tcpmon_ts_21'!C396+'AARnetCBR-CamDTN1_tcpmon_ts_22'!C396</f>
        <v>0</v>
      </c>
      <c r="E382">
        <f>'AARnetCBR-CamDTN1_tcpmon_ts_31'!C396+'AARnetCBR-CamDTN1_tcpmon_ts_32'!C396+'AARnetCBR-CamDTN1_tcpmon_ts_33'!C396</f>
        <v>0</v>
      </c>
      <c r="F382">
        <f>'AARnetCBR-CamDTN1_tcpmon_ts_41'!C396+'AARnetCBR-CamDTN1_tcpmon_ts_42'!C396+'AARnetCBR-CamDTN1_tcpmon_ts_43'!C396+'AARnetCBR-CamDTN1_tcpmon_ts_44'!C396</f>
        <v>0</v>
      </c>
      <c r="L382">
        <f>'AARnetCBR-CamDTN1_tcpmon_ts_11'!D382</f>
        <v>0</v>
      </c>
      <c r="M382">
        <f>'AARnetCBR-CamDTN1_tcpmon_ts_21'!D382+'AARnetCBR-CamDTN1_tcpmon_ts_22'!D382</f>
        <v>0</v>
      </c>
      <c r="N382">
        <f>'AARnetCBR-CamDTN1_tcpmon_ts_31'!D382+'AARnetCBR-CamDTN1_tcpmon_ts_32'!D382+'AARnetCBR-CamDTN1_tcpmon_ts_33'!D382</f>
        <v>0</v>
      </c>
      <c r="O382">
        <f>'AARnetCBR-CamDTN1_tcpmon_ts_41'!D382+'AARnetCBR-CamDTN1_tcpmon_ts_42'!D382+'AARnetCBR-CamDTN1_tcpmon_ts_43'!D382+'AARnetCBR-CamDTN1_tcpmon_ts_44'!D382</f>
        <v>0</v>
      </c>
      <c r="P382">
        <f>'AARnetCBR-CamDTN1_tcpmon_ts_51'!D382+'AARnetCBR-CamDTN1_tcpmon_ts_52'!D382+'AARnetCBR-CamDTN1_tcpmon_ts_53'!D382+'AARnetCBR-CamDTN1_tcpmon_ts_54'!D382+'AARnetCBR-CamDTN1_tcpmon_ts_55'!D382</f>
        <v>0</v>
      </c>
    </row>
    <row r="383" spans="1:16">
      <c r="A383">
        <f>'AARnetCBR-CamDTN1_tcpmon_ts_11'!A397</f>
        <v>0</v>
      </c>
      <c r="C383">
        <f>'AARnetCBR-CamDTN1_tcpmon_ts_11'!C397</f>
        <v>0</v>
      </c>
      <c r="D383">
        <f>'AARnetCBR-CamDTN1_tcpmon_ts_21'!C397+'AARnetCBR-CamDTN1_tcpmon_ts_22'!C397</f>
        <v>0</v>
      </c>
      <c r="E383">
        <f>'AARnetCBR-CamDTN1_tcpmon_ts_31'!C397+'AARnetCBR-CamDTN1_tcpmon_ts_32'!C397+'AARnetCBR-CamDTN1_tcpmon_ts_33'!C397</f>
        <v>0</v>
      </c>
      <c r="F383">
        <f>'AARnetCBR-CamDTN1_tcpmon_ts_41'!C397+'AARnetCBR-CamDTN1_tcpmon_ts_42'!C397+'AARnetCBR-CamDTN1_tcpmon_ts_43'!C397+'AARnetCBR-CamDTN1_tcpmon_ts_44'!C397</f>
        <v>0</v>
      </c>
      <c r="L383">
        <f>'AARnetCBR-CamDTN1_tcpmon_ts_11'!D383</f>
        <v>0</v>
      </c>
      <c r="M383">
        <f>'AARnetCBR-CamDTN1_tcpmon_ts_21'!D383+'AARnetCBR-CamDTN1_tcpmon_ts_22'!D383</f>
        <v>0</v>
      </c>
      <c r="N383">
        <f>'AARnetCBR-CamDTN1_tcpmon_ts_31'!D383+'AARnetCBR-CamDTN1_tcpmon_ts_32'!D383+'AARnetCBR-CamDTN1_tcpmon_ts_33'!D383</f>
        <v>0</v>
      </c>
      <c r="O383">
        <f>'AARnetCBR-CamDTN1_tcpmon_ts_41'!D383+'AARnetCBR-CamDTN1_tcpmon_ts_42'!D383+'AARnetCBR-CamDTN1_tcpmon_ts_43'!D383+'AARnetCBR-CamDTN1_tcpmon_ts_44'!D383</f>
        <v>0</v>
      </c>
      <c r="P383">
        <f>'AARnetCBR-CamDTN1_tcpmon_ts_51'!D383+'AARnetCBR-CamDTN1_tcpmon_ts_52'!D383+'AARnetCBR-CamDTN1_tcpmon_ts_53'!D383+'AARnetCBR-CamDTN1_tcpmon_ts_54'!D383+'AARnetCBR-CamDTN1_tcpmon_ts_55'!D383</f>
        <v>0</v>
      </c>
    </row>
    <row r="384" spans="1:16">
      <c r="A384">
        <f>'AARnetCBR-CamDTN1_tcpmon_ts_11'!A398</f>
        <v>0</v>
      </c>
      <c r="C384">
        <f>'AARnetCBR-CamDTN1_tcpmon_ts_11'!C398</f>
        <v>0</v>
      </c>
      <c r="D384">
        <f>'AARnetCBR-CamDTN1_tcpmon_ts_21'!C398+'AARnetCBR-CamDTN1_tcpmon_ts_22'!C398</f>
        <v>0</v>
      </c>
      <c r="E384">
        <f>'AARnetCBR-CamDTN1_tcpmon_ts_31'!C398+'AARnetCBR-CamDTN1_tcpmon_ts_32'!C398+'AARnetCBR-CamDTN1_tcpmon_ts_33'!C398</f>
        <v>0</v>
      </c>
      <c r="F384">
        <f>'AARnetCBR-CamDTN1_tcpmon_ts_41'!C398+'AARnetCBR-CamDTN1_tcpmon_ts_42'!C398+'AARnetCBR-CamDTN1_tcpmon_ts_43'!C398+'AARnetCBR-CamDTN1_tcpmon_ts_44'!C398</f>
        <v>0</v>
      </c>
      <c r="L384">
        <f>'AARnetCBR-CamDTN1_tcpmon_ts_11'!D384</f>
        <v>0</v>
      </c>
      <c r="M384">
        <f>'AARnetCBR-CamDTN1_tcpmon_ts_21'!D384+'AARnetCBR-CamDTN1_tcpmon_ts_22'!D384</f>
        <v>0</v>
      </c>
      <c r="N384">
        <f>'AARnetCBR-CamDTN1_tcpmon_ts_31'!D384+'AARnetCBR-CamDTN1_tcpmon_ts_32'!D384+'AARnetCBR-CamDTN1_tcpmon_ts_33'!D384</f>
        <v>0</v>
      </c>
      <c r="O384">
        <f>'AARnetCBR-CamDTN1_tcpmon_ts_41'!D384+'AARnetCBR-CamDTN1_tcpmon_ts_42'!D384+'AARnetCBR-CamDTN1_tcpmon_ts_43'!D384+'AARnetCBR-CamDTN1_tcpmon_ts_44'!D384</f>
        <v>0</v>
      </c>
      <c r="P384">
        <f>'AARnetCBR-CamDTN1_tcpmon_ts_51'!D384+'AARnetCBR-CamDTN1_tcpmon_ts_52'!D384+'AARnetCBR-CamDTN1_tcpmon_ts_53'!D384+'AARnetCBR-CamDTN1_tcpmon_ts_54'!D384+'AARnetCBR-CamDTN1_tcpmon_ts_55'!D384</f>
        <v>0</v>
      </c>
    </row>
    <row r="385" spans="1:16">
      <c r="A385">
        <f>'AARnetCBR-CamDTN1_tcpmon_ts_11'!A399</f>
        <v>0</v>
      </c>
      <c r="C385">
        <f>'AARnetCBR-CamDTN1_tcpmon_ts_11'!C399</f>
        <v>0</v>
      </c>
      <c r="D385">
        <f>'AARnetCBR-CamDTN1_tcpmon_ts_21'!C399+'AARnetCBR-CamDTN1_tcpmon_ts_22'!C399</f>
        <v>0</v>
      </c>
      <c r="E385">
        <f>'AARnetCBR-CamDTN1_tcpmon_ts_31'!C399+'AARnetCBR-CamDTN1_tcpmon_ts_32'!C399+'AARnetCBR-CamDTN1_tcpmon_ts_33'!C399</f>
        <v>0</v>
      </c>
      <c r="F385">
        <f>'AARnetCBR-CamDTN1_tcpmon_ts_41'!C399+'AARnetCBR-CamDTN1_tcpmon_ts_42'!C399+'AARnetCBR-CamDTN1_tcpmon_ts_43'!C399+'AARnetCBR-CamDTN1_tcpmon_ts_44'!C399</f>
        <v>0</v>
      </c>
      <c r="L385">
        <f>'AARnetCBR-CamDTN1_tcpmon_ts_11'!D385</f>
        <v>0</v>
      </c>
      <c r="M385">
        <f>'AARnetCBR-CamDTN1_tcpmon_ts_21'!D385+'AARnetCBR-CamDTN1_tcpmon_ts_22'!D385</f>
        <v>0</v>
      </c>
      <c r="N385">
        <f>'AARnetCBR-CamDTN1_tcpmon_ts_31'!D385+'AARnetCBR-CamDTN1_tcpmon_ts_32'!D385+'AARnetCBR-CamDTN1_tcpmon_ts_33'!D385</f>
        <v>0</v>
      </c>
      <c r="O385">
        <f>'AARnetCBR-CamDTN1_tcpmon_ts_41'!D385+'AARnetCBR-CamDTN1_tcpmon_ts_42'!D385+'AARnetCBR-CamDTN1_tcpmon_ts_43'!D385+'AARnetCBR-CamDTN1_tcpmon_ts_44'!D385</f>
        <v>0</v>
      </c>
      <c r="P385">
        <f>'AARnetCBR-CamDTN1_tcpmon_ts_51'!D385+'AARnetCBR-CamDTN1_tcpmon_ts_52'!D385+'AARnetCBR-CamDTN1_tcpmon_ts_53'!D385+'AARnetCBR-CamDTN1_tcpmon_ts_54'!D385+'AARnetCBR-CamDTN1_tcpmon_ts_55'!D385</f>
        <v>0</v>
      </c>
    </row>
    <row r="386" spans="1:16">
      <c r="A386">
        <f>'AARnetCBR-CamDTN1_tcpmon_ts_11'!A400</f>
        <v>0</v>
      </c>
      <c r="C386">
        <f>'AARnetCBR-CamDTN1_tcpmon_ts_11'!C400</f>
        <v>0</v>
      </c>
      <c r="D386">
        <f>'AARnetCBR-CamDTN1_tcpmon_ts_21'!C400+'AARnetCBR-CamDTN1_tcpmon_ts_22'!C400</f>
        <v>0</v>
      </c>
      <c r="E386">
        <f>'AARnetCBR-CamDTN1_tcpmon_ts_31'!C400+'AARnetCBR-CamDTN1_tcpmon_ts_32'!C400+'AARnetCBR-CamDTN1_tcpmon_ts_33'!C400</f>
        <v>0</v>
      </c>
      <c r="F386">
        <f>'AARnetCBR-CamDTN1_tcpmon_ts_41'!C400+'AARnetCBR-CamDTN1_tcpmon_ts_42'!C400+'AARnetCBR-CamDTN1_tcpmon_ts_43'!C400+'AARnetCBR-CamDTN1_tcpmon_ts_44'!C400</f>
        <v>0</v>
      </c>
      <c r="L386">
        <f>'AARnetCBR-CamDTN1_tcpmon_ts_11'!D386</f>
        <v>0</v>
      </c>
      <c r="M386">
        <f>'AARnetCBR-CamDTN1_tcpmon_ts_21'!D386+'AARnetCBR-CamDTN1_tcpmon_ts_22'!D386</f>
        <v>0</v>
      </c>
      <c r="N386">
        <f>'AARnetCBR-CamDTN1_tcpmon_ts_31'!D386+'AARnetCBR-CamDTN1_tcpmon_ts_32'!D386+'AARnetCBR-CamDTN1_tcpmon_ts_33'!D386</f>
        <v>0</v>
      </c>
      <c r="O386">
        <f>'AARnetCBR-CamDTN1_tcpmon_ts_41'!D386+'AARnetCBR-CamDTN1_tcpmon_ts_42'!D386+'AARnetCBR-CamDTN1_tcpmon_ts_43'!D386+'AARnetCBR-CamDTN1_tcpmon_ts_44'!D386</f>
        <v>0</v>
      </c>
      <c r="P386">
        <f>'AARnetCBR-CamDTN1_tcpmon_ts_51'!D386+'AARnetCBR-CamDTN1_tcpmon_ts_52'!D386+'AARnetCBR-CamDTN1_tcpmon_ts_53'!D386+'AARnetCBR-CamDTN1_tcpmon_ts_54'!D386+'AARnetCBR-CamDTN1_tcpmon_ts_55'!D386</f>
        <v>0</v>
      </c>
    </row>
    <row r="387" spans="1:16">
      <c r="A387">
        <f>'AARnetCBR-CamDTN1_tcpmon_ts_11'!A401</f>
        <v>0</v>
      </c>
      <c r="C387">
        <f>'AARnetCBR-CamDTN1_tcpmon_ts_11'!C401</f>
        <v>0</v>
      </c>
      <c r="D387">
        <f>'AARnetCBR-CamDTN1_tcpmon_ts_21'!C401+'AARnetCBR-CamDTN1_tcpmon_ts_22'!C401</f>
        <v>0</v>
      </c>
      <c r="E387">
        <f>'AARnetCBR-CamDTN1_tcpmon_ts_31'!C401+'AARnetCBR-CamDTN1_tcpmon_ts_32'!C401+'AARnetCBR-CamDTN1_tcpmon_ts_33'!C401</f>
        <v>0</v>
      </c>
      <c r="F387">
        <f>'AARnetCBR-CamDTN1_tcpmon_ts_41'!C401+'AARnetCBR-CamDTN1_tcpmon_ts_42'!C401+'AARnetCBR-CamDTN1_tcpmon_ts_43'!C401+'AARnetCBR-CamDTN1_tcpmon_ts_44'!C401</f>
        <v>0</v>
      </c>
      <c r="L387">
        <f>'AARnetCBR-CamDTN1_tcpmon_ts_11'!D387</f>
        <v>0</v>
      </c>
      <c r="M387">
        <f>'AARnetCBR-CamDTN1_tcpmon_ts_21'!D387+'AARnetCBR-CamDTN1_tcpmon_ts_22'!D387</f>
        <v>0</v>
      </c>
      <c r="N387">
        <f>'AARnetCBR-CamDTN1_tcpmon_ts_31'!D387+'AARnetCBR-CamDTN1_tcpmon_ts_32'!D387+'AARnetCBR-CamDTN1_tcpmon_ts_33'!D387</f>
        <v>0</v>
      </c>
      <c r="O387">
        <f>'AARnetCBR-CamDTN1_tcpmon_ts_41'!D387+'AARnetCBR-CamDTN1_tcpmon_ts_42'!D387+'AARnetCBR-CamDTN1_tcpmon_ts_43'!D387+'AARnetCBR-CamDTN1_tcpmon_ts_44'!D387</f>
        <v>0</v>
      </c>
      <c r="P387">
        <f>'AARnetCBR-CamDTN1_tcpmon_ts_51'!D387+'AARnetCBR-CamDTN1_tcpmon_ts_52'!D387+'AARnetCBR-CamDTN1_tcpmon_ts_53'!D387+'AARnetCBR-CamDTN1_tcpmon_ts_54'!D387+'AARnetCBR-CamDTN1_tcpmon_ts_55'!D387</f>
        <v>0</v>
      </c>
    </row>
    <row r="388" spans="1:16">
      <c r="A388">
        <f>'AARnetCBR-CamDTN1_tcpmon_ts_11'!A402</f>
        <v>0</v>
      </c>
      <c r="C388">
        <f>'AARnetCBR-CamDTN1_tcpmon_ts_11'!C402</f>
        <v>0</v>
      </c>
      <c r="D388">
        <f>'AARnetCBR-CamDTN1_tcpmon_ts_21'!C402+'AARnetCBR-CamDTN1_tcpmon_ts_22'!C402</f>
        <v>0</v>
      </c>
      <c r="E388">
        <f>'AARnetCBR-CamDTN1_tcpmon_ts_31'!C402+'AARnetCBR-CamDTN1_tcpmon_ts_32'!C402+'AARnetCBR-CamDTN1_tcpmon_ts_33'!C402</f>
        <v>0</v>
      </c>
      <c r="F388">
        <f>'AARnetCBR-CamDTN1_tcpmon_ts_41'!C402+'AARnetCBR-CamDTN1_tcpmon_ts_42'!C402+'AARnetCBR-CamDTN1_tcpmon_ts_43'!C402+'AARnetCBR-CamDTN1_tcpmon_ts_44'!C402</f>
        <v>0</v>
      </c>
      <c r="L388">
        <f>'AARnetCBR-CamDTN1_tcpmon_ts_11'!D388</f>
        <v>0</v>
      </c>
      <c r="M388">
        <f>'AARnetCBR-CamDTN1_tcpmon_ts_21'!D388+'AARnetCBR-CamDTN1_tcpmon_ts_22'!D388</f>
        <v>0</v>
      </c>
      <c r="N388">
        <f>'AARnetCBR-CamDTN1_tcpmon_ts_31'!D388+'AARnetCBR-CamDTN1_tcpmon_ts_32'!D388+'AARnetCBR-CamDTN1_tcpmon_ts_33'!D388</f>
        <v>0</v>
      </c>
      <c r="O388">
        <f>'AARnetCBR-CamDTN1_tcpmon_ts_41'!D388+'AARnetCBR-CamDTN1_tcpmon_ts_42'!D388+'AARnetCBR-CamDTN1_tcpmon_ts_43'!D388+'AARnetCBR-CamDTN1_tcpmon_ts_44'!D388</f>
        <v>0</v>
      </c>
      <c r="P388">
        <f>'AARnetCBR-CamDTN1_tcpmon_ts_51'!D388+'AARnetCBR-CamDTN1_tcpmon_ts_52'!D388+'AARnetCBR-CamDTN1_tcpmon_ts_53'!D388+'AARnetCBR-CamDTN1_tcpmon_ts_54'!D388+'AARnetCBR-CamDTN1_tcpmon_ts_55'!D388</f>
        <v>0</v>
      </c>
    </row>
    <row r="389" spans="1:16">
      <c r="A389">
        <f>'AARnetCBR-CamDTN1_tcpmon_ts_11'!A403</f>
        <v>0</v>
      </c>
      <c r="C389">
        <f>'AARnetCBR-CamDTN1_tcpmon_ts_11'!C403</f>
        <v>0</v>
      </c>
      <c r="D389">
        <f>'AARnetCBR-CamDTN1_tcpmon_ts_21'!C403+'AARnetCBR-CamDTN1_tcpmon_ts_22'!C403</f>
        <v>0</v>
      </c>
      <c r="E389">
        <f>'AARnetCBR-CamDTN1_tcpmon_ts_31'!C403+'AARnetCBR-CamDTN1_tcpmon_ts_32'!C403+'AARnetCBR-CamDTN1_tcpmon_ts_33'!C403</f>
        <v>0</v>
      </c>
      <c r="F389">
        <f>'AARnetCBR-CamDTN1_tcpmon_ts_41'!C403+'AARnetCBR-CamDTN1_tcpmon_ts_42'!C403+'AARnetCBR-CamDTN1_tcpmon_ts_43'!C403+'AARnetCBR-CamDTN1_tcpmon_ts_44'!C403</f>
        <v>0</v>
      </c>
      <c r="L389">
        <f>'AARnetCBR-CamDTN1_tcpmon_ts_11'!D389</f>
        <v>0</v>
      </c>
      <c r="M389">
        <f>'AARnetCBR-CamDTN1_tcpmon_ts_21'!D389+'AARnetCBR-CamDTN1_tcpmon_ts_22'!D389</f>
        <v>0</v>
      </c>
      <c r="N389">
        <f>'AARnetCBR-CamDTN1_tcpmon_ts_31'!D389+'AARnetCBR-CamDTN1_tcpmon_ts_32'!D389+'AARnetCBR-CamDTN1_tcpmon_ts_33'!D389</f>
        <v>0</v>
      </c>
      <c r="O389">
        <f>'AARnetCBR-CamDTN1_tcpmon_ts_41'!D389+'AARnetCBR-CamDTN1_tcpmon_ts_42'!D389+'AARnetCBR-CamDTN1_tcpmon_ts_43'!D389+'AARnetCBR-CamDTN1_tcpmon_ts_44'!D389</f>
        <v>0</v>
      </c>
      <c r="P389">
        <f>'AARnetCBR-CamDTN1_tcpmon_ts_51'!D389+'AARnetCBR-CamDTN1_tcpmon_ts_52'!D389+'AARnetCBR-CamDTN1_tcpmon_ts_53'!D389+'AARnetCBR-CamDTN1_tcpmon_ts_54'!D389+'AARnetCBR-CamDTN1_tcpmon_ts_55'!D389</f>
        <v>0</v>
      </c>
    </row>
    <row r="390" spans="1:16">
      <c r="A390">
        <f>'AARnetCBR-CamDTN1_tcpmon_ts_11'!A404</f>
        <v>0</v>
      </c>
      <c r="C390">
        <f>'AARnetCBR-CamDTN1_tcpmon_ts_11'!C404</f>
        <v>0</v>
      </c>
      <c r="D390">
        <f>'AARnetCBR-CamDTN1_tcpmon_ts_21'!C404+'AARnetCBR-CamDTN1_tcpmon_ts_22'!C404</f>
        <v>0</v>
      </c>
      <c r="E390">
        <f>'AARnetCBR-CamDTN1_tcpmon_ts_31'!C404+'AARnetCBR-CamDTN1_tcpmon_ts_32'!C404+'AARnetCBR-CamDTN1_tcpmon_ts_33'!C404</f>
        <v>0</v>
      </c>
      <c r="F390">
        <f>'AARnetCBR-CamDTN1_tcpmon_ts_41'!C404+'AARnetCBR-CamDTN1_tcpmon_ts_42'!C404+'AARnetCBR-CamDTN1_tcpmon_ts_43'!C404+'AARnetCBR-CamDTN1_tcpmon_ts_44'!C404</f>
        <v>0</v>
      </c>
      <c r="L390">
        <f>'AARnetCBR-CamDTN1_tcpmon_ts_11'!D390</f>
        <v>0</v>
      </c>
      <c r="M390">
        <f>'AARnetCBR-CamDTN1_tcpmon_ts_21'!D390+'AARnetCBR-CamDTN1_tcpmon_ts_22'!D390</f>
        <v>0</v>
      </c>
      <c r="N390">
        <f>'AARnetCBR-CamDTN1_tcpmon_ts_31'!D390+'AARnetCBR-CamDTN1_tcpmon_ts_32'!D390+'AARnetCBR-CamDTN1_tcpmon_ts_33'!D390</f>
        <v>0</v>
      </c>
      <c r="O390">
        <f>'AARnetCBR-CamDTN1_tcpmon_ts_41'!D390+'AARnetCBR-CamDTN1_tcpmon_ts_42'!D390+'AARnetCBR-CamDTN1_tcpmon_ts_43'!D390+'AARnetCBR-CamDTN1_tcpmon_ts_44'!D390</f>
        <v>0</v>
      </c>
      <c r="P390">
        <f>'AARnetCBR-CamDTN1_tcpmon_ts_51'!D390+'AARnetCBR-CamDTN1_tcpmon_ts_52'!D390+'AARnetCBR-CamDTN1_tcpmon_ts_53'!D390+'AARnetCBR-CamDTN1_tcpmon_ts_54'!D390+'AARnetCBR-CamDTN1_tcpmon_ts_55'!D390</f>
        <v>0</v>
      </c>
    </row>
    <row r="391" spans="1:16">
      <c r="A391">
        <f>'AARnetCBR-CamDTN1_tcpmon_ts_11'!A405</f>
        <v>0</v>
      </c>
      <c r="C391">
        <f>'AARnetCBR-CamDTN1_tcpmon_ts_11'!C405</f>
        <v>0</v>
      </c>
      <c r="D391">
        <f>'AARnetCBR-CamDTN1_tcpmon_ts_21'!C405+'AARnetCBR-CamDTN1_tcpmon_ts_22'!C405</f>
        <v>0</v>
      </c>
      <c r="E391">
        <f>'AARnetCBR-CamDTN1_tcpmon_ts_31'!C405+'AARnetCBR-CamDTN1_tcpmon_ts_32'!C405+'AARnetCBR-CamDTN1_tcpmon_ts_33'!C405</f>
        <v>0</v>
      </c>
      <c r="F391">
        <f>'AARnetCBR-CamDTN1_tcpmon_ts_41'!C405+'AARnetCBR-CamDTN1_tcpmon_ts_42'!C405+'AARnetCBR-CamDTN1_tcpmon_ts_43'!C405+'AARnetCBR-CamDTN1_tcpmon_ts_44'!C405</f>
        <v>0</v>
      </c>
      <c r="L391">
        <f>'AARnetCBR-CamDTN1_tcpmon_ts_11'!D391</f>
        <v>0</v>
      </c>
      <c r="M391">
        <f>'AARnetCBR-CamDTN1_tcpmon_ts_21'!D391+'AARnetCBR-CamDTN1_tcpmon_ts_22'!D391</f>
        <v>0</v>
      </c>
      <c r="N391">
        <f>'AARnetCBR-CamDTN1_tcpmon_ts_31'!D391+'AARnetCBR-CamDTN1_tcpmon_ts_32'!D391+'AARnetCBR-CamDTN1_tcpmon_ts_33'!D391</f>
        <v>0</v>
      </c>
      <c r="O391">
        <f>'AARnetCBR-CamDTN1_tcpmon_ts_41'!D391+'AARnetCBR-CamDTN1_tcpmon_ts_42'!D391+'AARnetCBR-CamDTN1_tcpmon_ts_43'!D391+'AARnetCBR-CamDTN1_tcpmon_ts_44'!D391</f>
        <v>0</v>
      </c>
      <c r="P391">
        <f>'AARnetCBR-CamDTN1_tcpmon_ts_51'!D391+'AARnetCBR-CamDTN1_tcpmon_ts_52'!D391+'AARnetCBR-CamDTN1_tcpmon_ts_53'!D391+'AARnetCBR-CamDTN1_tcpmon_ts_54'!D391+'AARnetCBR-CamDTN1_tcpmon_ts_55'!D391</f>
        <v>0</v>
      </c>
    </row>
    <row r="392" spans="1:16">
      <c r="A392">
        <f>'AARnetCBR-CamDTN1_tcpmon_ts_11'!A406</f>
        <v>0</v>
      </c>
      <c r="C392">
        <f>'AARnetCBR-CamDTN1_tcpmon_ts_11'!C406</f>
        <v>0</v>
      </c>
      <c r="D392">
        <f>'AARnetCBR-CamDTN1_tcpmon_ts_21'!C406+'AARnetCBR-CamDTN1_tcpmon_ts_22'!C406</f>
        <v>0</v>
      </c>
      <c r="E392">
        <f>'AARnetCBR-CamDTN1_tcpmon_ts_31'!C406+'AARnetCBR-CamDTN1_tcpmon_ts_32'!C406+'AARnetCBR-CamDTN1_tcpmon_ts_33'!C406</f>
        <v>0</v>
      </c>
      <c r="F392">
        <f>'AARnetCBR-CamDTN1_tcpmon_ts_41'!C406+'AARnetCBR-CamDTN1_tcpmon_ts_42'!C406+'AARnetCBR-CamDTN1_tcpmon_ts_43'!C406+'AARnetCBR-CamDTN1_tcpmon_ts_44'!C406</f>
        <v>0</v>
      </c>
      <c r="L392">
        <f>'AARnetCBR-CamDTN1_tcpmon_ts_11'!D392</f>
        <v>0</v>
      </c>
      <c r="M392">
        <f>'AARnetCBR-CamDTN1_tcpmon_ts_21'!D392+'AARnetCBR-CamDTN1_tcpmon_ts_22'!D392</f>
        <v>0</v>
      </c>
      <c r="N392">
        <f>'AARnetCBR-CamDTN1_tcpmon_ts_31'!D392+'AARnetCBR-CamDTN1_tcpmon_ts_32'!D392+'AARnetCBR-CamDTN1_tcpmon_ts_33'!D392</f>
        <v>0</v>
      </c>
      <c r="O392">
        <f>'AARnetCBR-CamDTN1_tcpmon_ts_41'!D392+'AARnetCBR-CamDTN1_tcpmon_ts_42'!D392+'AARnetCBR-CamDTN1_tcpmon_ts_43'!D392+'AARnetCBR-CamDTN1_tcpmon_ts_44'!D392</f>
        <v>0</v>
      </c>
      <c r="P392">
        <f>'AARnetCBR-CamDTN1_tcpmon_ts_51'!D392+'AARnetCBR-CamDTN1_tcpmon_ts_52'!D392+'AARnetCBR-CamDTN1_tcpmon_ts_53'!D392+'AARnetCBR-CamDTN1_tcpmon_ts_54'!D392+'AARnetCBR-CamDTN1_tcpmon_ts_55'!D392</f>
        <v>0</v>
      </c>
    </row>
    <row r="393" spans="1:16">
      <c r="A393">
        <f>'AARnetCBR-CamDTN1_tcpmon_ts_11'!A407</f>
        <v>0</v>
      </c>
      <c r="C393">
        <f>'AARnetCBR-CamDTN1_tcpmon_ts_11'!C407</f>
        <v>0</v>
      </c>
      <c r="D393">
        <f>'AARnetCBR-CamDTN1_tcpmon_ts_21'!C407+'AARnetCBR-CamDTN1_tcpmon_ts_22'!C407</f>
        <v>0</v>
      </c>
      <c r="E393">
        <f>'AARnetCBR-CamDTN1_tcpmon_ts_31'!C407+'AARnetCBR-CamDTN1_tcpmon_ts_32'!C407+'AARnetCBR-CamDTN1_tcpmon_ts_33'!C407</f>
        <v>0</v>
      </c>
      <c r="F393">
        <f>'AARnetCBR-CamDTN1_tcpmon_ts_41'!C407+'AARnetCBR-CamDTN1_tcpmon_ts_42'!C407+'AARnetCBR-CamDTN1_tcpmon_ts_43'!C407+'AARnetCBR-CamDTN1_tcpmon_ts_44'!C407</f>
        <v>0</v>
      </c>
      <c r="L393">
        <f>'AARnetCBR-CamDTN1_tcpmon_ts_11'!D393</f>
        <v>0</v>
      </c>
      <c r="M393">
        <f>'AARnetCBR-CamDTN1_tcpmon_ts_21'!D393+'AARnetCBR-CamDTN1_tcpmon_ts_22'!D393</f>
        <v>0</v>
      </c>
      <c r="N393">
        <f>'AARnetCBR-CamDTN1_tcpmon_ts_31'!D393+'AARnetCBR-CamDTN1_tcpmon_ts_32'!D393+'AARnetCBR-CamDTN1_tcpmon_ts_33'!D393</f>
        <v>0</v>
      </c>
      <c r="O393">
        <f>'AARnetCBR-CamDTN1_tcpmon_ts_41'!D393+'AARnetCBR-CamDTN1_tcpmon_ts_42'!D393+'AARnetCBR-CamDTN1_tcpmon_ts_43'!D393+'AARnetCBR-CamDTN1_tcpmon_ts_44'!D393</f>
        <v>0</v>
      </c>
      <c r="P393">
        <f>'AARnetCBR-CamDTN1_tcpmon_ts_51'!D393+'AARnetCBR-CamDTN1_tcpmon_ts_52'!D393+'AARnetCBR-CamDTN1_tcpmon_ts_53'!D393+'AARnetCBR-CamDTN1_tcpmon_ts_54'!D393+'AARnetCBR-CamDTN1_tcpmon_ts_55'!D393</f>
        <v>0</v>
      </c>
    </row>
    <row r="394" spans="1:16">
      <c r="A394">
        <f>'AARnetCBR-CamDTN1_tcpmon_ts_11'!A408</f>
        <v>0</v>
      </c>
      <c r="C394">
        <f>'AARnetCBR-CamDTN1_tcpmon_ts_11'!C408</f>
        <v>0</v>
      </c>
      <c r="D394">
        <f>'AARnetCBR-CamDTN1_tcpmon_ts_21'!C408+'AARnetCBR-CamDTN1_tcpmon_ts_22'!C408</f>
        <v>0</v>
      </c>
      <c r="E394">
        <f>'AARnetCBR-CamDTN1_tcpmon_ts_31'!C408+'AARnetCBR-CamDTN1_tcpmon_ts_32'!C408+'AARnetCBR-CamDTN1_tcpmon_ts_33'!C408</f>
        <v>0</v>
      </c>
      <c r="F394">
        <f>'AARnetCBR-CamDTN1_tcpmon_ts_41'!C408+'AARnetCBR-CamDTN1_tcpmon_ts_42'!C408+'AARnetCBR-CamDTN1_tcpmon_ts_43'!C408+'AARnetCBR-CamDTN1_tcpmon_ts_44'!C408</f>
        <v>0</v>
      </c>
      <c r="L394">
        <f>'AARnetCBR-CamDTN1_tcpmon_ts_11'!D394</f>
        <v>0</v>
      </c>
      <c r="M394">
        <f>'AARnetCBR-CamDTN1_tcpmon_ts_21'!D394+'AARnetCBR-CamDTN1_tcpmon_ts_22'!D394</f>
        <v>0</v>
      </c>
      <c r="N394">
        <f>'AARnetCBR-CamDTN1_tcpmon_ts_31'!D394+'AARnetCBR-CamDTN1_tcpmon_ts_32'!D394+'AARnetCBR-CamDTN1_tcpmon_ts_33'!D394</f>
        <v>0</v>
      </c>
      <c r="O394">
        <f>'AARnetCBR-CamDTN1_tcpmon_ts_41'!D394+'AARnetCBR-CamDTN1_tcpmon_ts_42'!D394+'AARnetCBR-CamDTN1_tcpmon_ts_43'!D394+'AARnetCBR-CamDTN1_tcpmon_ts_44'!D394</f>
        <v>0</v>
      </c>
      <c r="P394">
        <f>'AARnetCBR-CamDTN1_tcpmon_ts_51'!D394+'AARnetCBR-CamDTN1_tcpmon_ts_52'!D394+'AARnetCBR-CamDTN1_tcpmon_ts_53'!D394+'AARnetCBR-CamDTN1_tcpmon_ts_54'!D394+'AARnetCBR-CamDTN1_tcpmon_ts_55'!D394</f>
        <v>0</v>
      </c>
    </row>
    <row r="395" spans="1:16">
      <c r="A395">
        <f>'AARnetCBR-CamDTN1_tcpmon_ts_11'!A409</f>
        <v>0</v>
      </c>
      <c r="C395">
        <f>'AARnetCBR-CamDTN1_tcpmon_ts_11'!C409</f>
        <v>0</v>
      </c>
      <c r="D395">
        <f>'AARnetCBR-CamDTN1_tcpmon_ts_21'!C409+'AARnetCBR-CamDTN1_tcpmon_ts_22'!C409</f>
        <v>0</v>
      </c>
      <c r="E395">
        <f>'AARnetCBR-CamDTN1_tcpmon_ts_31'!C409+'AARnetCBR-CamDTN1_tcpmon_ts_32'!C409+'AARnetCBR-CamDTN1_tcpmon_ts_33'!C409</f>
        <v>0</v>
      </c>
      <c r="F395">
        <f>'AARnetCBR-CamDTN1_tcpmon_ts_41'!C409+'AARnetCBR-CamDTN1_tcpmon_ts_42'!C409+'AARnetCBR-CamDTN1_tcpmon_ts_43'!C409+'AARnetCBR-CamDTN1_tcpmon_ts_44'!C409</f>
        <v>0</v>
      </c>
      <c r="L395">
        <f>'AARnetCBR-CamDTN1_tcpmon_ts_11'!D395</f>
        <v>0</v>
      </c>
      <c r="M395">
        <f>'AARnetCBR-CamDTN1_tcpmon_ts_21'!D395+'AARnetCBR-CamDTN1_tcpmon_ts_22'!D395</f>
        <v>0</v>
      </c>
      <c r="N395">
        <f>'AARnetCBR-CamDTN1_tcpmon_ts_31'!D395+'AARnetCBR-CamDTN1_tcpmon_ts_32'!D395+'AARnetCBR-CamDTN1_tcpmon_ts_33'!D395</f>
        <v>0</v>
      </c>
      <c r="O395">
        <f>'AARnetCBR-CamDTN1_tcpmon_ts_41'!D395+'AARnetCBR-CamDTN1_tcpmon_ts_42'!D395+'AARnetCBR-CamDTN1_tcpmon_ts_43'!D395+'AARnetCBR-CamDTN1_tcpmon_ts_44'!D395</f>
        <v>0</v>
      </c>
      <c r="P395">
        <f>'AARnetCBR-CamDTN1_tcpmon_ts_51'!D395+'AARnetCBR-CamDTN1_tcpmon_ts_52'!D395+'AARnetCBR-CamDTN1_tcpmon_ts_53'!D395+'AARnetCBR-CamDTN1_tcpmon_ts_54'!D395+'AARnetCBR-CamDTN1_tcpmon_ts_55'!D395</f>
        <v>0</v>
      </c>
    </row>
    <row r="396" spans="1:16">
      <c r="A396">
        <f>'AARnetCBR-CamDTN1_tcpmon_ts_11'!A410</f>
        <v>0</v>
      </c>
      <c r="C396">
        <f>'AARnetCBR-CamDTN1_tcpmon_ts_11'!C410</f>
        <v>0</v>
      </c>
      <c r="D396">
        <f>'AARnetCBR-CamDTN1_tcpmon_ts_21'!C410+'AARnetCBR-CamDTN1_tcpmon_ts_22'!C410</f>
        <v>0</v>
      </c>
      <c r="E396">
        <f>'AARnetCBR-CamDTN1_tcpmon_ts_31'!C410+'AARnetCBR-CamDTN1_tcpmon_ts_32'!C410+'AARnetCBR-CamDTN1_tcpmon_ts_33'!C410</f>
        <v>0</v>
      </c>
      <c r="F396">
        <f>'AARnetCBR-CamDTN1_tcpmon_ts_41'!C410+'AARnetCBR-CamDTN1_tcpmon_ts_42'!C410+'AARnetCBR-CamDTN1_tcpmon_ts_43'!C410+'AARnetCBR-CamDTN1_tcpmon_ts_44'!C410</f>
        <v>0</v>
      </c>
      <c r="L396">
        <f>'AARnetCBR-CamDTN1_tcpmon_ts_11'!D396</f>
        <v>0</v>
      </c>
      <c r="M396">
        <f>'AARnetCBR-CamDTN1_tcpmon_ts_21'!D396+'AARnetCBR-CamDTN1_tcpmon_ts_22'!D396</f>
        <v>0</v>
      </c>
      <c r="N396">
        <f>'AARnetCBR-CamDTN1_tcpmon_ts_31'!D396+'AARnetCBR-CamDTN1_tcpmon_ts_32'!D396+'AARnetCBR-CamDTN1_tcpmon_ts_33'!D396</f>
        <v>0</v>
      </c>
      <c r="O396">
        <f>'AARnetCBR-CamDTN1_tcpmon_ts_41'!D396+'AARnetCBR-CamDTN1_tcpmon_ts_42'!D396+'AARnetCBR-CamDTN1_tcpmon_ts_43'!D396+'AARnetCBR-CamDTN1_tcpmon_ts_44'!D396</f>
        <v>0</v>
      </c>
      <c r="P396">
        <f>'AARnetCBR-CamDTN1_tcpmon_ts_51'!D396+'AARnetCBR-CamDTN1_tcpmon_ts_52'!D396+'AARnetCBR-CamDTN1_tcpmon_ts_53'!D396+'AARnetCBR-CamDTN1_tcpmon_ts_54'!D396+'AARnetCBR-CamDTN1_tcpmon_ts_55'!D396</f>
        <v>0</v>
      </c>
    </row>
    <row r="397" spans="1:16">
      <c r="A397">
        <f>'AARnetCBR-CamDTN1_tcpmon_ts_11'!A411</f>
        <v>0</v>
      </c>
      <c r="C397">
        <f>'AARnetCBR-CamDTN1_tcpmon_ts_11'!C411</f>
        <v>0</v>
      </c>
      <c r="D397">
        <f>'AARnetCBR-CamDTN1_tcpmon_ts_21'!C411+'AARnetCBR-CamDTN1_tcpmon_ts_22'!C411</f>
        <v>0</v>
      </c>
      <c r="E397">
        <f>'AARnetCBR-CamDTN1_tcpmon_ts_31'!C411+'AARnetCBR-CamDTN1_tcpmon_ts_32'!C411+'AARnetCBR-CamDTN1_tcpmon_ts_33'!C411</f>
        <v>0</v>
      </c>
      <c r="F397">
        <f>'AARnetCBR-CamDTN1_tcpmon_ts_41'!C411+'AARnetCBR-CamDTN1_tcpmon_ts_42'!C411+'AARnetCBR-CamDTN1_tcpmon_ts_43'!C411+'AARnetCBR-CamDTN1_tcpmon_ts_44'!C411</f>
        <v>0</v>
      </c>
      <c r="L397">
        <f>'AARnetCBR-CamDTN1_tcpmon_ts_11'!D397</f>
        <v>0</v>
      </c>
      <c r="M397">
        <f>'AARnetCBR-CamDTN1_tcpmon_ts_21'!D397+'AARnetCBR-CamDTN1_tcpmon_ts_22'!D397</f>
        <v>0</v>
      </c>
      <c r="N397">
        <f>'AARnetCBR-CamDTN1_tcpmon_ts_31'!D397+'AARnetCBR-CamDTN1_tcpmon_ts_32'!D397+'AARnetCBR-CamDTN1_tcpmon_ts_33'!D397</f>
        <v>0</v>
      </c>
      <c r="O397">
        <f>'AARnetCBR-CamDTN1_tcpmon_ts_41'!D397+'AARnetCBR-CamDTN1_tcpmon_ts_42'!D397+'AARnetCBR-CamDTN1_tcpmon_ts_43'!D397+'AARnetCBR-CamDTN1_tcpmon_ts_44'!D397</f>
        <v>0</v>
      </c>
      <c r="P397">
        <f>'AARnetCBR-CamDTN1_tcpmon_ts_51'!D397+'AARnetCBR-CamDTN1_tcpmon_ts_52'!D397+'AARnetCBR-CamDTN1_tcpmon_ts_53'!D397+'AARnetCBR-CamDTN1_tcpmon_ts_54'!D397+'AARnetCBR-CamDTN1_tcpmon_ts_55'!D397</f>
        <v>0</v>
      </c>
    </row>
    <row r="398" spans="1:16">
      <c r="A398">
        <f>'AARnetCBR-CamDTN1_tcpmon_ts_11'!A412</f>
        <v>0</v>
      </c>
      <c r="C398">
        <f>'AARnetCBR-CamDTN1_tcpmon_ts_11'!C412</f>
        <v>0</v>
      </c>
      <c r="D398">
        <f>'AARnetCBR-CamDTN1_tcpmon_ts_21'!C412+'AARnetCBR-CamDTN1_tcpmon_ts_22'!C412</f>
        <v>0</v>
      </c>
      <c r="E398">
        <f>'AARnetCBR-CamDTN1_tcpmon_ts_31'!C412+'AARnetCBR-CamDTN1_tcpmon_ts_32'!C412+'AARnetCBR-CamDTN1_tcpmon_ts_33'!C412</f>
        <v>0</v>
      </c>
      <c r="F398">
        <f>'AARnetCBR-CamDTN1_tcpmon_ts_41'!C412+'AARnetCBR-CamDTN1_tcpmon_ts_42'!C412+'AARnetCBR-CamDTN1_tcpmon_ts_43'!C412+'AARnetCBR-CamDTN1_tcpmon_ts_44'!C412</f>
        <v>0</v>
      </c>
      <c r="L398">
        <f>'AARnetCBR-CamDTN1_tcpmon_ts_11'!D398</f>
        <v>0</v>
      </c>
      <c r="M398">
        <f>'AARnetCBR-CamDTN1_tcpmon_ts_21'!D398+'AARnetCBR-CamDTN1_tcpmon_ts_22'!D398</f>
        <v>0</v>
      </c>
      <c r="N398">
        <f>'AARnetCBR-CamDTN1_tcpmon_ts_31'!D398+'AARnetCBR-CamDTN1_tcpmon_ts_32'!D398+'AARnetCBR-CamDTN1_tcpmon_ts_33'!D398</f>
        <v>0</v>
      </c>
      <c r="O398">
        <f>'AARnetCBR-CamDTN1_tcpmon_ts_41'!D398+'AARnetCBR-CamDTN1_tcpmon_ts_42'!D398+'AARnetCBR-CamDTN1_tcpmon_ts_43'!D398+'AARnetCBR-CamDTN1_tcpmon_ts_44'!D398</f>
        <v>0</v>
      </c>
      <c r="P398">
        <f>'AARnetCBR-CamDTN1_tcpmon_ts_51'!D398+'AARnetCBR-CamDTN1_tcpmon_ts_52'!D398+'AARnetCBR-CamDTN1_tcpmon_ts_53'!D398+'AARnetCBR-CamDTN1_tcpmon_ts_54'!D398+'AARnetCBR-CamDTN1_tcpmon_ts_55'!D398</f>
        <v>0</v>
      </c>
    </row>
    <row r="399" spans="1:16">
      <c r="A399">
        <f>'AARnetCBR-CamDTN1_tcpmon_ts_11'!A413</f>
        <v>0</v>
      </c>
      <c r="C399">
        <f>'AARnetCBR-CamDTN1_tcpmon_ts_11'!C413</f>
        <v>0</v>
      </c>
      <c r="D399">
        <f>'AARnetCBR-CamDTN1_tcpmon_ts_21'!C413+'AARnetCBR-CamDTN1_tcpmon_ts_22'!C413</f>
        <v>0</v>
      </c>
      <c r="E399">
        <f>'AARnetCBR-CamDTN1_tcpmon_ts_31'!C413+'AARnetCBR-CamDTN1_tcpmon_ts_32'!C413+'AARnetCBR-CamDTN1_tcpmon_ts_33'!C413</f>
        <v>0</v>
      </c>
      <c r="F399">
        <f>'AARnetCBR-CamDTN1_tcpmon_ts_41'!C413+'AARnetCBR-CamDTN1_tcpmon_ts_42'!C413+'AARnetCBR-CamDTN1_tcpmon_ts_43'!C413+'AARnetCBR-CamDTN1_tcpmon_ts_44'!C413</f>
        <v>0</v>
      </c>
      <c r="L399">
        <f>'AARnetCBR-CamDTN1_tcpmon_ts_11'!D399</f>
        <v>0</v>
      </c>
      <c r="M399">
        <f>'AARnetCBR-CamDTN1_tcpmon_ts_21'!D399+'AARnetCBR-CamDTN1_tcpmon_ts_22'!D399</f>
        <v>0</v>
      </c>
      <c r="N399">
        <f>'AARnetCBR-CamDTN1_tcpmon_ts_31'!D399+'AARnetCBR-CamDTN1_tcpmon_ts_32'!D399+'AARnetCBR-CamDTN1_tcpmon_ts_33'!D399</f>
        <v>0</v>
      </c>
      <c r="O399">
        <f>'AARnetCBR-CamDTN1_tcpmon_ts_41'!D399+'AARnetCBR-CamDTN1_tcpmon_ts_42'!D399+'AARnetCBR-CamDTN1_tcpmon_ts_43'!D399+'AARnetCBR-CamDTN1_tcpmon_ts_44'!D399</f>
        <v>0</v>
      </c>
      <c r="P399">
        <f>'AARnetCBR-CamDTN1_tcpmon_ts_51'!D399+'AARnetCBR-CamDTN1_tcpmon_ts_52'!D399+'AARnetCBR-CamDTN1_tcpmon_ts_53'!D399+'AARnetCBR-CamDTN1_tcpmon_ts_54'!D399+'AARnetCBR-CamDTN1_tcpmon_ts_55'!D399</f>
        <v>0</v>
      </c>
    </row>
    <row r="400" spans="1:16">
      <c r="A400">
        <f>'AARnetCBR-CamDTN1_tcpmon_ts_11'!A414</f>
        <v>0</v>
      </c>
      <c r="C400">
        <f>'AARnetCBR-CamDTN1_tcpmon_ts_11'!C414</f>
        <v>0</v>
      </c>
      <c r="D400">
        <f>'AARnetCBR-CamDTN1_tcpmon_ts_21'!C414+'AARnetCBR-CamDTN1_tcpmon_ts_22'!C414</f>
        <v>0</v>
      </c>
      <c r="E400">
        <f>'AARnetCBR-CamDTN1_tcpmon_ts_31'!C414+'AARnetCBR-CamDTN1_tcpmon_ts_32'!C414+'AARnetCBR-CamDTN1_tcpmon_ts_33'!C414</f>
        <v>0</v>
      </c>
      <c r="F400">
        <f>'AARnetCBR-CamDTN1_tcpmon_ts_41'!C414+'AARnetCBR-CamDTN1_tcpmon_ts_42'!C414+'AARnetCBR-CamDTN1_tcpmon_ts_43'!C414+'AARnetCBR-CamDTN1_tcpmon_ts_44'!C414</f>
        <v>0</v>
      </c>
      <c r="L400">
        <f>'AARnetCBR-CamDTN1_tcpmon_ts_11'!D400</f>
        <v>0</v>
      </c>
      <c r="M400">
        <f>'AARnetCBR-CamDTN1_tcpmon_ts_21'!D400+'AARnetCBR-CamDTN1_tcpmon_ts_22'!D400</f>
        <v>0</v>
      </c>
      <c r="N400">
        <f>'AARnetCBR-CamDTN1_tcpmon_ts_31'!D400+'AARnetCBR-CamDTN1_tcpmon_ts_32'!D400+'AARnetCBR-CamDTN1_tcpmon_ts_33'!D400</f>
        <v>0</v>
      </c>
      <c r="O400">
        <f>'AARnetCBR-CamDTN1_tcpmon_ts_41'!D400+'AARnetCBR-CamDTN1_tcpmon_ts_42'!D400+'AARnetCBR-CamDTN1_tcpmon_ts_43'!D400+'AARnetCBR-CamDTN1_tcpmon_ts_44'!D400</f>
        <v>0</v>
      </c>
      <c r="P400">
        <f>'AARnetCBR-CamDTN1_tcpmon_ts_51'!D400+'AARnetCBR-CamDTN1_tcpmon_ts_52'!D400+'AARnetCBR-CamDTN1_tcpmon_ts_53'!D400+'AARnetCBR-CamDTN1_tcpmon_ts_54'!D400+'AARnetCBR-CamDTN1_tcpmon_ts_55'!D400</f>
        <v>0</v>
      </c>
    </row>
    <row r="401" spans="1:16">
      <c r="A401">
        <f>'AARnetCBR-CamDTN1_tcpmon_ts_11'!A415</f>
        <v>0</v>
      </c>
      <c r="C401">
        <f>'AARnetCBR-CamDTN1_tcpmon_ts_11'!C415</f>
        <v>0</v>
      </c>
      <c r="D401">
        <f>'AARnetCBR-CamDTN1_tcpmon_ts_21'!C415+'AARnetCBR-CamDTN1_tcpmon_ts_22'!C415</f>
        <v>0</v>
      </c>
      <c r="E401">
        <f>'AARnetCBR-CamDTN1_tcpmon_ts_31'!C415+'AARnetCBR-CamDTN1_tcpmon_ts_32'!C415+'AARnetCBR-CamDTN1_tcpmon_ts_33'!C415</f>
        <v>0</v>
      </c>
      <c r="F401">
        <f>'AARnetCBR-CamDTN1_tcpmon_ts_41'!C415+'AARnetCBR-CamDTN1_tcpmon_ts_42'!C415+'AARnetCBR-CamDTN1_tcpmon_ts_43'!C415+'AARnetCBR-CamDTN1_tcpmon_ts_44'!C415</f>
        <v>0</v>
      </c>
      <c r="L401">
        <f>'AARnetCBR-CamDTN1_tcpmon_ts_11'!D401</f>
        <v>0</v>
      </c>
      <c r="M401">
        <f>'AARnetCBR-CamDTN1_tcpmon_ts_21'!D401+'AARnetCBR-CamDTN1_tcpmon_ts_22'!D401</f>
        <v>0</v>
      </c>
      <c r="N401">
        <f>'AARnetCBR-CamDTN1_tcpmon_ts_31'!D401+'AARnetCBR-CamDTN1_tcpmon_ts_32'!D401+'AARnetCBR-CamDTN1_tcpmon_ts_33'!D401</f>
        <v>0</v>
      </c>
      <c r="O401">
        <f>'AARnetCBR-CamDTN1_tcpmon_ts_41'!D401+'AARnetCBR-CamDTN1_tcpmon_ts_42'!D401+'AARnetCBR-CamDTN1_tcpmon_ts_43'!D401+'AARnetCBR-CamDTN1_tcpmon_ts_44'!D401</f>
        <v>0</v>
      </c>
      <c r="P401">
        <f>'AARnetCBR-CamDTN1_tcpmon_ts_51'!D401+'AARnetCBR-CamDTN1_tcpmon_ts_52'!D401+'AARnetCBR-CamDTN1_tcpmon_ts_53'!D401+'AARnetCBR-CamDTN1_tcpmon_ts_54'!D401+'AARnetCBR-CamDTN1_tcpmon_ts_55'!D401</f>
        <v>0</v>
      </c>
    </row>
    <row r="402" spans="1:16">
      <c r="A402">
        <f>'AARnetCBR-CamDTN1_tcpmon_ts_11'!A416</f>
        <v>0</v>
      </c>
      <c r="C402">
        <f>'AARnetCBR-CamDTN1_tcpmon_ts_11'!C416</f>
        <v>0</v>
      </c>
      <c r="D402">
        <f>'AARnetCBR-CamDTN1_tcpmon_ts_21'!C416+'AARnetCBR-CamDTN1_tcpmon_ts_22'!C416</f>
        <v>0</v>
      </c>
      <c r="E402">
        <f>'AARnetCBR-CamDTN1_tcpmon_ts_31'!C416+'AARnetCBR-CamDTN1_tcpmon_ts_32'!C416+'AARnetCBR-CamDTN1_tcpmon_ts_33'!C416</f>
        <v>0</v>
      </c>
      <c r="F402">
        <f>'AARnetCBR-CamDTN1_tcpmon_ts_41'!C416+'AARnetCBR-CamDTN1_tcpmon_ts_42'!C416+'AARnetCBR-CamDTN1_tcpmon_ts_43'!C416+'AARnetCBR-CamDTN1_tcpmon_ts_44'!C416</f>
        <v>0</v>
      </c>
      <c r="L402">
        <f>'AARnetCBR-CamDTN1_tcpmon_ts_11'!D402</f>
        <v>0</v>
      </c>
      <c r="M402">
        <f>'AARnetCBR-CamDTN1_tcpmon_ts_21'!D402+'AARnetCBR-CamDTN1_tcpmon_ts_22'!D402</f>
        <v>0</v>
      </c>
      <c r="N402">
        <f>'AARnetCBR-CamDTN1_tcpmon_ts_31'!D402+'AARnetCBR-CamDTN1_tcpmon_ts_32'!D402+'AARnetCBR-CamDTN1_tcpmon_ts_33'!D402</f>
        <v>0</v>
      </c>
      <c r="O402">
        <f>'AARnetCBR-CamDTN1_tcpmon_ts_41'!D402+'AARnetCBR-CamDTN1_tcpmon_ts_42'!D402+'AARnetCBR-CamDTN1_tcpmon_ts_43'!D402+'AARnetCBR-CamDTN1_tcpmon_ts_44'!D402</f>
        <v>0</v>
      </c>
      <c r="P402">
        <f>'AARnetCBR-CamDTN1_tcpmon_ts_51'!D402+'AARnetCBR-CamDTN1_tcpmon_ts_52'!D402+'AARnetCBR-CamDTN1_tcpmon_ts_53'!D402+'AARnetCBR-CamDTN1_tcpmon_ts_54'!D402+'AARnetCBR-CamDTN1_tcpmon_ts_55'!D402</f>
        <v>0</v>
      </c>
    </row>
    <row r="403" spans="1:16">
      <c r="A403">
        <f>'AARnetCBR-CamDTN1_tcpmon_ts_11'!A417</f>
        <v>0</v>
      </c>
      <c r="C403">
        <f>'AARnetCBR-CamDTN1_tcpmon_ts_11'!C417</f>
        <v>0</v>
      </c>
      <c r="D403">
        <f>'AARnetCBR-CamDTN1_tcpmon_ts_21'!C417+'AARnetCBR-CamDTN1_tcpmon_ts_22'!C417</f>
        <v>0</v>
      </c>
      <c r="E403">
        <f>'AARnetCBR-CamDTN1_tcpmon_ts_31'!C417+'AARnetCBR-CamDTN1_tcpmon_ts_32'!C417+'AARnetCBR-CamDTN1_tcpmon_ts_33'!C417</f>
        <v>0</v>
      </c>
      <c r="F403">
        <f>'AARnetCBR-CamDTN1_tcpmon_ts_41'!C417+'AARnetCBR-CamDTN1_tcpmon_ts_42'!C417+'AARnetCBR-CamDTN1_tcpmon_ts_43'!C417+'AARnetCBR-CamDTN1_tcpmon_ts_44'!C417</f>
        <v>0</v>
      </c>
      <c r="L403">
        <f>'AARnetCBR-CamDTN1_tcpmon_ts_11'!D403</f>
        <v>0</v>
      </c>
      <c r="M403">
        <f>'AARnetCBR-CamDTN1_tcpmon_ts_21'!D403+'AARnetCBR-CamDTN1_tcpmon_ts_22'!D403</f>
        <v>0</v>
      </c>
      <c r="N403">
        <f>'AARnetCBR-CamDTN1_tcpmon_ts_31'!D403+'AARnetCBR-CamDTN1_tcpmon_ts_32'!D403+'AARnetCBR-CamDTN1_tcpmon_ts_33'!D403</f>
        <v>0</v>
      </c>
      <c r="O403">
        <f>'AARnetCBR-CamDTN1_tcpmon_ts_41'!D403+'AARnetCBR-CamDTN1_tcpmon_ts_42'!D403+'AARnetCBR-CamDTN1_tcpmon_ts_43'!D403+'AARnetCBR-CamDTN1_tcpmon_ts_44'!D403</f>
        <v>0</v>
      </c>
      <c r="P403">
        <f>'AARnetCBR-CamDTN1_tcpmon_ts_51'!D403+'AARnetCBR-CamDTN1_tcpmon_ts_52'!D403+'AARnetCBR-CamDTN1_tcpmon_ts_53'!D403+'AARnetCBR-CamDTN1_tcpmon_ts_54'!D403+'AARnetCBR-CamDTN1_tcpmon_ts_55'!D403</f>
        <v>0</v>
      </c>
    </row>
    <row r="404" spans="1:16">
      <c r="A404">
        <f>'AARnetCBR-CamDTN1_tcpmon_ts_11'!A418</f>
        <v>0</v>
      </c>
      <c r="C404">
        <f>'AARnetCBR-CamDTN1_tcpmon_ts_11'!C418</f>
        <v>0</v>
      </c>
      <c r="D404">
        <f>'AARnetCBR-CamDTN1_tcpmon_ts_21'!C418+'AARnetCBR-CamDTN1_tcpmon_ts_22'!C418</f>
        <v>0</v>
      </c>
      <c r="E404">
        <f>'AARnetCBR-CamDTN1_tcpmon_ts_31'!C418+'AARnetCBR-CamDTN1_tcpmon_ts_32'!C418+'AARnetCBR-CamDTN1_tcpmon_ts_33'!C418</f>
        <v>0</v>
      </c>
      <c r="F404">
        <f>'AARnetCBR-CamDTN1_tcpmon_ts_41'!C418+'AARnetCBR-CamDTN1_tcpmon_ts_42'!C418+'AARnetCBR-CamDTN1_tcpmon_ts_43'!C418+'AARnetCBR-CamDTN1_tcpmon_ts_44'!C418</f>
        <v>0</v>
      </c>
      <c r="L404">
        <f>'AARnetCBR-CamDTN1_tcpmon_ts_11'!D404</f>
        <v>0</v>
      </c>
      <c r="M404">
        <f>'AARnetCBR-CamDTN1_tcpmon_ts_21'!D404+'AARnetCBR-CamDTN1_tcpmon_ts_22'!D404</f>
        <v>0</v>
      </c>
      <c r="N404">
        <f>'AARnetCBR-CamDTN1_tcpmon_ts_31'!D404+'AARnetCBR-CamDTN1_tcpmon_ts_32'!D404+'AARnetCBR-CamDTN1_tcpmon_ts_33'!D404</f>
        <v>0</v>
      </c>
      <c r="O404">
        <f>'AARnetCBR-CamDTN1_tcpmon_ts_41'!D404+'AARnetCBR-CamDTN1_tcpmon_ts_42'!D404+'AARnetCBR-CamDTN1_tcpmon_ts_43'!D404+'AARnetCBR-CamDTN1_tcpmon_ts_44'!D404</f>
        <v>0</v>
      </c>
      <c r="P404">
        <f>'AARnetCBR-CamDTN1_tcpmon_ts_51'!D404+'AARnetCBR-CamDTN1_tcpmon_ts_52'!D404+'AARnetCBR-CamDTN1_tcpmon_ts_53'!D404+'AARnetCBR-CamDTN1_tcpmon_ts_54'!D404+'AARnetCBR-CamDTN1_tcpmon_ts_55'!D404</f>
        <v>0</v>
      </c>
    </row>
    <row r="405" spans="1:16">
      <c r="A405">
        <f>'AARnetCBR-CamDTN1_tcpmon_ts_11'!A419</f>
        <v>0</v>
      </c>
      <c r="C405">
        <f>'AARnetCBR-CamDTN1_tcpmon_ts_11'!C419</f>
        <v>0</v>
      </c>
      <c r="D405">
        <f>'AARnetCBR-CamDTN1_tcpmon_ts_21'!C419+'AARnetCBR-CamDTN1_tcpmon_ts_22'!C419</f>
        <v>0</v>
      </c>
      <c r="E405">
        <f>'AARnetCBR-CamDTN1_tcpmon_ts_31'!C419+'AARnetCBR-CamDTN1_tcpmon_ts_32'!C419+'AARnetCBR-CamDTN1_tcpmon_ts_33'!C419</f>
        <v>0</v>
      </c>
      <c r="F405">
        <f>'AARnetCBR-CamDTN1_tcpmon_ts_41'!C419+'AARnetCBR-CamDTN1_tcpmon_ts_42'!C419+'AARnetCBR-CamDTN1_tcpmon_ts_43'!C419+'AARnetCBR-CamDTN1_tcpmon_ts_44'!C419</f>
        <v>0</v>
      </c>
      <c r="L405">
        <f>'AARnetCBR-CamDTN1_tcpmon_ts_11'!D405</f>
        <v>0</v>
      </c>
      <c r="M405">
        <f>'AARnetCBR-CamDTN1_tcpmon_ts_21'!D405+'AARnetCBR-CamDTN1_tcpmon_ts_22'!D405</f>
        <v>0</v>
      </c>
      <c r="N405">
        <f>'AARnetCBR-CamDTN1_tcpmon_ts_31'!D405+'AARnetCBR-CamDTN1_tcpmon_ts_32'!D405+'AARnetCBR-CamDTN1_tcpmon_ts_33'!D405</f>
        <v>0</v>
      </c>
      <c r="O405">
        <f>'AARnetCBR-CamDTN1_tcpmon_ts_41'!D405+'AARnetCBR-CamDTN1_tcpmon_ts_42'!D405+'AARnetCBR-CamDTN1_tcpmon_ts_43'!D405+'AARnetCBR-CamDTN1_tcpmon_ts_44'!D405</f>
        <v>0</v>
      </c>
      <c r="P405">
        <f>'AARnetCBR-CamDTN1_tcpmon_ts_51'!D405+'AARnetCBR-CamDTN1_tcpmon_ts_52'!D405+'AARnetCBR-CamDTN1_tcpmon_ts_53'!D405+'AARnetCBR-CamDTN1_tcpmon_ts_54'!D405+'AARnetCBR-CamDTN1_tcpmon_ts_55'!D405</f>
        <v>0</v>
      </c>
    </row>
    <row r="406" spans="1:16">
      <c r="A406">
        <f>'AARnetCBR-CamDTN1_tcpmon_ts_11'!A420</f>
        <v>0</v>
      </c>
      <c r="C406">
        <f>'AARnetCBR-CamDTN1_tcpmon_ts_11'!C420</f>
        <v>0</v>
      </c>
      <c r="D406">
        <f>'AARnetCBR-CamDTN1_tcpmon_ts_21'!C420+'AARnetCBR-CamDTN1_tcpmon_ts_22'!C420</f>
        <v>0</v>
      </c>
      <c r="E406">
        <f>'AARnetCBR-CamDTN1_tcpmon_ts_31'!C420+'AARnetCBR-CamDTN1_tcpmon_ts_32'!C420+'AARnetCBR-CamDTN1_tcpmon_ts_33'!C420</f>
        <v>0</v>
      </c>
      <c r="F406">
        <f>'AARnetCBR-CamDTN1_tcpmon_ts_41'!C420+'AARnetCBR-CamDTN1_tcpmon_ts_42'!C420+'AARnetCBR-CamDTN1_tcpmon_ts_43'!C420+'AARnetCBR-CamDTN1_tcpmon_ts_44'!C420</f>
        <v>0</v>
      </c>
      <c r="L406">
        <f>'AARnetCBR-CamDTN1_tcpmon_ts_11'!D406</f>
        <v>0</v>
      </c>
      <c r="M406">
        <f>'AARnetCBR-CamDTN1_tcpmon_ts_21'!D406+'AARnetCBR-CamDTN1_tcpmon_ts_22'!D406</f>
        <v>0</v>
      </c>
      <c r="N406">
        <f>'AARnetCBR-CamDTN1_tcpmon_ts_31'!D406+'AARnetCBR-CamDTN1_tcpmon_ts_32'!D406+'AARnetCBR-CamDTN1_tcpmon_ts_33'!D406</f>
        <v>0</v>
      </c>
      <c r="O406">
        <f>'AARnetCBR-CamDTN1_tcpmon_ts_41'!D406+'AARnetCBR-CamDTN1_tcpmon_ts_42'!D406+'AARnetCBR-CamDTN1_tcpmon_ts_43'!D406+'AARnetCBR-CamDTN1_tcpmon_ts_44'!D406</f>
        <v>0</v>
      </c>
      <c r="P406">
        <f>'AARnetCBR-CamDTN1_tcpmon_ts_51'!D406+'AARnetCBR-CamDTN1_tcpmon_ts_52'!D406+'AARnetCBR-CamDTN1_tcpmon_ts_53'!D406+'AARnetCBR-CamDTN1_tcpmon_ts_54'!D406+'AARnetCBR-CamDTN1_tcpmon_ts_55'!D406</f>
        <v>0</v>
      </c>
    </row>
    <row r="407" spans="1:16">
      <c r="A407">
        <f>'AARnetCBR-CamDTN1_tcpmon_ts_11'!A421</f>
        <v>0</v>
      </c>
      <c r="C407">
        <f>'AARnetCBR-CamDTN1_tcpmon_ts_11'!C421</f>
        <v>0</v>
      </c>
      <c r="D407">
        <f>'AARnetCBR-CamDTN1_tcpmon_ts_21'!C421+'AARnetCBR-CamDTN1_tcpmon_ts_22'!C421</f>
        <v>0</v>
      </c>
      <c r="E407">
        <f>'AARnetCBR-CamDTN1_tcpmon_ts_31'!C421+'AARnetCBR-CamDTN1_tcpmon_ts_32'!C421+'AARnetCBR-CamDTN1_tcpmon_ts_33'!C421</f>
        <v>0</v>
      </c>
      <c r="F407">
        <f>'AARnetCBR-CamDTN1_tcpmon_ts_41'!C421+'AARnetCBR-CamDTN1_tcpmon_ts_42'!C421+'AARnetCBR-CamDTN1_tcpmon_ts_43'!C421+'AARnetCBR-CamDTN1_tcpmon_ts_44'!C421</f>
        <v>0</v>
      </c>
      <c r="L407">
        <f>'AARnetCBR-CamDTN1_tcpmon_ts_11'!D407</f>
        <v>0</v>
      </c>
      <c r="M407">
        <f>'AARnetCBR-CamDTN1_tcpmon_ts_21'!D407+'AARnetCBR-CamDTN1_tcpmon_ts_22'!D407</f>
        <v>0</v>
      </c>
      <c r="N407">
        <f>'AARnetCBR-CamDTN1_tcpmon_ts_31'!D407+'AARnetCBR-CamDTN1_tcpmon_ts_32'!D407+'AARnetCBR-CamDTN1_tcpmon_ts_33'!D407</f>
        <v>0</v>
      </c>
      <c r="O407">
        <f>'AARnetCBR-CamDTN1_tcpmon_ts_41'!D407+'AARnetCBR-CamDTN1_tcpmon_ts_42'!D407+'AARnetCBR-CamDTN1_tcpmon_ts_43'!D407+'AARnetCBR-CamDTN1_tcpmon_ts_44'!D407</f>
        <v>0</v>
      </c>
      <c r="P407">
        <f>'AARnetCBR-CamDTN1_tcpmon_ts_51'!D407+'AARnetCBR-CamDTN1_tcpmon_ts_52'!D407+'AARnetCBR-CamDTN1_tcpmon_ts_53'!D407+'AARnetCBR-CamDTN1_tcpmon_ts_54'!D407+'AARnetCBR-CamDTN1_tcpmon_ts_55'!D407</f>
        <v>0</v>
      </c>
    </row>
    <row r="408" spans="1:16">
      <c r="A408">
        <f>'AARnetCBR-CamDTN1_tcpmon_ts_11'!A422</f>
        <v>0</v>
      </c>
      <c r="C408">
        <f>'AARnetCBR-CamDTN1_tcpmon_ts_11'!C422</f>
        <v>0</v>
      </c>
      <c r="D408">
        <f>'AARnetCBR-CamDTN1_tcpmon_ts_21'!C422+'AARnetCBR-CamDTN1_tcpmon_ts_22'!C422</f>
        <v>0</v>
      </c>
      <c r="E408">
        <f>'AARnetCBR-CamDTN1_tcpmon_ts_31'!C422+'AARnetCBR-CamDTN1_tcpmon_ts_32'!C422+'AARnetCBR-CamDTN1_tcpmon_ts_33'!C422</f>
        <v>0</v>
      </c>
      <c r="F408">
        <f>'AARnetCBR-CamDTN1_tcpmon_ts_41'!C422+'AARnetCBR-CamDTN1_tcpmon_ts_42'!C422+'AARnetCBR-CamDTN1_tcpmon_ts_43'!C422+'AARnetCBR-CamDTN1_tcpmon_ts_44'!C422</f>
        <v>0</v>
      </c>
      <c r="L408">
        <f>'AARnetCBR-CamDTN1_tcpmon_ts_11'!D408</f>
        <v>0</v>
      </c>
      <c r="M408">
        <f>'AARnetCBR-CamDTN1_tcpmon_ts_21'!D408+'AARnetCBR-CamDTN1_tcpmon_ts_22'!D408</f>
        <v>0</v>
      </c>
      <c r="N408">
        <f>'AARnetCBR-CamDTN1_tcpmon_ts_31'!D408+'AARnetCBR-CamDTN1_tcpmon_ts_32'!D408+'AARnetCBR-CamDTN1_tcpmon_ts_33'!D408</f>
        <v>0</v>
      </c>
      <c r="O408">
        <f>'AARnetCBR-CamDTN1_tcpmon_ts_41'!D408+'AARnetCBR-CamDTN1_tcpmon_ts_42'!D408+'AARnetCBR-CamDTN1_tcpmon_ts_43'!D408+'AARnetCBR-CamDTN1_tcpmon_ts_44'!D408</f>
        <v>0</v>
      </c>
      <c r="P408">
        <f>'AARnetCBR-CamDTN1_tcpmon_ts_51'!D408+'AARnetCBR-CamDTN1_tcpmon_ts_52'!D408+'AARnetCBR-CamDTN1_tcpmon_ts_53'!D408+'AARnetCBR-CamDTN1_tcpmon_ts_54'!D408+'AARnetCBR-CamDTN1_tcpmon_ts_55'!D408</f>
        <v>0</v>
      </c>
    </row>
    <row r="409" spans="1:16">
      <c r="A409">
        <f>'AARnetCBR-CamDTN1_tcpmon_ts_11'!A423</f>
        <v>0</v>
      </c>
      <c r="C409">
        <f>'AARnetCBR-CamDTN1_tcpmon_ts_11'!C423</f>
        <v>0</v>
      </c>
      <c r="D409">
        <f>'AARnetCBR-CamDTN1_tcpmon_ts_21'!C423+'AARnetCBR-CamDTN1_tcpmon_ts_22'!C423</f>
        <v>0</v>
      </c>
      <c r="E409">
        <f>'AARnetCBR-CamDTN1_tcpmon_ts_31'!C423+'AARnetCBR-CamDTN1_tcpmon_ts_32'!C423+'AARnetCBR-CamDTN1_tcpmon_ts_33'!C423</f>
        <v>0</v>
      </c>
      <c r="F409">
        <f>'AARnetCBR-CamDTN1_tcpmon_ts_41'!C423+'AARnetCBR-CamDTN1_tcpmon_ts_42'!C423+'AARnetCBR-CamDTN1_tcpmon_ts_43'!C423+'AARnetCBR-CamDTN1_tcpmon_ts_44'!C423</f>
        <v>0</v>
      </c>
      <c r="L409">
        <f>'AARnetCBR-CamDTN1_tcpmon_ts_11'!D409</f>
        <v>0</v>
      </c>
      <c r="M409">
        <f>'AARnetCBR-CamDTN1_tcpmon_ts_21'!D409+'AARnetCBR-CamDTN1_tcpmon_ts_22'!D409</f>
        <v>0</v>
      </c>
      <c r="N409">
        <f>'AARnetCBR-CamDTN1_tcpmon_ts_31'!D409+'AARnetCBR-CamDTN1_tcpmon_ts_32'!D409+'AARnetCBR-CamDTN1_tcpmon_ts_33'!D409</f>
        <v>0</v>
      </c>
      <c r="O409">
        <f>'AARnetCBR-CamDTN1_tcpmon_ts_41'!D409+'AARnetCBR-CamDTN1_tcpmon_ts_42'!D409+'AARnetCBR-CamDTN1_tcpmon_ts_43'!D409+'AARnetCBR-CamDTN1_tcpmon_ts_44'!D409</f>
        <v>0</v>
      </c>
      <c r="P409">
        <f>'AARnetCBR-CamDTN1_tcpmon_ts_51'!D409+'AARnetCBR-CamDTN1_tcpmon_ts_52'!D409+'AARnetCBR-CamDTN1_tcpmon_ts_53'!D409+'AARnetCBR-CamDTN1_tcpmon_ts_54'!D409+'AARnetCBR-CamDTN1_tcpmon_ts_55'!D409</f>
        <v>0</v>
      </c>
    </row>
    <row r="410" spans="1:16">
      <c r="A410">
        <f>'AARnetCBR-CamDTN1_tcpmon_ts_11'!A424</f>
        <v>0</v>
      </c>
      <c r="C410">
        <f>'AARnetCBR-CamDTN1_tcpmon_ts_11'!C424</f>
        <v>0</v>
      </c>
      <c r="D410">
        <f>'AARnetCBR-CamDTN1_tcpmon_ts_21'!C424+'AARnetCBR-CamDTN1_tcpmon_ts_22'!C424</f>
        <v>0</v>
      </c>
      <c r="E410">
        <f>'AARnetCBR-CamDTN1_tcpmon_ts_31'!C424+'AARnetCBR-CamDTN1_tcpmon_ts_32'!C424+'AARnetCBR-CamDTN1_tcpmon_ts_33'!C424</f>
        <v>0</v>
      </c>
      <c r="F410">
        <f>'AARnetCBR-CamDTN1_tcpmon_ts_41'!C424+'AARnetCBR-CamDTN1_tcpmon_ts_42'!C424+'AARnetCBR-CamDTN1_tcpmon_ts_43'!C424+'AARnetCBR-CamDTN1_tcpmon_ts_44'!C424</f>
        <v>0</v>
      </c>
      <c r="L410">
        <f>'AARnetCBR-CamDTN1_tcpmon_ts_11'!D410</f>
        <v>0</v>
      </c>
      <c r="M410">
        <f>'AARnetCBR-CamDTN1_tcpmon_ts_21'!D410+'AARnetCBR-CamDTN1_tcpmon_ts_22'!D410</f>
        <v>0</v>
      </c>
      <c r="N410">
        <f>'AARnetCBR-CamDTN1_tcpmon_ts_31'!D410+'AARnetCBR-CamDTN1_tcpmon_ts_32'!D410+'AARnetCBR-CamDTN1_tcpmon_ts_33'!D410</f>
        <v>0</v>
      </c>
      <c r="O410">
        <f>'AARnetCBR-CamDTN1_tcpmon_ts_41'!D410+'AARnetCBR-CamDTN1_tcpmon_ts_42'!D410+'AARnetCBR-CamDTN1_tcpmon_ts_43'!D410+'AARnetCBR-CamDTN1_tcpmon_ts_44'!D410</f>
        <v>0</v>
      </c>
      <c r="P410">
        <f>'AARnetCBR-CamDTN1_tcpmon_ts_51'!D410+'AARnetCBR-CamDTN1_tcpmon_ts_52'!D410+'AARnetCBR-CamDTN1_tcpmon_ts_53'!D410+'AARnetCBR-CamDTN1_tcpmon_ts_54'!D410+'AARnetCBR-CamDTN1_tcpmon_ts_55'!D410</f>
        <v>0</v>
      </c>
    </row>
    <row r="411" spans="1:16">
      <c r="A411">
        <f>'AARnetCBR-CamDTN1_tcpmon_ts_11'!A425</f>
        <v>0</v>
      </c>
      <c r="C411">
        <f>'AARnetCBR-CamDTN1_tcpmon_ts_11'!C425</f>
        <v>0</v>
      </c>
      <c r="D411">
        <f>'AARnetCBR-CamDTN1_tcpmon_ts_21'!C425+'AARnetCBR-CamDTN1_tcpmon_ts_22'!C425</f>
        <v>0</v>
      </c>
      <c r="E411">
        <f>'AARnetCBR-CamDTN1_tcpmon_ts_31'!C425+'AARnetCBR-CamDTN1_tcpmon_ts_32'!C425+'AARnetCBR-CamDTN1_tcpmon_ts_33'!C425</f>
        <v>0</v>
      </c>
      <c r="F411">
        <f>'AARnetCBR-CamDTN1_tcpmon_ts_41'!C425+'AARnetCBR-CamDTN1_tcpmon_ts_42'!C425+'AARnetCBR-CamDTN1_tcpmon_ts_43'!C425+'AARnetCBR-CamDTN1_tcpmon_ts_44'!C425</f>
        <v>0</v>
      </c>
      <c r="L411">
        <f>'AARnetCBR-CamDTN1_tcpmon_ts_11'!D411</f>
        <v>0</v>
      </c>
      <c r="M411">
        <f>'AARnetCBR-CamDTN1_tcpmon_ts_21'!D411+'AARnetCBR-CamDTN1_tcpmon_ts_22'!D411</f>
        <v>0</v>
      </c>
      <c r="N411">
        <f>'AARnetCBR-CamDTN1_tcpmon_ts_31'!D411+'AARnetCBR-CamDTN1_tcpmon_ts_32'!D411+'AARnetCBR-CamDTN1_tcpmon_ts_33'!D411</f>
        <v>0</v>
      </c>
      <c r="O411">
        <f>'AARnetCBR-CamDTN1_tcpmon_ts_41'!D411+'AARnetCBR-CamDTN1_tcpmon_ts_42'!D411+'AARnetCBR-CamDTN1_tcpmon_ts_43'!D411+'AARnetCBR-CamDTN1_tcpmon_ts_44'!D411</f>
        <v>0</v>
      </c>
      <c r="P411">
        <f>'AARnetCBR-CamDTN1_tcpmon_ts_51'!D411+'AARnetCBR-CamDTN1_tcpmon_ts_52'!D411+'AARnetCBR-CamDTN1_tcpmon_ts_53'!D411+'AARnetCBR-CamDTN1_tcpmon_ts_54'!D411+'AARnetCBR-CamDTN1_tcpmon_ts_55'!D411</f>
        <v>0</v>
      </c>
    </row>
    <row r="412" spans="1:16">
      <c r="A412">
        <f>'AARnetCBR-CamDTN1_tcpmon_ts_11'!A426</f>
        <v>0</v>
      </c>
      <c r="C412">
        <f>'AARnetCBR-CamDTN1_tcpmon_ts_11'!C426</f>
        <v>0</v>
      </c>
      <c r="D412">
        <f>'AARnetCBR-CamDTN1_tcpmon_ts_21'!C426+'AARnetCBR-CamDTN1_tcpmon_ts_22'!C426</f>
        <v>0</v>
      </c>
      <c r="E412">
        <f>'AARnetCBR-CamDTN1_tcpmon_ts_31'!C426+'AARnetCBR-CamDTN1_tcpmon_ts_32'!C426+'AARnetCBR-CamDTN1_tcpmon_ts_33'!C426</f>
        <v>0</v>
      </c>
      <c r="F412">
        <f>'AARnetCBR-CamDTN1_tcpmon_ts_41'!C426+'AARnetCBR-CamDTN1_tcpmon_ts_42'!C426+'AARnetCBR-CamDTN1_tcpmon_ts_43'!C426+'AARnetCBR-CamDTN1_tcpmon_ts_44'!C426</f>
        <v>0</v>
      </c>
      <c r="L412">
        <f>'AARnetCBR-CamDTN1_tcpmon_ts_11'!D412</f>
        <v>0</v>
      </c>
      <c r="M412">
        <f>'AARnetCBR-CamDTN1_tcpmon_ts_21'!D412+'AARnetCBR-CamDTN1_tcpmon_ts_22'!D412</f>
        <v>0</v>
      </c>
      <c r="N412">
        <f>'AARnetCBR-CamDTN1_tcpmon_ts_31'!D412+'AARnetCBR-CamDTN1_tcpmon_ts_32'!D412+'AARnetCBR-CamDTN1_tcpmon_ts_33'!D412</f>
        <v>0</v>
      </c>
      <c r="O412">
        <f>'AARnetCBR-CamDTN1_tcpmon_ts_41'!D412+'AARnetCBR-CamDTN1_tcpmon_ts_42'!D412+'AARnetCBR-CamDTN1_tcpmon_ts_43'!D412+'AARnetCBR-CamDTN1_tcpmon_ts_44'!D412</f>
        <v>0</v>
      </c>
      <c r="P412">
        <f>'AARnetCBR-CamDTN1_tcpmon_ts_51'!D412+'AARnetCBR-CamDTN1_tcpmon_ts_52'!D412+'AARnetCBR-CamDTN1_tcpmon_ts_53'!D412+'AARnetCBR-CamDTN1_tcpmon_ts_54'!D412+'AARnetCBR-CamDTN1_tcpmon_ts_55'!D412</f>
        <v>0</v>
      </c>
    </row>
    <row r="413" spans="1:16">
      <c r="A413">
        <f>'AARnetCBR-CamDTN1_tcpmon_ts_11'!A427</f>
        <v>0</v>
      </c>
      <c r="C413">
        <f>'AARnetCBR-CamDTN1_tcpmon_ts_11'!C427</f>
        <v>0</v>
      </c>
      <c r="D413">
        <f>'AARnetCBR-CamDTN1_tcpmon_ts_21'!C427+'AARnetCBR-CamDTN1_tcpmon_ts_22'!C427</f>
        <v>0</v>
      </c>
      <c r="E413">
        <f>'AARnetCBR-CamDTN1_tcpmon_ts_31'!C427+'AARnetCBR-CamDTN1_tcpmon_ts_32'!C427+'AARnetCBR-CamDTN1_tcpmon_ts_33'!C427</f>
        <v>0</v>
      </c>
      <c r="F413">
        <f>'AARnetCBR-CamDTN1_tcpmon_ts_41'!C427+'AARnetCBR-CamDTN1_tcpmon_ts_42'!C427+'AARnetCBR-CamDTN1_tcpmon_ts_43'!C427+'AARnetCBR-CamDTN1_tcpmon_ts_44'!C427</f>
        <v>0</v>
      </c>
      <c r="L413">
        <f>'AARnetCBR-CamDTN1_tcpmon_ts_11'!D413</f>
        <v>0</v>
      </c>
      <c r="M413">
        <f>'AARnetCBR-CamDTN1_tcpmon_ts_21'!D413+'AARnetCBR-CamDTN1_tcpmon_ts_22'!D413</f>
        <v>0</v>
      </c>
      <c r="N413">
        <f>'AARnetCBR-CamDTN1_tcpmon_ts_31'!D413+'AARnetCBR-CamDTN1_tcpmon_ts_32'!D413+'AARnetCBR-CamDTN1_tcpmon_ts_33'!D413</f>
        <v>0</v>
      </c>
      <c r="O413">
        <f>'AARnetCBR-CamDTN1_tcpmon_ts_41'!D413+'AARnetCBR-CamDTN1_tcpmon_ts_42'!D413+'AARnetCBR-CamDTN1_tcpmon_ts_43'!D413+'AARnetCBR-CamDTN1_tcpmon_ts_44'!D413</f>
        <v>0</v>
      </c>
      <c r="P413">
        <f>'AARnetCBR-CamDTN1_tcpmon_ts_51'!D413+'AARnetCBR-CamDTN1_tcpmon_ts_52'!D413+'AARnetCBR-CamDTN1_tcpmon_ts_53'!D413+'AARnetCBR-CamDTN1_tcpmon_ts_54'!D413+'AARnetCBR-CamDTN1_tcpmon_ts_55'!D413</f>
        <v>0</v>
      </c>
    </row>
    <row r="414" spans="1:16">
      <c r="A414">
        <f>'AARnetCBR-CamDTN1_tcpmon_ts_11'!A428</f>
        <v>0</v>
      </c>
      <c r="C414">
        <f>'AARnetCBR-CamDTN1_tcpmon_ts_11'!C428</f>
        <v>0</v>
      </c>
      <c r="D414">
        <f>'AARnetCBR-CamDTN1_tcpmon_ts_21'!C428+'AARnetCBR-CamDTN1_tcpmon_ts_22'!C428</f>
        <v>0</v>
      </c>
      <c r="E414">
        <f>'AARnetCBR-CamDTN1_tcpmon_ts_31'!C428+'AARnetCBR-CamDTN1_tcpmon_ts_32'!C428+'AARnetCBR-CamDTN1_tcpmon_ts_33'!C428</f>
        <v>0</v>
      </c>
      <c r="F414">
        <f>'AARnetCBR-CamDTN1_tcpmon_ts_41'!C428+'AARnetCBR-CamDTN1_tcpmon_ts_42'!C428+'AARnetCBR-CamDTN1_tcpmon_ts_43'!C428+'AARnetCBR-CamDTN1_tcpmon_ts_44'!C428</f>
        <v>0</v>
      </c>
      <c r="L414">
        <f>'AARnetCBR-CamDTN1_tcpmon_ts_11'!D414</f>
        <v>0</v>
      </c>
      <c r="M414">
        <f>'AARnetCBR-CamDTN1_tcpmon_ts_21'!D414+'AARnetCBR-CamDTN1_tcpmon_ts_22'!D414</f>
        <v>0</v>
      </c>
      <c r="N414">
        <f>'AARnetCBR-CamDTN1_tcpmon_ts_31'!D414+'AARnetCBR-CamDTN1_tcpmon_ts_32'!D414+'AARnetCBR-CamDTN1_tcpmon_ts_33'!D414</f>
        <v>0</v>
      </c>
      <c r="O414">
        <f>'AARnetCBR-CamDTN1_tcpmon_ts_41'!D414+'AARnetCBR-CamDTN1_tcpmon_ts_42'!D414+'AARnetCBR-CamDTN1_tcpmon_ts_43'!D414+'AARnetCBR-CamDTN1_tcpmon_ts_44'!D414</f>
        <v>0</v>
      </c>
      <c r="P414">
        <f>'AARnetCBR-CamDTN1_tcpmon_ts_51'!D414+'AARnetCBR-CamDTN1_tcpmon_ts_52'!D414+'AARnetCBR-CamDTN1_tcpmon_ts_53'!D414+'AARnetCBR-CamDTN1_tcpmon_ts_54'!D414+'AARnetCBR-CamDTN1_tcpmon_ts_55'!D414</f>
        <v>0</v>
      </c>
    </row>
    <row r="415" spans="1:16">
      <c r="A415">
        <f>'AARnetCBR-CamDTN1_tcpmon_ts_11'!A429</f>
        <v>0</v>
      </c>
      <c r="C415">
        <f>'AARnetCBR-CamDTN1_tcpmon_ts_11'!C429</f>
        <v>0</v>
      </c>
      <c r="D415">
        <f>'AARnetCBR-CamDTN1_tcpmon_ts_21'!C429+'AARnetCBR-CamDTN1_tcpmon_ts_22'!C429</f>
        <v>0</v>
      </c>
      <c r="E415">
        <f>'AARnetCBR-CamDTN1_tcpmon_ts_31'!C429+'AARnetCBR-CamDTN1_tcpmon_ts_32'!C429+'AARnetCBR-CamDTN1_tcpmon_ts_33'!C429</f>
        <v>0</v>
      </c>
      <c r="F415">
        <f>'AARnetCBR-CamDTN1_tcpmon_ts_41'!C429+'AARnetCBR-CamDTN1_tcpmon_ts_42'!C429+'AARnetCBR-CamDTN1_tcpmon_ts_43'!C429+'AARnetCBR-CamDTN1_tcpmon_ts_44'!C429</f>
        <v>0</v>
      </c>
      <c r="L415">
        <f>'AARnetCBR-CamDTN1_tcpmon_ts_11'!D415</f>
        <v>0</v>
      </c>
      <c r="M415">
        <f>'AARnetCBR-CamDTN1_tcpmon_ts_21'!D415+'AARnetCBR-CamDTN1_tcpmon_ts_22'!D415</f>
        <v>0</v>
      </c>
      <c r="N415">
        <f>'AARnetCBR-CamDTN1_tcpmon_ts_31'!D415+'AARnetCBR-CamDTN1_tcpmon_ts_32'!D415+'AARnetCBR-CamDTN1_tcpmon_ts_33'!D415</f>
        <v>0</v>
      </c>
      <c r="O415">
        <f>'AARnetCBR-CamDTN1_tcpmon_ts_41'!D415+'AARnetCBR-CamDTN1_tcpmon_ts_42'!D415+'AARnetCBR-CamDTN1_tcpmon_ts_43'!D415+'AARnetCBR-CamDTN1_tcpmon_ts_44'!D415</f>
        <v>0</v>
      </c>
      <c r="P415">
        <f>'AARnetCBR-CamDTN1_tcpmon_ts_51'!D415+'AARnetCBR-CamDTN1_tcpmon_ts_52'!D415+'AARnetCBR-CamDTN1_tcpmon_ts_53'!D415+'AARnetCBR-CamDTN1_tcpmon_ts_54'!D415+'AARnetCBR-CamDTN1_tcpmon_ts_55'!D415</f>
        <v>0</v>
      </c>
    </row>
    <row r="416" spans="1:16">
      <c r="A416">
        <f>'AARnetCBR-CamDTN1_tcpmon_ts_11'!A430</f>
        <v>0</v>
      </c>
      <c r="C416">
        <f>'AARnetCBR-CamDTN1_tcpmon_ts_11'!C430</f>
        <v>0</v>
      </c>
      <c r="D416">
        <f>'AARnetCBR-CamDTN1_tcpmon_ts_21'!C430+'AARnetCBR-CamDTN1_tcpmon_ts_22'!C430</f>
        <v>0</v>
      </c>
      <c r="E416">
        <f>'AARnetCBR-CamDTN1_tcpmon_ts_31'!C430+'AARnetCBR-CamDTN1_tcpmon_ts_32'!C430+'AARnetCBR-CamDTN1_tcpmon_ts_33'!C430</f>
        <v>0</v>
      </c>
      <c r="F416">
        <f>'AARnetCBR-CamDTN1_tcpmon_ts_41'!C430+'AARnetCBR-CamDTN1_tcpmon_ts_42'!C430+'AARnetCBR-CamDTN1_tcpmon_ts_43'!C430+'AARnetCBR-CamDTN1_tcpmon_ts_44'!C430</f>
        <v>0</v>
      </c>
      <c r="L416">
        <f>'AARnetCBR-CamDTN1_tcpmon_ts_11'!D416</f>
        <v>0</v>
      </c>
      <c r="M416">
        <f>'AARnetCBR-CamDTN1_tcpmon_ts_21'!D416+'AARnetCBR-CamDTN1_tcpmon_ts_22'!D416</f>
        <v>0</v>
      </c>
      <c r="N416">
        <f>'AARnetCBR-CamDTN1_tcpmon_ts_31'!D416+'AARnetCBR-CamDTN1_tcpmon_ts_32'!D416+'AARnetCBR-CamDTN1_tcpmon_ts_33'!D416</f>
        <v>0</v>
      </c>
      <c r="O416">
        <f>'AARnetCBR-CamDTN1_tcpmon_ts_41'!D416+'AARnetCBR-CamDTN1_tcpmon_ts_42'!D416+'AARnetCBR-CamDTN1_tcpmon_ts_43'!D416+'AARnetCBR-CamDTN1_tcpmon_ts_44'!D416</f>
        <v>0</v>
      </c>
      <c r="P416">
        <f>'AARnetCBR-CamDTN1_tcpmon_ts_51'!D416+'AARnetCBR-CamDTN1_tcpmon_ts_52'!D416+'AARnetCBR-CamDTN1_tcpmon_ts_53'!D416+'AARnetCBR-CamDTN1_tcpmon_ts_54'!D416+'AARnetCBR-CamDTN1_tcpmon_ts_55'!D416</f>
        <v>0</v>
      </c>
    </row>
    <row r="417" spans="1:16">
      <c r="A417">
        <f>'AARnetCBR-CamDTN1_tcpmon_ts_11'!A431</f>
        <v>0</v>
      </c>
      <c r="C417">
        <f>'AARnetCBR-CamDTN1_tcpmon_ts_11'!C431</f>
        <v>0</v>
      </c>
      <c r="D417">
        <f>'AARnetCBR-CamDTN1_tcpmon_ts_21'!C431+'AARnetCBR-CamDTN1_tcpmon_ts_22'!C431</f>
        <v>0</v>
      </c>
      <c r="E417">
        <f>'AARnetCBR-CamDTN1_tcpmon_ts_31'!C431+'AARnetCBR-CamDTN1_tcpmon_ts_32'!C431+'AARnetCBR-CamDTN1_tcpmon_ts_33'!C431</f>
        <v>0</v>
      </c>
      <c r="F417">
        <f>'AARnetCBR-CamDTN1_tcpmon_ts_41'!C431+'AARnetCBR-CamDTN1_tcpmon_ts_42'!C431+'AARnetCBR-CamDTN1_tcpmon_ts_43'!C431+'AARnetCBR-CamDTN1_tcpmon_ts_44'!C431</f>
        <v>0</v>
      </c>
      <c r="L417">
        <f>'AARnetCBR-CamDTN1_tcpmon_ts_11'!D417</f>
        <v>0</v>
      </c>
      <c r="M417">
        <f>'AARnetCBR-CamDTN1_tcpmon_ts_21'!D417+'AARnetCBR-CamDTN1_tcpmon_ts_22'!D417</f>
        <v>0</v>
      </c>
      <c r="N417">
        <f>'AARnetCBR-CamDTN1_tcpmon_ts_31'!D417+'AARnetCBR-CamDTN1_tcpmon_ts_32'!D417+'AARnetCBR-CamDTN1_tcpmon_ts_33'!D417</f>
        <v>0</v>
      </c>
      <c r="O417">
        <f>'AARnetCBR-CamDTN1_tcpmon_ts_41'!D417+'AARnetCBR-CamDTN1_tcpmon_ts_42'!D417+'AARnetCBR-CamDTN1_tcpmon_ts_43'!D417+'AARnetCBR-CamDTN1_tcpmon_ts_44'!D417</f>
        <v>0</v>
      </c>
      <c r="P417">
        <f>'AARnetCBR-CamDTN1_tcpmon_ts_51'!D417+'AARnetCBR-CamDTN1_tcpmon_ts_52'!D417+'AARnetCBR-CamDTN1_tcpmon_ts_53'!D417+'AARnetCBR-CamDTN1_tcpmon_ts_54'!D417+'AARnetCBR-CamDTN1_tcpmon_ts_55'!D417</f>
        <v>0</v>
      </c>
    </row>
    <row r="418" spans="1:16">
      <c r="A418">
        <f>'AARnetCBR-CamDTN1_tcpmon_ts_11'!A432</f>
        <v>0</v>
      </c>
      <c r="C418">
        <f>'AARnetCBR-CamDTN1_tcpmon_ts_11'!C432</f>
        <v>0</v>
      </c>
      <c r="D418">
        <f>'AARnetCBR-CamDTN1_tcpmon_ts_21'!C432+'AARnetCBR-CamDTN1_tcpmon_ts_22'!C432</f>
        <v>0</v>
      </c>
      <c r="E418">
        <f>'AARnetCBR-CamDTN1_tcpmon_ts_31'!C432+'AARnetCBR-CamDTN1_tcpmon_ts_32'!C432+'AARnetCBR-CamDTN1_tcpmon_ts_33'!C432</f>
        <v>0</v>
      </c>
      <c r="F418">
        <f>'AARnetCBR-CamDTN1_tcpmon_ts_41'!C432+'AARnetCBR-CamDTN1_tcpmon_ts_42'!C432+'AARnetCBR-CamDTN1_tcpmon_ts_43'!C432+'AARnetCBR-CamDTN1_tcpmon_ts_44'!C432</f>
        <v>0</v>
      </c>
      <c r="L418">
        <f>'AARnetCBR-CamDTN1_tcpmon_ts_11'!D418</f>
        <v>0</v>
      </c>
      <c r="M418">
        <f>'AARnetCBR-CamDTN1_tcpmon_ts_21'!D418+'AARnetCBR-CamDTN1_tcpmon_ts_22'!D418</f>
        <v>0</v>
      </c>
      <c r="N418">
        <f>'AARnetCBR-CamDTN1_tcpmon_ts_31'!D418+'AARnetCBR-CamDTN1_tcpmon_ts_32'!D418+'AARnetCBR-CamDTN1_tcpmon_ts_33'!D418</f>
        <v>0</v>
      </c>
      <c r="O418">
        <f>'AARnetCBR-CamDTN1_tcpmon_ts_41'!D418+'AARnetCBR-CamDTN1_tcpmon_ts_42'!D418+'AARnetCBR-CamDTN1_tcpmon_ts_43'!D418+'AARnetCBR-CamDTN1_tcpmon_ts_44'!D418</f>
        <v>0</v>
      </c>
      <c r="P418">
        <f>'AARnetCBR-CamDTN1_tcpmon_ts_51'!D418+'AARnetCBR-CamDTN1_tcpmon_ts_52'!D418+'AARnetCBR-CamDTN1_tcpmon_ts_53'!D418+'AARnetCBR-CamDTN1_tcpmon_ts_54'!D418+'AARnetCBR-CamDTN1_tcpmon_ts_55'!D418</f>
        <v>0</v>
      </c>
    </row>
    <row r="419" spans="1:16">
      <c r="A419">
        <f>'AARnetCBR-CamDTN1_tcpmon_ts_11'!A433</f>
        <v>0</v>
      </c>
      <c r="C419">
        <f>'AARnetCBR-CamDTN1_tcpmon_ts_11'!C433</f>
        <v>0</v>
      </c>
      <c r="D419">
        <f>'AARnetCBR-CamDTN1_tcpmon_ts_21'!C433+'AARnetCBR-CamDTN1_tcpmon_ts_22'!C433</f>
        <v>0</v>
      </c>
      <c r="E419">
        <f>'AARnetCBR-CamDTN1_tcpmon_ts_31'!C433+'AARnetCBR-CamDTN1_tcpmon_ts_32'!C433+'AARnetCBR-CamDTN1_tcpmon_ts_33'!C433</f>
        <v>0</v>
      </c>
      <c r="F419">
        <f>'AARnetCBR-CamDTN1_tcpmon_ts_41'!C433+'AARnetCBR-CamDTN1_tcpmon_ts_42'!C433+'AARnetCBR-CamDTN1_tcpmon_ts_43'!C433+'AARnetCBR-CamDTN1_tcpmon_ts_44'!C433</f>
        <v>0</v>
      </c>
      <c r="L419">
        <f>'AARnetCBR-CamDTN1_tcpmon_ts_11'!D419</f>
        <v>0</v>
      </c>
      <c r="M419">
        <f>'AARnetCBR-CamDTN1_tcpmon_ts_21'!D419+'AARnetCBR-CamDTN1_tcpmon_ts_22'!D419</f>
        <v>0</v>
      </c>
      <c r="N419">
        <f>'AARnetCBR-CamDTN1_tcpmon_ts_31'!D419+'AARnetCBR-CamDTN1_tcpmon_ts_32'!D419+'AARnetCBR-CamDTN1_tcpmon_ts_33'!D419</f>
        <v>0</v>
      </c>
      <c r="O419">
        <f>'AARnetCBR-CamDTN1_tcpmon_ts_41'!D419+'AARnetCBR-CamDTN1_tcpmon_ts_42'!D419+'AARnetCBR-CamDTN1_tcpmon_ts_43'!D419+'AARnetCBR-CamDTN1_tcpmon_ts_44'!D419</f>
        <v>0</v>
      </c>
      <c r="P419">
        <f>'AARnetCBR-CamDTN1_tcpmon_ts_51'!D419+'AARnetCBR-CamDTN1_tcpmon_ts_52'!D419+'AARnetCBR-CamDTN1_tcpmon_ts_53'!D419+'AARnetCBR-CamDTN1_tcpmon_ts_54'!D419+'AARnetCBR-CamDTN1_tcpmon_ts_55'!D419</f>
        <v>0</v>
      </c>
    </row>
    <row r="420" spans="1:16">
      <c r="A420">
        <f>'AARnetCBR-CamDTN1_tcpmon_ts_11'!A434</f>
        <v>0</v>
      </c>
      <c r="C420">
        <f>'AARnetCBR-CamDTN1_tcpmon_ts_11'!C434</f>
        <v>0</v>
      </c>
      <c r="D420">
        <f>'AARnetCBR-CamDTN1_tcpmon_ts_21'!C434+'AARnetCBR-CamDTN1_tcpmon_ts_22'!C434</f>
        <v>0</v>
      </c>
      <c r="E420">
        <f>'AARnetCBR-CamDTN1_tcpmon_ts_31'!C434+'AARnetCBR-CamDTN1_tcpmon_ts_32'!C434+'AARnetCBR-CamDTN1_tcpmon_ts_33'!C434</f>
        <v>0</v>
      </c>
      <c r="F420">
        <f>'AARnetCBR-CamDTN1_tcpmon_ts_41'!C434+'AARnetCBR-CamDTN1_tcpmon_ts_42'!C434+'AARnetCBR-CamDTN1_tcpmon_ts_43'!C434+'AARnetCBR-CamDTN1_tcpmon_ts_44'!C434</f>
        <v>0</v>
      </c>
      <c r="L420">
        <f>'AARnetCBR-CamDTN1_tcpmon_ts_11'!D420</f>
        <v>0</v>
      </c>
      <c r="M420">
        <f>'AARnetCBR-CamDTN1_tcpmon_ts_21'!D420+'AARnetCBR-CamDTN1_tcpmon_ts_22'!D420</f>
        <v>0</v>
      </c>
      <c r="N420">
        <f>'AARnetCBR-CamDTN1_tcpmon_ts_31'!D420+'AARnetCBR-CamDTN1_tcpmon_ts_32'!D420+'AARnetCBR-CamDTN1_tcpmon_ts_33'!D420</f>
        <v>0</v>
      </c>
      <c r="O420">
        <f>'AARnetCBR-CamDTN1_tcpmon_ts_41'!D420+'AARnetCBR-CamDTN1_tcpmon_ts_42'!D420+'AARnetCBR-CamDTN1_tcpmon_ts_43'!D420+'AARnetCBR-CamDTN1_tcpmon_ts_44'!D420</f>
        <v>0</v>
      </c>
      <c r="P420">
        <f>'AARnetCBR-CamDTN1_tcpmon_ts_51'!D420+'AARnetCBR-CamDTN1_tcpmon_ts_52'!D420+'AARnetCBR-CamDTN1_tcpmon_ts_53'!D420+'AARnetCBR-CamDTN1_tcpmon_ts_54'!D420+'AARnetCBR-CamDTN1_tcpmon_ts_55'!D420</f>
        <v>0</v>
      </c>
    </row>
    <row r="421" spans="1:16">
      <c r="A421">
        <f>'AARnetCBR-CamDTN1_tcpmon_ts_11'!A435</f>
        <v>0</v>
      </c>
      <c r="C421">
        <f>'AARnetCBR-CamDTN1_tcpmon_ts_11'!C435</f>
        <v>0</v>
      </c>
      <c r="D421">
        <f>'AARnetCBR-CamDTN1_tcpmon_ts_21'!C435+'AARnetCBR-CamDTN1_tcpmon_ts_22'!C435</f>
        <v>0</v>
      </c>
      <c r="E421">
        <f>'AARnetCBR-CamDTN1_tcpmon_ts_31'!C435+'AARnetCBR-CamDTN1_tcpmon_ts_32'!C435+'AARnetCBR-CamDTN1_tcpmon_ts_33'!C435</f>
        <v>0</v>
      </c>
      <c r="F421">
        <f>'AARnetCBR-CamDTN1_tcpmon_ts_41'!C435+'AARnetCBR-CamDTN1_tcpmon_ts_42'!C435+'AARnetCBR-CamDTN1_tcpmon_ts_43'!C435+'AARnetCBR-CamDTN1_tcpmon_ts_44'!C435</f>
        <v>0</v>
      </c>
      <c r="L421">
        <f>'AARnetCBR-CamDTN1_tcpmon_ts_11'!D421</f>
        <v>0</v>
      </c>
      <c r="M421">
        <f>'AARnetCBR-CamDTN1_tcpmon_ts_21'!D421+'AARnetCBR-CamDTN1_tcpmon_ts_22'!D421</f>
        <v>0</v>
      </c>
      <c r="N421">
        <f>'AARnetCBR-CamDTN1_tcpmon_ts_31'!D421+'AARnetCBR-CamDTN1_tcpmon_ts_32'!D421+'AARnetCBR-CamDTN1_tcpmon_ts_33'!D421</f>
        <v>0</v>
      </c>
      <c r="O421">
        <f>'AARnetCBR-CamDTN1_tcpmon_ts_41'!D421+'AARnetCBR-CamDTN1_tcpmon_ts_42'!D421+'AARnetCBR-CamDTN1_tcpmon_ts_43'!D421+'AARnetCBR-CamDTN1_tcpmon_ts_44'!D421</f>
        <v>0</v>
      </c>
      <c r="P421">
        <f>'AARnetCBR-CamDTN1_tcpmon_ts_51'!D421+'AARnetCBR-CamDTN1_tcpmon_ts_52'!D421+'AARnetCBR-CamDTN1_tcpmon_ts_53'!D421+'AARnetCBR-CamDTN1_tcpmon_ts_54'!D421+'AARnetCBR-CamDTN1_tcpmon_ts_55'!D421</f>
        <v>0</v>
      </c>
    </row>
    <row r="422" spans="1:16">
      <c r="A422">
        <f>'AARnetCBR-CamDTN1_tcpmon_ts_11'!A436</f>
        <v>0</v>
      </c>
      <c r="C422">
        <f>'AARnetCBR-CamDTN1_tcpmon_ts_11'!C436</f>
        <v>0</v>
      </c>
      <c r="D422">
        <f>'AARnetCBR-CamDTN1_tcpmon_ts_21'!C436+'AARnetCBR-CamDTN1_tcpmon_ts_22'!C436</f>
        <v>0</v>
      </c>
      <c r="E422">
        <f>'AARnetCBR-CamDTN1_tcpmon_ts_31'!C436+'AARnetCBR-CamDTN1_tcpmon_ts_32'!C436+'AARnetCBR-CamDTN1_tcpmon_ts_33'!C436</f>
        <v>0</v>
      </c>
      <c r="F422">
        <f>'AARnetCBR-CamDTN1_tcpmon_ts_41'!C436+'AARnetCBR-CamDTN1_tcpmon_ts_42'!C436+'AARnetCBR-CamDTN1_tcpmon_ts_43'!C436+'AARnetCBR-CamDTN1_tcpmon_ts_44'!C436</f>
        <v>0</v>
      </c>
      <c r="L422">
        <f>'AARnetCBR-CamDTN1_tcpmon_ts_11'!D422</f>
        <v>0</v>
      </c>
      <c r="M422">
        <f>'AARnetCBR-CamDTN1_tcpmon_ts_21'!D422+'AARnetCBR-CamDTN1_tcpmon_ts_22'!D422</f>
        <v>0</v>
      </c>
      <c r="N422">
        <f>'AARnetCBR-CamDTN1_tcpmon_ts_31'!D422+'AARnetCBR-CamDTN1_tcpmon_ts_32'!D422+'AARnetCBR-CamDTN1_tcpmon_ts_33'!D422</f>
        <v>0</v>
      </c>
      <c r="O422">
        <f>'AARnetCBR-CamDTN1_tcpmon_ts_41'!D422+'AARnetCBR-CamDTN1_tcpmon_ts_42'!D422+'AARnetCBR-CamDTN1_tcpmon_ts_43'!D422+'AARnetCBR-CamDTN1_tcpmon_ts_44'!D422</f>
        <v>0</v>
      </c>
      <c r="P422">
        <f>'AARnetCBR-CamDTN1_tcpmon_ts_51'!D422+'AARnetCBR-CamDTN1_tcpmon_ts_52'!D422+'AARnetCBR-CamDTN1_tcpmon_ts_53'!D422+'AARnetCBR-CamDTN1_tcpmon_ts_54'!D422+'AARnetCBR-CamDTN1_tcpmon_ts_55'!D422</f>
        <v>0</v>
      </c>
    </row>
    <row r="423" spans="1:16">
      <c r="A423">
        <f>'AARnetCBR-CamDTN1_tcpmon_ts_11'!A437</f>
        <v>0</v>
      </c>
      <c r="C423">
        <f>'AARnetCBR-CamDTN1_tcpmon_ts_11'!C437</f>
        <v>0</v>
      </c>
      <c r="D423">
        <f>'AARnetCBR-CamDTN1_tcpmon_ts_21'!C437+'AARnetCBR-CamDTN1_tcpmon_ts_22'!C437</f>
        <v>0</v>
      </c>
      <c r="E423">
        <f>'AARnetCBR-CamDTN1_tcpmon_ts_31'!C437+'AARnetCBR-CamDTN1_tcpmon_ts_32'!C437+'AARnetCBR-CamDTN1_tcpmon_ts_33'!C437</f>
        <v>0</v>
      </c>
      <c r="F423">
        <f>'AARnetCBR-CamDTN1_tcpmon_ts_41'!C437+'AARnetCBR-CamDTN1_tcpmon_ts_42'!C437+'AARnetCBR-CamDTN1_tcpmon_ts_43'!C437+'AARnetCBR-CamDTN1_tcpmon_ts_44'!C437</f>
        <v>0</v>
      </c>
      <c r="L423">
        <f>'AARnetCBR-CamDTN1_tcpmon_ts_11'!D423</f>
        <v>0</v>
      </c>
      <c r="M423">
        <f>'AARnetCBR-CamDTN1_tcpmon_ts_21'!D423+'AARnetCBR-CamDTN1_tcpmon_ts_22'!D423</f>
        <v>0</v>
      </c>
      <c r="N423">
        <f>'AARnetCBR-CamDTN1_tcpmon_ts_31'!D423+'AARnetCBR-CamDTN1_tcpmon_ts_32'!D423+'AARnetCBR-CamDTN1_tcpmon_ts_33'!D423</f>
        <v>0</v>
      </c>
      <c r="O423">
        <f>'AARnetCBR-CamDTN1_tcpmon_ts_41'!D423+'AARnetCBR-CamDTN1_tcpmon_ts_42'!D423+'AARnetCBR-CamDTN1_tcpmon_ts_43'!D423+'AARnetCBR-CamDTN1_tcpmon_ts_44'!D423</f>
        <v>0</v>
      </c>
      <c r="P423">
        <f>'AARnetCBR-CamDTN1_tcpmon_ts_51'!D423+'AARnetCBR-CamDTN1_tcpmon_ts_52'!D423+'AARnetCBR-CamDTN1_tcpmon_ts_53'!D423+'AARnetCBR-CamDTN1_tcpmon_ts_54'!D423+'AARnetCBR-CamDTN1_tcpmon_ts_55'!D423</f>
        <v>0</v>
      </c>
    </row>
    <row r="424" spans="1:16">
      <c r="A424">
        <f>'AARnetCBR-CamDTN1_tcpmon_ts_11'!A438</f>
        <v>0</v>
      </c>
      <c r="C424">
        <f>'AARnetCBR-CamDTN1_tcpmon_ts_11'!C438</f>
        <v>0</v>
      </c>
      <c r="D424">
        <f>'AARnetCBR-CamDTN1_tcpmon_ts_21'!C438+'AARnetCBR-CamDTN1_tcpmon_ts_22'!C438</f>
        <v>0</v>
      </c>
      <c r="E424">
        <f>'AARnetCBR-CamDTN1_tcpmon_ts_31'!C438+'AARnetCBR-CamDTN1_tcpmon_ts_32'!C438+'AARnetCBR-CamDTN1_tcpmon_ts_33'!C438</f>
        <v>0</v>
      </c>
      <c r="F424">
        <f>'AARnetCBR-CamDTN1_tcpmon_ts_41'!C438+'AARnetCBR-CamDTN1_tcpmon_ts_42'!C438+'AARnetCBR-CamDTN1_tcpmon_ts_43'!C438+'AARnetCBR-CamDTN1_tcpmon_ts_44'!C438</f>
        <v>0</v>
      </c>
      <c r="L424">
        <f>'AARnetCBR-CamDTN1_tcpmon_ts_11'!D424</f>
        <v>0</v>
      </c>
      <c r="M424">
        <f>'AARnetCBR-CamDTN1_tcpmon_ts_21'!D424+'AARnetCBR-CamDTN1_tcpmon_ts_22'!D424</f>
        <v>0</v>
      </c>
      <c r="N424">
        <f>'AARnetCBR-CamDTN1_tcpmon_ts_31'!D424+'AARnetCBR-CamDTN1_tcpmon_ts_32'!D424+'AARnetCBR-CamDTN1_tcpmon_ts_33'!D424</f>
        <v>0</v>
      </c>
      <c r="O424">
        <f>'AARnetCBR-CamDTN1_tcpmon_ts_41'!D424+'AARnetCBR-CamDTN1_tcpmon_ts_42'!D424+'AARnetCBR-CamDTN1_tcpmon_ts_43'!D424+'AARnetCBR-CamDTN1_tcpmon_ts_44'!D424</f>
        <v>0</v>
      </c>
      <c r="P424">
        <f>'AARnetCBR-CamDTN1_tcpmon_ts_51'!D424+'AARnetCBR-CamDTN1_tcpmon_ts_52'!D424+'AARnetCBR-CamDTN1_tcpmon_ts_53'!D424+'AARnetCBR-CamDTN1_tcpmon_ts_54'!D424+'AARnetCBR-CamDTN1_tcpmon_ts_55'!D424</f>
        <v>0</v>
      </c>
    </row>
    <row r="425" spans="1:16">
      <c r="A425">
        <f>'AARnetCBR-CamDTN1_tcpmon_ts_11'!A439</f>
        <v>0</v>
      </c>
      <c r="C425">
        <f>'AARnetCBR-CamDTN1_tcpmon_ts_11'!C439</f>
        <v>0</v>
      </c>
      <c r="D425">
        <f>'AARnetCBR-CamDTN1_tcpmon_ts_21'!C439+'AARnetCBR-CamDTN1_tcpmon_ts_22'!C439</f>
        <v>0</v>
      </c>
      <c r="E425">
        <f>'AARnetCBR-CamDTN1_tcpmon_ts_31'!C439+'AARnetCBR-CamDTN1_tcpmon_ts_32'!C439+'AARnetCBR-CamDTN1_tcpmon_ts_33'!C439</f>
        <v>0</v>
      </c>
      <c r="F425">
        <f>'AARnetCBR-CamDTN1_tcpmon_ts_41'!C439+'AARnetCBR-CamDTN1_tcpmon_ts_42'!C439+'AARnetCBR-CamDTN1_tcpmon_ts_43'!C439+'AARnetCBR-CamDTN1_tcpmon_ts_44'!C439</f>
        <v>0</v>
      </c>
      <c r="L425">
        <f>'AARnetCBR-CamDTN1_tcpmon_ts_11'!D425</f>
        <v>0</v>
      </c>
      <c r="M425">
        <f>'AARnetCBR-CamDTN1_tcpmon_ts_21'!D425+'AARnetCBR-CamDTN1_tcpmon_ts_22'!D425</f>
        <v>0</v>
      </c>
      <c r="N425">
        <f>'AARnetCBR-CamDTN1_tcpmon_ts_31'!D425+'AARnetCBR-CamDTN1_tcpmon_ts_32'!D425+'AARnetCBR-CamDTN1_tcpmon_ts_33'!D425</f>
        <v>0</v>
      </c>
      <c r="O425">
        <f>'AARnetCBR-CamDTN1_tcpmon_ts_41'!D425+'AARnetCBR-CamDTN1_tcpmon_ts_42'!D425+'AARnetCBR-CamDTN1_tcpmon_ts_43'!D425+'AARnetCBR-CamDTN1_tcpmon_ts_44'!D425</f>
        <v>0</v>
      </c>
      <c r="P425">
        <f>'AARnetCBR-CamDTN1_tcpmon_ts_51'!D425+'AARnetCBR-CamDTN1_tcpmon_ts_52'!D425+'AARnetCBR-CamDTN1_tcpmon_ts_53'!D425+'AARnetCBR-CamDTN1_tcpmon_ts_54'!D425+'AARnetCBR-CamDTN1_tcpmon_ts_55'!D425</f>
        <v>0</v>
      </c>
    </row>
    <row r="426" spans="1:16">
      <c r="A426">
        <f>'AARnetCBR-CamDTN1_tcpmon_ts_11'!A440</f>
        <v>0</v>
      </c>
      <c r="C426">
        <f>'AARnetCBR-CamDTN1_tcpmon_ts_11'!C440</f>
        <v>0</v>
      </c>
      <c r="D426">
        <f>'AARnetCBR-CamDTN1_tcpmon_ts_21'!C440+'AARnetCBR-CamDTN1_tcpmon_ts_22'!C440</f>
        <v>0</v>
      </c>
      <c r="E426">
        <f>'AARnetCBR-CamDTN1_tcpmon_ts_31'!C440+'AARnetCBR-CamDTN1_tcpmon_ts_32'!C440+'AARnetCBR-CamDTN1_tcpmon_ts_33'!C440</f>
        <v>0</v>
      </c>
      <c r="F426">
        <f>'AARnetCBR-CamDTN1_tcpmon_ts_41'!C440+'AARnetCBR-CamDTN1_tcpmon_ts_42'!C440+'AARnetCBR-CamDTN1_tcpmon_ts_43'!C440+'AARnetCBR-CamDTN1_tcpmon_ts_44'!C440</f>
        <v>0</v>
      </c>
      <c r="L426">
        <f>'AARnetCBR-CamDTN1_tcpmon_ts_11'!D426</f>
        <v>0</v>
      </c>
      <c r="M426">
        <f>'AARnetCBR-CamDTN1_tcpmon_ts_21'!D426+'AARnetCBR-CamDTN1_tcpmon_ts_22'!D426</f>
        <v>0</v>
      </c>
      <c r="N426">
        <f>'AARnetCBR-CamDTN1_tcpmon_ts_31'!D426+'AARnetCBR-CamDTN1_tcpmon_ts_32'!D426+'AARnetCBR-CamDTN1_tcpmon_ts_33'!D426</f>
        <v>0</v>
      </c>
      <c r="O426">
        <f>'AARnetCBR-CamDTN1_tcpmon_ts_41'!D426+'AARnetCBR-CamDTN1_tcpmon_ts_42'!D426+'AARnetCBR-CamDTN1_tcpmon_ts_43'!D426+'AARnetCBR-CamDTN1_tcpmon_ts_44'!D426</f>
        <v>0</v>
      </c>
      <c r="P426">
        <f>'AARnetCBR-CamDTN1_tcpmon_ts_51'!D426+'AARnetCBR-CamDTN1_tcpmon_ts_52'!D426+'AARnetCBR-CamDTN1_tcpmon_ts_53'!D426+'AARnetCBR-CamDTN1_tcpmon_ts_54'!D426+'AARnetCBR-CamDTN1_tcpmon_ts_55'!D426</f>
        <v>0</v>
      </c>
    </row>
    <row r="427" spans="1:16">
      <c r="A427">
        <f>'AARnetCBR-CamDTN1_tcpmon_ts_11'!A441</f>
        <v>0</v>
      </c>
      <c r="C427">
        <f>'AARnetCBR-CamDTN1_tcpmon_ts_11'!C441</f>
        <v>0</v>
      </c>
      <c r="D427">
        <f>'AARnetCBR-CamDTN1_tcpmon_ts_21'!C441+'AARnetCBR-CamDTN1_tcpmon_ts_22'!C441</f>
        <v>0</v>
      </c>
      <c r="E427">
        <f>'AARnetCBR-CamDTN1_tcpmon_ts_31'!C441+'AARnetCBR-CamDTN1_tcpmon_ts_32'!C441+'AARnetCBR-CamDTN1_tcpmon_ts_33'!C441</f>
        <v>0</v>
      </c>
      <c r="F427">
        <f>'AARnetCBR-CamDTN1_tcpmon_ts_41'!C441+'AARnetCBR-CamDTN1_tcpmon_ts_42'!C441+'AARnetCBR-CamDTN1_tcpmon_ts_43'!C441+'AARnetCBR-CamDTN1_tcpmon_ts_44'!C441</f>
        <v>0</v>
      </c>
      <c r="L427">
        <f>'AARnetCBR-CamDTN1_tcpmon_ts_11'!D427</f>
        <v>0</v>
      </c>
      <c r="M427">
        <f>'AARnetCBR-CamDTN1_tcpmon_ts_21'!D427+'AARnetCBR-CamDTN1_tcpmon_ts_22'!D427</f>
        <v>0</v>
      </c>
      <c r="N427">
        <f>'AARnetCBR-CamDTN1_tcpmon_ts_31'!D427+'AARnetCBR-CamDTN1_tcpmon_ts_32'!D427+'AARnetCBR-CamDTN1_tcpmon_ts_33'!D427</f>
        <v>0</v>
      </c>
      <c r="O427">
        <f>'AARnetCBR-CamDTN1_tcpmon_ts_41'!D427+'AARnetCBR-CamDTN1_tcpmon_ts_42'!D427+'AARnetCBR-CamDTN1_tcpmon_ts_43'!D427+'AARnetCBR-CamDTN1_tcpmon_ts_44'!D427</f>
        <v>0</v>
      </c>
      <c r="P427">
        <f>'AARnetCBR-CamDTN1_tcpmon_ts_51'!D427+'AARnetCBR-CamDTN1_tcpmon_ts_52'!D427+'AARnetCBR-CamDTN1_tcpmon_ts_53'!D427+'AARnetCBR-CamDTN1_tcpmon_ts_54'!D427+'AARnetCBR-CamDTN1_tcpmon_ts_55'!D427</f>
        <v>0</v>
      </c>
    </row>
    <row r="428" spans="1:16">
      <c r="A428">
        <f>'AARnetCBR-CamDTN1_tcpmon_ts_11'!A442</f>
        <v>0</v>
      </c>
      <c r="C428">
        <f>'AARnetCBR-CamDTN1_tcpmon_ts_11'!C442</f>
        <v>0</v>
      </c>
      <c r="D428">
        <f>'AARnetCBR-CamDTN1_tcpmon_ts_21'!C442+'AARnetCBR-CamDTN1_tcpmon_ts_22'!C442</f>
        <v>0</v>
      </c>
      <c r="E428">
        <f>'AARnetCBR-CamDTN1_tcpmon_ts_31'!C442+'AARnetCBR-CamDTN1_tcpmon_ts_32'!C442+'AARnetCBR-CamDTN1_tcpmon_ts_33'!C442</f>
        <v>0</v>
      </c>
      <c r="F428">
        <f>'AARnetCBR-CamDTN1_tcpmon_ts_41'!C442+'AARnetCBR-CamDTN1_tcpmon_ts_42'!C442+'AARnetCBR-CamDTN1_tcpmon_ts_43'!C442+'AARnetCBR-CamDTN1_tcpmon_ts_44'!C442</f>
        <v>0</v>
      </c>
      <c r="L428">
        <f>'AARnetCBR-CamDTN1_tcpmon_ts_11'!D428</f>
        <v>0</v>
      </c>
      <c r="M428">
        <f>'AARnetCBR-CamDTN1_tcpmon_ts_21'!D428+'AARnetCBR-CamDTN1_tcpmon_ts_22'!D428</f>
        <v>0</v>
      </c>
      <c r="N428">
        <f>'AARnetCBR-CamDTN1_tcpmon_ts_31'!D428+'AARnetCBR-CamDTN1_tcpmon_ts_32'!D428+'AARnetCBR-CamDTN1_tcpmon_ts_33'!D428</f>
        <v>0</v>
      </c>
      <c r="O428">
        <f>'AARnetCBR-CamDTN1_tcpmon_ts_41'!D428+'AARnetCBR-CamDTN1_tcpmon_ts_42'!D428+'AARnetCBR-CamDTN1_tcpmon_ts_43'!D428+'AARnetCBR-CamDTN1_tcpmon_ts_44'!D428</f>
        <v>0</v>
      </c>
      <c r="P428">
        <f>'AARnetCBR-CamDTN1_tcpmon_ts_51'!D428+'AARnetCBR-CamDTN1_tcpmon_ts_52'!D428+'AARnetCBR-CamDTN1_tcpmon_ts_53'!D428+'AARnetCBR-CamDTN1_tcpmon_ts_54'!D428+'AARnetCBR-CamDTN1_tcpmon_ts_55'!D428</f>
        <v>0</v>
      </c>
    </row>
    <row r="429" spans="1:16">
      <c r="A429">
        <f>'AARnetCBR-CamDTN1_tcpmon_ts_11'!A443</f>
        <v>0</v>
      </c>
      <c r="C429">
        <f>'AARnetCBR-CamDTN1_tcpmon_ts_11'!C443</f>
        <v>0</v>
      </c>
      <c r="D429">
        <f>'AARnetCBR-CamDTN1_tcpmon_ts_21'!C443+'AARnetCBR-CamDTN1_tcpmon_ts_22'!C443</f>
        <v>0</v>
      </c>
      <c r="E429">
        <f>'AARnetCBR-CamDTN1_tcpmon_ts_31'!C443+'AARnetCBR-CamDTN1_tcpmon_ts_32'!C443+'AARnetCBR-CamDTN1_tcpmon_ts_33'!C443</f>
        <v>0</v>
      </c>
      <c r="F429">
        <f>'AARnetCBR-CamDTN1_tcpmon_ts_41'!C443+'AARnetCBR-CamDTN1_tcpmon_ts_42'!C443+'AARnetCBR-CamDTN1_tcpmon_ts_43'!C443+'AARnetCBR-CamDTN1_tcpmon_ts_44'!C443</f>
        <v>0</v>
      </c>
      <c r="L429">
        <f>'AARnetCBR-CamDTN1_tcpmon_ts_11'!D429</f>
        <v>0</v>
      </c>
      <c r="M429">
        <f>'AARnetCBR-CamDTN1_tcpmon_ts_21'!D429+'AARnetCBR-CamDTN1_tcpmon_ts_22'!D429</f>
        <v>0</v>
      </c>
      <c r="N429">
        <f>'AARnetCBR-CamDTN1_tcpmon_ts_31'!D429+'AARnetCBR-CamDTN1_tcpmon_ts_32'!D429+'AARnetCBR-CamDTN1_tcpmon_ts_33'!D429</f>
        <v>0</v>
      </c>
      <c r="O429">
        <f>'AARnetCBR-CamDTN1_tcpmon_ts_41'!D429+'AARnetCBR-CamDTN1_tcpmon_ts_42'!D429+'AARnetCBR-CamDTN1_tcpmon_ts_43'!D429+'AARnetCBR-CamDTN1_tcpmon_ts_44'!D429</f>
        <v>0</v>
      </c>
      <c r="P429">
        <f>'AARnetCBR-CamDTN1_tcpmon_ts_51'!D429+'AARnetCBR-CamDTN1_tcpmon_ts_52'!D429+'AARnetCBR-CamDTN1_tcpmon_ts_53'!D429+'AARnetCBR-CamDTN1_tcpmon_ts_54'!D429+'AARnetCBR-CamDTN1_tcpmon_ts_55'!D429</f>
        <v>0</v>
      </c>
    </row>
    <row r="430" spans="1:16">
      <c r="A430">
        <f>'AARnetCBR-CamDTN1_tcpmon_ts_11'!A444</f>
        <v>0</v>
      </c>
      <c r="C430">
        <f>'AARnetCBR-CamDTN1_tcpmon_ts_11'!C444</f>
        <v>0</v>
      </c>
      <c r="D430">
        <f>'AARnetCBR-CamDTN1_tcpmon_ts_21'!C444+'AARnetCBR-CamDTN1_tcpmon_ts_22'!C444</f>
        <v>0</v>
      </c>
      <c r="E430">
        <f>'AARnetCBR-CamDTN1_tcpmon_ts_31'!C444+'AARnetCBR-CamDTN1_tcpmon_ts_32'!C444+'AARnetCBR-CamDTN1_tcpmon_ts_33'!C444</f>
        <v>0</v>
      </c>
      <c r="F430">
        <f>'AARnetCBR-CamDTN1_tcpmon_ts_41'!C444+'AARnetCBR-CamDTN1_tcpmon_ts_42'!C444+'AARnetCBR-CamDTN1_tcpmon_ts_43'!C444+'AARnetCBR-CamDTN1_tcpmon_ts_44'!C444</f>
        <v>0</v>
      </c>
      <c r="L430">
        <f>'AARnetCBR-CamDTN1_tcpmon_ts_11'!D430</f>
        <v>0</v>
      </c>
      <c r="M430">
        <f>'AARnetCBR-CamDTN1_tcpmon_ts_21'!D430+'AARnetCBR-CamDTN1_tcpmon_ts_22'!D430</f>
        <v>0</v>
      </c>
      <c r="N430">
        <f>'AARnetCBR-CamDTN1_tcpmon_ts_31'!D430+'AARnetCBR-CamDTN1_tcpmon_ts_32'!D430+'AARnetCBR-CamDTN1_tcpmon_ts_33'!D430</f>
        <v>0</v>
      </c>
      <c r="O430">
        <f>'AARnetCBR-CamDTN1_tcpmon_ts_41'!D430+'AARnetCBR-CamDTN1_tcpmon_ts_42'!D430+'AARnetCBR-CamDTN1_tcpmon_ts_43'!D430+'AARnetCBR-CamDTN1_tcpmon_ts_44'!D430</f>
        <v>0</v>
      </c>
      <c r="P430">
        <f>'AARnetCBR-CamDTN1_tcpmon_ts_51'!D430+'AARnetCBR-CamDTN1_tcpmon_ts_52'!D430+'AARnetCBR-CamDTN1_tcpmon_ts_53'!D430+'AARnetCBR-CamDTN1_tcpmon_ts_54'!D430+'AARnetCBR-CamDTN1_tcpmon_ts_55'!D430</f>
        <v>0</v>
      </c>
    </row>
    <row r="431" spans="1:16">
      <c r="A431">
        <f>'AARnetCBR-CamDTN1_tcpmon_ts_11'!A445</f>
        <v>0</v>
      </c>
      <c r="C431">
        <f>'AARnetCBR-CamDTN1_tcpmon_ts_11'!C445</f>
        <v>0</v>
      </c>
      <c r="D431">
        <f>'AARnetCBR-CamDTN1_tcpmon_ts_21'!C445+'AARnetCBR-CamDTN1_tcpmon_ts_22'!C445</f>
        <v>0</v>
      </c>
      <c r="E431">
        <f>'AARnetCBR-CamDTN1_tcpmon_ts_31'!C445+'AARnetCBR-CamDTN1_tcpmon_ts_32'!C445+'AARnetCBR-CamDTN1_tcpmon_ts_33'!C445</f>
        <v>0</v>
      </c>
      <c r="F431">
        <f>'AARnetCBR-CamDTN1_tcpmon_ts_41'!C445+'AARnetCBR-CamDTN1_tcpmon_ts_42'!C445+'AARnetCBR-CamDTN1_tcpmon_ts_43'!C445+'AARnetCBR-CamDTN1_tcpmon_ts_44'!C445</f>
        <v>0</v>
      </c>
      <c r="L431">
        <f>'AARnetCBR-CamDTN1_tcpmon_ts_11'!D431</f>
        <v>0</v>
      </c>
      <c r="M431">
        <f>'AARnetCBR-CamDTN1_tcpmon_ts_21'!D431+'AARnetCBR-CamDTN1_tcpmon_ts_22'!D431</f>
        <v>0</v>
      </c>
      <c r="N431">
        <f>'AARnetCBR-CamDTN1_tcpmon_ts_31'!D431+'AARnetCBR-CamDTN1_tcpmon_ts_32'!D431+'AARnetCBR-CamDTN1_tcpmon_ts_33'!D431</f>
        <v>0</v>
      </c>
      <c r="O431">
        <f>'AARnetCBR-CamDTN1_tcpmon_ts_41'!D431+'AARnetCBR-CamDTN1_tcpmon_ts_42'!D431+'AARnetCBR-CamDTN1_tcpmon_ts_43'!D431+'AARnetCBR-CamDTN1_tcpmon_ts_44'!D431</f>
        <v>0</v>
      </c>
      <c r="P431">
        <f>'AARnetCBR-CamDTN1_tcpmon_ts_51'!D431+'AARnetCBR-CamDTN1_tcpmon_ts_52'!D431+'AARnetCBR-CamDTN1_tcpmon_ts_53'!D431+'AARnetCBR-CamDTN1_tcpmon_ts_54'!D431+'AARnetCBR-CamDTN1_tcpmon_ts_55'!D431</f>
        <v>0</v>
      </c>
    </row>
    <row r="432" spans="1:16">
      <c r="A432">
        <f>'AARnetCBR-CamDTN1_tcpmon_ts_11'!A446</f>
        <v>0</v>
      </c>
      <c r="C432">
        <f>'AARnetCBR-CamDTN1_tcpmon_ts_11'!C446</f>
        <v>0</v>
      </c>
      <c r="D432">
        <f>'AARnetCBR-CamDTN1_tcpmon_ts_21'!C446+'AARnetCBR-CamDTN1_tcpmon_ts_22'!C446</f>
        <v>0</v>
      </c>
      <c r="E432">
        <f>'AARnetCBR-CamDTN1_tcpmon_ts_31'!C446+'AARnetCBR-CamDTN1_tcpmon_ts_32'!C446+'AARnetCBR-CamDTN1_tcpmon_ts_33'!C446</f>
        <v>0</v>
      </c>
      <c r="F432">
        <f>'AARnetCBR-CamDTN1_tcpmon_ts_41'!C446+'AARnetCBR-CamDTN1_tcpmon_ts_42'!C446+'AARnetCBR-CamDTN1_tcpmon_ts_43'!C446+'AARnetCBR-CamDTN1_tcpmon_ts_44'!C446</f>
        <v>0</v>
      </c>
      <c r="L432">
        <f>'AARnetCBR-CamDTN1_tcpmon_ts_11'!D432</f>
        <v>0</v>
      </c>
      <c r="M432">
        <f>'AARnetCBR-CamDTN1_tcpmon_ts_21'!D432+'AARnetCBR-CamDTN1_tcpmon_ts_22'!D432</f>
        <v>0</v>
      </c>
      <c r="N432">
        <f>'AARnetCBR-CamDTN1_tcpmon_ts_31'!D432+'AARnetCBR-CamDTN1_tcpmon_ts_32'!D432+'AARnetCBR-CamDTN1_tcpmon_ts_33'!D432</f>
        <v>0</v>
      </c>
      <c r="O432">
        <f>'AARnetCBR-CamDTN1_tcpmon_ts_41'!D432+'AARnetCBR-CamDTN1_tcpmon_ts_42'!D432+'AARnetCBR-CamDTN1_tcpmon_ts_43'!D432+'AARnetCBR-CamDTN1_tcpmon_ts_44'!D432</f>
        <v>0</v>
      </c>
      <c r="P432">
        <f>'AARnetCBR-CamDTN1_tcpmon_ts_51'!D432+'AARnetCBR-CamDTN1_tcpmon_ts_52'!D432+'AARnetCBR-CamDTN1_tcpmon_ts_53'!D432+'AARnetCBR-CamDTN1_tcpmon_ts_54'!D432+'AARnetCBR-CamDTN1_tcpmon_ts_55'!D432</f>
        <v>0</v>
      </c>
    </row>
    <row r="433" spans="1:16">
      <c r="A433">
        <f>'AARnetCBR-CamDTN1_tcpmon_ts_11'!A447</f>
        <v>0</v>
      </c>
      <c r="C433">
        <f>'AARnetCBR-CamDTN1_tcpmon_ts_11'!C447</f>
        <v>0</v>
      </c>
      <c r="D433">
        <f>'AARnetCBR-CamDTN1_tcpmon_ts_21'!C447+'AARnetCBR-CamDTN1_tcpmon_ts_22'!C447</f>
        <v>0</v>
      </c>
      <c r="E433">
        <f>'AARnetCBR-CamDTN1_tcpmon_ts_31'!C447+'AARnetCBR-CamDTN1_tcpmon_ts_32'!C447+'AARnetCBR-CamDTN1_tcpmon_ts_33'!C447</f>
        <v>0</v>
      </c>
      <c r="F433">
        <f>'AARnetCBR-CamDTN1_tcpmon_ts_41'!C447+'AARnetCBR-CamDTN1_tcpmon_ts_42'!C447+'AARnetCBR-CamDTN1_tcpmon_ts_43'!C447+'AARnetCBR-CamDTN1_tcpmon_ts_44'!C447</f>
        <v>0</v>
      </c>
      <c r="L433">
        <f>'AARnetCBR-CamDTN1_tcpmon_ts_11'!D433</f>
        <v>0</v>
      </c>
      <c r="M433">
        <f>'AARnetCBR-CamDTN1_tcpmon_ts_21'!D433+'AARnetCBR-CamDTN1_tcpmon_ts_22'!D433</f>
        <v>0</v>
      </c>
      <c r="N433">
        <f>'AARnetCBR-CamDTN1_tcpmon_ts_31'!D433+'AARnetCBR-CamDTN1_tcpmon_ts_32'!D433+'AARnetCBR-CamDTN1_tcpmon_ts_33'!D433</f>
        <v>0</v>
      </c>
      <c r="O433">
        <f>'AARnetCBR-CamDTN1_tcpmon_ts_41'!D433+'AARnetCBR-CamDTN1_tcpmon_ts_42'!D433+'AARnetCBR-CamDTN1_tcpmon_ts_43'!D433+'AARnetCBR-CamDTN1_tcpmon_ts_44'!D433</f>
        <v>0</v>
      </c>
      <c r="P433">
        <f>'AARnetCBR-CamDTN1_tcpmon_ts_51'!D433+'AARnetCBR-CamDTN1_tcpmon_ts_52'!D433+'AARnetCBR-CamDTN1_tcpmon_ts_53'!D433+'AARnetCBR-CamDTN1_tcpmon_ts_54'!D433+'AARnetCBR-CamDTN1_tcpmon_ts_55'!D433</f>
        <v>0</v>
      </c>
    </row>
    <row r="434" spans="1:16">
      <c r="A434">
        <f>'AARnetCBR-CamDTN1_tcpmon_ts_11'!A448</f>
        <v>0</v>
      </c>
      <c r="C434">
        <f>'AARnetCBR-CamDTN1_tcpmon_ts_11'!C448</f>
        <v>0</v>
      </c>
      <c r="D434">
        <f>'AARnetCBR-CamDTN1_tcpmon_ts_21'!C448+'AARnetCBR-CamDTN1_tcpmon_ts_22'!C448</f>
        <v>0</v>
      </c>
      <c r="E434">
        <f>'AARnetCBR-CamDTN1_tcpmon_ts_31'!C448+'AARnetCBR-CamDTN1_tcpmon_ts_32'!C448+'AARnetCBR-CamDTN1_tcpmon_ts_33'!C448</f>
        <v>0</v>
      </c>
      <c r="F434">
        <f>'AARnetCBR-CamDTN1_tcpmon_ts_41'!C448+'AARnetCBR-CamDTN1_tcpmon_ts_42'!C448+'AARnetCBR-CamDTN1_tcpmon_ts_43'!C448+'AARnetCBR-CamDTN1_tcpmon_ts_44'!C448</f>
        <v>0</v>
      </c>
      <c r="L434">
        <f>'AARnetCBR-CamDTN1_tcpmon_ts_11'!D434</f>
        <v>0</v>
      </c>
      <c r="M434">
        <f>'AARnetCBR-CamDTN1_tcpmon_ts_21'!D434+'AARnetCBR-CamDTN1_tcpmon_ts_22'!D434</f>
        <v>0</v>
      </c>
      <c r="N434">
        <f>'AARnetCBR-CamDTN1_tcpmon_ts_31'!D434+'AARnetCBR-CamDTN1_tcpmon_ts_32'!D434+'AARnetCBR-CamDTN1_tcpmon_ts_33'!D434</f>
        <v>0</v>
      </c>
      <c r="O434">
        <f>'AARnetCBR-CamDTN1_tcpmon_ts_41'!D434+'AARnetCBR-CamDTN1_tcpmon_ts_42'!D434+'AARnetCBR-CamDTN1_tcpmon_ts_43'!D434+'AARnetCBR-CamDTN1_tcpmon_ts_44'!D434</f>
        <v>0</v>
      </c>
      <c r="P434">
        <f>'AARnetCBR-CamDTN1_tcpmon_ts_51'!D434+'AARnetCBR-CamDTN1_tcpmon_ts_52'!D434+'AARnetCBR-CamDTN1_tcpmon_ts_53'!D434+'AARnetCBR-CamDTN1_tcpmon_ts_54'!D434+'AARnetCBR-CamDTN1_tcpmon_ts_55'!D434</f>
        <v>0</v>
      </c>
    </row>
    <row r="435" spans="1:16">
      <c r="A435">
        <f>'AARnetCBR-CamDTN1_tcpmon_ts_11'!A449</f>
        <v>0</v>
      </c>
      <c r="C435">
        <f>'AARnetCBR-CamDTN1_tcpmon_ts_11'!C449</f>
        <v>0</v>
      </c>
      <c r="D435">
        <f>'AARnetCBR-CamDTN1_tcpmon_ts_21'!C449+'AARnetCBR-CamDTN1_tcpmon_ts_22'!C449</f>
        <v>0</v>
      </c>
      <c r="E435">
        <f>'AARnetCBR-CamDTN1_tcpmon_ts_31'!C449+'AARnetCBR-CamDTN1_tcpmon_ts_32'!C449+'AARnetCBR-CamDTN1_tcpmon_ts_33'!C449</f>
        <v>0</v>
      </c>
      <c r="F435">
        <f>'AARnetCBR-CamDTN1_tcpmon_ts_41'!C449+'AARnetCBR-CamDTN1_tcpmon_ts_42'!C449+'AARnetCBR-CamDTN1_tcpmon_ts_43'!C449+'AARnetCBR-CamDTN1_tcpmon_ts_44'!C449</f>
        <v>0</v>
      </c>
      <c r="L435">
        <f>'AARnetCBR-CamDTN1_tcpmon_ts_11'!D435</f>
        <v>0</v>
      </c>
      <c r="M435">
        <f>'AARnetCBR-CamDTN1_tcpmon_ts_21'!D435+'AARnetCBR-CamDTN1_tcpmon_ts_22'!D435</f>
        <v>0</v>
      </c>
      <c r="N435">
        <f>'AARnetCBR-CamDTN1_tcpmon_ts_31'!D435+'AARnetCBR-CamDTN1_tcpmon_ts_32'!D435+'AARnetCBR-CamDTN1_tcpmon_ts_33'!D435</f>
        <v>0</v>
      </c>
      <c r="O435">
        <f>'AARnetCBR-CamDTN1_tcpmon_ts_41'!D435+'AARnetCBR-CamDTN1_tcpmon_ts_42'!D435+'AARnetCBR-CamDTN1_tcpmon_ts_43'!D435+'AARnetCBR-CamDTN1_tcpmon_ts_44'!D435</f>
        <v>0</v>
      </c>
      <c r="P435">
        <f>'AARnetCBR-CamDTN1_tcpmon_ts_51'!D435+'AARnetCBR-CamDTN1_tcpmon_ts_52'!D435+'AARnetCBR-CamDTN1_tcpmon_ts_53'!D435+'AARnetCBR-CamDTN1_tcpmon_ts_54'!D435+'AARnetCBR-CamDTN1_tcpmon_ts_55'!D435</f>
        <v>0</v>
      </c>
    </row>
    <row r="436" spans="1:16">
      <c r="A436">
        <f>'AARnetCBR-CamDTN1_tcpmon_ts_11'!A450</f>
        <v>0</v>
      </c>
      <c r="C436">
        <f>'AARnetCBR-CamDTN1_tcpmon_ts_11'!C450</f>
        <v>0</v>
      </c>
      <c r="D436">
        <f>'AARnetCBR-CamDTN1_tcpmon_ts_21'!C450+'AARnetCBR-CamDTN1_tcpmon_ts_22'!C450</f>
        <v>0</v>
      </c>
      <c r="E436">
        <f>'AARnetCBR-CamDTN1_tcpmon_ts_31'!C450+'AARnetCBR-CamDTN1_tcpmon_ts_32'!C450+'AARnetCBR-CamDTN1_tcpmon_ts_33'!C450</f>
        <v>0</v>
      </c>
      <c r="F436">
        <f>'AARnetCBR-CamDTN1_tcpmon_ts_41'!C450+'AARnetCBR-CamDTN1_tcpmon_ts_42'!C450+'AARnetCBR-CamDTN1_tcpmon_ts_43'!C450+'AARnetCBR-CamDTN1_tcpmon_ts_44'!C450</f>
        <v>0</v>
      </c>
      <c r="L436">
        <f>'AARnetCBR-CamDTN1_tcpmon_ts_11'!D436</f>
        <v>0</v>
      </c>
      <c r="M436">
        <f>'AARnetCBR-CamDTN1_tcpmon_ts_21'!D436+'AARnetCBR-CamDTN1_tcpmon_ts_22'!D436</f>
        <v>0</v>
      </c>
      <c r="N436">
        <f>'AARnetCBR-CamDTN1_tcpmon_ts_31'!D436+'AARnetCBR-CamDTN1_tcpmon_ts_32'!D436+'AARnetCBR-CamDTN1_tcpmon_ts_33'!D436</f>
        <v>0</v>
      </c>
      <c r="O436">
        <f>'AARnetCBR-CamDTN1_tcpmon_ts_41'!D436+'AARnetCBR-CamDTN1_tcpmon_ts_42'!D436+'AARnetCBR-CamDTN1_tcpmon_ts_43'!D436+'AARnetCBR-CamDTN1_tcpmon_ts_44'!D436</f>
        <v>0</v>
      </c>
      <c r="P436">
        <f>'AARnetCBR-CamDTN1_tcpmon_ts_51'!D436+'AARnetCBR-CamDTN1_tcpmon_ts_52'!D436+'AARnetCBR-CamDTN1_tcpmon_ts_53'!D436+'AARnetCBR-CamDTN1_tcpmon_ts_54'!D436+'AARnetCBR-CamDTN1_tcpmon_ts_55'!D436</f>
        <v>0</v>
      </c>
    </row>
    <row r="437" spans="1:16">
      <c r="A437">
        <f>'AARnetCBR-CamDTN1_tcpmon_ts_11'!A451</f>
        <v>0</v>
      </c>
      <c r="C437">
        <f>'AARnetCBR-CamDTN1_tcpmon_ts_11'!C451</f>
        <v>0</v>
      </c>
      <c r="D437">
        <f>'AARnetCBR-CamDTN1_tcpmon_ts_21'!C451+'AARnetCBR-CamDTN1_tcpmon_ts_22'!C451</f>
        <v>0</v>
      </c>
      <c r="E437">
        <f>'AARnetCBR-CamDTN1_tcpmon_ts_31'!C451+'AARnetCBR-CamDTN1_tcpmon_ts_32'!C451+'AARnetCBR-CamDTN1_tcpmon_ts_33'!C451</f>
        <v>0</v>
      </c>
      <c r="F437">
        <f>'AARnetCBR-CamDTN1_tcpmon_ts_41'!C451+'AARnetCBR-CamDTN1_tcpmon_ts_42'!C451+'AARnetCBR-CamDTN1_tcpmon_ts_43'!C451+'AARnetCBR-CamDTN1_tcpmon_ts_44'!C451</f>
        <v>0</v>
      </c>
      <c r="L437">
        <f>'AARnetCBR-CamDTN1_tcpmon_ts_11'!D437</f>
        <v>0</v>
      </c>
      <c r="M437">
        <f>'AARnetCBR-CamDTN1_tcpmon_ts_21'!D437+'AARnetCBR-CamDTN1_tcpmon_ts_22'!D437</f>
        <v>0</v>
      </c>
      <c r="N437">
        <f>'AARnetCBR-CamDTN1_tcpmon_ts_31'!D437+'AARnetCBR-CamDTN1_tcpmon_ts_32'!D437+'AARnetCBR-CamDTN1_tcpmon_ts_33'!D437</f>
        <v>0</v>
      </c>
      <c r="O437">
        <f>'AARnetCBR-CamDTN1_tcpmon_ts_41'!D437+'AARnetCBR-CamDTN1_tcpmon_ts_42'!D437+'AARnetCBR-CamDTN1_tcpmon_ts_43'!D437+'AARnetCBR-CamDTN1_tcpmon_ts_44'!D437</f>
        <v>0</v>
      </c>
      <c r="P437">
        <f>'AARnetCBR-CamDTN1_tcpmon_ts_51'!D437+'AARnetCBR-CamDTN1_tcpmon_ts_52'!D437+'AARnetCBR-CamDTN1_tcpmon_ts_53'!D437+'AARnetCBR-CamDTN1_tcpmon_ts_54'!D437+'AARnetCBR-CamDTN1_tcpmon_ts_55'!D437</f>
        <v>0</v>
      </c>
    </row>
    <row r="438" spans="1:16">
      <c r="A438">
        <f>'AARnetCBR-CamDTN1_tcpmon_ts_11'!A452</f>
        <v>0</v>
      </c>
      <c r="C438">
        <f>'AARnetCBR-CamDTN1_tcpmon_ts_11'!C452</f>
        <v>0</v>
      </c>
      <c r="D438">
        <f>'AARnetCBR-CamDTN1_tcpmon_ts_21'!C452+'AARnetCBR-CamDTN1_tcpmon_ts_22'!C452</f>
        <v>0</v>
      </c>
      <c r="E438">
        <f>'AARnetCBR-CamDTN1_tcpmon_ts_31'!C452+'AARnetCBR-CamDTN1_tcpmon_ts_32'!C452+'AARnetCBR-CamDTN1_tcpmon_ts_33'!C452</f>
        <v>0</v>
      </c>
      <c r="F438">
        <f>'AARnetCBR-CamDTN1_tcpmon_ts_41'!C452+'AARnetCBR-CamDTN1_tcpmon_ts_42'!C452+'AARnetCBR-CamDTN1_tcpmon_ts_43'!C452+'AARnetCBR-CamDTN1_tcpmon_ts_44'!C452</f>
        <v>0</v>
      </c>
      <c r="L438">
        <f>'AARnetCBR-CamDTN1_tcpmon_ts_11'!D438</f>
        <v>0</v>
      </c>
      <c r="M438">
        <f>'AARnetCBR-CamDTN1_tcpmon_ts_21'!D438+'AARnetCBR-CamDTN1_tcpmon_ts_22'!D438</f>
        <v>0</v>
      </c>
      <c r="N438">
        <f>'AARnetCBR-CamDTN1_tcpmon_ts_31'!D438+'AARnetCBR-CamDTN1_tcpmon_ts_32'!D438+'AARnetCBR-CamDTN1_tcpmon_ts_33'!D438</f>
        <v>0</v>
      </c>
      <c r="O438">
        <f>'AARnetCBR-CamDTN1_tcpmon_ts_41'!D438+'AARnetCBR-CamDTN1_tcpmon_ts_42'!D438+'AARnetCBR-CamDTN1_tcpmon_ts_43'!D438+'AARnetCBR-CamDTN1_tcpmon_ts_44'!D438</f>
        <v>0</v>
      </c>
      <c r="P438">
        <f>'AARnetCBR-CamDTN1_tcpmon_ts_51'!D438+'AARnetCBR-CamDTN1_tcpmon_ts_52'!D438+'AARnetCBR-CamDTN1_tcpmon_ts_53'!D438+'AARnetCBR-CamDTN1_tcpmon_ts_54'!D438+'AARnetCBR-CamDTN1_tcpmon_ts_55'!D438</f>
        <v>0</v>
      </c>
    </row>
    <row r="439" spans="1:16">
      <c r="A439">
        <f>'AARnetCBR-CamDTN1_tcpmon_ts_11'!A453</f>
        <v>0</v>
      </c>
      <c r="C439">
        <f>'AARnetCBR-CamDTN1_tcpmon_ts_11'!C453</f>
        <v>0</v>
      </c>
      <c r="D439">
        <f>'AARnetCBR-CamDTN1_tcpmon_ts_21'!C453+'AARnetCBR-CamDTN1_tcpmon_ts_22'!C453</f>
        <v>0</v>
      </c>
      <c r="E439">
        <f>'AARnetCBR-CamDTN1_tcpmon_ts_31'!C453+'AARnetCBR-CamDTN1_tcpmon_ts_32'!C453+'AARnetCBR-CamDTN1_tcpmon_ts_33'!C453</f>
        <v>0</v>
      </c>
      <c r="F439">
        <f>'AARnetCBR-CamDTN1_tcpmon_ts_41'!C453+'AARnetCBR-CamDTN1_tcpmon_ts_42'!C453+'AARnetCBR-CamDTN1_tcpmon_ts_43'!C453+'AARnetCBR-CamDTN1_tcpmon_ts_44'!C453</f>
        <v>0</v>
      </c>
      <c r="L439">
        <f>'AARnetCBR-CamDTN1_tcpmon_ts_11'!D439</f>
        <v>0</v>
      </c>
      <c r="M439">
        <f>'AARnetCBR-CamDTN1_tcpmon_ts_21'!D439+'AARnetCBR-CamDTN1_tcpmon_ts_22'!D439</f>
        <v>0</v>
      </c>
      <c r="N439">
        <f>'AARnetCBR-CamDTN1_tcpmon_ts_31'!D439+'AARnetCBR-CamDTN1_tcpmon_ts_32'!D439+'AARnetCBR-CamDTN1_tcpmon_ts_33'!D439</f>
        <v>0</v>
      </c>
      <c r="O439">
        <f>'AARnetCBR-CamDTN1_tcpmon_ts_41'!D439+'AARnetCBR-CamDTN1_tcpmon_ts_42'!D439+'AARnetCBR-CamDTN1_tcpmon_ts_43'!D439+'AARnetCBR-CamDTN1_tcpmon_ts_44'!D439</f>
        <v>0</v>
      </c>
      <c r="P439">
        <f>'AARnetCBR-CamDTN1_tcpmon_ts_51'!D439+'AARnetCBR-CamDTN1_tcpmon_ts_52'!D439+'AARnetCBR-CamDTN1_tcpmon_ts_53'!D439+'AARnetCBR-CamDTN1_tcpmon_ts_54'!D439+'AARnetCBR-CamDTN1_tcpmon_ts_55'!D439</f>
        <v>0</v>
      </c>
    </row>
    <row r="440" spans="1:16">
      <c r="A440">
        <f>'AARnetCBR-CamDTN1_tcpmon_ts_11'!A454</f>
        <v>0</v>
      </c>
      <c r="C440">
        <f>'AARnetCBR-CamDTN1_tcpmon_ts_11'!C454</f>
        <v>0</v>
      </c>
      <c r="D440">
        <f>'AARnetCBR-CamDTN1_tcpmon_ts_21'!C454+'AARnetCBR-CamDTN1_tcpmon_ts_22'!C454</f>
        <v>0</v>
      </c>
      <c r="E440">
        <f>'AARnetCBR-CamDTN1_tcpmon_ts_31'!C454+'AARnetCBR-CamDTN1_tcpmon_ts_32'!C454+'AARnetCBR-CamDTN1_tcpmon_ts_33'!C454</f>
        <v>0</v>
      </c>
      <c r="F440">
        <f>'AARnetCBR-CamDTN1_tcpmon_ts_41'!C454+'AARnetCBR-CamDTN1_tcpmon_ts_42'!C454+'AARnetCBR-CamDTN1_tcpmon_ts_43'!C454+'AARnetCBR-CamDTN1_tcpmon_ts_44'!C454</f>
        <v>0</v>
      </c>
      <c r="L440">
        <f>'AARnetCBR-CamDTN1_tcpmon_ts_11'!D440</f>
        <v>0</v>
      </c>
      <c r="M440">
        <f>'AARnetCBR-CamDTN1_tcpmon_ts_21'!D440+'AARnetCBR-CamDTN1_tcpmon_ts_22'!D440</f>
        <v>0</v>
      </c>
      <c r="N440">
        <f>'AARnetCBR-CamDTN1_tcpmon_ts_31'!D440+'AARnetCBR-CamDTN1_tcpmon_ts_32'!D440+'AARnetCBR-CamDTN1_tcpmon_ts_33'!D440</f>
        <v>0</v>
      </c>
      <c r="O440">
        <f>'AARnetCBR-CamDTN1_tcpmon_ts_41'!D440+'AARnetCBR-CamDTN1_tcpmon_ts_42'!D440+'AARnetCBR-CamDTN1_tcpmon_ts_43'!D440+'AARnetCBR-CamDTN1_tcpmon_ts_44'!D440</f>
        <v>0</v>
      </c>
      <c r="P440">
        <f>'AARnetCBR-CamDTN1_tcpmon_ts_51'!D440+'AARnetCBR-CamDTN1_tcpmon_ts_52'!D440+'AARnetCBR-CamDTN1_tcpmon_ts_53'!D440+'AARnetCBR-CamDTN1_tcpmon_ts_54'!D440+'AARnetCBR-CamDTN1_tcpmon_ts_55'!D440</f>
        <v>0</v>
      </c>
    </row>
    <row r="441" spans="1:16">
      <c r="A441">
        <f>'AARnetCBR-CamDTN1_tcpmon_ts_11'!A455</f>
        <v>0</v>
      </c>
      <c r="C441">
        <f>'AARnetCBR-CamDTN1_tcpmon_ts_11'!C455</f>
        <v>0</v>
      </c>
      <c r="D441">
        <f>'AARnetCBR-CamDTN1_tcpmon_ts_21'!C455+'AARnetCBR-CamDTN1_tcpmon_ts_22'!C455</f>
        <v>0</v>
      </c>
      <c r="E441">
        <f>'AARnetCBR-CamDTN1_tcpmon_ts_31'!C455+'AARnetCBR-CamDTN1_tcpmon_ts_32'!C455+'AARnetCBR-CamDTN1_tcpmon_ts_33'!C455</f>
        <v>0</v>
      </c>
      <c r="F441">
        <f>'AARnetCBR-CamDTN1_tcpmon_ts_41'!C455+'AARnetCBR-CamDTN1_tcpmon_ts_42'!C455+'AARnetCBR-CamDTN1_tcpmon_ts_43'!C455+'AARnetCBR-CamDTN1_tcpmon_ts_44'!C455</f>
        <v>0</v>
      </c>
      <c r="L441">
        <f>'AARnetCBR-CamDTN1_tcpmon_ts_11'!D441</f>
        <v>0</v>
      </c>
      <c r="M441">
        <f>'AARnetCBR-CamDTN1_tcpmon_ts_21'!D441+'AARnetCBR-CamDTN1_tcpmon_ts_22'!D441</f>
        <v>0</v>
      </c>
      <c r="N441">
        <f>'AARnetCBR-CamDTN1_tcpmon_ts_31'!D441+'AARnetCBR-CamDTN1_tcpmon_ts_32'!D441+'AARnetCBR-CamDTN1_tcpmon_ts_33'!D441</f>
        <v>0</v>
      </c>
      <c r="O441">
        <f>'AARnetCBR-CamDTN1_tcpmon_ts_41'!D441+'AARnetCBR-CamDTN1_tcpmon_ts_42'!D441+'AARnetCBR-CamDTN1_tcpmon_ts_43'!D441+'AARnetCBR-CamDTN1_tcpmon_ts_44'!D441</f>
        <v>0</v>
      </c>
      <c r="P441">
        <f>'AARnetCBR-CamDTN1_tcpmon_ts_51'!D441+'AARnetCBR-CamDTN1_tcpmon_ts_52'!D441+'AARnetCBR-CamDTN1_tcpmon_ts_53'!D441+'AARnetCBR-CamDTN1_tcpmon_ts_54'!D441+'AARnetCBR-CamDTN1_tcpmon_ts_55'!D441</f>
        <v>0</v>
      </c>
    </row>
    <row r="442" spans="1:16">
      <c r="A442">
        <f>'AARnetCBR-CamDTN1_tcpmon_ts_11'!A456</f>
        <v>0</v>
      </c>
      <c r="C442">
        <f>'AARnetCBR-CamDTN1_tcpmon_ts_11'!C456</f>
        <v>0</v>
      </c>
      <c r="D442">
        <f>'AARnetCBR-CamDTN1_tcpmon_ts_21'!C456+'AARnetCBR-CamDTN1_tcpmon_ts_22'!C456</f>
        <v>0</v>
      </c>
      <c r="E442">
        <f>'AARnetCBR-CamDTN1_tcpmon_ts_31'!C456+'AARnetCBR-CamDTN1_tcpmon_ts_32'!C456+'AARnetCBR-CamDTN1_tcpmon_ts_33'!C456</f>
        <v>0</v>
      </c>
      <c r="F442">
        <f>'AARnetCBR-CamDTN1_tcpmon_ts_41'!C456+'AARnetCBR-CamDTN1_tcpmon_ts_42'!C456+'AARnetCBR-CamDTN1_tcpmon_ts_43'!C456+'AARnetCBR-CamDTN1_tcpmon_ts_44'!C456</f>
        <v>0</v>
      </c>
      <c r="L442">
        <f>'AARnetCBR-CamDTN1_tcpmon_ts_11'!D442</f>
        <v>0</v>
      </c>
      <c r="M442">
        <f>'AARnetCBR-CamDTN1_tcpmon_ts_21'!D442+'AARnetCBR-CamDTN1_tcpmon_ts_22'!D442</f>
        <v>0</v>
      </c>
      <c r="N442">
        <f>'AARnetCBR-CamDTN1_tcpmon_ts_31'!D442+'AARnetCBR-CamDTN1_tcpmon_ts_32'!D442+'AARnetCBR-CamDTN1_tcpmon_ts_33'!D442</f>
        <v>0</v>
      </c>
      <c r="O442">
        <f>'AARnetCBR-CamDTN1_tcpmon_ts_41'!D442+'AARnetCBR-CamDTN1_tcpmon_ts_42'!D442+'AARnetCBR-CamDTN1_tcpmon_ts_43'!D442+'AARnetCBR-CamDTN1_tcpmon_ts_44'!D442</f>
        <v>0</v>
      </c>
      <c r="P442">
        <f>'AARnetCBR-CamDTN1_tcpmon_ts_51'!D442+'AARnetCBR-CamDTN1_tcpmon_ts_52'!D442+'AARnetCBR-CamDTN1_tcpmon_ts_53'!D442+'AARnetCBR-CamDTN1_tcpmon_ts_54'!D442+'AARnetCBR-CamDTN1_tcpmon_ts_55'!D442</f>
        <v>0</v>
      </c>
    </row>
    <row r="443" spans="1:16">
      <c r="A443">
        <f>'AARnetCBR-CamDTN1_tcpmon_ts_11'!A457</f>
        <v>0</v>
      </c>
      <c r="C443">
        <f>'AARnetCBR-CamDTN1_tcpmon_ts_11'!C457</f>
        <v>0</v>
      </c>
      <c r="D443">
        <f>'AARnetCBR-CamDTN1_tcpmon_ts_21'!C457+'AARnetCBR-CamDTN1_tcpmon_ts_22'!C457</f>
        <v>0</v>
      </c>
      <c r="E443">
        <f>'AARnetCBR-CamDTN1_tcpmon_ts_31'!C457+'AARnetCBR-CamDTN1_tcpmon_ts_32'!C457+'AARnetCBR-CamDTN1_tcpmon_ts_33'!C457</f>
        <v>0</v>
      </c>
      <c r="F443">
        <f>'AARnetCBR-CamDTN1_tcpmon_ts_41'!C457+'AARnetCBR-CamDTN1_tcpmon_ts_42'!C457+'AARnetCBR-CamDTN1_tcpmon_ts_43'!C457+'AARnetCBR-CamDTN1_tcpmon_ts_44'!C457</f>
        <v>0</v>
      </c>
      <c r="L443">
        <f>'AARnetCBR-CamDTN1_tcpmon_ts_11'!D443</f>
        <v>0</v>
      </c>
      <c r="M443">
        <f>'AARnetCBR-CamDTN1_tcpmon_ts_21'!D443+'AARnetCBR-CamDTN1_tcpmon_ts_22'!D443</f>
        <v>0</v>
      </c>
      <c r="N443">
        <f>'AARnetCBR-CamDTN1_tcpmon_ts_31'!D443+'AARnetCBR-CamDTN1_tcpmon_ts_32'!D443+'AARnetCBR-CamDTN1_tcpmon_ts_33'!D443</f>
        <v>0</v>
      </c>
      <c r="O443">
        <f>'AARnetCBR-CamDTN1_tcpmon_ts_41'!D443+'AARnetCBR-CamDTN1_tcpmon_ts_42'!D443+'AARnetCBR-CamDTN1_tcpmon_ts_43'!D443+'AARnetCBR-CamDTN1_tcpmon_ts_44'!D443</f>
        <v>0</v>
      </c>
      <c r="P443">
        <f>'AARnetCBR-CamDTN1_tcpmon_ts_51'!D443+'AARnetCBR-CamDTN1_tcpmon_ts_52'!D443+'AARnetCBR-CamDTN1_tcpmon_ts_53'!D443+'AARnetCBR-CamDTN1_tcpmon_ts_54'!D443+'AARnetCBR-CamDTN1_tcpmon_ts_55'!D443</f>
        <v>0</v>
      </c>
    </row>
    <row r="444" spans="1:16">
      <c r="A444">
        <f>'AARnetCBR-CamDTN1_tcpmon_ts_11'!A458</f>
        <v>0</v>
      </c>
      <c r="C444">
        <f>'AARnetCBR-CamDTN1_tcpmon_ts_11'!C458</f>
        <v>0</v>
      </c>
      <c r="D444">
        <f>'AARnetCBR-CamDTN1_tcpmon_ts_21'!C458+'AARnetCBR-CamDTN1_tcpmon_ts_22'!C458</f>
        <v>0</v>
      </c>
      <c r="E444">
        <f>'AARnetCBR-CamDTN1_tcpmon_ts_31'!C458+'AARnetCBR-CamDTN1_tcpmon_ts_32'!C458+'AARnetCBR-CamDTN1_tcpmon_ts_33'!C458</f>
        <v>0</v>
      </c>
      <c r="F444">
        <f>'AARnetCBR-CamDTN1_tcpmon_ts_41'!C458+'AARnetCBR-CamDTN1_tcpmon_ts_42'!C458+'AARnetCBR-CamDTN1_tcpmon_ts_43'!C458+'AARnetCBR-CamDTN1_tcpmon_ts_44'!C458</f>
        <v>0</v>
      </c>
      <c r="L444">
        <f>'AARnetCBR-CamDTN1_tcpmon_ts_11'!D444</f>
        <v>0</v>
      </c>
      <c r="M444">
        <f>'AARnetCBR-CamDTN1_tcpmon_ts_21'!D444+'AARnetCBR-CamDTN1_tcpmon_ts_22'!D444</f>
        <v>0</v>
      </c>
      <c r="N444">
        <f>'AARnetCBR-CamDTN1_tcpmon_ts_31'!D444+'AARnetCBR-CamDTN1_tcpmon_ts_32'!D444+'AARnetCBR-CamDTN1_tcpmon_ts_33'!D444</f>
        <v>0</v>
      </c>
      <c r="O444">
        <f>'AARnetCBR-CamDTN1_tcpmon_ts_41'!D444+'AARnetCBR-CamDTN1_tcpmon_ts_42'!D444+'AARnetCBR-CamDTN1_tcpmon_ts_43'!D444+'AARnetCBR-CamDTN1_tcpmon_ts_44'!D444</f>
        <v>0</v>
      </c>
      <c r="P444">
        <f>'AARnetCBR-CamDTN1_tcpmon_ts_51'!D444+'AARnetCBR-CamDTN1_tcpmon_ts_52'!D444+'AARnetCBR-CamDTN1_tcpmon_ts_53'!D444+'AARnetCBR-CamDTN1_tcpmon_ts_54'!D444+'AARnetCBR-CamDTN1_tcpmon_ts_55'!D444</f>
        <v>0</v>
      </c>
    </row>
    <row r="445" spans="1:16">
      <c r="A445">
        <f>'AARnetCBR-CamDTN1_tcpmon_ts_11'!A459</f>
        <v>0</v>
      </c>
      <c r="C445">
        <f>'AARnetCBR-CamDTN1_tcpmon_ts_11'!C459</f>
        <v>0</v>
      </c>
      <c r="D445">
        <f>'AARnetCBR-CamDTN1_tcpmon_ts_21'!C459+'AARnetCBR-CamDTN1_tcpmon_ts_22'!C459</f>
        <v>0</v>
      </c>
      <c r="E445">
        <f>'AARnetCBR-CamDTN1_tcpmon_ts_31'!C459+'AARnetCBR-CamDTN1_tcpmon_ts_32'!C459+'AARnetCBR-CamDTN1_tcpmon_ts_33'!C459</f>
        <v>0</v>
      </c>
      <c r="F445">
        <f>'AARnetCBR-CamDTN1_tcpmon_ts_41'!C459+'AARnetCBR-CamDTN1_tcpmon_ts_42'!C459+'AARnetCBR-CamDTN1_tcpmon_ts_43'!C459+'AARnetCBR-CamDTN1_tcpmon_ts_44'!C459</f>
        <v>0</v>
      </c>
      <c r="L445">
        <f>'AARnetCBR-CamDTN1_tcpmon_ts_11'!D445</f>
        <v>0</v>
      </c>
      <c r="M445">
        <f>'AARnetCBR-CamDTN1_tcpmon_ts_21'!D445+'AARnetCBR-CamDTN1_tcpmon_ts_22'!D445</f>
        <v>0</v>
      </c>
      <c r="N445">
        <f>'AARnetCBR-CamDTN1_tcpmon_ts_31'!D445+'AARnetCBR-CamDTN1_tcpmon_ts_32'!D445+'AARnetCBR-CamDTN1_tcpmon_ts_33'!D445</f>
        <v>0</v>
      </c>
      <c r="O445">
        <f>'AARnetCBR-CamDTN1_tcpmon_ts_41'!D445+'AARnetCBR-CamDTN1_tcpmon_ts_42'!D445+'AARnetCBR-CamDTN1_tcpmon_ts_43'!D445+'AARnetCBR-CamDTN1_tcpmon_ts_44'!D445</f>
        <v>0</v>
      </c>
      <c r="P445">
        <f>'AARnetCBR-CamDTN1_tcpmon_ts_51'!D445+'AARnetCBR-CamDTN1_tcpmon_ts_52'!D445+'AARnetCBR-CamDTN1_tcpmon_ts_53'!D445+'AARnetCBR-CamDTN1_tcpmon_ts_54'!D445+'AARnetCBR-CamDTN1_tcpmon_ts_55'!D445</f>
        <v>0</v>
      </c>
    </row>
    <row r="446" spans="1:16">
      <c r="A446">
        <f>'AARnetCBR-CamDTN1_tcpmon_ts_11'!A460</f>
        <v>0</v>
      </c>
      <c r="C446">
        <f>'AARnetCBR-CamDTN1_tcpmon_ts_11'!C460</f>
        <v>0</v>
      </c>
      <c r="D446">
        <f>'AARnetCBR-CamDTN1_tcpmon_ts_21'!C460+'AARnetCBR-CamDTN1_tcpmon_ts_22'!C460</f>
        <v>0</v>
      </c>
      <c r="E446">
        <f>'AARnetCBR-CamDTN1_tcpmon_ts_31'!C460+'AARnetCBR-CamDTN1_tcpmon_ts_32'!C460+'AARnetCBR-CamDTN1_tcpmon_ts_33'!C460</f>
        <v>0</v>
      </c>
      <c r="F446">
        <f>'AARnetCBR-CamDTN1_tcpmon_ts_41'!C460+'AARnetCBR-CamDTN1_tcpmon_ts_42'!C460+'AARnetCBR-CamDTN1_tcpmon_ts_43'!C460+'AARnetCBR-CamDTN1_tcpmon_ts_44'!C460</f>
        <v>0</v>
      </c>
      <c r="L446">
        <f>'AARnetCBR-CamDTN1_tcpmon_ts_11'!D446</f>
        <v>0</v>
      </c>
      <c r="M446">
        <f>'AARnetCBR-CamDTN1_tcpmon_ts_21'!D446+'AARnetCBR-CamDTN1_tcpmon_ts_22'!D446</f>
        <v>0</v>
      </c>
      <c r="N446">
        <f>'AARnetCBR-CamDTN1_tcpmon_ts_31'!D446+'AARnetCBR-CamDTN1_tcpmon_ts_32'!D446+'AARnetCBR-CamDTN1_tcpmon_ts_33'!D446</f>
        <v>0</v>
      </c>
      <c r="O446">
        <f>'AARnetCBR-CamDTN1_tcpmon_ts_41'!D446+'AARnetCBR-CamDTN1_tcpmon_ts_42'!D446+'AARnetCBR-CamDTN1_tcpmon_ts_43'!D446+'AARnetCBR-CamDTN1_tcpmon_ts_44'!D446</f>
        <v>0</v>
      </c>
      <c r="P446">
        <f>'AARnetCBR-CamDTN1_tcpmon_ts_51'!D446+'AARnetCBR-CamDTN1_tcpmon_ts_52'!D446+'AARnetCBR-CamDTN1_tcpmon_ts_53'!D446+'AARnetCBR-CamDTN1_tcpmon_ts_54'!D446+'AARnetCBR-CamDTN1_tcpmon_ts_55'!D446</f>
        <v>0</v>
      </c>
    </row>
    <row r="447" spans="1:16">
      <c r="A447">
        <f>'AARnetCBR-CamDTN1_tcpmon_ts_11'!A461</f>
        <v>0</v>
      </c>
      <c r="C447">
        <f>'AARnetCBR-CamDTN1_tcpmon_ts_11'!C461</f>
        <v>0</v>
      </c>
      <c r="D447">
        <f>'AARnetCBR-CamDTN1_tcpmon_ts_21'!C461+'AARnetCBR-CamDTN1_tcpmon_ts_22'!C461</f>
        <v>0</v>
      </c>
      <c r="E447">
        <f>'AARnetCBR-CamDTN1_tcpmon_ts_31'!C461+'AARnetCBR-CamDTN1_tcpmon_ts_32'!C461+'AARnetCBR-CamDTN1_tcpmon_ts_33'!C461</f>
        <v>0</v>
      </c>
      <c r="F447">
        <f>'AARnetCBR-CamDTN1_tcpmon_ts_41'!C461+'AARnetCBR-CamDTN1_tcpmon_ts_42'!C461+'AARnetCBR-CamDTN1_tcpmon_ts_43'!C461+'AARnetCBR-CamDTN1_tcpmon_ts_44'!C461</f>
        <v>0</v>
      </c>
      <c r="L447">
        <f>'AARnetCBR-CamDTN1_tcpmon_ts_11'!D447</f>
        <v>0</v>
      </c>
      <c r="M447">
        <f>'AARnetCBR-CamDTN1_tcpmon_ts_21'!D447+'AARnetCBR-CamDTN1_tcpmon_ts_22'!D447</f>
        <v>0</v>
      </c>
      <c r="N447">
        <f>'AARnetCBR-CamDTN1_tcpmon_ts_31'!D447+'AARnetCBR-CamDTN1_tcpmon_ts_32'!D447+'AARnetCBR-CamDTN1_tcpmon_ts_33'!D447</f>
        <v>0</v>
      </c>
      <c r="O447">
        <f>'AARnetCBR-CamDTN1_tcpmon_ts_41'!D447+'AARnetCBR-CamDTN1_tcpmon_ts_42'!D447+'AARnetCBR-CamDTN1_tcpmon_ts_43'!D447+'AARnetCBR-CamDTN1_tcpmon_ts_44'!D447</f>
        <v>0</v>
      </c>
      <c r="P447">
        <f>'AARnetCBR-CamDTN1_tcpmon_ts_51'!D447+'AARnetCBR-CamDTN1_tcpmon_ts_52'!D447+'AARnetCBR-CamDTN1_tcpmon_ts_53'!D447+'AARnetCBR-CamDTN1_tcpmon_ts_54'!D447+'AARnetCBR-CamDTN1_tcpmon_ts_55'!D447</f>
        <v>0</v>
      </c>
    </row>
    <row r="448" spans="1:16">
      <c r="A448">
        <f>'AARnetCBR-CamDTN1_tcpmon_ts_11'!A462</f>
        <v>0</v>
      </c>
      <c r="C448">
        <f>'AARnetCBR-CamDTN1_tcpmon_ts_11'!C462</f>
        <v>0</v>
      </c>
      <c r="D448">
        <f>'AARnetCBR-CamDTN1_tcpmon_ts_21'!C462+'AARnetCBR-CamDTN1_tcpmon_ts_22'!C462</f>
        <v>0</v>
      </c>
      <c r="E448">
        <f>'AARnetCBR-CamDTN1_tcpmon_ts_31'!C462+'AARnetCBR-CamDTN1_tcpmon_ts_32'!C462+'AARnetCBR-CamDTN1_tcpmon_ts_33'!C462</f>
        <v>0</v>
      </c>
      <c r="F448">
        <f>'AARnetCBR-CamDTN1_tcpmon_ts_41'!C462+'AARnetCBR-CamDTN1_tcpmon_ts_42'!C462+'AARnetCBR-CamDTN1_tcpmon_ts_43'!C462+'AARnetCBR-CamDTN1_tcpmon_ts_44'!C462</f>
        <v>0</v>
      </c>
      <c r="L448">
        <f>'AARnetCBR-CamDTN1_tcpmon_ts_11'!D448</f>
        <v>0</v>
      </c>
      <c r="M448">
        <f>'AARnetCBR-CamDTN1_tcpmon_ts_21'!D448+'AARnetCBR-CamDTN1_tcpmon_ts_22'!D448</f>
        <v>0</v>
      </c>
      <c r="N448">
        <f>'AARnetCBR-CamDTN1_tcpmon_ts_31'!D448+'AARnetCBR-CamDTN1_tcpmon_ts_32'!D448+'AARnetCBR-CamDTN1_tcpmon_ts_33'!D448</f>
        <v>0</v>
      </c>
      <c r="O448">
        <f>'AARnetCBR-CamDTN1_tcpmon_ts_41'!D448+'AARnetCBR-CamDTN1_tcpmon_ts_42'!D448+'AARnetCBR-CamDTN1_tcpmon_ts_43'!D448+'AARnetCBR-CamDTN1_tcpmon_ts_44'!D448</f>
        <v>0</v>
      </c>
      <c r="P448">
        <f>'AARnetCBR-CamDTN1_tcpmon_ts_51'!D448+'AARnetCBR-CamDTN1_tcpmon_ts_52'!D448+'AARnetCBR-CamDTN1_tcpmon_ts_53'!D448+'AARnetCBR-CamDTN1_tcpmon_ts_54'!D448+'AARnetCBR-CamDTN1_tcpmon_ts_55'!D448</f>
        <v>0</v>
      </c>
    </row>
    <row r="449" spans="1:16">
      <c r="A449">
        <f>'AARnetCBR-CamDTN1_tcpmon_ts_11'!A463</f>
        <v>0</v>
      </c>
      <c r="C449">
        <f>'AARnetCBR-CamDTN1_tcpmon_ts_11'!C463</f>
        <v>0</v>
      </c>
      <c r="D449">
        <f>'AARnetCBR-CamDTN1_tcpmon_ts_21'!C463+'AARnetCBR-CamDTN1_tcpmon_ts_22'!C463</f>
        <v>0</v>
      </c>
      <c r="E449">
        <f>'AARnetCBR-CamDTN1_tcpmon_ts_31'!C463+'AARnetCBR-CamDTN1_tcpmon_ts_32'!C463+'AARnetCBR-CamDTN1_tcpmon_ts_33'!C463</f>
        <v>0</v>
      </c>
      <c r="F449">
        <f>'AARnetCBR-CamDTN1_tcpmon_ts_41'!C463+'AARnetCBR-CamDTN1_tcpmon_ts_42'!C463+'AARnetCBR-CamDTN1_tcpmon_ts_43'!C463+'AARnetCBR-CamDTN1_tcpmon_ts_44'!C463</f>
        <v>0</v>
      </c>
      <c r="L449">
        <f>'AARnetCBR-CamDTN1_tcpmon_ts_11'!D449</f>
        <v>0</v>
      </c>
      <c r="M449">
        <f>'AARnetCBR-CamDTN1_tcpmon_ts_21'!D449+'AARnetCBR-CamDTN1_tcpmon_ts_22'!D449</f>
        <v>0</v>
      </c>
      <c r="N449">
        <f>'AARnetCBR-CamDTN1_tcpmon_ts_31'!D449+'AARnetCBR-CamDTN1_tcpmon_ts_32'!D449+'AARnetCBR-CamDTN1_tcpmon_ts_33'!D449</f>
        <v>0</v>
      </c>
      <c r="O449">
        <f>'AARnetCBR-CamDTN1_tcpmon_ts_41'!D449+'AARnetCBR-CamDTN1_tcpmon_ts_42'!D449+'AARnetCBR-CamDTN1_tcpmon_ts_43'!D449+'AARnetCBR-CamDTN1_tcpmon_ts_44'!D449</f>
        <v>0</v>
      </c>
      <c r="P449">
        <f>'AARnetCBR-CamDTN1_tcpmon_ts_51'!D449+'AARnetCBR-CamDTN1_tcpmon_ts_52'!D449+'AARnetCBR-CamDTN1_tcpmon_ts_53'!D449+'AARnetCBR-CamDTN1_tcpmon_ts_54'!D449+'AARnetCBR-CamDTN1_tcpmon_ts_55'!D449</f>
        <v>0</v>
      </c>
    </row>
    <row r="450" spans="1:16">
      <c r="A450">
        <f>'AARnetCBR-CamDTN1_tcpmon_ts_11'!A464</f>
        <v>0</v>
      </c>
      <c r="C450">
        <f>'AARnetCBR-CamDTN1_tcpmon_ts_11'!C464</f>
        <v>0</v>
      </c>
      <c r="D450">
        <f>'AARnetCBR-CamDTN1_tcpmon_ts_21'!C464+'AARnetCBR-CamDTN1_tcpmon_ts_22'!C464</f>
        <v>0</v>
      </c>
      <c r="E450">
        <f>'AARnetCBR-CamDTN1_tcpmon_ts_31'!C464+'AARnetCBR-CamDTN1_tcpmon_ts_32'!C464+'AARnetCBR-CamDTN1_tcpmon_ts_33'!C464</f>
        <v>0</v>
      </c>
      <c r="F450">
        <f>'AARnetCBR-CamDTN1_tcpmon_ts_41'!C464+'AARnetCBR-CamDTN1_tcpmon_ts_42'!C464+'AARnetCBR-CamDTN1_tcpmon_ts_43'!C464+'AARnetCBR-CamDTN1_tcpmon_ts_44'!C464</f>
        <v>0</v>
      </c>
      <c r="L450">
        <f>'AARnetCBR-CamDTN1_tcpmon_ts_11'!D450</f>
        <v>0</v>
      </c>
      <c r="M450">
        <f>'AARnetCBR-CamDTN1_tcpmon_ts_21'!D450+'AARnetCBR-CamDTN1_tcpmon_ts_22'!D450</f>
        <v>0</v>
      </c>
      <c r="N450">
        <f>'AARnetCBR-CamDTN1_tcpmon_ts_31'!D450+'AARnetCBR-CamDTN1_tcpmon_ts_32'!D450+'AARnetCBR-CamDTN1_tcpmon_ts_33'!D450</f>
        <v>0</v>
      </c>
      <c r="O450">
        <f>'AARnetCBR-CamDTN1_tcpmon_ts_41'!D450+'AARnetCBR-CamDTN1_tcpmon_ts_42'!D450+'AARnetCBR-CamDTN1_tcpmon_ts_43'!D450+'AARnetCBR-CamDTN1_tcpmon_ts_44'!D450</f>
        <v>0</v>
      </c>
      <c r="P450">
        <f>'AARnetCBR-CamDTN1_tcpmon_ts_51'!D450+'AARnetCBR-CamDTN1_tcpmon_ts_52'!D450+'AARnetCBR-CamDTN1_tcpmon_ts_53'!D450+'AARnetCBR-CamDTN1_tcpmon_ts_54'!D450+'AARnetCBR-CamDTN1_tcpmon_ts_55'!D450</f>
        <v>0</v>
      </c>
    </row>
    <row r="451" spans="1:16">
      <c r="A451">
        <f>'AARnetCBR-CamDTN1_tcpmon_ts_11'!A465</f>
        <v>0</v>
      </c>
      <c r="C451">
        <f>'AARnetCBR-CamDTN1_tcpmon_ts_11'!C465</f>
        <v>0</v>
      </c>
      <c r="D451">
        <f>'AARnetCBR-CamDTN1_tcpmon_ts_21'!C465+'AARnetCBR-CamDTN1_tcpmon_ts_22'!C465</f>
        <v>0</v>
      </c>
      <c r="E451">
        <f>'AARnetCBR-CamDTN1_tcpmon_ts_31'!C465+'AARnetCBR-CamDTN1_tcpmon_ts_32'!C465+'AARnetCBR-CamDTN1_tcpmon_ts_33'!C465</f>
        <v>0</v>
      </c>
      <c r="F451">
        <f>'AARnetCBR-CamDTN1_tcpmon_ts_41'!C465+'AARnetCBR-CamDTN1_tcpmon_ts_42'!C465+'AARnetCBR-CamDTN1_tcpmon_ts_43'!C465+'AARnetCBR-CamDTN1_tcpmon_ts_44'!C465</f>
        <v>0</v>
      </c>
      <c r="L451">
        <f>'AARnetCBR-CamDTN1_tcpmon_ts_11'!D451</f>
        <v>0</v>
      </c>
      <c r="M451">
        <f>'AARnetCBR-CamDTN1_tcpmon_ts_21'!D451+'AARnetCBR-CamDTN1_tcpmon_ts_22'!D451</f>
        <v>0</v>
      </c>
      <c r="N451">
        <f>'AARnetCBR-CamDTN1_tcpmon_ts_31'!D451+'AARnetCBR-CamDTN1_tcpmon_ts_32'!D451+'AARnetCBR-CamDTN1_tcpmon_ts_33'!D451</f>
        <v>0</v>
      </c>
      <c r="O451">
        <f>'AARnetCBR-CamDTN1_tcpmon_ts_41'!D451+'AARnetCBR-CamDTN1_tcpmon_ts_42'!D451+'AARnetCBR-CamDTN1_tcpmon_ts_43'!D451+'AARnetCBR-CamDTN1_tcpmon_ts_44'!D451</f>
        <v>0</v>
      </c>
      <c r="P451">
        <f>'AARnetCBR-CamDTN1_tcpmon_ts_51'!D451+'AARnetCBR-CamDTN1_tcpmon_ts_52'!D451+'AARnetCBR-CamDTN1_tcpmon_ts_53'!D451+'AARnetCBR-CamDTN1_tcpmon_ts_54'!D451+'AARnetCBR-CamDTN1_tcpmon_ts_55'!D451</f>
        <v>0</v>
      </c>
    </row>
    <row r="452" spans="1:16">
      <c r="A452">
        <f>'AARnetCBR-CamDTN1_tcpmon_ts_11'!A466</f>
        <v>0</v>
      </c>
      <c r="C452">
        <f>'AARnetCBR-CamDTN1_tcpmon_ts_11'!C466</f>
        <v>0</v>
      </c>
      <c r="D452">
        <f>'AARnetCBR-CamDTN1_tcpmon_ts_21'!C466+'AARnetCBR-CamDTN1_tcpmon_ts_22'!C466</f>
        <v>0</v>
      </c>
      <c r="E452">
        <f>'AARnetCBR-CamDTN1_tcpmon_ts_31'!C466+'AARnetCBR-CamDTN1_tcpmon_ts_32'!C466+'AARnetCBR-CamDTN1_tcpmon_ts_33'!C466</f>
        <v>0</v>
      </c>
      <c r="F452">
        <f>'AARnetCBR-CamDTN1_tcpmon_ts_41'!C466+'AARnetCBR-CamDTN1_tcpmon_ts_42'!C466+'AARnetCBR-CamDTN1_tcpmon_ts_43'!C466+'AARnetCBR-CamDTN1_tcpmon_ts_44'!C466</f>
        <v>0</v>
      </c>
      <c r="L452">
        <f>'AARnetCBR-CamDTN1_tcpmon_ts_11'!D452</f>
        <v>0</v>
      </c>
      <c r="M452">
        <f>'AARnetCBR-CamDTN1_tcpmon_ts_21'!D452+'AARnetCBR-CamDTN1_tcpmon_ts_22'!D452</f>
        <v>0</v>
      </c>
      <c r="N452">
        <f>'AARnetCBR-CamDTN1_tcpmon_ts_31'!D452+'AARnetCBR-CamDTN1_tcpmon_ts_32'!D452+'AARnetCBR-CamDTN1_tcpmon_ts_33'!D452</f>
        <v>0</v>
      </c>
      <c r="O452">
        <f>'AARnetCBR-CamDTN1_tcpmon_ts_41'!D452+'AARnetCBR-CamDTN1_tcpmon_ts_42'!D452+'AARnetCBR-CamDTN1_tcpmon_ts_43'!D452+'AARnetCBR-CamDTN1_tcpmon_ts_44'!D452</f>
        <v>0</v>
      </c>
      <c r="P452">
        <f>'AARnetCBR-CamDTN1_tcpmon_ts_51'!D452+'AARnetCBR-CamDTN1_tcpmon_ts_52'!D452+'AARnetCBR-CamDTN1_tcpmon_ts_53'!D452+'AARnetCBR-CamDTN1_tcpmon_ts_54'!D452+'AARnetCBR-CamDTN1_tcpmon_ts_55'!D452</f>
        <v>0</v>
      </c>
    </row>
    <row r="453" spans="1:16">
      <c r="A453">
        <f>'AARnetCBR-CamDTN1_tcpmon_ts_11'!A467</f>
        <v>0</v>
      </c>
      <c r="C453">
        <f>'AARnetCBR-CamDTN1_tcpmon_ts_11'!C467</f>
        <v>0</v>
      </c>
      <c r="D453">
        <f>'AARnetCBR-CamDTN1_tcpmon_ts_21'!C467+'AARnetCBR-CamDTN1_tcpmon_ts_22'!C467</f>
        <v>0</v>
      </c>
      <c r="E453">
        <f>'AARnetCBR-CamDTN1_tcpmon_ts_31'!C467+'AARnetCBR-CamDTN1_tcpmon_ts_32'!C467+'AARnetCBR-CamDTN1_tcpmon_ts_33'!C467</f>
        <v>0</v>
      </c>
      <c r="F453">
        <f>'AARnetCBR-CamDTN1_tcpmon_ts_41'!C467+'AARnetCBR-CamDTN1_tcpmon_ts_42'!C467+'AARnetCBR-CamDTN1_tcpmon_ts_43'!C467+'AARnetCBR-CamDTN1_tcpmon_ts_44'!C467</f>
        <v>0</v>
      </c>
      <c r="L453">
        <f>'AARnetCBR-CamDTN1_tcpmon_ts_11'!D453</f>
        <v>0</v>
      </c>
      <c r="M453">
        <f>'AARnetCBR-CamDTN1_tcpmon_ts_21'!D453+'AARnetCBR-CamDTN1_tcpmon_ts_22'!D453</f>
        <v>0</v>
      </c>
      <c r="N453">
        <f>'AARnetCBR-CamDTN1_tcpmon_ts_31'!D453+'AARnetCBR-CamDTN1_tcpmon_ts_32'!D453+'AARnetCBR-CamDTN1_tcpmon_ts_33'!D453</f>
        <v>0</v>
      </c>
      <c r="O453">
        <f>'AARnetCBR-CamDTN1_tcpmon_ts_41'!D453+'AARnetCBR-CamDTN1_tcpmon_ts_42'!D453+'AARnetCBR-CamDTN1_tcpmon_ts_43'!D453+'AARnetCBR-CamDTN1_tcpmon_ts_44'!D453</f>
        <v>0</v>
      </c>
      <c r="P453">
        <f>'AARnetCBR-CamDTN1_tcpmon_ts_51'!D453+'AARnetCBR-CamDTN1_tcpmon_ts_52'!D453+'AARnetCBR-CamDTN1_tcpmon_ts_53'!D453+'AARnetCBR-CamDTN1_tcpmon_ts_54'!D453+'AARnetCBR-CamDTN1_tcpmon_ts_55'!D453</f>
        <v>0</v>
      </c>
    </row>
    <row r="454" spans="1:16">
      <c r="A454">
        <f>'AARnetCBR-CamDTN1_tcpmon_ts_11'!A468</f>
        <v>0</v>
      </c>
      <c r="C454">
        <f>'AARnetCBR-CamDTN1_tcpmon_ts_11'!C468</f>
        <v>0</v>
      </c>
      <c r="D454">
        <f>'AARnetCBR-CamDTN1_tcpmon_ts_21'!C468+'AARnetCBR-CamDTN1_tcpmon_ts_22'!C468</f>
        <v>0</v>
      </c>
      <c r="E454">
        <f>'AARnetCBR-CamDTN1_tcpmon_ts_31'!C468+'AARnetCBR-CamDTN1_tcpmon_ts_32'!C468+'AARnetCBR-CamDTN1_tcpmon_ts_33'!C468</f>
        <v>0</v>
      </c>
      <c r="F454">
        <f>'AARnetCBR-CamDTN1_tcpmon_ts_41'!C468+'AARnetCBR-CamDTN1_tcpmon_ts_42'!C468+'AARnetCBR-CamDTN1_tcpmon_ts_43'!C468+'AARnetCBR-CamDTN1_tcpmon_ts_44'!C468</f>
        <v>0</v>
      </c>
      <c r="L454">
        <f>'AARnetCBR-CamDTN1_tcpmon_ts_11'!D454</f>
        <v>0</v>
      </c>
      <c r="M454">
        <f>'AARnetCBR-CamDTN1_tcpmon_ts_21'!D454+'AARnetCBR-CamDTN1_tcpmon_ts_22'!D454</f>
        <v>0</v>
      </c>
      <c r="N454">
        <f>'AARnetCBR-CamDTN1_tcpmon_ts_31'!D454+'AARnetCBR-CamDTN1_tcpmon_ts_32'!D454+'AARnetCBR-CamDTN1_tcpmon_ts_33'!D454</f>
        <v>0</v>
      </c>
      <c r="O454">
        <f>'AARnetCBR-CamDTN1_tcpmon_ts_41'!D454+'AARnetCBR-CamDTN1_tcpmon_ts_42'!D454+'AARnetCBR-CamDTN1_tcpmon_ts_43'!D454+'AARnetCBR-CamDTN1_tcpmon_ts_44'!D454</f>
        <v>0</v>
      </c>
      <c r="P454">
        <f>'AARnetCBR-CamDTN1_tcpmon_ts_51'!D454+'AARnetCBR-CamDTN1_tcpmon_ts_52'!D454+'AARnetCBR-CamDTN1_tcpmon_ts_53'!D454+'AARnetCBR-CamDTN1_tcpmon_ts_54'!D454+'AARnetCBR-CamDTN1_tcpmon_ts_55'!D454</f>
        <v>0</v>
      </c>
    </row>
    <row r="455" spans="1:16">
      <c r="A455">
        <f>'AARnetCBR-CamDTN1_tcpmon_ts_11'!A469</f>
        <v>0</v>
      </c>
      <c r="C455">
        <f>'AARnetCBR-CamDTN1_tcpmon_ts_11'!C469</f>
        <v>0</v>
      </c>
      <c r="D455">
        <f>'AARnetCBR-CamDTN1_tcpmon_ts_21'!C469+'AARnetCBR-CamDTN1_tcpmon_ts_22'!C469</f>
        <v>0</v>
      </c>
      <c r="E455">
        <f>'AARnetCBR-CamDTN1_tcpmon_ts_31'!C469+'AARnetCBR-CamDTN1_tcpmon_ts_32'!C469+'AARnetCBR-CamDTN1_tcpmon_ts_33'!C469</f>
        <v>0</v>
      </c>
      <c r="F455">
        <f>'AARnetCBR-CamDTN1_tcpmon_ts_41'!C469+'AARnetCBR-CamDTN1_tcpmon_ts_42'!C469+'AARnetCBR-CamDTN1_tcpmon_ts_43'!C469+'AARnetCBR-CamDTN1_tcpmon_ts_44'!C469</f>
        <v>0</v>
      </c>
      <c r="L455">
        <f>'AARnetCBR-CamDTN1_tcpmon_ts_11'!D455</f>
        <v>0</v>
      </c>
      <c r="M455">
        <f>'AARnetCBR-CamDTN1_tcpmon_ts_21'!D455+'AARnetCBR-CamDTN1_tcpmon_ts_22'!D455</f>
        <v>0</v>
      </c>
      <c r="N455">
        <f>'AARnetCBR-CamDTN1_tcpmon_ts_31'!D455+'AARnetCBR-CamDTN1_tcpmon_ts_32'!D455+'AARnetCBR-CamDTN1_tcpmon_ts_33'!D455</f>
        <v>0</v>
      </c>
      <c r="O455">
        <f>'AARnetCBR-CamDTN1_tcpmon_ts_41'!D455+'AARnetCBR-CamDTN1_tcpmon_ts_42'!D455+'AARnetCBR-CamDTN1_tcpmon_ts_43'!D455+'AARnetCBR-CamDTN1_tcpmon_ts_44'!D455</f>
        <v>0</v>
      </c>
      <c r="P455">
        <f>'AARnetCBR-CamDTN1_tcpmon_ts_51'!D455+'AARnetCBR-CamDTN1_tcpmon_ts_52'!D455+'AARnetCBR-CamDTN1_tcpmon_ts_53'!D455+'AARnetCBR-CamDTN1_tcpmon_ts_54'!D455+'AARnetCBR-CamDTN1_tcpmon_ts_55'!D455</f>
        <v>0</v>
      </c>
    </row>
    <row r="456" spans="1:16">
      <c r="A456">
        <f>'AARnetCBR-CamDTN1_tcpmon_ts_11'!A470</f>
        <v>0</v>
      </c>
      <c r="C456">
        <f>'AARnetCBR-CamDTN1_tcpmon_ts_11'!C470</f>
        <v>0</v>
      </c>
      <c r="D456">
        <f>'AARnetCBR-CamDTN1_tcpmon_ts_21'!C470+'AARnetCBR-CamDTN1_tcpmon_ts_22'!C470</f>
        <v>0</v>
      </c>
      <c r="E456">
        <f>'AARnetCBR-CamDTN1_tcpmon_ts_31'!C470+'AARnetCBR-CamDTN1_tcpmon_ts_32'!C470+'AARnetCBR-CamDTN1_tcpmon_ts_33'!C470</f>
        <v>0</v>
      </c>
      <c r="F456">
        <f>'AARnetCBR-CamDTN1_tcpmon_ts_41'!C470+'AARnetCBR-CamDTN1_tcpmon_ts_42'!C470+'AARnetCBR-CamDTN1_tcpmon_ts_43'!C470+'AARnetCBR-CamDTN1_tcpmon_ts_44'!C470</f>
        <v>0</v>
      </c>
      <c r="L456">
        <f>'AARnetCBR-CamDTN1_tcpmon_ts_11'!D456</f>
        <v>0</v>
      </c>
      <c r="M456">
        <f>'AARnetCBR-CamDTN1_tcpmon_ts_21'!D456+'AARnetCBR-CamDTN1_tcpmon_ts_22'!D456</f>
        <v>0</v>
      </c>
      <c r="N456">
        <f>'AARnetCBR-CamDTN1_tcpmon_ts_31'!D456+'AARnetCBR-CamDTN1_tcpmon_ts_32'!D456+'AARnetCBR-CamDTN1_tcpmon_ts_33'!D456</f>
        <v>0</v>
      </c>
      <c r="O456">
        <f>'AARnetCBR-CamDTN1_tcpmon_ts_41'!D456+'AARnetCBR-CamDTN1_tcpmon_ts_42'!D456+'AARnetCBR-CamDTN1_tcpmon_ts_43'!D456+'AARnetCBR-CamDTN1_tcpmon_ts_44'!D456</f>
        <v>0</v>
      </c>
      <c r="P456">
        <f>'AARnetCBR-CamDTN1_tcpmon_ts_51'!D456+'AARnetCBR-CamDTN1_tcpmon_ts_52'!D456+'AARnetCBR-CamDTN1_tcpmon_ts_53'!D456+'AARnetCBR-CamDTN1_tcpmon_ts_54'!D456+'AARnetCBR-CamDTN1_tcpmon_ts_55'!D456</f>
        <v>0</v>
      </c>
    </row>
    <row r="457" spans="1:16">
      <c r="A457">
        <f>'AARnetCBR-CamDTN1_tcpmon_ts_11'!A471</f>
        <v>0</v>
      </c>
      <c r="C457">
        <f>'AARnetCBR-CamDTN1_tcpmon_ts_11'!C471</f>
        <v>0</v>
      </c>
      <c r="D457">
        <f>'AARnetCBR-CamDTN1_tcpmon_ts_21'!C471+'AARnetCBR-CamDTN1_tcpmon_ts_22'!C471</f>
        <v>0</v>
      </c>
      <c r="E457">
        <f>'AARnetCBR-CamDTN1_tcpmon_ts_31'!C471+'AARnetCBR-CamDTN1_tcpmon_ts_32'!C471+'AARnetCBR-CamDTN1_tcpmon_ts_33'!C471</f>
        <v>0</v>
      </c>
      <c r="F457">
        <f>'AARnetCBR-CamDTN1_tcpmon_ts_41'!C471+'AARnetCBR-CamDTN1_tcpmon_ts_42'!C471+'AARnetCBR-CamDTN1_tcpmon_ts_43'!C471+'AARnetCBR-CamDTN1_tcpmon_ts_44'!C471</f>
        <v>0</v>
      </c>
      <c r="L457">
        <f>'AARnetCBR-CamDTN1_tcpmon_ts_11'!D457</f>
        <v>0</v>
      </c>
      <c r="M457">
        <f>'AARnetCBR-CamDTN1_tcpmon_ts_21'!D457+'AARnetCBR-CamDTN1_tcpmon_ts_22'!D457</f>
        <v>0</v>
      </c>
      <c r="N457">
        <f>'AARnetCBR-CamDTN1_tcpmon_ts_31'!D457+'AARnetCBR-CamDTN1_tcpmon_ts_32'!D457+'AARnetCBR-CamDTN1_tcpmon_ts_33'!D457</f>
        <v>0</v>
      </c>
      <c r="O457">
        <f>'AARnetCBR-CamDTN1_tcpmon_ts_41'!D457+'AARnetCBR-CamDTN1_tcpmon_ts_42'!D457+'AARnetCBR-CamDTN1_tcpmon_ts_43'!D457+'AARnetCBR-CamDTN1_tcpmon_ts_44'!D457</f>
        <v>0</v>
      </c>
      <c r="P457">
        <f>'AARnetCBR-CamDTN1_tcpmon_ts_51'!D457+'AARnetCBR-CamDTN1_tcpmon_ts_52'!D457+'AARnetCBR-CamDTN1_tcpmon_ts_53'!D457+'AARnetCBR-CamDTN1_tcpmon_ts_54'!D457+'AARnetCBR-CamDTN1_tcpmon_ts_55'!D457</f>
        <v>0</v>
      </c>
    </row>
    <row r="458" spans="1:16">
      <c r="A458">
        <f>'AARnetCBR-CamDTN1_tcpmon_ts_11'!A472</f>
        <v>0</v>
      </c>
      <c r="C458">
        <f>'AARnetCBR-CamDTN1_tcpmon_ts_11'!C472</f>
        <v>0</v>
      </c>
      <c r="D458">
        <f>'AARnetCBR-CamDTN1_tcpmon_ts_21'!C472+'AARnetCBR-CamDTN1_tcpmon_ts_22'!C472</f>
        <v>0</v>
      </c>
      <c r="E458">
        <f>'AARnetCBR-CamDTN1_tcpmon_ts_31'!C472+'AARnetCBR-CamDTN1_tcpmon_ts_32'!C472+'AARnetCBR-CamDTN1_tcpmon_ts_33'!C472</f>
        <v>0</v>
      </c>
      <c r="F458">
        <f>'AARnetCBR-CamDTN1_tcpmon_ts_41'!C472+'AARnetCBR-CamDTN1_tcpmon_ts_42'!C472+'AARnetCBR-CamDTN1_tcpmon_ts_43'!C472+'AARnetCBR-CamDTN1_tcpmon_ts_44'!C472</f>
        <v>0</v>
      </c>
      <c r="L458">
        <f>'AARnetCBR-CamDTN1_tcpmon_ts_11'!D458</f>
        <v>0</v>
      </c>
      <c r="M458">
        <f>'AARnetCBR-CamDTN1_tcpmon_ts_21'!D458+'AARnetCBR-CamDTN1_tcpmon_ts_22'!D458</f>
        <v>0</v>
      </c>
      <c r="N458">
        <f>'AARnetCBR-CamDTN1_tcpmon_ts_31'!D458+'AARnetCBR-CamDTN1_tcpmon_ts_32'!D458+'AARnetCBR-CamDTN1_tcpmon_ts_33'!D458</f>
        <v>0</v>
      </c>
      <c r="O458">
        <f>'AARnetCBR-CamDTN1_tcpmon_ts_41'!D458+'AARnetCBR-CamDTN1_tcpmon_ts_42'!D458+'AARnetCBR-CamDTN1_tcpmon_ts_43'!D458+'AARnetCBR-CamDTN1_tcpmon_ts_44'!D458</f>
        <v>0</v>
      </c>
      <c r="P458">
        <f>'AARnetCBR-CamDTN1_tcpmon_ts_51'!D458+'AARnetCBR-CamDTN1_tcpmon_ts_52'!D458+'AARnetCBR-CamDTN1_tcpmon_ts_53'!D458+'AARnetCBR-CamDTN1_tcpmon_ts_54'!D458+'AARnetCBR-CamDTN1_tcpmon_ts_55'!D458</f>
        <v>0</v>
      </c>
    </row>
    <row r="459" spans="1:16">
      <c r="A459">
        <f>'AARnetCBR-CamDTN1_tcpmon_ts_11'!A473</f>
        <v>0</v>
      </c>
      <c r="C459">
        <f>'AARnetCBR-CamDTN1_tcpmon_ts_11'!C473</f>
        <v>0</v>
      </c>
      <c r="D459">
        <f>'AARnetCBR-CamDTN1_tcpmon_ts_21'!C473+'AARnetCBR-CamDTN1_tcpmon_ts_22'!C473</f>
        <v>0</v>
      </c>
      <c r="E459">
        <f>'AARnetCBR-CamDTN1_tcpmon_ts_31'!C473+'AARnetCBR-CamDTN1_tcpmon_ts_32'!C473+'AARnetCBR-CamDTN1_tcpmon_ts_33'!C473</f>
        <v>0</v>
      </c>
      <c r="F459">
        <f>'AARnetCBR-CamDTN1_tcpmon_ts_41'!C473+'AARnetCBR-CamDTN1_tcpmon_ts_42'!C473+'AARnetCBR-CamDTN1_tcpmon_ts_43'!C473+'AARnetCBR-CamDTN1_tcpmon_ts_44'!C473</f>
        <v>0</v>
      </c>
      <c r="L459">
        <f>'AARnetCBR-CamDTN1_tcpmon_ts_11'!D459</f>
        <v>0</v>
      </c>
      <c r="M459">
        <f>'AARnetCBR-CamDTN1_tcpmon_ts_21'!D459+'AARnetCBR-CamDTN1_tcpmon_ts_22'!D459</f>
        <v>0</v>
      </c>
      <c r="N459">
        <f>'AARnetCBR-CamDTN1_tcpmon_ts_31'!D459+'AARnetCBR-CamDTN1_tcpmon_ts_32'!D459+'AARnetCBR-CamDTN1_tcpmon_ts_33'!D459</f>
        <v>0</v>
      </c>
      <c r="O459">
        <f>'AARnetCBR-CamDTN1_tcpmon_ts_41'!D459+'AARnetCBR-CamDTN1_tcpmon_ts_42'!D459+'AARnetCBR-CamDTN1_tcpmon_ts_43'!D459+'AARnetCBR-CamDTN1_tcpmon_ts_44'!D459</f>
        <v>0</v>
      </c>
      <c r="P459">
        <f>'AARnetCBR-CamDTN1_tcpmon_ts_51'!D459+'AARnetCBR-CamDTN1_tcpmon_ts_52'!D459+'AARnetCBR-CamDTN1_tcpmon_ts_53'!D459+'AARnetCBR-CamDTN1_tcpmon_ts_54'!D459+'AARnetCBR-CamDTN1_tcpmon_ts_55'!D459</f>
        <v>0</v>
      </c>
    </row>
    <row r="460" spans="1:16">
      <c r="A460">
        <f>'AARnetCBR-CamDTN1_tcpmon_ts_11'!A474</f>
        <v>0</v>
      </c>
      <c r="C460">
        <f>'AARnetCBR-CamDTN1_tcpmon_ts_11'!C474</f>
        <v>0</v>
      </c>
      <c r="D460">
        <f>'AARnetCBR-CamDTN1_tcpmon_ts_21'!C474+'AARnetCBR-CamDTN1_tcpmon_ts_22'!C474</f>
        <v>0</v>
      </c>
      <c r="E460">
        <f>'AARnetCBR-CamDTN1_tcpmon_ts_31'!C474+'AARnetCBR-CamDTN1_tcpmon_ts_32'!C474+'AARnetCBR-CamDTN1_tcpmon_ts_33'!C474</f>
        <v>0</v>
      </c>
      <c r="F460">
        <f>'AARnetCBR-CamDTN1_tcpmon_ts_41'!C474+'AARnetCBR-CamDTN1_tcpmon_ts_42'!C474+'AARnetCBR-CamDTN1_tcpmon_ts_43'!C474+'AARnetCBR-CamDTN1_tcpmon_ts_44'!C474</f>
        <v>0</v>
      </c>
      <c r="L460">
        <f>'AARnetCBR-CamDTN1_tcpmon_ts_11'!D460</f>
        <v>0</v>
      </c>
      <c r="M460">
        <f>'AARnetCBR-CamDTN1_tcpmon_ts_21'!D460+'AARnetCBR-CamDTN1_tcpmon_ts_22'!D460</f>
        <v>0</v>
      </c>
      <c r="N460">
        <f>'AARnetCBR-CamDTN1_tcpmon_ts_31'!D460+'AARnetCBR-CamDTN1_tcpmon_ts_32'!D460+'AARnetCBR-CamDTN1_tcpmon_ts_33'!D460</f>
        <v>0</v>
      </c>
      <c r="O460">
        <f>'AARnetCBR-CamDTN1_tcpmon_ts_41'!D460+'AARnetCBR-CamDTN1_tcpmon_ts_42'!D460+'AARnetCBR-CamDTN1_tcpmon_ts_43'!D460+'AARnetCBR-CamDTN1_tcpmon_ts_44'!D460</f>
        <v>0</v>
      </c>
      <c r="P460">
        <f>'AARnetCBR-CamDTN1_tcpmon_ts_51'!D460+'AARnetCBR-CamDTN1_tcpmon_ts_52'!D460+'AARnetCBR-CamDTN1_tcpmon_ts_53'!D460+'AARnetCBR-CamDTN1_tcpmon_ts_54'!D460+'AARnetCBR-CamDTN1_tcpmon_ts_55'!D460</f>
        <v>0</v>
      </c>
    </row>
    <row r="461" spans="1:16">
      <c r="A461">
        <f>'AARnetCBR-CamDTN1_tcpmon_ts_11'!A475</f>
        <v>0</v>
      </c>
      <c r="C461">
        <f>'AARnetCBR-CamDTN1_tcpmon_ts_11'!C475</f>
        <v>0</v>
      </c>
      <c r="D461">
        <f>'AARnetCBR-CamDTN1_tcpmon_ts_21'!C475+'AARnetCBR-CamDTN1_tcpmon_ts_22'!C475</f>
        <v>0</v>
      </c>
      <c r="E461">
        <f>'AARnetCBR-CamDTN1_tcpmon_ts_31'!C475+'AARnetCBR-CamDTN1_tcpmon_ts_32'!C475+'AARnetCBR-CamDTN1_tcpmon_ts_33'!C475</f>
        <v>0</v>
      </c>
      <c r="F461">
        <f>'AARnetCBR-CamDTN1_tcpmon_ts_41'!C475+'AARnetCBR-CamDTN1_tcpmon_ts_42'!C475+'AARnetCBR-CamDTN1_tcpmon_ts_43'!C475+'AARnetCBR-CamDTN1_tcpmon_ts_44'!C475</f>
        <v>0</v>
      </c>
      <c r="L461">
        <f>'AARnetCBR-CamDTN1_tcpmon_ts_11'!D461</f>
        <v>0</v>
      </c>
      <c r="M461">
        <f>'AARnetCBR-CamDTN1_tcpmon_ts_21'!D461+'AARnetCBR-CamDTN1_tcpmon_ts_22'!D461</f>
        <v>0</v>
      </c>
      <c r="N461">
        <f>'AARnetCBR-CamDTN1_tcpmon_ts_31'!D461+'AARnetCBR-CamDTN1_tcpmon_ts_32'!D461+'AARnetCBR-CamDTN1_tcpmon_ts_33'!D461</f>
        <v>0</v>
      </c>
      <c r="O461">
        <f>'AARnetCBR-CamDTN1_tcpmon_ts_41'!D461+'AARnetCBR-CamDTN1_tcpmon_ts_42'!D461+'AARnetCBR-CamDTN1_tcpmon_ts_43'!D461+'AARnetCBR-CamDTN1_tcpmon_ts_44'!D461</f>
        <v>0</v>
      </c>
      <c r="P461">
        <f>'AARnetCBR-CamDTN1_tcpmon_ts_51'!D461+'AARnetCBR-CamDTN1_tcpmon_ts_52'!D461+'AARnetCBR-CamDTN1_tcpmon_ts_53'!D461+'AARnetCBR-CamDTN1_tcpmon_ts_54'!D461+'AARnetCBR-CamDTN1_tcpmon_ts_55'!D461</f>
        <v>0</v>
      </c>
    </row>
    <row r="462" spans="1:16">
      <c r="A462">
        <f>'AARnetCBR-CamDTN1_tcpmon_ts_11'!A476</f>
        <v>0</v>
      </c>
      <c r="C462">
        <f>'AARnetCBR-CamDTN1_tcpmon_ts_11'!C476</f>
        <v>0</v>
      </c>
      <c r="D462">
        <f>'AARnetCBR-CamDTN1_tcpmon_ts_21'!C476+'AARnetCBR-CamDTN1_tcpmon_ts_22'!C476</f>
        <v>0</v>
      </c>
      <c r="E462">
        <f>'AARnetCBR-CamDTN1_tcpmon_ts_31'!C476+'AARnetCBR-CamDTN1_tcpmon_ts_32'!C476+'AARnetCBR-CamDTN1_tcpmon_ts_33'!C476</f>
        <v>0</v>
      </c>
      <c r="F462">
        <f>'AARnetCBR-CamDTN1_tcpmon_ts_41'!C476+'AARnetCBR-CamDTN1_tcpmon_ts_42'!C476+'AARnetCBR-CamDTN1_tcpmon_ts_43'!C476+'AARnetCBR-CamDTN1_tcpmon_ts_44'!C476</f>
        <v>0</v>
      </c>
      <c r="L462">
        <f>'AARnetCBR-CamDTN1_tcpmon_ts_11'!D462</f>
        <v>0</v>
      </c>
      <c r="M462">
        <f>'AARnetCBR-CamDTN1_tcpmon_ts_21'!D462+'AARnetCBR-CamDTN1_tcpmon_ts_22'!D462</f>
        <v>0</v>
      </c>
      <c r="N462">
        <f>'AARnetCBR-CamDTN1_tcpmon_ts_31'!D462+'AARnetCBR-CamDTN1_tcpmon_ts_32'!D462+'AARnetCBR-CamDTN1_tcpmon_ts_33'!D462</f>
        <v>0</v>
      </c>
      <c r="O462">
        <f>'AARnetCBR-CamDTN1_tcpmon_ts_41'!D462+'AARnetCBR-CamDTN1_tcpmon_ts_42'!D462+'AARnetCBR-CamDTN1_tcpmon_ts_43'!D462+'AARnetCBR-CamDTN1_tcpmon_ts_44'!D462</f>
        <v>0</v>
      </c>
      <c r="P462">
        <f>'AARnetCBR-CamDTN1_tcpmon_ts_51'!D462+'AARnetCBR-CamDTN1_tcpmon_ts_52'!D462+'AARnetCBR-CamDTN1_tcpmon_ts_53'!D462+'AARnetCBR-CamDTN1_tcpmon_ts_54'!D462+'AARnetCBR-CamDTN1_tcpmon_ts_55'!D462</f>
        <v>0</v>
      </c>
    </row>
    <row r="463" spans="1:16">
      <c r="A463">
        <f>'AARnetCBR-CamDTN1_tcpmon_ts_11'!A477</f>
        <v>0</v>
      </c>
      <c r="C463">
        <f>'AARnetCBR-CamDTN1_tcpmon_ts_11'!C477</f>
        <v>0</v>
      </c>
      <c r="D463">
        <f>'AARnetCBR-CamDTN1_tcpmon_ts_21'!C477+'AARnetCBR-CamDTN1_tcpmon_ts_22'!C477</f>
        <v>0</v>
      </c>
      <c r="E463">
        <f>'AARnetCBR-CamDTN1_tcpmon_ts_31'!C477+'AARnetCBR-CamDTN1_tcpmon_ts_32'!C477+'AARnetCBR-CamDTN1_tcpmon_ts_33'!C477</f>
        <v>0</v>
      </c>
      <c r="F463">
        <f>'AARnetCBR-CamDTN1_tcpmon_ts_41'!C477+'AARnetCBR-CamDTN1_tcpmon_ts_42'!C477+'AARnetCBR-CamDTN1_tcpmon_ts_43'!C477+'AARnetCBR-CamDTN1_tcpmon_ts_44'!C477</f>
        <v>0</v>
      </c>
      <c r="L463">
        <f>'AARnetCBR-CamDTN1_tcpmon_ts_11'!D463</f>
        <v>0</v>
      </c>
      <c r="M463">
        <f>'AARnetCBR-CamDTN1_tcpmon_ts_21'!D463+'AARnetCBR-CamDTN1_tcpmon_ts_22'!D463</f>
        <v>0</v>
      </c>
      <c r="N463">
        <f>'AARnetCBR-CamDTN1_tcpmon_ts_31'!D463+'AARnetCBR-CamDTN1_tcpmon_ts_32'!D463+'AARnetCBR-CamDTN1_tcpmon_ts_33'!D463</f>
        <v>0</v>
      </c>
      <c r="O463">
        <f>'AARnetCBR-CamDTN1_tcpmon_ts_41'!D463+'AARnetCBR-CamDTN1_tcpmon_ts_42'!D463+'AARnetCBR-CamDTN1_tcpmon_ts_43'!D463+'AARnetCBR-CamDTN1_tcpmon_ts_44'!D463</f>
        <v>0</v>
      </c>
      <c r="P463">
        <f>'AARnetCBR-CamDTN1_tcpmon_ts_51'!D463+'AARnetCBR-CamDTN1_tcpmon_ts_52'!D463+'AARnetCBR-CamDTN1_tcpmon_ts_53'!D463+'AARnetCBR-CamDTN1_tcpmon_ts_54'!D463+'AARnetCBR-CamDTN1_tcpmon_ts_55'!D463</f>
        <v>0</v>
      </c>
    </row>
    <row r="464" spans="1:16">
      <c r="A464">
        <f>'AARnetCBR-CamDTN1_tcpmon_ts_11'!A478</f>
        <v>0</v>
      </c>
      <c r="C464">
        <f>'AARnetCBR-CamDTN1_tcpmon_ts_11'!C478</f>
        <v>0</v>
      </c>
      <c r="D464">
        <f>'AARnetCBR-CamDTN1_tcpmon_ts_21'!C478+'AARnetCBR-CamDTN1_tcpmon_ts_22'!C478</f>
        <v>0</v>
      </c>
      <c r="E464">
        <f>'AARnetCBR-CamDTN1_tcpmon_ts_31'!C478+'AARnetCBR-CamDTN1_tcpmon_ts_32'!C478+'AARnetCBR-CamDTN1_tcpmon_ts_33'!C478</f>
        <v>0</v>
      </c>
      <c r="F464">
        <f>'AARnetCBR-CamDTN1_tcpmon_ts_41'!C478+'AARnetCBR-CamDTN1_tcpmon_ts_42'!C478+'AARnetCBR-CamDTN1_tcpmon_ts_43'!C478+'AARnetCBR-CamDTN1_tcpmon_ts_44'!C478</f>
        <v>0</v>
      </c>
      <c r="L464">
        <f>'AARnetCBR-CamDTN1_tcpmon_ts_11'!D464</f>
        <v>0</v>
      </c>
      <c r="M464">
        <f>'AARnetCBR-CamDTN1_tcpmon_ts_21'!D464+'AARnetCBR-CamDTN1_tcpmon_ts_22'!D464</f>
        <v>0</v>
      </c>
      <c r="N464">
        <f>'AARnetCBR-CamDTN1_tcpmon_ts_31'!D464+'AARnetCBR-CamDTN1_tcpmon_ts_32'!D464+'AARnetCBR-CamDTN1_tcpmon_ts_33'!D464</f>
        <v>0</v>
      </c>
      <c r="O464">
        <f>'AARnetCBR-CamDTN1_tcpmon_ts_41'!D464+'AARnetCBR-CamDTN1_tcpmon_ts_42'!D464+'AARnetCBR-CamDTN1_tcpmon_ts_43'!D464+'AARnetCBR-CamDTN1_tcpmon_ts_44'!D464</f>
        <v>0</v>
      </c>
      <c r="P464">
        <f>'AARnetCBR-CamDTN1_tcpmon_ts_51'!D464+'AARnetCBR-CamDTN1_tcpmon_ts_52'!D464+'AARnetCBR-CamDTN1_tcpmon_ts_53'!D464+'AARnetCBR-CamDTN1_tcpmon_ts_54'!D464+'AARnetCBR-CamDTN1_tcpmon_ts_55'!D464</f>
        <v>0</v>
      </c>
    </row>
    <row r="465" spans="1:16">
      <c r="A465">
        <f>'AARnetCBR-CamDTN1_tcpmon_ts_11'!A479</f>
        <v>0</v>
      </c>
      <c r="C465">
        <f>'AARnetCBR-CamDTN1_tcpmon_ts_11'!C479</f>
        <v>0</v>
      </c>
      <c r="D465">
        <f>'AARnetCBR-CamDTN1_tcpmon_ts_21'!C479+'AARnetCBR-CamDTN1_tcpmon_ts_22'!C479</f>
        <v>0</v>
      </c>
      <c r="E465">
        <f>'AARnetCBR-CamDTN1_tcpmon_ts_31'!C479+'AARnetCBR-CamDTN1_tcpmon_ts_32'!C479+'AARnetCBR-CamDTN1_tcpmon_ts_33'!C479</f>
        <v>0</v>
      </c>
      <c r="F465">
        <f>'AARnetCBR-CamDTN1_tcpmon_ts_41'!C479+'AARnetCBR-CamDTN1_tcpmon_ts_42'!C479+'AARnetCBR-CamDTN1_tcpmon_ts_43'!C479+'AARnetCBR-CamDTN1_tcpmon_ts_44'!C479</f>
        <v>0</v>
      </c>
      <c r="L465">
        <f>'AARnetCBR-CamDTN1_tcpmon_ts_11'!D465</f>
        <v>0</v>
      </c>
      <c r="M465">
        <f>'AARnetCBR-CamDTN1_tcpmon_ts_21'!D465+'AARnetCBR-CamDTN1_tcpmon_ts_22'!D465</f>
        <v>0</v>
      </c>
      <c r="N465">
        <f>'AARnetCBR-CamDTN1_tcpmon_ts_31'!D465+'AARnetCBR-CamDTN1_tcpmon_ts_32'!D465+'AARnetCBR-CamDTN1_tcpmon_ts_33'!D465</f>
        <v>0</v>
      </c>
      <c r="O465">
        <f>'AARnetCBR-CamDTN1_tcpmon_ts_41'!D465+'AARnetCBR-CamDTN1_tcpmon_ts_42'!D465+'AARnetCBR-CamDTN1_tcpmon_ts_43'!D465+'AARnetCBR-CamDTN1_tcpmon_ts_44'!D465</f>
        <v>0</v>
      </c>
      <c r="P465">
        <f>'AARnetCBR-CamDTN1_tcpmon_ts_51'!D465+'AARnetCBR-CamDTN1_tcpmon_ts_52'!D465+'AARnetCBR-CamDTN1_tcpmon_ts_53'!D465+'AARnetCBR-CamDTN1_tcpmon_ts_54'!D465+'AARnetCBR-CamDTN1_tcpmon_ts_55'!D465</f>
        <v>0</v>
      </c>
    </row>
    <row r="466" spans="1:16">
      <c r="A466">
        <f>'AARnetCBR-CamDTN1_tcpmon_ts_11'!A480</f>
        <v>0</v>
      </c>
      <c r="C466">
        <f>'AARnetCBR-CamDTN1_tcpmon_ts_11'!C480</f>
        <v>0</v>
      </c>
      <c r="D466">
        <f>'AARnetCBR-CamDTN1_tcpmon_ts_21'!C480+'AARnetCBR-CamDTN1_tcpmon_ts_22'!C480</f>
        <v>0</v>
      </c>
      <c r="E466">
        <f>'AARnetCBR-CamDTN1_tcpmon_ts_31'!C480+'AARnetCBR-CamDTN1_tcpmon_ts_32'!C480+'AARnetCBR-CamDTN1_tcpmon_ts_33'!C480</f>
        <v>0</v>
      </c>
      <c r="F466">
        <f>'AARnetCBR-CamDTN1_tcpmon_ts_41'!C480+'AARnetCBR-CamDTN1_tcpmon_ts_42'!C480+'AARnetCBR-CamDTN1_tcpmon_ts_43'!C480+'AARnetCBR-CamDTN1_tcpmon_ts_44'!C480</f>
        <v>0</v>
      </c>
      <c r="L466">
        <f>'AARnetCBR-CamDTN1_tcpmon_ts_11'!D466</f>
        <v>0</v>
      </c>
      <c r="M466">
        <f>'AARnetCBR-CamDTN1_tcpmon_ts_21'!D466+'AARnetCBR-CamDTN1_tcpmon_ts_22'!D466</f>
        <v>0</v>
      </c>
      <c r="N466">
        <f>'AARnetCBR-CamDTN1_tcpmon_ts_31'!D466+'AARnetCBR-CamDTN1_tcpmon_ts_32'!D466+'AARnetCBR-CamDTN1_tcpmon_ts_33'!D466</f>
        <v>0</v>
      </c>
      <c r="O466">
        <f>'AARnetCBR-CamDTN1_tcpmon_ts_41'!D466+'AARnetCBR-CamDTN1_tcpmon_ts_42'!D466+'AARnetCBR-CamDTN1_tcpmon_ts_43'!D466+'AARnetCBR-CamDTN1_tcpmon_ts_44'!D466</f>
        <v>0</v>
      </c>
      <c r="P466">
        <f>'AARnetCBR-CamDTN1_tcpmon_ts_51'!D466+'AARnetCBR-CamDTN1_tcpmon_ts_52'!D466+'AARnetCBR-CamDTN1_tcpmon_ts_53'!D466+'AARnetCBR-CamDTN1_tcpmon_ts_54'!D466+'AARnetCBR-CamDTN1_tcpmon_ts_55'!D466</f>
        <v>0</v>
      </c>
    </row>
    <row r="467" spans="1:16">
      <c r="A467">
        <f>'AARnetCBR-CamDTN1_tcpmon_ts_11'!A481</f>
        <v>0</v>
      </c>
      <c r="C467">
        <f>'AARnetCBR-CamDTN1_tcpmon_ts_11'!C481</f>
        <v>0</v>
      </c>
      <c r="D467">
        <f>'AARnetCBR-CamDTN1_tcpmon_ts_21'!C481+'AARnetCBR-CamDTN1_tcpmon_ts_22'!C481</f>
        <v>0</v>
      </c>
      <c r="E467">
        <f>'AARnetCBR-CamDTN1_tcpmon_ts_31'!C481+'AARnetCBR-CamDTN1_tcpmon_ts_32'!C481+'AARnetCBR-CamDTN1_tcpmon_ts_33'!C481</f>
        <v>0</v>
      </c>
      <c r="F467">
        <f>'AARnetCBR-CamDTN1_tcpmon_ts_41'!C481+'AARnetCBR-CamDTN1_tcpmon_ts_42'!C481+'AARnetCBR-CamDTN1_tcpmon_ts_43'!C481+'AARnetCBR-CamDTN1_tcpmon_ts_44'!C481</f>
        <v>0</v>
      </c>
      <c r="L467">
        <f>'AARnetCBR-CamDTN1_tcpmon_ts_11'!D467</f>
        <v>0</v>
      </c>
      <c r="M467">
        <f>'AARnetCBR-CamDTN1_tcpmon_ts_21'!D467+'AARnetCBR-CamDTN1_tcpmon_ts_22'!D467</f>
        <v>0</v>
      </c>
      <c r="N467">
        <f>'AARnetCBR-CamDTN1_tcpmon_ts_31'!D467+'AARnetCBR-CamDTN1_tcpmon_ts_32'!D467+'AARnetCBR-CamDTN1_tcpmon_ts_33'!D467</f>
        <v>0</v>
      </c>
      <c r="O467">
        <f>'AARnetCBR-CamDTN1_tcpmon_ts_41'!D467+'AARnetCBR-CamDTN1_tcpmon_ts_42'!D467+'AARnetCBR-CamDTN1_tcpmon_ts_43'!D467+'AARnetCBR-CamDTN1_tcpmon_ts_44'!D467</f>
        <v>0</v>
      </c>
      <c r="P467">
        <f>'AARnetCBR-CamDTN1_tcpmon_ts_51'!D467+'AARnetCBR-CamDTN1_tcpmon_ts_52'!D467+'AARnetCBR-CamDTN1_tcpmon_ts_53'!D467+'AARnetCBR-CamDTN1_tcpmon_ts_54'!D467+'AARnetCBR-CamDTN1_tcpmon_ts_55'!D467</f>
        <v>0</v>
      </c>
    </row>
    <row r="468" spans="1:16">
      <c r="A468">
        <f>'AARnetCBR-CamDTN1_tcpmon_ts_11'!A482</f>
        <v>0</v>
      </c>
      <c r="C468">
        <f>'AARnetCBR-CamDTN1_tcpmon_ts_11'!C482</f>
        <v>0</v>
      </c>
      <c r="D468">
        <f>'AARnetCBR-CamDTN1_tcpmon_ts_21'!C482+'AARnetCBR-CamDTN1_tcpmon_ts_22'!C482</f>
        <v>0</v>
      </c>
      <c r="E468">
        <f>'AARnetCBR-CamDTN1_tcpmon_ts_31'!C482+'AARnetCBR-CamDTN1_tcpmon_ts_32'!C482+'AARnetCBR-CamDTN1_tcpmon_ts_33'!C482</f>
        <v>0</v>
      </c>
      <c r="F468">
        <f>'AARnetCBR-CamDTN1_tcpmon_ts_41'!C482+'AARnetCBR-CamDTN1_tcpmon_ts_42'!C482+'AARnetCBR-CamDTN1_tcpmon_ts_43'!C482+'AARnetCBR-CamDTN1_tcpmon_ts_44'!C482</f>
        <v>0</v>
      </c>
      <c r="L468">
        <f>'AARnetCBR-CamDTN1_tcpmon_ts_11'!D468</f>
        <v>0</v>
      </c>
      <c r="M468">
        <f>'AARnetCBR-CamDTN1_tcpmon_ts_21'!D468+'AARnetCBR-CamDTN1_tcpmon_ts_22'!D468</f>
        <v>0</v>
      </c>
      <c r="N468">
        <f>'AARnetCBR-CamDTN1_tcpmon_ts_31'!D468+'AARnetCBR-CamDTN1_tcpmon_ts_32'!D468+'AARnetCBR-CamDTN1_tcpmon_ts_33'!D468</f>
        <v>0</v>
      </c>
      <c r="O468">
        <f>'AARnetCBR-CamDTN1_tcpmon_ts_41'!D468+'AARnetCBR-CamDTN1_tcpmon_ts_42'!D468+'AARnetCBR-CamDTN1_tcpmon_ts_43'!D468+'AARnetCBR-CamDTN1_tcpmon_ts_44'!D468</f>
        <v>0</v>
      </c>
      <c r="P468">
        <f>'AARnetCBR-CamDTN1_tcpmon_ts_51'!D468+'AARnetCBR-CamDTN1_tcpmon_ts_52'!D468+'AARnetCBR-CamDTN1_tcpmon_ts_53'!D468+'AARnetCBR-CamDTN1_tcpmon_ts_54'!D468+'AARnetCBR-CamDTN1_tcpmon_ts_55'!D468</f>
        <v>0</v>
      </c>
    </row>
    <row r="469" spans="1:16">
      <c r="A469">
        <f>'AARnetCBR-CamDTN1_tcpmon_ts_11'!A483</f>
        <v>0</v>
      </c>
      <c r="C469">
        <f>'AARnetCBR-CamDTN1_tcpmon_ts_11'!C483</f>
        <v>0</v>
      </c>
      <c r="D469">
        <f>'AARnetCBR-CamDTN1_tcpmon_ts_21'!C483+'AARnetCBR-CamDTN1_tcpmon_ts_22'!C483</f>
        <v>0</v>
      </c>
      <c r="E469">
        <f>'AARnetCBR-CamDTN1_tcpmon_ts_31'!C483+'AARnetCBR-CamDTN1_tcpmon_ts_32'!C483+'AARnetCBR-CamDTN1_tcpmon_ts_33'!C483</f>
        <v>0</v>
      </c>
      <c r="F469">
        <f>'AARnetCBR-CamDTN1_tcpmon_ts_41'!C483+'AARnetCBR-CamDTN1_tcpmon_ts_42'!C483+'AARnetCBR-CamDTN1_tcpmon_ts_43'!C483+'AARnetCBR-CamDTN1_tcpmon_ts_44'!C483</f>
        <v>0</v>
      </c>
      <c r="L469">
        <f>'AARnetCBR-CamDTN1_tcpmon_ts_11'!D469</f>
        <v>0</v>
      </c>
      <c r="M469">
        <f>'AARnetCBR-CamDTN1_tcpmon_ts_21'!D469+'AARnetCBR-CamDTN1_tcpmon_ts_22'!D469</f>
        <v>0</v>
      </c>
      <c r="N469">
        <f>'AARnetCBR-CamDTN1_tcpmon_ts_31'!D469+'AARnetCBR-CamDTN1_tcpmon_ts_32'!D469+'AARnetCBR-CamDTN1_tcpmon_ts_33'!D469</f>
        <v>0</v>
      </c>
      <c r="O469">
        <f>'AARnetCBR-CamDTN1_tcpmon_ts_41'!D469+'AARnetCBR-CamDTN1_tcpmon_ts_42'!D469+'AARnetCBR-CamDTN1_tcpmon_ts_43'!D469+'AARnetCBR-CamDTN1_tcpmon_ts_44'!D469</f>
        <v>0</v>
      </c>
      <c r="P469">
        <f>'AARnetCBR-CamDTN1_tcpmon_ts_51'!D469+'AARnetCBR-CamDTN1_tcpmon_ts_52'!D469+'AARnetCBR-CamDTN1_tcpmon_ts_53'!D469+'AARnetCBR-CamDTN1_tcpmon_ts_54'!D469+'AARnetCBR-CamDTN1_tcpmon_ts_55'!D469</f>
        <v>0</v>
      </c>
    </row>
    <row r="470" spans="1:16">
      <c r="A470">
        <f>'AARnetCBR-CamDTN1_tcpmon_ts_11'!A484</f>
        <v>0</v>
      </c>
      <c r="C470">
        <f>'AARnetCBR-CamDTN1_tcpmon_ts_11'!C484</f>
        <v>0</v>
      </c>
      <c r="D470">
        <f>'AARnetCBR-CamDTN1_tcpmon_ts_21'!C484+'AARnetCBR-CamDTN1_tcpmon_ts_22'!C484</f>
        <v>0</v>
      </c>
      <c r="E470">
        <f>'AARnetCBR-CamDTN1_tcpmon_ts_31'!C484+'AARnetCBR-CamDTN1_tcpmon_ts_32'!C484+'AARnetCBR-CamDTN1_tcpmon_ts_33'!C484</f>
        <v>0</v>
      </c>
      <c r="F470">
        <f>'AARnetCBR-CamDTN1_tcpmon_ts_41'!C484+'AARnetCBR-CamDTN1_tcpmon_ts_42'!C484+'AARnetCBR-CamDTN1_tcpmon_ts_43'!C484+'AARnetCBR-CamDTN1_tcpmon_ts_44'!C484</f>
        <v>0</v>
      </c>
      <c r="L470">
        <f>'AARnetCBR-CamDTN1_tcpmon_ts_11'!D470</f>
        <v>0</v>
      </c>
      <c r="M470">
        <f>'AARnetCBR-CamDTN1_tcpmon_ts_21'!D470+'AARnetCBR-CamDTN1_tcpmon_ts_22'!D470</f>
        <v>0</v>
      </c>
      <c r="N470">
        <f>'AARnetCBR-CamDTN1_tcpmon_ts_31'!D470+'AARnetCBR-CamDTN1_tcpmon_ts_32'!D470+'AARnetCBR-CamDTN1_tcpmon_ts_33'!D470</f>
        <v>0</v>
      </c>
      <c r="O470">
        <f>'AARnetCBR-CamDTN1_tcpmon_ts_41'!D470+'AARnetCBR-CamDTN1_tcpmon_ts_42'!D470+'AARnetCBR-CamDTN1_tcpmon_ts_43'!D470+'AARnetCBR-CamDTN1_tcpmon_ts_44'!D470</f>
        <v>0</v>
      </c>
      <c r="P470">
        <f>'AARnetCBR-CamDTN1_tcpmon_ts_51'!D470+'AARnetCBR-CamDTN1_tcpmon_ts_52'!D470+'AARnetCBR-CamDTN1_tcpmon_ts_53'!D470+'AARnetCBR-CamDTN1_tcpmon_ts_54'!D470+'AARnetCBR-CamDTN1_tcpmon_ts_55'!D470</f>
        <v>0</v>
      </c>
    </row>
    <row r="471" spans="1:16">
      <c r="A471">
        <f>'AARnetCBR-CamDTN1_tcpmon_ts_11'!A485</f>
        <v>0</v>
      </c>
      <c r="C471">
        <f>'AARnetCBR-CamDTN1_tcpmon_ts_11'!C485</f>
        <v>0</v>
      </c>
      <c r="D471">
        <f>'AARnetCBR-CamDTN1_tcpmon_ts_21'!C485+'AARnetCBR-CamDTN1_tcpmon_ts_22'!C485</f>
        <v>0</v>
      </c>
      <c r="E471">
        <f>'AARnetCBR-CamDTN1_tcpmon_ts_31'!C485+'AARnetCBR-CamDTN1_tcpmon_ts_32'!C485+'AARnetCBR-CamDTN1_tcpmon_ts_33'!C485</f>
        <v>0</v>
      </c>
      <c r="F471">
        <f>'AARnetCBR-CamDTN1_tcpmon_ts_41'!C485+'AARnetCBR-CamDTN1_tcpmon_ts_42'!C485+'AARnetCBR-CamDTN1_tcpmon_ts_43'!C485+'AARnetCBR-CamDTN1_tcpmon_ts_44'!C485</f>
        <v>0</v>
      </c>
      <c r="L471">
        <f>'AARnetCBR-CamDTN1_tcpmon_ts_11'!D471</f>
        <v>0</v>
      </c>
      <c r="M471">
        <f>'AARnetCBR-CamDTN1_tcpmon_ts_21'!D471+'AARnetCBR-CamDTN1_tcpmon_ts_22'!D471</f>
        <v>0</v>
      </c>
      <c r="N471">
        <f>'AARnetCBR-CamDTN1_tcpmon_ts_31'!D471+'AARnetCBR-CamDTN1_tcpmon_ts_32'!D471+'AARnetCBR-CamDTN1_tcpmon_ts_33'!D471</f>
        <v>0</v>
      </c>
      <c r="O471">
        <f>'AARnetCBR-CamDTN1_tcpmon_ts_41'!D471+'AARnetCBR-CamDTN1_tcpmon_ts_42'!D471+'AARnetCBR-CamDTN1_tcpmon_ts_43'!D471+'AARnetCBR-CamDTN1_tcpmon_ts_44'!D471</f>
        <v>0</v>
      </c>
      <c r="P471">
        <f>'AARnetCBR-CamDTN1_tcpmon_ts_51'!D471+'AARnetCBR-CamDTN1_tcpmon_ts_52'!D471+'AARnetCBR-CamDTN1_tcpmon_ts_53'!D471+'AARnetCBR-CamDTN1_tcpmon_ts_54'!D471+'AARnetCBR-CamDTN1_tcpmon_ts_55'!D471</f>
        <v>0</v>
      </c>
    </row>
    <row r="472" spans="1:16">
      <c r="A472">
        <f>'AARnetCBR-CamDTN1_tcpmon_ts_11'!A486</f>
        <v>0</v>
      </c>
      <c r="C472">
        <f>'AARnetCBR-CamDTN1_tcpmon_ts_11'!C486</f>
        <v>0</v>
      </c>
      <c r="D472">
        <f>'AARnetCBR-CamDTN1_tcpmon_ts_21'!C486+'AARnetCBR-CamDTN1_tcpmon_ts_22'!C486</f>
        <v>0</v>
      </c>
      <c r="E472">
        <f>'AARnetCBR-CamDTN1_tcpmon_ts_31'!C486+'AARnetCBR-CamDTN1_tcpmon_ts_32'!C486+'AARnetCBR-CamDTN1_tcpmon_ts_33'!C486</f>
        <v>0</v>
      </c>
      <c r="F472">
        <f>'AARnetCBR-CamDTN1_tcpmon_ts_41'!C486+'AARnetCBR-CamDTN1_tcpmon_ts_42'!C486+'AARnetCBR-CamDTN1_tcpmon_ts_43'!C486+'AARnetCBR-CamDTN1_tcpmon_ts_44'!C486</f>
        <v>0</v>
      </c>
      <c r="L472">
        <f>'AARnetCBR-CamDTN1_tcpmon_ts_11'!D472</f>
        <v>0</v>
      </c>
      <c r="M472">
        <f>'AARnetCBR-CamDTN1_tcpmon_ts_21'!D472+'AARnetCBR-CamDTN1_tcpmon_ts_22'!D472</f>
        <v>0</v>
      </c>
      <c r="N472">
        <f>'AARnetCBR-CamDTN1_tcpmon_ts_31'!D472+'AARnetCBR-CamDTN1_tcpmon_ts_32'!D472+'AARnetCBR-CamDTN1_tcpmon_ts_33'!D472</f>
        <v>0</v>
      </c>
      <c r="O472">
        <f>'AARnetCBR-CamDTN1_tcpmon_ts_41'!D472+'AARnetCBR-CamDTN1_tcpmon_ts_42'!D472+'AARnetCBR-CamDTN1_tcpmon_ts_43'!D472+'AARnetCBR-CamDTN1_tcpmon_ts_44'!D472</f>
        <v>0</v>
      </c>
      <c r="P472">
        <f>'AARnetCBR-CamDTN1_tcpmon_ts_51'!D472+'AARnetCBR-CamDTN1_tcpmon_ts_52'!D472+'AARnetCBR-CamDTN1_tcpmon_ts_53'!D472+'AARnetCBR-CamDTN1_tcpmon_ts_54'!D472+'AARnetCBR-CamDTN1_tcpmon_ts_55'!D472</f>
        <v>0</v>
      </c>
    </row>
    <row r="473" spans="1:16">
      <c r="A473">
        <f>'AARnetCBR-CamDTN1_tcpmon_ts_11'!A487</f>
        <v>0</v>
      </c>
      <c r="C473">
        <f>'AARnetCBR-CamDTN1_tcpmon_ts_11'!C487</f>
        <v>0</v>
      </c>
      <c r="D473">
        <f>'AARnetCBR-CamDTN1_tcpmon_ts_21'!C487+'AARnetCBR-CamDTN1_tcpmon_ts_22'!C487</f>
        <v>0</v>
      </c>
      <c r="E473">
        <f>'AARnetCBR-CamDTN1_tcpmon_ts_31'!C487+'AARnetCBR-CamDTN1_tcpmon_ts_32'!C487+'AARnetCBR-CamDTN1_tcpmon_ts_33'!C487</f>
        <v>0</v>
      </c>
      <c r="F473">
        <f>'AARnetCBR-CamDTN1_tcpmon_ts_41'!C487+'AARnetCBR-CamDTN1_tcpmon_ts_42'!C487+'AARnetCBR-CamDTN1_tcpmon_ts_43'!C487+'AARnetCBR-CamDTN1_tcpmon_ts_44'!C487</f>
        <v>0</v>
      </c>
      <c r="L473">
        <f>'AARnetCBR-CamDTN1_tcpmon_ts_11'!D473</f>
        <v>0</v>
      </c>
      <c r="M473">
        <f>'AARnetCBR-CamDTN1_tcpmon_ts_21'!D473+'AARnetCBR-CamDTN1_tcpmon_ts_22'!D473</f>
        <v>0</v>
      </c>
      <c r="N473">
        <f>'AARnetCBR-CamDTN1_tcpmon_ts_31'!D473+'AARnetCBR-CamDTN1_tcpmon_ts_32'!D473+'AARnetCBR-CamDTN1_tcpmon_ts_33'!D473</f>
        <v>0</v>
      </c>
      <c r="O473">
        <f>'AARnetCBR-CamDTN1_tcpmon_ts_41'!D473+'AARnetCBR-CamDTN1_tcpmon_ts_42'!D473+'AARnetCBR-CamDTN1_tcpmon_ts_43'!D473+'AARnetCBR-CamDTN1_tcpmon_ts_44'!D473</f>
        <v>0</v>
      </c>
      <c r="P473">
        <f>'AARnetCBR-CamDTN1_tcpmon_ts_51'!D473+'AARnetCBR-CamDTN1_tcpmon_ts_52'!D473+'AARnetCBR-CamDTN1_tcpmon_ts_53'!D473+'AARnetCBR-CamDTN1_tcpmon_ts_54'!D473+'AARnetCBR-CamDTN1_tcpmon_ts_55'!D473</f>
        <v>0</v>
      </c>
    </row>
    <row r="474" spans="1:16">
      <c r="A474">
        <f>'AARnetCBR-CamDTN1_tcpmon_ts_11'!A488</f>
        <v>0</v>
      </c>
      <c r="C474">
        <f>'AARnetCBR-CamDTN1_tcpmon_ts_11'!C488</f>
        <v>0</v>
      </c>
      <c r="D474">
        <f>'AARnetCBR-CamDTN1_tcpmon_ts_21'!C488+'AARnetCBR-CamDTN1_tcpmon_ts_22'!C488</f>
        <v>0</v>
      </c>
      <c r="E474">
        <f>'AARnetCBR-CamDTN1_tcpmon_ts_31'!C488+'AARnetCBR-CamDTN1_tcpmon_ts_32'!C488+'AARnetCBR-CamDTN1_tcpmon_ts_33'!C488</f>
        <v>0</v>
      </c>
      <c r="F474">
        <f>'AARnetCBR-CamDTN1_tcpmon_ts_41'!C488+'AARnetCBR-CamDTN1_tcpmon_ts_42'!C488+'AARnetCBR-CamDTN1_tcpmon_ts_43'!C488+'AARnetCBR-CamDTN1_tcpmon_ts_44'!C488</f>
        <v>0</v>
      </c>
      <c r="L474">
        <f>'AARnetCBR-CamDTN1_tcpmon_ts_11'!D474</f>
        <v>0</v>
      </c>
      <c r="M474">
        <f>'AARnetCBR-CamDTN1_tcpmon_ts_21'!D474+'AARnetCBR-CamDTN1_tcpmon_ts_22'!D474</f>
        <v>0</v>
      </c>
      <c r="N474">
        <f>'AARnetCBR-CamDTN1_tcpmon_ts_31'!D474+'AARnetCBR-CamDTN1_tcpmon_ts_32'!D474+'AARnetCBR-CamDTN1_tcpmon_ts_33'!D474</f>
        <v>0</v>
      </c>
      <c r="O474">
        <f>'AARnetCBR-CamDTN1_tcpmon_ts_41'!D474+'AARnetCBR-CamDTN1_tcpmon_ts_42'!D474+'AARnetCBR-CamDTN1_tcpmon_ts_43'!D474+'AARnetCBR-CamDTN1_tcpmon_ts_44'!D474</f>
        <v>0</v>
      </c>
      <c r="P474">
        <f>'AARnetCBR-CamDTN1_tcpmon_ts_51'!D474+'AARnetCBR-CamDTN1_tcpmon_ts_52'!D474+'AARnetCBR-CamDTN1_tcpmon_ts_53'!D474+'AARnetCBR-CamDTN1_tcpmon_ts_54'!D474+'AARnetCBR-CamDTN1_tcpmon_ts_55'!D474</f>
        <v>0</v>
      </c>
    </row>
    <row r="475" spans="1:16">
      <c r="A475">
        <f>'AARnetCBR-CamDTN1_tcpmon_ts_11'!A489</f>
        <v>0</v>
      </c>
      <c r="C475">
        <f>'AARnetCBR-CamDTN1_tcpmon_ts_11'!C489</f>
        <v>0</v>
      </c>
      <c r="D475">
        <f>'AARnetCBR-CamDTN1_tcpmon_ts_21'!C489+'AARnetCBR-CamDTN1_tcpmon_ts_22'!C489</f>
        <v>0</v>
      </c>
      <c r="E475">
        <f>'AARnetCBR-CamDTN1_tcpmon_ts_31'!C489+'AARnetCBR-CamDTN1_tcpmon_ts_32'!C489+'AARnetCBR-CamDTN1_tcpmon_ts_33'!C489</f>
        <v>0</v>
      </c>
      <c r="F475">
        <f>'AARnetCBR-CamDTN1_tcpmon_ts_41'!C489+'AARnetCBR-CamDTN1_tcpmon_ts_42'!C489+'AARnetCBR-CamDTN1_tcpmon_ts_43'!C489+'AARnetCBR-CamDTN1_tcpmon_ts_44'!C489</f>
        <v>0</v>
      </c>
      <c r="L475">
        <f>'AARnetCBR-CamDTN1_tcpmon_ts_11'!D475</f>
        <v>0</v>
      </c>
      <c r="M475">
        <f>'AARnetCBR-CamDTN1_tcpmon_ts_21'!D475+'AARnetCBR-CamDTN1_tcpmon_ts_22'!D475</f>
        <v>0</v>
      </c>
      <c r="N475">
        <f>'AARnetCBR-CamDTN1_tcpmon_ts_31'!D475+'AARnetCBR-CamDTN1_tcpmon_ts_32'!D475+'AARnetCBR-CamDTN1_tcpmon_ts_33'!D475</f>
        <v>0</v>
      </c>
      <c r="O475">
        <f>'AARnetCBR-CamDTN1_tcpmon_ts_41'!D475+'AARnetCBR-CamDTN1_tcpmon_ts_42'!D475+'AARnetCBR-CamDTN1_tcpmon_ts_43'!D475+'AARnetCBR-CamDTN1_tcpmon_ts_44'!D475</f>
        <v>0</v>
      </c>
      <c r="P475">
        <f>'AARnetCBR-CamDTN1_tcpmon_ts_51'!D475+'AARnetCBR-CamDTN1_tcpmon_ts_52'!D475+'AARnetCBR-CamDTN1_tcpmon_ts_53'!D475+'AARnetCBR-CamDTN1_tcpmon_ts_54'!D475+'AARnetCBR-CamDTN1_tcpmon_ts_55'!D475</f>
        <v>0</v>
      </c>
    </row>
    <row r="476" spans="1:16">
      <c r="A476">
        <f>'AARnetCBR-CamDTN1_tcpmon_ts_11'!A490</f>
        <v>0</v>
      </c>
      <c r="C476">
        <f>'AARnetCBR-CamDTN1_tcpmon_ts_11'!C490</f>
        <v>0</v>
      </c>
      <c r="D476">
        <f>'AARnetCBR-CamDTN1_tcpmon_ts_21'!C490+'AARnetCBR-CamDTN1_tcpmon_ts_22'!C490</f>
        <v>0</v>
      </c>
      <c r="E476">
        <f>'AARnetCBR-CamDTN1_tcpmon_ts_31'!C490+'AARnetCBR-CamDTN1_tcpmon_ts_32'!C490+'AARnetCBR-CamDTN1_tcpmon_ts_33'!C490</f>
        <v>0</v>
      </c>
      <c r="F476">
        <f>'AARnetCBR-CamDTN1_tcpmon_ts_41'!C490+'AARnetCBR-CamDTN1_tcpmon_ts_42'!C490+'AARnetCBR-CamDTN1_tcpmon_ts_43'!C490+'AARnetCBR-CamDTN1_tcpmon_ts_44'!C490</f>
        <v>0</v>
      </c>
      <c r="L476">
        <f>'AARnetCBR-CamDTN1_tcpmon_ts_11'!D476</f>
        <v>0</v>
      </c>
      <c r="M476">
        <f>'AARnetCBR-CamDTN1_tcpmon_ts_21'!D476+'AARnetCBR-CamDTN1_tcpmon_ts_22'!D476</f>
        <v>0</v>
      </c>
      <c r="N476">
        <f>'AARnetCBR-CamDTN1_tcpmon_ts_31'!D476+'AARnetCBR-CamDTN1_tcpmon_ts_32'!D476+'AARnetCBR-CamDTN1_tcpmon_ts_33'!D476</f>
        <v>0</v>
      </c>
      <c r="O476">
        <f>'AARnetCBR-CamDTN1_tcpmon_ts_41'!D476+'AARnetCBR-CamDTN1_tcpmon_ts_42'!D476+'AARnetCBR-CamDTN1_tcpmon_ts_43'!D476+'AARnetCBR-CamDTN1_tcpmon_ts_44'!D476</f>
        <v>0</v>
      </c>
      <c r="P476">
        <f>'AARnetCBR-CamDTN1_tcpmon_ts_51'!D476+'AARnetCBR-CamDTN1_tcpmon_ts_52'!D476+'AARnetCBR-CamDTN1_tcpmon_ts_53'!D476+'AARnetCBR-CamDTN1_tcpmon_ts_54'!D476+'AARnetCBR-CamDTN1_tcpmon_ts_55'!D476</f>
        <v>0</v>
      </c>
    </row>
    <row r="477" spans="1:16">
      <c r="A477">
        <f>'AARnetCBR-CamDTN1_tcpmon_ts_11'!A491</f>
        <v>0</v>
      </c>
      <c r="C477">
        <f>'AARnetCBR-CamDTN1_tcpmon_ts_11'!C491</f>
        <v>0</v>
      </c>
      <c r="D477">
        <f>'AARnetCBR-CamDTN1_tcpmon_ts_21'!C491+'AARnetCBR-CamDTN1_tcpmon_ts_22'!C491</f>
        <v>0</v>
      </c>
      <c r="E477">
        <f>'AARnetCBR-CamDTN1_tcpmon_ts_31'!C491+'AARnetCBR-CamDTN1_tcpmon_ts_32'!C491+'AARnetCBR-CamDTN1_tcpmon_ts_33'!C491</f>
        <v>0</v>
      </c>
      <c r="F477">
        <f>'AARnetCBR-CamDTN1_tcpmon_ts_41'!C491+'AARnetCBR-CamDTN1_tcpmon_ts_42'!C491+'AARnetCBR-CamDTN1_tcpmon_ts_43'!C491+'AARnetCBR-CamDTN1_tcpmon_ts_44'!C491</f>
        <v>0</v>
      </c>
      <c r="L477">
        <f>'AARnetCBR-CamDTN1_tcpmon_ts_11'!D477</f>
        <v>0</v>
      </c>
      <c r="M477">
        <f>'AARnetCBR-CamDTN1_tcpmon_ts_21'!D477+'AARnetCBR-CamDTN1_tcpmon_ts_22'!D477</f>
        <v>0</v>
      </c>
      <c r="N477">
        <f>'AARnetCBR-CamDTN1_tcpmon_ts_31'!D477+'AARnetCBR-CamDTN1_tcpmon_ts_32'!D477+'AARnetCBR-CamDTN1_tcpmon_ts_33'!D477</f>
        <v>0</v>
      </c>
      <c r="O477">
        <f>'AARnetCBR-CamDTN1_tcpmon_ts_41'!D477+'AARnetCBR-CamDTN1_tcpmon_ts_42'!D477+'AARnetCBR-CamDTN1_tcpmon_ts_43'!D477+'AARnetCBR-CamDTN1_tcpmon_ts_44'!D477</f>
        <v>0</v>
      </c>
      <c r="P477">
        <f>'AARnetCBR-CamDTN1_tcpmon_ts_51'!D477+'AARnetCBR-CamDTN1_tcpmon_ts_52'!D477+'AARnetCBR-CamDTN1_tcpmon_ts_53'!D477+'AARnetCBR-CamDTN1_tcpmon_ts_54'!D477+'AARnetCBR-CamDTN1_tcpmon_ts_55'!D477</f>
        <v>0</v>
      </c>
    </row>
    <row r="478" spans="1:16">
      <c r="A478">
        <f>'AARnetCBR-CamDTN1_tcpmon_ts_11'!A492</f>
        <v>0</v>
      </c>
      <c r="C478">
        <f>'AARnetCBR-CamDTN1_tcpmon_ts_11'!C492</f>
        <v>0</v>
      </c>
      <c r="D478">
        <f>'AARnetCBR-CamDTN1_tcpmon_ts_21'!C492+'AARnetCBR-CamDTN1_tcpmon_ts_22'!C492</f>
        <v>0</v>
      </c>
      <c r="E478">
        <f>'AARnetCBR-CamDTN1_tcpmon_ts_31'!C492+'AARnetCBR-CamDTN1_tcpmon_ts_32'!C492+'AARnetCBR-CamDTN1_tcpmon_ts_33'!C492</f>
        <v>0</v>
      </c>
      <c r="F478">
        <f>'AARnetCBR-CamDTN1_tcpmon_ts_41'!C492+'AARnetCBR-CamDTN1_tcpmon_ts_42'!C492+'AARnetCBR-CamDTN1_tcpmon_ts_43'!C492+'AARnetCBR-CamDTN1_tcpmon_ts_44'!C492</f>
        <v>0</v>
      </c>
      <c r="L478">
        <f>'AARnetCBR-CamDTN1_tcpmon_ts_11'!D478</f>
        <v>0</v>
      </c>
      <c r="M478">
        <f>'AARnetCBR-CamDTN1_tcpmon_ts_21'!D478+'AARnetCBR-CamDTN1_tcpmon_ts_22'!D478</f>
        <v>0</v>
      </c>
      <c r="N478">
        <f>'AARnetCBR-CamDTN1_tcpmon_ts_31'!D478+'AARnetCBR-CamDTN1_tcpmon_ts_32'!D478+'AARnetCBR-CamDTN1_tcpmon_ts_33'!D478</f>
        <v>0</v>
      </c>
      <c r="O478">
        <f>'AARnetCBR-CamDTN1_tcpmon_ts_41'!D478+'AARnetCBR-CamDTN1_tcpmon_ts_42'!D478+'AARnetCBR-CamDTN1_tcpmon_ts_43'!D478+'AARnetCBR-CamDTN1_tcpmon_ts_44'!D478</f>
        <v>0</v>
      </c>
      <c r="P478">
        <f>'AARnetCBR-CamDTN1_tcpmon_ts_51'!D478+'AARnetCBR-CamDTN1_tcpmon_ts_52'!D478+'AARnetCBR-CamDTN1_tcpmon_ts_53'!D478+'AARnetCBR-CamDTN1_tcpmon_ts_54'!D478+'AARnetCBR-CamDTN1_tcpmon_ts_55'!D478</f>
        <v>0</v>
      </c>
    </row>
    <row r="479" spans="1:16">
      <c r="A479">
        <f>'AARnetCBR-CamDTN1_tcpmon_ts_11'!A493</f>
        <v>0</v>
      </c>
      <c r="C479">
        <f>'AARnetCBR-CamDTN1_tcpmon_ts_11'!C493</f>
        <v>0</v>
      </c>
      <c r="D479">
        <f>'AARnetCBR-CamDTN1_tcpmon_ts_21'!C493+'AARnetCBR-CamDTN1_tcpmon_ts_22'!C493</f>
        <v>0</v>
      </c>
      <c r="E479">
        <f>'AARnetCBR-CamDTN1_tcpmon_ts_31'!C493+'AARnetCBR-CamDTN1_tcpmon_ts_32'!C493+'AARnetCBR-CamDTN1_tcpmon_ts_33'!C493</f>
        <v>0</v>
      </c>
      <c r="F479">
        <f>'AARnetCBR-CamDTN1_tcpmon_ts_41'!C493+'AARnetCBR-CamDTN1_tcpmon_ts_42'!C493+'AARnetCBR-CamDTN1_tcpmon_ts_43'!C493+'AARnetCBR-CamDTN1_tcpmon_ts_44'!C493</f>
        <v>0</v>
      </c>
      <c r="L479">
        <f>'AARnetCBR-CamDTN1_tcpmon_ts_11'!D479</f>
        <v>0</v>
      </c>
      <c r="M479">
        <f>'AARnetCBR-CamDTN1_tcpmon_ts_21'!D479+'AARnetCBR-CamDTN1_tcpmon_ts_22'!D479</f>
        <v>0</v>
      </c>
      <c r="N479">
        <f>'AARnetCBR-CamDTN1_tcpmon_ts_31'!D479+'AARnetCBR-CamDTN1_tcpmon_ts_32'!D479+'AARnetCBR-CamDTN1_tcpmon_ts_33'!D479</f>
        <v>0</v>
      </c>
      <c r="O479">
        <f>'AARnetCBR-CamDTN1_tcpmon_ts_41'!D479+'AARnetCBR-CamDTN1_tcpmon_ts_42'!D479+'AARnetCBR-CamDTN1_tcpmon_ts_43'!D479+'AARnetCBR-CamDTN1_tcpmon_ts_44'!D479</f>
        <v>0</v>
      </c>
      <c r="P479">
        <f>'AARnetCBR-CamDTN1_tcpmon_ts_51'!D479+'AARnetCBR-CamDTN1_tcpmon_ts_52'!D479+'AARnetCBR-CamDTN1_tcpmon_ts_53'!D479+'AARnetCBR-CamDTN1_tcpmon_ts_54'!D479+'AARnetCBR-CamDTN1_tcpmon_ts_55'!D479</f>
        <v>0</v>
      </c>
    </row>
    <row r="480" spans="1:16">
      <c r="A480">
        <f>'AARnetCBR-CamDTN1_tcpmon_ts_11'!A494</f>
        <v>0</v>
      </c>
      <c r="C480">
        <f>'AARnetCBR-CamDTN1_tcpmon_ts_11'!C494</f>
        <v>0</v>
      </c>
      <c r="D480">
        <f>'AARnetCBR-CamDTN1_tcpmon_ts_21'!C494+'AARnetCBR-CamDTN1_tcpmon_ts_22'!C494</f>
        <v>0</v>
      </c>
      <c r="E480">
        <f>'AARnetCBR-CamDTN1_tcpmon_ts_31'!C494+'AARnetCBR-CamDTN1_tcpmon_ts_32'!C494+'AARnetCBR-CamDTN1_tcpmon_ts_33'!C494</f>
        <v>0</v>
      </c>
      <c r="F480">
        <f>'AARnetCBR-CamDTN1_tcpmon_ts_41'!C494+'AARnetCBR-CamDTN1_tcpmon_ts_42'!C494+'AARnetCBR-CamDTN1_tcpmon_ts_43'!C494+'AARnetCBR-CamDTN1_tcpmon_ts_44'!C494</f>
        <v>0</v>
      </c>
      <c r="L480">
        <f>'AARnetCBR-CamDTN1_tcpmon_ts_11'!D480</f>
        <v>0</v>
      </c>
      <c r="M480">
        <f>'AARnetCBR-CamDTN1_tcpmon_ts_21'!D480+'AARnetCBR-CamDTN1_tcpmon_ts_22'!D480</f>
        <v>0</v>
      </c>
      <c r="N480">
        <f>'AARnetCBR-CamDTN1_tcpmon_ts_31'!D480+'AARnetCBR-CamDTN1_tcpmon_ts_32'!D480+'AARnetCBR-CamDTN1_tcpmon_ts_33'!D480</f>
        <v>0</v>
      </c>
      <c r="O480">
        <f>'AARnetCBR-CamDTN1_tcpmon_ts_41'!D480+'AARnetCBR-CamDTN1_tcpmon_ts_42'!D480+'AARnetCBR-CamDTN1_tcpmon_ts_43'!D480+'AARnetCBR-CamDTN1_tcpmon_ts_44'!D480</f>
        <v>0</v>
      </c>
      <c r="P480">
        <f>'AARnetCBR-CamDTN1_tcpmon_ts_51'!D480+'AARnetCBR-CamDTN1_tcpmon_ts_52'!D480+'AARnetCBR-CamDTN1_tcpmon_ts_53'!D480+'AARnetCBR-CamDTN1_tcpmon_ts_54'!D480+'AARnetCBR-CamDTN1_tcpmon_ts_55'!D480</f>
        <v>0</v>
      </c>
    </row>
    <row r="481" spans="1:16">
      <c r="A481">
        <f>'AARnetCBR-CamDTN1_tcpmon_ts_11'!A495</f>
        <v>0</v>
      </c>
      <c r="C481">
        <f>'AARnetCBR-CamDTN1_tcpmon_ts_11'!C495</f>
        <v>0</v>
      </c>
      <c r="D481">
        <f>'AARnetCBR-CamDTN1_tcpmon_ts_21'!C495+'AARnetCBR-CamDTN1_tcpmon_ts_22'!C495</f>
        <v>0</v>
      </c>
      <c r="E481">
        <f>'AARnetCBR-CamDTN1_tcpmon_ts_31'!C495+'AARnetCBR-CamDTN1_tcpmon_ts_32'!C495+'AARnetCBR-CamDTN1_tcpmon_ts_33'!C495</f>
        <v>0</v>
      </c>
      <c r="F481">
        <f>'AARnetCBR-CamDTN1_tcpmon_ts_41'!C495+'AARnetCBR-CamDTN1_tcpmon_ts_42'!C495+'AARnetCBR-CamDTN1_tcpmon_ts_43'!C495+'AARnetCBR-CamDTN1_tcpmon_ts_44'!C495</f>
        <v>0</v>
      </c>
      <c r="L481">
        <f>'AARnetCBR-CamDTN1_tcpmon_ts_11'!D481</f>
        <v>0</v>
      </c>
      <c r="M481">
        <f>'AARnetCBR-CamDTN1_tcpmon_ts_21'!D481+'AARnetCBR-CamDTN1_tcpmon_ts_22'!D481</f>
        <v>0</v>
      </c>
      <c r="N481">
        <f>'AARnetCBR-CamDTN1_tcpmon_ts_31'!D481+'AARnetCBR-CamDTN1_tcpmon_ts_32'!D481+'AARnetCBR-CamDTN1_tcpmon_ts_33'!D481</f>
        <v>0</v>
      </c>
      <c r="O481">
        <f>'AARnetCBR-CamDTN1_tcpmon_ts_41'!D481+'AARnetCBR-CamDTN1_tcpmon_ts_42'!D481+'AARnetCBR-CamDTN1_tcpmon_ts_43'!D481+'AARnetCBR-CamDTN1_tcpmon_ts_44'!D481</f>
        <v>0</v>
      </c>
      <c r="P481">
        <f>'AARnetCBR-CamDTN1_tcpmon_ts_51'!D481+'AARnetCBR-CamDTN1_tcpmon_ts_52'!D481+'AARnetCBR-CamDTN1_tcpmon_ts_53'!D481+'AARnetCBR-CamDTN1_tcpmon_ts_54'!D481+'AARnetCBR-CamDTN1_tcpmon_ts_55'!D481</f>
        <v>0</v>
      </c>
    </row>
    <row r="482" spans="1:16">
      <c r="A482">
        <f>'AARnetCBR-CamDTN1_tcpmon_ts_11'!A496</f>
        <v>0</v>
      </c>
      <c r="C482">
        <f>'AARnetCBR-CamDTN1_tcpmon_ts_11'!C496</f>
        <v>0</v>
      </c>
      <c r="D482">
        <f>'AARnetCBR-CamDTN1_tcpmon_ts_21'!C496+'AARnetCBR-CamDTN1_tcpmon_ts_22'!C496</f>
        <v>0</v>
      </c>
      <c r="E482">
        <f>'AARnetCBR-CamDTN1_tcpmon_ts_31'!C496+'AARnetCBR-CamDTN1_tcpmon_ts_32'!C496+'AARnetCBR-CamDTN1_tcpmon_ts_33'!C496</f>
        <v>0</v>
      </c>
      <c r="F482">
        <f>'AARnetCBR-CamDTN1_tcpmon_ts_41'!C496+'AARnetCBR-CamDTN1_tcpmon_ts_42'!C496+'AARnetCBR-CamDTN1_tcpmon_ts_43'!C496+'AARnetCBR-CamDTN1_tcpmon_ts_44'!C496</f>
        <v>0</v>
      </c>
      <c r="L482">
        <f>'AARnetCBR-CamDTN1_tcpmon_ts_11'!D482</f>
        <v>0</v>
      </c>
      <c r="M482">
        <f>'AARnetCBR-CamDTN1_tcpmon_ts_21'!D482+'AARnetCBR-CamDTN1_tcpmon_ts_22'!D482</f>
        <v>0</v>
      </c>
      <c r="N482">
        <f>'AARnetCBR-CamDTN1_tcpmon_ts_31'!D482+'AARnetCBR-CamDTN1_tcpmon_ts_32'!D482+'AARnetCBR-CamDTN1_tcpmon_ts_33'!D482</f>
        <v>0</v>
      </c>
      <c r="O482">
        <f>'AARnetCBR-CamDTN1_tcpmon_ts_41'!D482+'AARnetCBR-CamDTN1_tcpmon_ts_42'!D482+'AARnetCBR-CamDTN1_tcpmon_ts_43'!D482+'AARnetCBR-CamDTN1_tcpmon_ts_44'!D482</f>
        <v>0</v>
      </c>
      <c r="P482">
        <f>'AARnetCBR-CamDTN1_tcpmon_ts_51'!D482+'AARnetCBR-CamDTN1_tcpmon_ts_52'!D482+'AARnetCBR-CamDTN1_tcpmon_ts_53'!D482+'AARnetCBR-CamDTN1_tcpmon_ts_54'!D482+'AARnetCBR-CamDTN1_tcpmon_ts_55'!D482</f>
        <v>0</v>
      </c>
    </row>
    <row r="483" spans="1:16">
      <c r="A483">
        <f>'AARnetCBR-CamDTN1_tcpmon_ts_11'!A497</f>
        <v>0</v>
      </c>
      <c r="C483">
        <f>'AARnetCBR-CamDTN1_tcpmon_ts_11'!C497</f>
        <v>0</v>
      </c>
      <c r="D483">
        <f>'AARnetCBR-CamDTN1_tcpmon_ts_21'!C497+'AARnetCBR-CamDTN1_tcpmon_ts_22'!C497</f>
        <v>0</v>
      </c>
      <c r="E483">
        <f>'AARnetCBR-CamDTN1_tcpmon_ts_31'!C497+'AARnetCBR-CamDTN1_tcpmon_ts_32'!C497+'AARnetCBR-CamDTN1_tcpmon_ts_33'!C497</f>
        <v>0</v>
      </c>
      <c r="F483">
        <f>'AARnetCBR-CamDTN1_tcpmon_ts_41'!C497+'AARnetCBR-CamDTN1_tcpmon_ts_42'!C497+'AARnetCBR-CamDTN1_tcpmon_ts_43'!C497+'AARnetCBR-CamDTN1_tcpmon_ts_44'!C497</f>
        <v>0</v>
      </c>
      <c r="L483">
        <f>'AARnetCBR-CamDTN1_tcpmon_ts_11'!D483</f>
        <v>0</v>
      </c>
      <c r="M483">
        <f>'AARnetCBR-CamDTN1_tcpmon_ts_21'!D483+'AARnetCBR-CamDTN1_tcpmon_ts_22'!D483</f>
        <v>0</v>
      </c>
      <c r="N483">
        <f>'AARnetCBR-CamDTN1_tcpmon_ts_31'!D483+'AARnetCBR-CamDTN1_tcpmon_ts_32'!D483+'AARnetCBR-CamDTN1_tcpmon_ts_33'!D483</f>
        <v>0</v>
      </c>
      <c r="O483">
        <f>'AARnetCBR-CamDTN1_tcpmon_ts_41'!D483+'AARnetCBR-CamDTN1_tcpmon_ts_42'!D483+'AARnetCBR-CamDTN1_tcpmon_ts_43'!D483+'AARnetCBR-CamDTN1_tcpmon_ts_44'!D483</f>
        <v>0</v>
      </c>
      <c r="P483">
        <f>'AARnetCBR-CamDTN1_tcpmon_ts_51'!D483+'AARnetCBR-CamDTN1_tcpmon_ts_52'!D483+'AARnetCBR-CamDTN1_tcpmon_ts_53'!D483+'AARnetCBR-CamDTN1_tcpmon_ts_54'!D483+'AARnetCBR-CamDTN1_tcpmon_ts_55'!D483</f>
        <v>0</v>
      </c>
    </row>
    <row r="484" spans="1:16">
      <c r="A484">
        <f>'AARnetCBR-CamDTN1_tcpmon_ts_11'!A498</f>
        <v>0</v>
      </c>
      <c r="C484">
        <f>'AARnetCBR-CamDTN1_tcpmon_ts_11'!C498</f>
        <v>0</v>
      </c>
      <c r="D484">
        <f>'AARnetCBR-CamDTN1_tcpmon_ts_21'!C498+'AARnetCBR-CamDTN1_tcpmon_ts_22'!C498</f>
        <v>0</v>
      </c>
      <c r="E484">
        <f>'AARnetCBR-CamDTN1_tcpmon_ts_31'!C498+'AARnetCBR-CamDTN1_tcpmon_ts_32'!C498+'AARnetCBR-CamDTN1_tcpmon_ts_33'!C498</f>
        <v>0</v>
      </c>
      <c r="F484">
        <f>'AARnetCBR-CamDTN1_tcpmon_ts_41'!C498+'AARnetCBR-CamDTN1_tcpmon_ts_42'!C498+'AARnetCBR-CamDTN1_tcpmon_ts_43'!C498+'AARnetCBR-CamDTN1_tcpmon_ts_44'!C498</f>
        <v>0</v>
      </c>
      <c r="L484">
        <f>'AARnetCBR-CamDTN1_tcpmon_ts_11'!D484</f>
        <v>0</v>
      </c>
      <c r="M484">
        <f>'AARnetCBR-CamDTN1_tcpmon_ts_21'!D484+'AARnetCBR-CamDTN1_tcpmon_ts_22'!D484</f>
        <v>0</v>
      </c>
      <c r="N484">
        <f>'AARnetCBR-CamDTN1_tcpmon_ts_31'!D484+'AARnetCBR-CamDTN1_tcpmon_ts_32'!D484+'AARnetCBR-CamDTN1_tcpmon_ts_33'!D484</f>
        <v>0</v>
      </c>
      <c r="O484">
        <f>'AARnetCBR-CamDTN1_tcpmon_ts_41'!D484+'AARnetCBR-CamDTN1_tcpmon_ts_42'!D484+'AARnetCBR-CamDTN1_tcpmon_ts_43'!D484+'AARnetCBR-CamDTN1_tcpmon_ts_44'!D484</f>
        <v>0</v>
      </c>
      <c r="P484">
        <f>'AARnetCBR-CamDTN1_tcpmon_ts_51'!D484+'AARnetCBR-CamDTN1_tcpmon_ts_52'!D484+'AARnetCBR-CamDTN1_tcpmon_ts_53'!D484+'AARnetCBR-CamDTN1_tcpmon_ts_54'!D484+'AARnetCBR-CamDTN1_tcpmon_ts_55'!D484</f>
        <v>0</v>
      </c>
    </row>
    <row r="485" spans="1:16">
      <c r="A485">
        <f>'AARnetCBR-CamDTN1_tcpmon_ts_11'!A499</f>
        <v>0</v>
      </c>
      <c r="C485">
        <f>'AARnetCBR-CamDTN1_tcpmon_ts_11'!C499</f>
        <v>0</v>
      </c>
      <c r="D485">
        <f>'AARnetCBR-CamDTN1_tcpmon_ts_21'!C499+'AARnetCBR-CamDTN1_tcpmon_ts_22'!C499</f>
        <v>0</v>
      </c>
      <c r="E485">
        <f>'AARnetCBR-CamDTN1_tcpmon_ts_31'!C499+'AARnetCBR-CamDTN1_tcpmon_ts_32'!C499+'AARnetCBR-CamDTN1_tcpmon_ts_33'!C499</f>
        <v>0</v>
      </c>
      <c r="F485">
        <f>'AARnetCBR-CamDTN1_tcpmon_ts_41'!C499+'AARnetCBR-CamDTN1_tcpmon_ts_42'!C499+'AARnetCBR-CamDTN1_tcpmon_ts_43'!C499+'AARnetCBR-CamDTN1_tcpmon_ts_44'!C499</f>
        <v>0</v>
      </c>
      <c r="L485">
        <f>'AARnetCBR-CamDTN1_tcpmon_ts_11'!D485</f>
        <v>0</v>
      </c>
      <c r="M485">
        <f>'AARnetCBR-CamDTN1_tcpmon_ts_21'!D485+'AARnetCBR-CamDTN1_tcpmon_ts_22'!D485</f>
        <v>0</v>
      </c>
      <c r="N485">
        <f>'AARnetCBR-CamDTN1_tcpmon_ts_31'!D485+'AARnetCBR-CamDTN1_tcpmon_ts_32'!D485+'AARnetCBR-CamDTN1_tcpmon_ts_33'!D485</f>
        <v>0</v>
      </c>
      <c r="O485">
        <f>'AARnetCBR-CamDTN1_tcpmon_ts_41'!D485+'AARnetCBR-CamDTN1_tcpmon_ts_42'!D485+'AARnetCBR-CamDTN1_tcpmon_ts_43'!D485+'AARnetCBR-CamDTN1_tcpmon_ts_44'!D485</f>
        <v>0</v>
      </c>
      <c r="P485">
        <f>'AARnetCBR-CamDTN1_tcpmon_ts_51'!D485+'AARnetCBR-CamDTN1_tcpmon_ts_52'!D485+'AARnetCBR-CamDTN1_tcpmon_ts_53'!D485+'AARnetCBR-CamDTN1_tcpmon_ts_54'!D485+'AARnetCBR-CamDTN1_tcpmon_ts_55'!D485</f>
        <v>0</v>
      </c>
    </row>
    <row r="486" spans="1:16">
      <c r="A486">
        <f>'AARnetCBR-CamDTN1_tcpmon_ts_11'!A500</f>
        <v>0</v>
      </c>
      <c r="C486">
        <f>'AARnetCBR-CamDTN1_tcpmon_ts_11'!C500</f>
        <v>0</v>
      </c>
      <c r="D486">
        <f>'AARnetCBR-CamDTN1_tcpmon_ts_21'!C500+'AARnetCBR-CamDTN1_tcpmon_ts_22'!C500</f>
        <v>0</v>
      </c>
      <c r="E486">
        <f>'AARnetCBR-CamDTN1_tcpmon_ts_31'!C500+'AARnetCBR-CamDTN1_tcpmon_ts_32'!C500+'AARnetCBR-CamDTN1_tcpmon_ts_33'!C500</f>
        <v>0</v>
      </c>
      <c r="F486">
        <f>'AARnetCBR-CamDTN1_tcpmon_ts_41'!C500+'AARnetCBR-CamDTN1_tcpmon_ts_42'!C500+'AARnetCBR-CamDTN1_tcpmon_ts_43'!C500+'AARnetCBR-CamDTN1_tcpmon_ts_44'!C500</f>
        <v>0</v>
      </c>
      <c r="L486">
        <f>'AARnetCBR-CamDTN1_tcpmon_ts_11'!D486</f>
        <v>0</v>
      </c>
      <c r="M486">
        <f>'AARnetCBR-CamDTN1_tcpmon_ts_21'!D486+'AARnetCBR-CamDTN1_tcpmon_ts_22'!D486</f>
        <v>0</v>
      </c>
      <c r="N486">
        <f>'AARnetCBR-CamDTN1_tcpmon_ts_31'!D486+'AARnetCBR-CamDTN1_tcpmon_ts_32'!D486+'AARnetCBR-CamDTN1_tcpmon_ts_33'!D486</f>
        <v>0</v>
      </c>
      <c r="O486">
        <f>'AARnetCBR-CamDTN1_tcpmon_ts_41'!D486+'AARnetCBR-CamDTN1_tcpmon_ts_42'!D486+'AARnetCBR-CamDTN1_tcpmon_ts_43'!D486+'AARnetCBR-CamDTN1_tcpmon_ts_44'!D486</f>
        <v>0</v>
      </c>
      <c r="P486">
        <f>'AARnetCBR-CamDTN1_tcpmon_ts_51'!D486+'AARnetCBR-CamDTN1_tcpmon_ts_52'!D486+'AARnetCBR-CamDTN1_tcpmon_ts_53'!D486+'AARnetCBR-CamDTN1_tcpmon_ts_54'!D486+'AARnetCBR-CamDTN1_tcpmon_ts_55'!D486</f>
        <v>0</v>
      </c>
    </row>
    <row r="487" spans="1:16">
      <c r="A487">
        <f>'AARnetCBR-CamDTN1_tcpmon_ts_11'!A501</f>
        <v>0</v>
      </c>
      <c r="C487">
        <f>'AARnetCBR-CamDTN1_tcpmon_ts_11'!C501</f>
        <v>0</v>
      </c>
      <c r="D487">
        <f>'AARnetCBR-CamDTN1_tcpmon_ts_21'!C501+'AARnetCBR-CamDTN1_tcpmon_ts_22'!C501</f>
        <v>0</v>
      </c>
      <c r="E487">
        <f>'AARnetCBR-CamDTN1_tcpmon_ts_31'!C501+'AARnetCBR-CamDTN1_tcpmon_ts_32'!C501+'AARnetCBR-CamDTN1_tcpmon_ts_33'!C501</f>
        <v>0</v>
      </c>
      <c r="F487">
        <f>'AARnetCBR-CamDTN1_tcpmon_ts_41'!C501+'AARnetCBR-CamDTN1_tcpmon_ts_42'!C501+'AARnetCBR-CamDTN1_tcpmon_ts_43'!C501+'AARnetCBR-CamDTN1_tcpmon_ts_44'!C501</f>
        <v>0</v>
      </c>
      <c r="L487">
        <f>'AARnetCBR-CamDTN1_tcpmon_ts_11'!D487</f>
        <v>0</v>
      </c>
      <c r="M487">
        <f>'AARnetCBR-CamDTN1_tcpmon_ts_21'!D487+'AARnetCBR-CamDTN1_tcpmon_ts_22'!D487</f>
        <v>0</v>
      </c>
      <c r="N487">
        <f>'AARnetCBR-CamDTN1_tcpmon_ts_31'!D487+'AARnetCBR-CamDTN1_tcpmon_ts_32'!D487+'AARnetCBR-CamDTN1_tcpmon_ts_33'!D487</f>
        <v>0</v>
      </c>
      <c r="O487">
        <f>'AARnetCBR-CamDTN1_tcpmon_ts_41'!D487+'AARnetCBR-CamDTN1_tcpmon_ts_42'!D487+'AARnetCBR-CamDTN1_tcpmon_ts_43'!D487+'AARnetCBR-CamDTN1_tcpmon_ts_44'!D487</f>
        <v>0</v>
      </c>
      <c r="P487">
        <f>'AARnetCBR-CamDTN1_tcpmon_ts_51'!D487+'AARnetCBR-CamDTN1_tcpmon_ts_52'!D487+'AARnetCBR-CamDTN1_tcpmon_ts_53'!D487+'AARnetCBR-CamDTN1_tcpmon_ts_54'!D487+'AARnetCBR-CamDTN1_tcpmon_ts_55'!D487</f>
        <v>0</v>
      </c>
    </row>
    <row r="488" spans="1:16">
      <c r="A488">
        <f>'AARnetCBR-CamDTN1_tcpmon_ts_11'!A502</f>
        <v>0</v>
      </c>
      <c r="C488">
        <f>'AARnetCBR-CamDTN1_tcpmon_ts_11'!C502</f>
        <v>0</v>
      </c>
      <c r="D488">
        <f>'AARnetCBR-CamDTN1_tcpmon_ts_21'!C502+'AARnetCBR-CamDTN1_tcpmon_ts_22'!C502</f>
        <v>0</v>
      </c>
      <c r="E488">
        <f>'AARnetCBR-CamDTN1_tcpmon_ts_31'!C502+'AARnetCBR-CamDTN1_tcpmon_ts_32'!C502+'AARnetCBR-CamDTN1_tcpmon_ts_33'!C502</f>
        <v>0</v>
      </c>
      <c r="F488">
        <f>'AARnetCBR-CamDTN1_tcpmon_ts_41'!C502+'AARnetCBR-CamDTN1_tcpmon_ts_42'!C502+'AARnetCBR-CamDTN1_tcpmon_ts_43'!C502+'AARnetCBR-CamDTN1_tcpmon_ts_44'!C502</f>
        <v>0</v>
      </c>
      <c r="L488">
        <f>'AARnetCBR-CamDTN1_tcpmon_ts_11'!D488</f>
        <v>0</v>
      </c>
      <c r="M488">
        <f>'AARnetCBR-CamDTN1_tcpmon_ts_21'!D488+'AARnetCBR-CamDTN1_tcpmon_ts_22'!D488</f>
        <v>0</v>
      </c>
      <c r="N488">
        <f>'AARnetCBR-CamDTN1_tcpmon_ts_31'!D488+'AARnetCBR-CamDTN1_tcpmon_ts_32'!D488+'AARnetCBR-CamDTN1_tcpmon_ts_33'!D488</f>
        <v>0</v>
      </c>
      <c r="O488">
        <f>'AARnetCBR-CamDTN1_tcpmon_ts_41'!D488+'AARnetCBR-CamDTN1_tcpmon_ts_42'!D488+'AARnetCBR-CamDTN1_tcpmon_ts_43'!D488+'AARnetCBR-CamDTN1_tcpmon_ts_44'!D488</f>
        <v>0</v>
      </c>
      <c r="P488">
        <f>'AARnetCBR-CamDTN1_tcpmon_ts_51'!D488+'AARnetCBR-CamDTN1_tcpmon_ts_52'!D488+'AARnetCBR-CamDTN1_tcpmon_ts_53'!D488+'AARnetCBR-CamDTN1_tcpmon_ts_54'!D488+'AARnetCBR-CamDTN1_tcpmon_ts_55'!D488</f>
        <v>0</v>
      </c>
    </row>
    <row r="489" spans="1:16">
      <c r="A489">
        <f>'AARnetCBR-CamDTN1_tcpmon_ts_11'!A503</f>
        <v>0</v>
      </c>
      <c r="C489">
        <f>'AARnetCBR-CamDTN1_tcpmon_ts_11'!C503</f>
        <v>0</v>
      </c>
      <c r="D489">
        <f>'AARnetCBR-CamDTN1_tcpmon_ts_21'!C503+'AARnetCBR-CamDTN1_tcpmon_ts_22'!C503</f>
        <v>0</v>
      </c>
      <c r="E489">
        <f>'AARnetCBR-CamDTN1_tcpmon_ts_31'!C503+'AARnetCBR-CamDTN1_tcpmon_ts_32'!C503+'AARnetCBR-CamDTN1_tcpmon_ts_33'!C503</f>
        <v>0</v>
      </c>
      <c r="F489">
        <f>'AARnetCBR-CamDTN1_tcpmon_ts_41'!C503+'AARnetCBR-CamDTN1_tcpmon_ts_42'!C503+'AARnetCBR-CamDTN1_tcpmon_ts_43'!C503+'AARnetCBR-CamDTN1_tcpmon_ts_44'!C503</f>
        <v>0</v>
      </c>
      <c r="L489">
        <f>'AARnetCBR-CamDTN1_tcpmon_ts_11'!D489</f>
        <v>0</v>
      </c>
      <c r="M489">
        <f>'AARnetCBR-CamDTN1_tcpmon_ts_21'!D489+'AARnetCBR-CamDTN1_tcpmon_ts_22'!D489</f>
        <v>0</v>
      </c>
      <c r="N489">
        <f>'AARnetCBR-CamDTN1_tcpmon_ts_31'!D489+'AARnetCBR-CamDTN1_tcpmon_ts_32'!D489+'AARnetCBR-CamDTN1_tcpmon_ts_33'!D489</f>
        <v>0</v>
      </c>
      <c r="O489">
        <f>'AARnetCBR-CamDTN1_tcpmon_ts_41'!D489+'AARnetCBR-CamDTN1_tcpmon_ts_42'!D489+'AARnetCBR-CamDTN1_tcpmon_ts_43'!D489+'AARnetCBR-CamDTN1_tcpmon_ts_44'!D489</f>
        <v>0</v>
      </c>
      <c r="P489">
        <f>'AARnetCBR-CamDTN1_tcpmon_ts_51'!D489+'AARnetCBR-CamDTN1_tcpmon_ts_52'!D489+'AARnetCBR-CamDTN1_tcpmon_ts_53'!D489+'AARnetCBR-CamDTN1_tcpmon_ts_54'!D489+'AARnetCBR-CamDTN1_tcpmon_ts_55'!D489</f>
        <v>0</v>
      </c>
    </row>
    <row r="490" spans="1:16">
      <c r="A490">
        <f>'AARnetCBR-CamDTN1_tcpmon_ts_11'!A504</f>
        <v>0</v>
      </c>
      <c r="C490">
        <f>'AARnetCBR-CamDTN1_tcpmon_ts_11'!C504</f>
        <v>0</v>
      </c>
      <c r="D490">
        <f>'AARnetCBR-CamDTN1_tcpmon_ts_21'!C504+'AARnetCBR-CamDTN1_tcpmon_ts_22'!C504</f>
        <v>0</v>
      </c>
      <c r="E490">
        <f>'AARnetCBR-CamDTN1_tcpmon_ts_31'!C504+'AARnetCBR-CamDTN1_tcpmon_ts_32'!C504+'AARnetCBR-CamDTN1_tcpmon_ts_33'!C504</f>
        <v>0</v>
      </c>
      <c r="F490">
        <f>'AARnetCBR-CamDTN1_tcpmon_ts_41'!C504+'AARnetCBR-CamDTN1_tcpmon_ts_42'!C504+'AARnetCBR-CamDTN1_tcpmon_ts_43'!C504+'AARnetCBR-CamDTN1_tcpmon_ts_44'!C504</f>
        <v>0</v>
      </c>
      <c r="L490">
        <f>'AARnetCBR-CamDTN1_tcpmon_ts_11'!D490</f>
        <v>0</v>
      </c>
      <c r="M490">
        <f>'AARnetCBR-CamDTN1_tcpmon_ts_21'!D490+'AARnetCBR-CamDTN1_tcpmon_ts_22'!D490</f>
        <v>0</v>
      </c>
      <c r="N490">
        <f>'AARnetCBR-CamDTN1_tcpmon_ts_31'!D490+'AARnetCBR-CamDTN1_tcpmon_ts_32'!D490+'AARnetCBR-CamDTN1_tcpmon_ts_33'!D490</f>
        <v>0</v>
      </c>
      <c r="O490">
        <f>'AARnetCBR-CamDTN1_tcpmon_ts_41'!D490+'AARnetCBR-CamDTN1_tcpmon_ts_42'!D490+'AARnetCBR-CamDTN1_tcpmon_ts_43'!D490+'AARnetCBR-CamDTN1_tcpmon_ts_44'!D490</f>
        <v>0</v>
      </c>
      <c r="P490">
        <f>'AARnetCBR-CamDTN1_tcpmon_ts_51'!D490+'AARnetCBR-CamDTN1_tcpmon_ts_52'!D490+'AARnetCBR-CamDTN1_tcpmon_ts_53'!D490+'AARnetCBR-CamDTN1_tcpmon_ts_54'!D490+'AARnetCBR-CamDTN1_tcpmon_ts_55'!D490</f>
        <v>0</v>
      </c>
    </row>
    <row r="491" spans="1:16">
      <c r="A491">
        <f>'AARnetCBR-CamDTN1_tcpmon_ts_11'!A505</f>
        <v>0</v>
      </c>
      <c r="C491">
        <f>'AARnetCBR-CamDTN1_tcpmon_ts_11'!C505</f>
        <v>0</v>
      </c>
      <c r="D491">
        <f>'AARnetCBR-CamDTN1_tcpmon_ts_21'!C505+'AARnetCBR-CamDTN1_tcpmon_ts_22'!C505</f>
        <v>0</v>
      </c>
      <c r="E491">
        <f>'AARnetCBR-CamDTN1_tcpmon_ts_31'!C505+'AARnetCBR-CamDTN1_tcpmon_ts_32'!C505+'AARnetCBR-CamDTN1_tcpmon_ts_33'!C505</f>
        <v>0</v>
      </c>
      <c r="F491">
        <f>'AARnetCBR-CamDTN1_tcpmon_ts_41'!C505+'AARnetCBR-CamDTN1_tcpmon_ts_42'!C505+'AARnetCBR-CamDTN1_tcpmon_ts_43'!C505+'AARnetCBR-CamDTN1_tcpmon_ts_44'!C505</f>
        <v>0</v>
      </c>
      <c r="L491">
        <f>'AARnetCBR-CamDTN1_tcpmon_ts_11'!D491</f>
        <v>0</v>
      </c>
      <c r="M491">
        <f>'AARnetCBR-CamDTN1_tcpmon_ts_21'!D491+'AARnetCBR-CamDTN1_tcpmon_ts_22'!D491</f>
        <v>0</v>
      </c>
      <c r="N491">
        <f>'AARnetCBR-CamDTN1_tcpmon_ts_31'!D491+'AARnetCBR-CamDTN1_tcpmon_ts_32'!D491+'AARnetCBR-CamDTN1_tcpmon_ts_33'!D491</f>
        <v>0</v>
      </c>
      <c r="O491">
        <f>'AARnetCBR-CamDTN1_tcpmon_ts_41'!D491+'AARnetCBR-CamDTN1_tcpmon_ts_42'!D491+'AARnetCBR-CamDTN1_tcpmon_ts_43'!D491+'AARnetCBR-CamDTN1_tcpmon_ts_44'!D491</f>
        <v>0</v>
      </c>
      <c r="P491">
        <f>'AARnetCBR-CamDTN1_tcpmon_ts_51'!D491+'AARnetCBR-CamDTN1_tcpmon_ts_52'!D491+'AARnetCBR-CamDTN1_tcpmon_ts_53'!D491+'AARnetCBR-CamDTN1_tcpmon_ts_54'!D491+'AARnetCBR-CamDTN1_tcpmon_ts_55'!D491</f>
        <v>0</v>
      </c>
    </row>
    <row r="492" spans="1:16">
      <c r="A492">
        <f>'AARnetCBR-CamDTN1_tcpmon_ts_11'!A506</f>
        <v>0</v>
      </c>
      <c r="C492">
        <f>'AARnetCBR-CamDTN1_tcpmon_ts_11'!C506</f>
        <v>0</v>
      </c>
      <c r="D492">
        <f>'AARnetCBR-CamDTN1_tcpmon_ts_21'!C506+'AARnetCBR-CamDTN1_tcpmon_ts_22'!C506</f>
        <v>0</v>
      </c>
      <c r="E492">
        <f>'AARnetCBR-CamDTN1_tcpmon_ts_31'!C506+'AARnetCBR-CamDTN1_tcpmon_ts_32'!C506+'AARnetCBR-CamDTN1_tcpmon_ts_33'!C506</f>
        <v>0</v>
      </c>
      <c r="F492">
        <f>'AARnetCBR-CamDTN1_tcpmon_ts_41'!C506+'AARnetCBR-CamDTN1_tcpmon_ts_42'!C506+'AARnetCBR-CamDTN1_tcpmon_ts_43'!C506+'AARnetCBR-CamDTN1_tcpmon_ts_44'!C506</f>
        <v>0</v>
      </c>
      <c r="L492">
        <f>'AARnetCBR-CamDTN1_tcpmon_ts_11'!D492</f>
        <v>0</v>
      </c>
      <c r="M492">
        <f>'AARnetCBR-CamDTN1_tcpmon_ts_21'!D492+'AARnetCBR-CamDTN1_tcpmon_ts_22'!D492</f>
        <v>0</v>
      </c>
      <c r="N492">
        <f>'AARnetCBR-CamDTN1_tcpmon_ts_31'!D492+'AARnetCBR-CamDTN1_tcpmon_ts_32'!D492+'AARnetCBR-CamDTN1_tcpmon_ts_33'!D492</f>
        <v>0</v>
      </c>
      <c r="O492">
        <f>'AARnetCBR-CamDTN1_tcpmon_ts_41'!D492+'AARnetCBR-CamDTN1_tcpmon_ts_42'!D492+'AARnetCBR-CamDTN1_tcpmon_ts_43'!D492+'AARnetCBR-CamDTN1_tcpmon_ts_44'!D492</f>
        <v>0</v>
      </c>
      <c r="P492">
        <f>'AARnetCBR-CamDTN1_tcpmon_ts_51'!D492+'AARnetCBR-CamDTN1_tcpmon_ts_52'!D492+'AARnetCBR-CamDTN1_tcpmon_ts_53'!D492+'AARnetCBR-CamDTN1_tcpmon_ts_54'!D492+'AARnetCBR-CamDTN1_tcpmon_ts_55'!D492</f>
        <v>0</v>
      </c>
    </row>
    <row r="493" spans="1:16">
      <c r="A493">
        <f>'AARnetCBR-CamDTN1_tcpmon_ts_11'!A507</f>
        <v>0</v>
      </c>
      <c r="C493">
        <f>'AARnetCBR-CamDTN1_tcpmon_ts_11'!C507</f>
        <v>0</v>
      </c>
      <c r="D493">
        <f>'AARnetCBR-CamDTN1_tcpmon_ts_21'!C507+'AARnetCBR-CamDTN1_tcpmon_ts_22'!C507</f>
        <v>0</v>
      </c>
      <c r="E493">
        <f>'AARnetCBR-CamDTN1_tcpmon_ts_31'!C507+'AARnetCBR-CamDTN1_tcpmon_ts_32'!C507+'AARnetCBR-CamDTN1_tcpmon_ts_33'!C507</f>
        <v>0</v>
      </c>
      <c r="F493">
        <f>'AARnetCBR-CamDTN1_tcpmon_ts_41'!C507+'AARnetCBR-CamDTN1_tcpmon_ts_42'!C507+'AARnetCBR-CamDTN1_tcpmon_ts_43'!C507+'AARnetCBR-CamDTN1_tcpmon_ts_44'!C507</f>
        <v>0</v>
      </c>
      <c r="L493">
        <f>'AARnetCBR-CamDTN1_tcpmon_ts_11'!D493</f>
        <v>0</v>
      </c>
      <c r="M493">
        <f>'AARnetCBR-CamDTN1_tcpmon_ts_21'!D493+'AARnetCBR-CamDTN1_tcpmon_ts_22'!D493</f>
        <v>0</v>
      </c>
      <c r="N493">
        <f>'AARnetCBR-CamDTN1_tcpmon_ts_31'!D493+'AARnetCBR-CamDTN1_tcpmon_ts_32'!D493+'AARnetCBR-CamDTN1_tcpmon_ts_33'!D493</f>
        <v>0</v>
      </c>
      <c r="O493">
        <f>'AARnetCBR-CamDTN1_tcpmon_ts_41'!D493+'AARnetCBR-CamDTN1_tcpmon_ts_42'!D493+'AARnetCBR-CamDTN1_tcpmon_ts_43'!D493+'AARnetCBR-CamDTN1_tcpmon_ts_44'!D493</f>
        <v>0</v>
      </c>
      <c r="P493">
        <f>'AARnetCBR-CamDTN1_tcpmon_ts_51'!D493+'AARnetCBR-CamDTN1_tcpmon_ts_52'!D493+'AARnetCBR-CamDTN1_tcpmon_ts_53'!D493+'AARnetCBR-CamDTN1_tcpmon_ts_54'!D493+'AARnetCBR-CamDTN1_tcpmon_ts_55'!D493</f>
        <v>0</v>
      </c>
    </row>
    <row r="494" spans="1:16">
      <c r="A494">
        <f>'AARnetCBR-CamDTN1_tcpmon_ts_11'!A508</f>
        <v>0</v>
      </c>
      <c r="C494">
        <f>'AARnetCBR-CamDTN1_tcpmon_ts_11'!C508</f>
        <v>0</v>
      </c>
      <c r="D494">
        <f>'AARnetCBR-CamDTN1_tcpmon_ts_21'!C508+'AARnetCBR-CamDTN1_tcpmon_ts_22'!C508</f>
        <v>0</v>
      </c>
      <c r="E494">
        <f>'AARnetCBR-CamDTN1_tcpmon_ts_31'!C508+'AARnetCBR-CamDTN1_tcpmon_ts_32'!C508+'AARnetCBR-CamDTN1_tcpmon_ts_33'!C508</f>
        <v>0</v>
      </c>
      <c r="F494">
        <f>'AARnetCBR-CamDTN1_tcpmon_ts_41'!C508+'AARnetCBR-CamDTN1_tcpmon_ts_42'!C508+'AARnetCBR-CamDTN1_tcpmon_ts_43'!C508+'AARnetCBR-CamDTN1_tcpmon_ts_44'!C508</f>
        <v>0</v>
      </c>
      <c r="L494">
        <f>'AARnetCBR-CamDTN1_tcpmon_ts_11'!D494</f>
        <v>0</v>
      </c>
      <c r="M494">
        <f>'AARnetCBR-CamDTN1_tcpmon_ts_21'!D494+'AARnetCBR-CamDTN1_tcpmon_ts_22'!D494</f>
        <v>0</v>
      </c>
      <c r="N494">
        <f>'AARnetCBR-CamDTN1_tcpmon_ts_31'!D494+'AARnetCBR-CamDTN1_tcpmon_ts_32'!D494+'AARnetCBR-CamDTN1_tcpmon_ts_33'!D494</f>
        <v>0</v>
      </c>
      <c r="O494">
        <f>'AARnetCBR-CamDTN1_tcpmon_ts_41'!D494+'AARnetCBR-CamDTN1_tcpmon_ts_42'!D494+'AARnetCBR-CamDTN1_tcpmon_ts_43'!D494+'AARnetCBR-CamDTN1_tcpmon_ts_44'!D494</f>
        <v>0</v>
      </c>
      <c r="P494">
        <f>'AARnetCBR-CamDTN1_tcpmon_ts_51'!D494+'AARnetCBR-CamDTN1_tcpmon_ts_52'!D494+'AARnetCBR-CamDTN1_tcpmon_ts_53'!D494+'AARnetCBR-CamDTN1_tcpmon_ts_54'!D494+'AARnetCBR-CamDTN1_tcpmon_ts_55'!D494</f>
        <v>0</v>
      </c>
    </row>
    <row r="495" spans="1:16">
      <c r="A495">
        <f>'AARnetCBR-CamDTN1_tcpmon_ts_11'!A509</f>
        <v>0</v>
      </c>
      <c r="C495">
        <f>'AARnetCBR-CamDTN1_tcpmon_ts_11'!C509</f>
        <v>0</v>
      </c>
      <c r="D495">
        <f>'AARnetCBR-CamDTN1_tcpmon_ts_21'!C509+'AARnetCBR-CamDTN1_tcpmon_ts_22'!C509</f>
        <v>0</v>
      </c>
      <c r="E495">
        <f>'AARnetCBR-CamDTN1_tcpmon_ts_31'!C509+'AARnetCBR-CamDTN1_tcpmon_ts_32'!C509+'AARnetCBR-CamDTN1_tcpmon_ts_33'!C509</f>
        <v>0</v>
      </c>
      <c r="F495">
        <f>'AARnetCBR-CamDTN1_tcpmon_ts_41'!C509+'AARnetCBR-CamDTN1_tcpmon_ts_42'!C509+'AARnetCBR-CamDTN1_tcpmon_ts_43'!C509+'AARnetCBR-CamDTN1_tcpmon_ts_44'!C509</f>
        <v>0</v>
      </c>
      <c r="L495">
        <f>'AARnetCBR-CamDTN1_tcpmon_ts_11'!D495</f>
        <v>0</v>
      </c>
      <c r="M495">
        <f>'AARnetCBR-CamDTN1_tcpmon_ts_21'!D495+'AARnetCBR-CamDTN1_tcpmon_ts_22'!D495</f>
        <v>0</v>
      </c>
      <c r="N495">
        <f>'AARnetCBR-CamDTN1_tcpmon_ts_31'!D495+'AARnetCBR-CamDTN1_tcpmon_ts_32'!D495+'AARnetCBR-CamDTN1_tcpmon_ts_33'!D495</f>
        <v>0</v>
      </c>
      <c r="O495">
        <f>'AARnetCBR-CamDTN1_tcpmon_ts_41'!D495+'AARnetCBR-CamDTN1_tcpmon_ts_42'!D495+'AARnetCBR-CamDTN1_tcpmon_ts_43'!D495+'AARnetCBR-CamDTN1_tcpmon_ts_44'!D495</f>
        <v>0</v>
      </c>
      <c r="P495">
        <f>'AARnetCBR-CamDTN1_tcpmon_ts_51'!D495+'AARnetCBR-CamDTN1_tcpmon_ts_52'!D495+'AARnetCBR-CamDTN1_tcpmon_ts_53'!D495+'AARnetCBR-CamDTN1_tcpmon_ts_54'!D495+'AARnetCBR-CamDTN1_tcpmon_ts_55'!D495</f>
        <v>0</v>
      </c>
    </row>
    <row r="496" spans="1:16">
      <c r="A496">
        <f>'AARnetCBR-CamDTN1_tcpmon_ts_11'!A510</f>
        <v>0</v>
      </c>
      <c r="C496">
        <f>'AARnetCBR-CamDTN1_tcpmon_ts_11'!C510</f>
        <v>0</v>
      </c>
      <c r="D496">
        <f>'AARnetCBR-CamDTN1_tcpmon_ts_21'!C510+'AARnetCBR-CamDTN1_tcpmon_ts_22'!C510</f>
        <v>0</v>
      </c>
      <c r="E496">
        <f>'AARnetCBR-CamDTN1_tcpmon_ts_31'!C510+'AARnetCBR-CamDTN1_tcpmon_ts_32'!C510+'AARnetCBR-CamDTN1_tcpmon_ts_33'!C510</f>
        <v>0</v>
      </c>
      <c r="F496">
        <f>'AARnetCBR-CamDTN1_tcpmon_ts_41'!C510+'AARnetCBR-CamDTN1_tcpmon_ts_42'!C510+'AARnetCBR-CamDTN1_tcpmon_ts_43'!C510+'AARnetCBR-CamDTN1_tcpmon_ts_44'!C510</f>
        <v>0</v>
      </c>
      <c r="L496">
        <f>'AARnetCBR-CamDTN1_tcpmon_ts_11'!D496</f>
        <v>0</v>
      </c>
      <c r="M496">
        <f>'AARnetCBR-CamDTN1_tcpmon_ts_21'!D496+'AARnetCBR-CamDTN1_tcpmon_ts_22'!D496</f>
        <v>0</v>
      </c>
      <c r="N496">
        <f>'AARnetCBR-CamDTN1_tcpmon_ts_31'!D496+'AARnetCBR-CamDTN1_tcpmon_ts_32'!D496+'AARnetCBR-CamDTN1_tcpmon_ts_33'!D496</f>
        <v>0</v>
      </c>
      <c r="O496">
        <f>'AARnetCBR-CamDTN1_tcpmon_ts_41'!D496+'AARnetCBR-CamDTN1_tcpmon_ts_42'!D496+'AARnetCBR-CamDTN1_tcpmon_ts_43'!D496+'AARnetCBR-CamDTN1_tcpmon_ts_44'!D496</f>
        <v>0</v>
      </c>
      <c r="P496">
        <f>'AARnetCBR-CamDTN1_tcpmon_ts_51'!D496+'AARnetCBR-CamDTN1_tcpmon_ts_52'!D496+'AARnetCBR-CamDTN1_tcpmon_ts_53'!D496+'AARnetCBR-CamDTN1_tcpmon_ts_54'!D496+'AARnetCBR-CamDTN1_tcpmon_ts_55'!D496</f>
        <v>0</v>
      </c>
    </row>
    <row r="497" spans="1:16">
      <c r="A497">
        <f>'AARnetCBR-CamDTN1_tcpmon_ts_11'!A511</f>
        <v>0</v>
      </c>
      <c r="C497">
        <f>'AARnetCBR-CamDTN1_tcpmon_ts_11'!C511</f>
        <v>0</v>
      </c>
      <c r="D497">
        <f>'AARnetCBR-CamDTN1_tcpmon_ts_21'!C511+'AARnetCBR-CamDTN1_tcpmon_ts_22'!C511</f>
        <v>0</v>
      </c>
      <c r="E497">
        <f>'AARnetCBR-CamDTN1_tcpmon_ts_31'!C511+'AARnetCBR-CamDTN1_tcpmon_ts_32'!C511+'AARnetCBR-CamDTN1_tcpmon_ts_33'!C511</f>
        <v>0</v>
      </c>
      <c r="F497">
        <f>'AARnetCBR-CamDTN1_tcpmon_ts_41'!C511+'AARnetCBR-CamDTN1_tcpmon_ts_42'!C511+'AARnetCBR-CamDTN1_tcpmon_ts_43'!C511+'AARnetCBR-CamDTN1_tcpmon_ts_44'!C511</f>
        <v>0</v>
      </c>
      <c r="L497">
        <f>'AARnetCBR-CamDTN1_tcpmon_ts_11'!D497</f>
        <v>0</v>
      </c>
      <c r="M497">
        <f>'AARnetCBR-CamDTN1_tcpmon_ts_21'!D497+'AARnetCBR-CamDTN1_tcpmon_ts_22'!D497</f>
        <v>0</v>
      </c>
      <c r="N497">
        <f>'AARnetCBR-CamDTN1_tcpmon_ts_31'!D497+'AARnetCBR-CamDTN1_tcpmon_ts_32'!D497+'AARnetCBR-CamDTN1_tcpmon_ts_33'!D497</f>
        <v>0</v>
      </c>
      <c r="O497">
        <f>'AARnetCBR-CamDTN1_tcpmon_ts_41'!D497+'AARnetCBR-CamDTN1_tcpmon_ts_42'!D497+'AARnetCBR-CamDTN1_tcpmon_ts_43'!D497+'AARnetCBR-CamDTN1_tcpmon_ts_44'!D497</f>
        <v>0</v>
      </c>
      <c r="P497">
        <f>'AARnetCBR-CamDTN1_tcpmon_ts_51'!D497+'AARnetCBR-CamDTN1_tcpmon_ts_52'!D497+'AARnetCBR-CamDTN1_tcpmon_ts_53'!D497+'AARnetCBR-CamDTN1_tcpmon_ts_54'!D497+'AARnetCBR-CamDTN1_tcpmon_ts_55'!D497</f>
        <v>0</v>
      </c>
    </row>
    <row r="498" spans="1:16">
      <c r="A498">
        <f>'AARnetCBR-CamDTN1_tcpmon_ts_11'!A512</f>
        <v>0</v>
      </c>
      <c r="C498">
        <f>'AARnetCBR-CamDTN1_tcpmon_ts_11'!C512</f>
        <v>0</v>
      </c>
      <c r="D498">
        <f>'AARnetCBR-CamDTN1_tcpmon_ts_21'!C512+'AARnetCBR-CamDTN1_tcpmon_ts_22'!C512</f>
        <v>0</v>
      </c>
      <c r="E498">
        <f>'AARnetCBR-CamDTN1_tcpmon_ts_31'!C512+'AARnetCBR-CamDTN1_tcpmon_ts_32'!C512+'AARnetCBR-CamDTN1_tcpmon_ts_33'!C512</f>
        <v>0</v>
      </c>
      <c r="F498">
        <f>'AARnetCBR-CamDTN1_tcpmon_ts_41'!C512+'AARnetCBR-CamDTN1_tcpmon_ts_42'!C512+'AARnetCBR-CamDTN1_tcpmon_ts_43'!C512+'AARnetCBR-CamDTN1_tcpmon_ts_44'!C512</f>
        <v>0</v>
      </c>
      <c r="L498">
        <f>'AARnetCBR-CamDTN1_tcpmon_ts_11'!D498</f>
        <v>0</v>
      </c>
      <c r="M498">
        <f>'AARnetCBR-CamDTN1_tcpmon_ts_21'!D498+'AARnetCBR-CamDTN1_tcpmon_ts_22'!D498</f>
        <v>0</v>
      </c>
      <c r="N498">
        <f>'AARnetCBR-CamDTN1_tcpmon_ts_31'!D498+'AARnetCBR-CamDTN1_tcpmon_ts_32'!D498+'AARnetCBR-CamDTN1_tcpmon_ts_33'!D498</f>
        <v>0</v>
      </c>
      <c r="O498">
        <f>'AARnetCBR-CamDTN1_tcpmon_ts_41'!D498+'AARnetCBR-CamDTN1_tcpmon_ts_42'!D498+'AARnetCBR-CamDTN1_tcpmon_ts_43'!D498+'AARnetCBR-CamDTN1_tcpmon_ts_44'!D498</f>
        <v>0</v>
      </c>
      <c r="P498">
        <f>'AARnetCBR-CamDTN1_tcpmon_ts_51'!D498+'AARnetCBR-CamDTN1_tcpmon_ts_52'!D498+'AARnetCBR-CamDTN1_tcpmon_ts_53'!D498+'AARnetCBR-CamDTN1_tcpmon_ts_54'!D498+'AARnetCBR-CamDTN1_tcpmon_ts_55'!D498</f>
        <v>0</v>
      </c>
    </row>
    <row r="499" spans="1:16">
      <c r="A499">
        <f>'AARnetCBR-CamDTN1_tcpmon_ts_11'!A513</f>
        <v>0</v>
      </c>
      <c r="C499">
        <f>'AARnetCBR-CamDTN1_tcpmon_ts_11'!C513</f>
        <v>0</v>
      </c>
      <c r="D499">
        <f>'AARnetCBR-CamDTN1_tcpmon_ts_21'!C513+'AARnetCBR-CamDTN1_tcpmon_ts_22'!C513</f>
        <v>0</v>
      </c>
      <c r="E499">
        <f>'AARnetCBR-CamDTN1_tcpmon_ts_31'!C513+'AARnetCBR-CamDTN1_tcpmon_ts_32'!C513+'AARnetCBR-CamDTN1_tcpmon_ts_33'!C513</f>
        <v>0</v>
      </c>
      <c r="F499">
        <f>'AARnetCBR-CamDTN1_tcpmon_ts_41'!C513+'AARnetCBR-CamDTN1_tcpmon_ts_42'!C513+'AARnetCBR-CamDTN1_tcpmon_ts_43'!C513+'AARnetCBR-CamDTN1_tcpmon_ts_44'!C513</f>
        <v>0</v>
      </c>
      <c r="L499">
        <f>'AARnetCBR-CamDTN1_tcpmon_ts_11'!D499</f>
        <v>0</v>
      </c>
      <c r="M499">
        <f>'AARnetCBR-CamDTN1_tcpmon_ts_21'!D499+'AARnetCBR-CamDTN1_tcpmon_ts_22'!D499</f>
        <v>0</v>
      </c>
      <c r="N499">
        <f>'AARnetCBR-CamDTN1_tcpmon_ts_31'!D499+'AARnetCBR-CamDTN1_tcpmon_ts_32'!D499+'AARnetCBR-CamDTN1_tcpmon_ts_33'!D499</f>
        <v>0</v>
      </c>
      <c r="O499">
        <f>'AARnetCBR-CamDTN1_tcpmon_ts_41'!D499+'AARnetCBR-CamDTN1_tcpmon_ts_42'!D499+'AARnetCBR-CamDTN1_tcpmon_ts_43'!D499+'AARnetCBR-CamDTN1_tcpmon_ts_44'!D499</f>
        <v>0</v>
      </c>
      <c r="P499">
        <f>'AARnetCBR-CamDTN1_tcpmon_ts_51'!D499+'AARnetCBR-CamDTN1_tcpmon_ts_52'!D499+'AARnetCBR-CamDTN1_tcpmon_ts_53'!D499+'AARnetCBR-CamDTN1_tcpmon_ts_54'!D499+'AARnetCBR-CamDTN1_tcpmon_ts_55'!D499</f>
        <v>0</v>
      </c>
    </row>
    <row r="500" spans="1:16">
      <c r="A500">
        <f>'AARnetCBR-CamDTN1_tcpmon_ts_11'!A514</f>
        <v>0</v>
      </c>
      <c r="C500">
        <f>'AARnetCBR-CamDTN1_tcpmon_ts_11'!C514</f>
        <v>0</v>
      </c>
      <c r="D500">
        <f>'AARnetCBR-CamDTN1_tcpmon_ts_21'!C514+'AARnetCBR-CamDTN1_tcpmon_ts_22'!C514</f>
        <v>0</v>
      </c>
      <c r="E500">
        <f>'AARnetCBR-CamDTN1_tcpmon_ts_31'!C514+'AARnetCBR-CamDTN1_tcpmon_ts_32'!C514+'AARnetCBR-CamDTN1_tcpmon_ts_33'!C514</f>
        <v>0</v>
      </c>
      <c r="F500">
        <f>'AARnetCBR-CamDTN1_tcpmon_ts_41'!C514+'AARnetCBR-CamDTN1_tcpmon_ts_42'!C514+'AARnetCBR-CamDTN1_tcpmon_ts_43'!C514+'AARnetCBR-CamDTN1_tcpmon_ts_44'!C514</f>
        <v>0</v>
      </c>
      <c r="L500">
        <f>'AARnetCBR-CamDTN1_tcpmon_ts_11'!D500</f>
        <v>0</v>
      </c>
      <c r="M500">
        <f>'AARnetCBR-CamDTN1_tcpmon_ts_21'!D500+'AARnetCBR-CamDTN1_tcpmon_ts_22'!D500</f>
        <v>0</v>
      </c>
      <c r="N500">
        <f>'AARnetCBR-CamDTN1_tcpmon_ts_31'!D500+'AARnetCBR-CamDTN1_tcpmon_ts_32'!D500+'AARnetCBR-CamDTN1_tcpmon_ts_33'!D500</f>
        <v>0</v>
      </c>
      <c r="O500">
        <f>'AARnetCBR-CamDTN1_tcpmon_ts_41'!D500+'AARnetCBR-CamDTN1_tcpmon_ts_42'!D500+'AARnetCBR-CamDTN1_tcpmon_ts_43'!D500+'AARnetCBR-CamDTN1_tcpmon_ts_44'!D500</f>
        <v>0</v>
      </c>
      <c r="P500">
        <f>'AARnetCBR-CamDTN1_tcpmon_ts_51'!D500+'AARnetCBR-CamDTN1_tcpmon_ts_52'!D500+'AARnetCBR-CamDTN1_tcpmon_ts_53'!D500+'AARnetCBR-CamDTN1_tcpmon_ts_54'!D500+'AARnetCBR-CamDTN1_tcpmon_ts_55'!D500</f>
        <v>0</v>
      </c>
    </row>
    <row r="501" spans="1:16">
      <c r="A501">
        <f>'AARnetCBR-CamDTN1_tcpmon_ts_11'!A515</f>
        <v>0</v>
      </c>
      <c r="C501">
        <f>'AARnetCBR-CamDTN1_tcpmon_ts_11'!C515</f>
        <v>0</v>
      </c>
      <c r="D501">
        <f>'AARnetCBR-CamDTN1_tcpmon_ts_21'!C515+'AARnetCBR-CamDTN1_tcpmon_ts_22'!C515</f>
        <v>0</v>
      </c>
      <c r="E501">
        <f>'AARnetCBR-CamDTN1_tcpmon_ts_31'!C515+'AARnetCBR-CamDTN1_tcpmon_ts_32'!C515+'AARnetCBR-CamDTN1_tcpmon_ts_33'!C515</f>
        <v>0</v>
      </c>
      <c r="F501">
        <f>'AARnetCBR-CamDTN1_tcpmon_ts_41'!C515+'AARnetCBR-CamDTN1_tcpmon_ts_42'!C515+'AARnetCBR-CamDTN1_tcpmon_ts_43'!C515+'AARnetCBR-CamDTN1_tcpmon_ts_44'!C515</f>
        <v>0</v>
      </c>
      <c r="L501">
        <f>'AARnetCBR-CamDTN1_tcpmon_ts_11'!D501</f>
        <v>0</v>
      </c>
      <c r="M501">
        <f>'AARnetCBR-CamDTN1_tcpmon_ts_21'!D501+'AARnetCBR-CamDTN1_tcpmon_ts_22'!D501</f>
        <v>0</v>
      </c>
      <c r="N501">
        <f>'AARnetCBR-CamDTN1_tcpmon_ts_31'!D501+'AARnetCBR-CamDTN1_tcpmon_ts_32'!D501+'AARnetCBR-CamDTN1_tcpmon_ts_33'!D501</f>
        <v>0</v>
      </c>
      <c r="O501">
        <f>'AARnetCBR-CamDTN1_tcpmon_ts_41'!D501+'AARnetCBR-CamDTN1_tcpmon_ts_42'!D501+'AARnetCBR-CamDTN1_tcpmon_ts_43'!D501+'AARnetCBR-CamDTN1_tcpmon_ts_44'!D501</f>
        <v>0</v>
      </c>
      <c r="P501">
        <f>'AARnetCBR-CamDTN1_tcpmon_ts_51'!D501+'AARnetCBR-CamDTN1_tcpmon_ts_52'!D501+'AARnetCBR-CamDTN1_tcpmon_ts_53'!D501+'AARnetCBR-CamDTN1_tcpmon_ts_54'!D501+'AARnetCBR-CamDTN1_tcpmon_ts_55'!D501</f>
        <v>0</v>
      </c>
    </row>
    <row r="502" spans="1:16">
      <c r="A502">
        <f>'AARnetCBR-CamDTN1_tcpmon_ts_11'!A516</f>
        <v>0</v>
      </c>
      <c r="C502">
        <f>'AARnetCBR-CamDTN1_tcpmon_ts_11'!C516</f>
        <v>0</v>
      </c>
      <c r="D502">
        <f>'AARnetCBR-CamDTN1_tcpmon_ts_21'!C516+'AARnetCBR-CamDTN1_tcpmon_ts_22'!C516</f>
        <v>0</v>
      </c>
      <c r="E502">
        <f>'AARnetCBR-CamDTN1_tcpmon_ts_31'!C516+'AARnetCBR-CamDTN1_tcpmon_ts_32'!C516+'AARnetCBR-CamDTN1_tcpmon_ts_33'!C516</f>
        <v>0</v>
      </c>
      <c r="F502">
        <f>'AARnetCBR-CamDTN1_tcpmon_ts_41'!C516+'AARnetCBR-CamDTN1_tcpmon_ts_42'!C516+'AARnetCBR-CamDTN1_tcpmon_ts_43'!C516+'AARnetCBR-CamDTN1_tcpmon_ts_44'!C516</f>
        <v>0</v>
      </c>
      <c r="L502">
        <f>'AARnetCBR-CamDTN1_tcpmon_ts_11'!D502</f>
        <v>0</v>
      </c>
      <c r="M502">
        <f>'AARnetCBR-CamDTN1_tcpmon_ts_21'!D502+'AARnetCBR-CamDTN1_tcpmon_ts_22'!D502</f>
        <v>0</v>
      </c>
      <c r="N502">
        <f>'AARnetCBR-CamDTN1_tcpmon_ts_31'!D502+'AARnetCBR-CamDTN1_tcpmon_ts_32'!D502+'AARnetCBR-CamDTN1_tcpmon_ts_33'!D502</f>
        <v>0</v>
      </c>
      <c r="O502">
        <f>'AARnetCBR-CamDTN1_tcpmon_ts_41'!D502+'AARnetCBR-CamDTN1_tcpmon_ts_42'!D502+'AARnetCBR-CamDTN1_tcpmon_ts_43'!D502+'AARnetCBR-CamDTN1_tcpmon_ts_44'!D502</f>
        <v>0</v>
      </c>
      <c r="P502">
        <f>'AARnetCBR-CamDTN1_tcpmon_ts_51'!D502+'AARnetCBR-CamDTN1_tcpmon_ts_52'!D502+'AARnetCBR-CamDTN1_tcpmon_ts_53'!D502+'AARnetCBR-CamDTN1_tcpmon_ts_54'!D502+'AARnetCBR-CamDTN1_tcpmon_ts_55'!D502</f>
        <v>0</v>
      </c>
    </row>
    <row r="503" spans="1:16">
      <c r="A503">
        <f>'AARnetCBR-CamDTN1_tcpmon_ts_11'!A517</f>
        <v>0</v>
      </c>
      <c r="C503">
        <f>'AARnetCBR-CamDTN1_tcpmon_ts_11'!C517</f>
        <v>0</v>
      </c>
      <c r="D503">
        <f>'AARnetCBR-CamDTN1_tcpmon_ts_21'!C517+'AARnetCBR-CamDTN1_tcpmon_ts_22'!C517</f>
        <v>0</v>
      </c>
      <c r="E503">
        <f>'AARnetCBR-CamDTN1_tcpmon_ts_31'!C517+'AARnetCBR-CamDTN1_tcpmon_ts_32'!C517+'AARnetCBR-CamDTN1_tcpmon_ts_33'!C517</f>
        <v>0</v>
      </c>
      <c r="F503">
        <f>'AARnetCBR-CamDTN1_tcpmon_ts_41'!C517+'AARnetCBR-CamDTN1_tcpmon_ts_42'!C517+'AARnetCBR-CamDTN1_tcpmon_ts_43'!C517+'AARnetCBR-CamDTN1_tcpmon_ts_44'!C517</f>
        <v>0</v>
      </c>
      <c r="L503">
        <f>'AARnetCBR-CamDTN1_tcpmon_ts_11'!D503</f>
        <v>0</v>
      </c>
      <c r="M503">
        <f>'AARnetCBR-CamDTN1_tcpmon_ts_21'!D503+'AARnetCBR-CamDTN1_tcpmon_ts_22'!D503</f>
        <v>0</v>
      </c>
      <c r="N503">
        <f>'AARnetCBR-CamDTN1_tcpmon_ts_31'!D503+'AARnetCBR-CamDTN1_tcpmon_ts_32'!D503+'AARnetCBR-CamDTN1_tcpmon_ts_33'!D503</f>
        <v>0</v>
      </c>
      <c r="O503">
        <f>'AARnetCBR-CamDTN1_tcpmon_ts_41'!D503+'AARnetCBR-CamDTN1_tcpmon_ts_42'!D503+'AARnetCBR-CamDTN1_tcpmon_ts_43'!D503+'AARnetCBR-CamDTN1_tcpmon_ts_44'!D503</f>
        <v>0</v>
      </c>
      <c r="P503">
        <f>'AARnetCBR-CamDTN1_tcpmon_ts_51'!D503+'AARnetCBR-CamDTN1_tcpmon_ts_52'!D503+'AARnetCBR-CamDTN1_tcpmon_ts_53'!D503+'AARnetCBR-CamDTN1_tcpmon_ts_54'!D503+'AARnetCBR-CamDTN1_tcpmon_ts_55'!D503</f>
        <v>0</v>
      </c>
    </row>
    <row r="504" spans="1:16">
      <c r="A504">
        <f>'AARnetCBR-CamDTN1_tcpmon_ts_11'!A518</f>
        <v>0</v>
      </c>
      <c r="C504">
        <f>'AARnetCBR-CamDTN1_tcpmon_ts_11'!C518</f>
        <v>0</v>
      </c>
      <c r="D504">
        <f>'AARnetCBR-CamDTN1_tcpmon_ts_21'!C518+'AARnetCBR-CamDTN1_tcpmon_ts_22'!C518</f>
        <v>0</v>
      </c>
      <c r="E504">
        <f>'AARnetCBR-CamDTN1_tcpmon_ts_31'!C518+'AARnetCBR-CamDTN1_tcpmon_ts_32'!C518+'AARnetCBR-CamDTN1_tcpmon_ts_33'!C518</f>
        <v>0</v>
      </c>
      <c r="F504">
        <f>'AARnetCBR-CamDTN1_tcpmon_ts_41'!C518+'AARnetCBR-CamDTN1_tcpmon_ts_42'!C518+'AARnetCBR-CamDTN1_tcpmon_ts_43'!C518+'AARnetCBR-CamDTN1_tcpmon_ts_44'!C518</f>
        <v>0</v>
      </c>
      <c r="L504">
        <f>'AARnetCBR-CamDTN1_tcpmon_ts_11'!D504</f>
        <v>0</v>
      </c>
      <c r="M504">
        <f>'AARnetCBR-CamDTN1_tcpmon_ts_21'!D504+'AARnetCBR-CamDTN1_tcpmon_ts_22'!D504</f>
        <v>0</v>
      </c>
      <c r="N504">
        <f>'AARnetCBR-CamDTN1_tcpmon_ts_31'!D504+'AARnetCBR-CamDTN1_tcpmon_ts_32'!D504+'AARnetCBR-CamDTN1_tcpmon_ts_33'!D504</f>
        <v>0</v>
      </c>
      <c r="O504">
        <f>'AARnetCBR-CamDTN1_tcpmon_ts_41'!D504+'AARnetCBR-CamDTN1_tcpmon_ts_42'!D504+'AARnetCBR-CamDTN1_tcpmon_ts_43'!D504+'AARnetCBR-CamDTN1_tcpmon_ts_44'!D504</f>
        <v>0</v>
      </c>
      <c r="P504">
        <f>'AARnetCBR-CamDTN1_tcpmon_ts_51'!D504+'AARnetCBR-CamDTN1_tcpmon_ts_52'!D504+'AARnetCBR-CamDTN1_tcpmon_ts_53'!D504+'AARnetCBR-CamDTN1_tcpmon_ts_54'!D504+'AARnetCBR-CamDTN1_tcpmon_ts_55'!D504</f>
        <v>0</v>
      </c>
    </row>
    <row r="505" spans="1:16">
      <c r="A505">
        <f>'AARnetCBR-CamDTN1_tcpmon_ts_11'!A519</f>
        <v>0</v>
      </c>
      <c r="C505">
        <f>'AARnetCBR-CamDTN1_tcpmon_ts_11'!C519</f>
        <v>0</v>
      </c>
      <c r="D505">
        <f>'AARnetCBR-CamDTN1_tcpmon_ts_21'!C519+'AARnetCBR-CamDTN1_tcpmon_ts_22'!C519</f>
        <v>0</v>
      </c>
      <c r="E505">
        <f>'AARnetCBR-CamDTN1_tcpmon_ts_31'!C519+'AARnetCBR-CamDTN1_tcpmon_ts_32'!C519+'AARnetCBR-CamDTN1_tcpmon_ts_33'!C519</f>
        <v>0</v>
      </c>
      <c r="F505">
        <f>'AARnetCBR-CamDTN1_tcpmon_ts_41'!C519+'AARnetCBR-CamDTN1_tcpmon_ts_42'!C519+'AARnetCBR-CamDTN1_tcpmon_ts_43'!C519+'AARnetCBR-CamDTN1_tcpmon_ts_44'!C519</f>
        <v>0</v>
      </c>
      <c r="L505">
        <f>'AARnetCBR-CamDTN1_tcpmon_ts_11'!D505</f>
        <v>0</v>
      </c>
      <c r="M505">
        <f>'AARnetCBR-CamDTN1_tcpmon_ts_21'!D505+'AARnetCBR-CamDTN1_tcpmon_ts_22'!D505</f>
        <v>0</v>
      </c>
      <c r="N505">
        <f>'AARnetCBR-CamDTN1_tcpmon_ts_31'!D505+'AARnetCBR-CamDTN1_tcpmon_ts_32'!D505+'AARnetCBR-CamDTN1_tcpmon_ts_33'!D505</f>
        <v>0</v>
      </c>
      <c r="O505">
        <f>'AARnetCBR-CamDTN1_tcpmon_ts_41'!D505+'AARnetCBR-CamDTN1_tcpmon_ts_42'!D505+'AARnetCBR-CamDTN1_tcpmon_ts_43'!D505+'AARnetCBR-CamDTN1_tcpmon_ts_44'!D505</f>
        <v>0</v>
      </c>
      <c r="P505">
        <f>'AARnetCBR-CamDTN1_tcpmon_ts_51'!D505+'AARnetCBR-CamDTN1_tcpmon_ts_52'!D505+'AARnetCBR-CamDTN1_tcpmon_ts_53'!D505+'AARnetCBR-CamDTN1_tcpmon_ts_54'!D505+'AARnetCBR-CamDTN1_tcpmon_ts_55'!D505</f>
        <v>0</v>
      </c>
    </row>
    <row r="506" spans="1:16">
      <c r="A506">
        <f>'AARnetCBR-CamDTN1_tcpmon_ts_11'!A520</f>
        <v>0</v>
      </c>
      <c r="C506">
        <f>'AARnetCBR-CamDTN1_tcpmon_ts_11'!C520</f>
        <v>0</v>
      </c>
      <c r="D506">
        <f>'AARnetCBR-CamDTN1_tcpmon_ts_21'!C520+'AARnetCBR-CamDTN1_tcpmon_ts_22'!C520</f>
        <v>0</v>
      </c>
      <c r="E506">
        <f>'AARnetCBR-CamDTN1_tcpmon_ts_31'!C520+'AARnetCBR-CamDTN1_tcpmon_ts_32'!C520+'AARnetCBR-CamDTN1_tcpmon_ts_33'!C520</f>
        <v>0</v>
      </c>
      <c r="F506">
        <f>'AARnetCBR-CamDTN1_tcpmon_ts_41'!C520+'AARnetCBR-CamDTN1_tcpmon_ts_42'!C520+'AARnetCBR-CamDTN1_tcpmon_ts_43'!C520+'AARnetCBR-CamDTN1_tcpmon_ts_44'!C520</f>
        <v>0</v>
      </c>
      <c r="L506">
        <f>'AARnetCBR-CamDTN1_tcpmon_ts_11'!D506</f>
        <v>0</v>
      </c>
      <c r="M506">
        <f>'AARnetCBR-CamDTN1_tcpmon_ts_21'!D506+'AARnetCBR-CamDTN1_tcpmon_ts_22'!D506</f>
        <v>0</v>
      </c>
      <c r="N506">
        <f>'AARnetCBR-CamDTN1_tcpmon_ts_31'!D506+'AARnetCBR-CamDTN1_tcpmon_ts_32'!D506+'AARnetCBR-CamDTN1_tcpmon_ts_33'!D506</f>
        <v>0</v>
      </c>
      <c r="O506">
        <f>'AARnetCBR-CamDTN1_tcpmon_ts_41'!D506+'AARnetCBR-CamDTN1_tcpmon_ts_42'!D506+'AARnetCBR-CamDTN1_tcpmon_ts_43'!D506+'AARnetCBR-CamDTN1_tcpmon_ts_44'!D506</f>
        <v>0</v>
      </c>
      <c r="P506">
        <f>'AARnetCBR-CamDTN1_tcpmon_ts_51'!D506+'AARnetCBR-CamDTN1_tcpmon_ts_52'!D506+'AARnetCBR-CamDTN1_tcpmon_ts_53'!D506+'AARnetCBR-CamDTN1_tcpmon_ts_54'!D506+'AARnetCBR-CamDTN1_tcpmon_ts_55'!D506</f>
        <v>0</v>
      </c>
    </row>
    <row r="507" spans="1:16">
      <c r="A507">
        <f>'AARnetCBR-CamDTN1_tcpmon_ts_11'!A521</f>
        <v>0</v>
      </c>
      <c r="C507">
        <f>'AARnetCBR-CamDTN1_tcpmon_ts_11'!C521</f>
        <v>0</v>
      </c>
      <c r="D507">
        <f>'AARnetCBR-CamDTN1_tcpmon_ts_21'!C521+'AARnetCBR-CamDTN1_tcpmon_ts_22'!C521</f>
        <v>0</v>
      </c>
      <c r="E507">
        <f>'AARnetCBR-CamDTN1_tcpmon_ts_31'!C521+'AARnetCBR-CamDTN1_tcpmon_ts_32'!C521+'AARnetCBR-CamDTN1_tcpmon_ts_33'!C521</f>
        <v>0</v>
      </c>
      <c r="F507">
        <f>'AARnetCBR-CamDTN1_tcpmon_ts_41'!C521+'AARnetCBR-CamDTN1_tcpmon_ts_42'!C521+'AARnetCBR-CamDTN1_tcpmon_ts_43'!C521+'AARnetCBR-CamDTN1_tcpmon_ts_44'!C521</f>
        <v>0</v>
      </c>
      <c r="L507">
        <f>'AARnetCBR-CamDTN1_tcpmon_ts_11'!D507</f>
        <v>0</v>
      </c>
      <c r="M507">
        <f>'AARnetCBR-CamDTN1_tcpmon_ts_21'!D507+'AARnetCBR-CamDTN1_tcpmon_ts_22'!D507</f>
        <v>0</v>
      </c>
      <c r="N507">
        <f>'AARnetCBR-CamDTN1_tcpmon_ts_31'!D507+'AARnetCBR-CamDTN1_tcpmon_ts_32'!D507+'AARnetCBR-CamDTN1_tcpmon_ts_33'!D507</f>
        <v>0</v>
      </c>
      <c r="O507">
        <f>'AARnetCBR-CamDTN1_tcpmon_ts_41'!D507+'AARnetCBR-CamDTN1_tcpmon_ts_42'!D507+'AARnetCBR-CamDTN1_tcpmon_ts_43'!D507+'AARnetCBR-CamDTN1_tcpmon_ts_44'!D507</f>
        <v>0</v>
      </c>
      <c r="P507">
        <f>'AARnetCBR-CamDTN1_tcpmon_ts_51'!D507+'AARnetCBR-CamDTN1_tcpmon_ts_52'!D507+'AARnetCBR-CamDTN1_tcpmon_ts_53'!D507+'AARnetCBR-CamDTN1_tcpmon_ts_54'!D507+'AARnetCBR-CamDTN1_tcpmon_ts_55'!D507</f>
        <v>0</v>
      </c>
    </row>
    <row r="508" spans="1:16">
      <c r="A508">
        <f>'AARnetCBR-CamDTN1_tcpmon_ts_11'!A522</f>
        <v>0</v>
      </c>
      <c r="C508">
        <f>'AARnetCBR-CamDTN1_tcpmon_ts_11'!C522</f>
        <v>0</v>
      </c>
      <c r="D508">
        <f>'AARnetCBR-CamDTN1_tcpmon_ts_21'!C522+'AARnetCBR-CamDTN1_tcpmon_ts_22'!C522</f>
        <v>0</v>
      </c>
      <c r="E508">
        <f>'AARnetCBR-CamDTN1_tcpmon_ts_31'!C522+'AARnetCBR-CamDTN1_tcpmon_ts_32'!C522+'AARnetCBR-CamDTN1_tcpmon_ts_33'!C522</f>
        <v>0</v>
      </c>
      <c r="F508">
        <f>'AARnetCBR-CamDTN1_tcpmon_ts_41'!C522+'AARnetCBR-CamDTN1_tcpmon_ts_42'!C522+'AARnetCBR-CamDTN1_tcpmon_ts_43'!C522+'AARnetCBR-CamDTN1_tcpmon_ts_44'!C522</f>
        <v>0</v>
      </c>
      <c r="L508">
        <f>'AARnetCBR-CamDTN1_tcpmon_ts_11'!D508</f>
        <v>0</v>
      </c>
      <c r="M508">
        <f>'AARnetCBR-CamDTN1_tcpmon_ts_21'!D508+'AARnetCBR-CamDTN1_tcpmon_ts_22'!D508</f>
        <v>0</v>
      </c>
      <c r="N508">
        <f>'AARnetCBR-CamDTN1_tcpmon_ts_31'!D508+'AARnetCBR-CamDTN1_tcpmon_ts_32'!D508+'AARnetCBR-CamDTN1_tcpmon_ts_33'!D508</f>
        <v>0</v>
      </c>
      <c r="O508">
        <f>'AARnetCBR-CamDTN1_tcpmon_ts_41'!D508+'AARnetCBR-CamDTN1_tcpmon_ts_42'!D508+'AARnetCBR-CamDTN1_tcpmon_ts_43'!D508+'AARnetCBR-CamDTN1_tcpmon_ts_44'!D508</f>
        <v>0</v>
      </c>
      <c r="P508">
        <f>'AARnetCBR-CamDTN1_tcpmon_ts_51'!D508+'AARnetCBR-CamDTN1_tcpmon_ts_52'!D508+'AARnetCBR-CamDTN1_tcpmon_ts_53'!D508+'AARnetCBR-CamDTN1_tcpmon_ts_54'!D508+'AARnetCBR-CamDTN1_tcpmon_ts_55'!D508</f>
        <v>0</v>
      </c>
    </row>
    <row r="509" spans="1:16">
      <c r="A509">
        <f>'AARnetCBR-CamDTN1_tcpmon_ts_11'!A523</f>
        <v>0</v>
      </c>
      <c r="C509">
        <f>'AARnetCBR-CamDTN1_tcpmon_ts_11'!C523</f>
        <v>0</v>
      </c>
      <c r="D509">
        <f>'AARnetCBR-CamDTN1_tcpmon_ts_21'!C523+'AARnetCBR-CamDTN1_tcpmon_ts_22'!C523</f>
        <v>0</v>
      </c>
      <c r="E509">
        <f>'AARnetCBR-CamDTN1_tcpmon_ts_31'!C523+'AARnetCBR-CamDTN1_tcpmon_ts_32'!C523+'AARnetCBR-CamDTN1_tcpmon_ts_33'!C523</f>
        <v>0</v>
      </c>
      <c r="F509">
        <f>'AARnetCBR-CamDTN1_tcpmon_ts_41'!C523+'AARnetCBR-CamDTN1_tcpmon_ts_42'!C523+'AARnetCBR-CamDTN1_tcpmon_ts_43'!C523+'AARnetCBR-CamDTN1_tcpmon_ts_44'!C523</f>
        <v>0</v>
      </c>
      <c r="L509">
        <f>'AARnetCBR-CamDTN1_tcpmon_ts_11'!D509</f>
        <v>0</v>
      </c>
      <c r="M509">
        <f>'AARnetCBR-CamDTN1_tcpmon_ts_21'!D509+'AARnetCBR-CamDTN1_tcpmon_ts_22'!D509</f>
        <v>0</v>
      </c>
      <c r="N509">
        <f>'AARnetCBR-CamDTN1_tcpmon_ts_31'!D509+'AARnetCBR-CamDTN1_tcpmon_ts_32'!D509+'AARnetCBR-CamDTN1_tcpmon_ts_33'!D509</f>
        <v>0</v>
      </c>
      <c r="O509">
        <f>'AARnetCBR-CamDTN1_tcpmon_ts_41'!D509+'AARnetCBR-CamDTN1_tcpmon_ts_42'!D509+'AARnetCBR-CamDTN1_tcpmon_ts_43'!D509+'AARnetCBR-CamDTN1_tcpmon_ts_44'!D509</f>
        <v>0</v>
      </c>
      <c r="P509">
        <f>'AARnetCBR-CamDTN1_tcpmon_ts_51'!D509+'AARnetCBR-CamDTN1_tcpmon_ts_52'!D509+'AARnetCBR-CamDTN1_tcpmon_ts_53'!D509+'AARnetCBR-CamDTN1_tcpmon_ts_54'!D509+'AARnetCBR-CamDTN1_tcpmon_ts_55'!D509</f>
        <v>0</v>
      </c>
    </row>
    <row r="510" spans="1:16">
      <c r="A510">
        <f>'AARnetCBR-CamDTN1_tcpmon_ts_11'!A524</f>
        <v>0</v>
      </c>
      <c r="C510">
        <f>'AARnetCBR-CamDTN1_tcpmon_ts_11'!C524</f>
        <v>0</v>
      </c>
      <c r="D510">
        <f>'AARnetCBR-CamDTN1_tcpmon_ts_21'!C524+'AARnetCBR-CamDTN1_tcpmon_ts_22'!C524</f>
        <v>0</v>
      </c>
      <c r="E510">
        <f>'AARnetCBR-CamDTN1_tcpmon_ts_31'!C524+'AARnetCBR-CamDTN1_tcpmon_ts_32'!C524+'AARnetCBR-CamDTN1_tcpmon_ts_33'!C524</f>
        <v>0</v>
      </c>
      <c r="F510">
        <f>'AARnetCBR-CamDTN1_tcpmon_ts_41'!C524+'AARnetCBR-CamDTN1_tcpmon_ts_42'!C524+'AARnetCBR-CamDTN1_tcpmon_ts_43'!C524+'AARnetCBR-CamDTN1_tcpmon_ts_44'!C524</f>
        <v>0</v>
      </c>
      <c r="L510">
        <f>'AARnetCBR-CamDTN1_tcpmon_ts_11'!D510</f>
        <v>0</v>
      </c>
      <c r="M510">
        <f>'AARnetCBR-CamDTN1_tcpmon_ts_21'!D510+'AARnetCBR-CamDTN1_tcpmon_ts_22'!D510</f>
        <v>0</v>
      </c>
      <c r="N510">
        <f>'AARnetCBR-CamDTN1_tcpmon_ts_31'!D510+'AARnetCBR-CamDTN1_tcpmon_ts_32'!D510+'AARnetCBR-CamDTN1_tcpmon_ts_33'!D510</f>
        <v>0</v>
      </c>
      <c r="O510">
        <f>'AARnetCBR-CamDTN1_tcpmon_ts_41'!D510+'AARnetCBR-CamDTN1_tcpmon_ts_42'!D510+'AARnetCBR-CamDTN1_tcpmon_ts_43'!D510+'AARnetCBR-CamDTN1_tcpmon_ts_44'!D510</f>
        <v>0</v>
      </c>
      <c r="P510">
        <f>'AARnetCBR-CamDTN1_tcpmon_ts_51'!D510+'AARnetCBR-CamDTN1_tcpmon_ts_52'!D510+'AARnetCBR-CamDTN1_tcpmon_ts_53'!D510+'AARnetCBR-CamDTN1_tcpmon_ts_54'!D510+'AARnetCBR-CamDTN1_tcpmon_ts_55'!D510</f>
        <v>0</v>
      </c>
    </row>
    <row r="511" spans="1:16">
      <c r="A511">
        <f>'AARnetCBR-CamDTN1_tcpmon_ts_11'!A525</f>
        <v>0</v>
      </c>
      <c r="C511">
        <f>'AARnetCBR-CamDTN1_tcpmon_ts_11'!C525</f>
        <v>0</v>
      </c>
      <c r="D511">
        <f>'AARnetCBR-CamDTN1_tcpmon_ts_21'!C525+'AARnetCBR-CamDTN1_tcpmon_ts_22'!C525</f>
        <v>0</v>
      </c>
      <c r="E511">
        <f>'AARnetCBR-CamDTN1_tcpmon_ts_31'!C525+'AARnetCBR-CamDTN1_tcpmon_ts_32'!C525+'AARnetCBR-CamDTN1_tcpmon_ts_33'!C525</f>
        <v>0</v>
      </c>
      <c r="F511">
        <f>'AARnetCBR-CamDTN1_tcpmon_ts_41'!C525+'AARnetCBR-CamDTN1_tcpmon_ts_42'!C525+'AARnetCBR-CamDTN1_tcpmon_ts_43'!C525+'AARnetCBR-CamDTN1_tcpmon_ts_44'!C525</f>
        <v>0</v>
      </c>
      <c r="L511">
        <f>'AARnetCBR-CamDTN1_tcpmon_ts_11'!D511</f>
        <v>0</v>
      </c>
      <c r="M511">
        <f>'AARnetCBR-CamDTN1_tcpmon_ts_21'!D511+'AARnetCBR-CamDTN1_tcpmon_ts_22'!D511</f>
        <v>0</v>
      </c>
      <c r="N511">
        <f>'AARnetCBR-CamDTN1_tcpmon_ts_31'!D511+'AARnetCBR-CamDTN1_tcpmon_ts_32'!D511+'AARnetCBR-CamDTN1_tcpmon_ts_33'!D511</f>
        <v>0</v>
      </c>
      <c r="O511">
        <f>'AARnetCBR-CamDTN1_tcpmon_ts_41'!D511+'AARnetCBR-CamDTN1_tcpmon_ts_42'!D511+'AARnetCBR-CamDTN1_tcpmon_ts_43'!D511+'AARnetCBR-CamDTN1_tcpmon_ts_44'!D511</f>
        <v>0</v>
      </c>
      <c r="P511">
        <f>'AARnetCBR-CamDTN1_tcpmon_ts_51'!D511+'AARnetCBR-CamDTN1_tcpmon_ts_52'!D511+'AARnetCBR-CamDTN1_tcpmon_ts_53'!D511+'AARnetCBR-CamDTN1_tcpmon_ts_54'!D511+'AARnetCBR-CamDTN1_tcpmon_ts_55'!D511</f>
        <v>0</v>
      </c>
    </row>
    <row r="512" spans="1:16">
      <c r="A512">
        <f>'AARnetCBR-CamDTN1_tcpmon_ts_11'!A526</f>
        <v>0</v>
      </c>
      <c r="C512">
        <f>'AARnetCBR-CamDTN1_tcpmon_ts_11'!C526</f>
        <v>0</v>
      </c>
      <c r="D512">
        <f>'AARnetCBR-CamDTN1_tcpmon_ts_21'!C526+'AARnetCBR-CamDTN1_tcpmon_ts_22'!C526</f>
        <v>0</v>
      </c>
      <c r="E512">
        <f>'AARnetCBR-CamDTN1_tcpmon_ts_31'!C526+'AARnetCBR-CamDTN1_tcpmon_ts_32'!C526+'AARnetCBR-CamDTN1_tcpmon_ts_33'!C526</f>
        <v>0</v>
      </c>
      <c r="F512">
        <f>'AARnetCBR-CamDTN1_tcpmon_ts_41'!C526+'AARnetCBR-CamDTN1_tcpmon_ts_42'!C526+'AARnetCBR-CamDTN1_tcpmon_ts_43'!C526+'AARnetCBR-CamDTN1_tcpmon_ts_44'!C526</f>
        <v>0</v>
      </c>
      <c r="L512">
        <f>'AARnetCBR-CamDTN1_tcpmon_ts_11'!D512</f>
        <v>0</v>
      </c>
      <c r="M512">
        <f>'AARnetCBR-CamDTN1_tcpmon_ts_21'!D512+'AARnetCBR-CamDTN1_tcpmon_ts_22'!D512</f>
        <v>0</v>
      </c>
      <c r="N512">
        <f>'AARnetCBR-CamDTN1_tcpmon_ts_31'!D512+'AARnetCBR-CamDTN1_tcpmon_ts_32'!D512+'AARnetCBR-CamDTN1_tcpmon_ts_33'!D512</f>
        <v>0</v>
      </c>
      <c r="O512">
        <f>'AARnetCBR-CamDTN1_tcpmon_ts_41'!D512+'AARnetCBR-CamDTN1_tcpmon_ts_42'!D512+'AARnetCBR-CamDTN1_tcpmon_ts_43'!D512+'AARnetCBR-CamDTN1_tcpmon_ts_44'!D512</f>
        <v>0</v>
      </c>
      <c r="P512">
        <f>'AARnetCBR-CamDTN1_tcpmon_ts_51'!D512+'AARnetCBR-CamDTN1_tcpmon_ts_52'!D512+'AARnetCBR-CamDTN1_tcpmon_ts_53'!D512+'AARnetCBR-CamDTN1_tcpmon_ts_54'!D512+'AARnetCBR-CamDTN1_tcpmon_ts_55'!D512</f>
        <v>0</v>
      </c>
    </row>
    <row r="513" spans="1:16">
      <c r="A513">
        <f>'AARnetCBR-CamDTN1_tcpmon_ts_11'!A527</f>
        <v>0</v>
      </c>
      <c r="C513">
        <f>'AARnetCBR-CamDTN1_tcpmon_ts_11'!C527</f>
        <v>0</v>
      </c>
      <c r="D513">
        <f>'AARnetCBR-CamDTN1_tcpmon_ts_21'!C527+'AARnetCBR-CamDTN1_tcpmon_ts_22'!C527</f>
        <v>0</v>
      </c>
      <c r="E513">
        <f>'AARnetCBR-CamDTN1_tcpmon_ts_31'!C527+'AARnetCBR-CamDTN1_tcpmon_ts_32'!C527+'AARnetCBR-CamDTN1_tcpmon_ts_33'!C527</f>
        <v>0</v>
      </c>
      <c r="F513">
        <f>'AARnetCBR-CamDTN1_tcpmon_ts_41'!C527+'AARnetCBR-CamDTN1_tcpmon_ts_42'!C527+'AARnetCBR-CamDTN1_tcpmon_ts_43'!C527+'AARnetCBR-CamDTN1_tcpmon_ts_44'!C527</f>
        <v>0</v>
      </c>
      <c r="L513">
        <f>'AARnetCBR-CamDTN1_tcpmon_ts_11'!D513</f>
        <v>0</v>
      </c>
      <c r="M513">
        <f>'AARnetCBR-CamDTN1_tcpmon_ts_21'!D513+'AARnetCBR-CamDTN1_tcpmon_ts_22'!D513</f>
        <v>0</v>
      </c>
      <c r="N513">
        <f>'AARnetCBR-CamDTN1_tcpmon_ts_31'!D513+'AARnetCBR-CamDTN1_tcpmon_ts_32'!D513+'AARnetCBR-CamDTN1_tcpmon_ts_33'!D513</f>
        <v>0</v>
      </c>
      <c r="O513">
        <f>'AARnetCBR-CamDTN1_tcpmon_ts_41'!D513+'AARnetCBR-CamDTN1_tcpmon_ts_42'!D513+'AARnetCBR-CamDTN1_tcpmon_ts_43'!D513+'AARnetCBR-CamDTN1_tcpmon_ts_44'!D513</f>
        <v>0</v>
      </c>
      <c r="P513">
        <f>'AARnetCBR-CamDTN1_tcpmon_ts_51'!D513+'AARnetCBR-CamDTN1_tcpmon_ts_52'!D513+'AARnetCBR-CamDTN1_tcpmon_ts_53'!D513+'AARnetCBR-CamDTN1_tcpmon_ts_54'!D513+'AARnetCBR-CamDTN1_tcpmon_ts_55'!D513</f>
        <v>0</v>
      </c>
    </row>
    <row r="514" spans="1:16">
      <c r="A514">
        <f>'AARnetCBR-CamDTN1_tcpmon_ts_11'!A528</f>
        <v>0</v>
      </c>
      <c r="C514">
        <f>'AARnetCBR-CamDTN1_tcpmon_ts_11'!C528</f>
        <v>0</v>
      </c>
      <c r="D514">
        <f>'AARnetCBR-CamDTN1_tcpmon_ts_21'!C528+'AARnetCBR-CamDTN1_tcpmon_ts_22'!C528</f>
        <v>0</v>
      </c>
      <c r="E514">
        <f>'AARnetCBR-CamDTN1_tcpmon_ts_31'!C528+'AARnetCBR-CamDTN1_tcpmon_ts_32'!C528+'AARnetCBR-CamDTN1_tcpmon_ts_33'!C528</f>
        <v>0</v>
      </c>
      <c r="F514">
        <f>'AARnetCBR-CamDTN1_tcpmon_ts_41'!C528+'AARnetCBR-CamDTN1_tcpmon_ts_42'!C528+'AARnetCBR-CamDTN1_tcpmon_ts_43'!C528+'AARnetCBR-CamDTN1_tcpmon_ts_44'!C528</f>
        <v>0</v>
      </c>
      <c r="L514">
        <f>'AARnetCBR-CamDTN1_tcpmon_ts_11'!D514</f>
        <v>0</v>
      </c>
      <c r="M514">
        <f>'AARnetCBR-CamDTN1_tcpmon_ts_21'!D514+'AARnetCBR-CamDTN1_tcpmon_ts_22'!D514</f>
        <v>0</v>
      </c>
      <c r="N514">
        <f>'AARnetCBR-CamDTN1_tcpmon_ts_31'!D514+'AARnetCBR-CamDTN1_tcpmon_ts_32'!D514+'AARnetCBR-CamDTN1_tcpmon_ts_33'!D514</f>
        <v>0</v>
      </c>
      <c r="O514">
        <f>'AARnetCBR-CamDTN1_tcpmon_ts_41'!D514+'AARnetCBR-CamDTN1_tcpmon_ts_42'!D514+'AARnetCBR-CamDTN1_tcpmon_ts_43'!D514+'AARnetCBR-CamDTN1_tcpmon_ts_44'!D514</f>
        <v>0</v>
      </c>
      <c r="P514">
        <f>'AARnetCBR-CamDTN1_tcpmon_ts_51'!D514+'AARnetCBR-CamDTN1_tcpmon_ts_52'!D514+'AARnetCBR-CamDTN1_tcpmon_ts_53'!D514+'AARnetCBR-CamDTN1_tcpmon_ts_54'!D514+'AARnetCBR-CamDTN1_tcpmon_ts_55'!D514</f>
        <v>0</v>
      </c>
    </row>
    <row r="515" spans="1:16">
      <c r="A515">
        <f>'AARnetCBR-CamDTN1_tcpmon_ts_11'!A529</f>
        <v>0</v>
      </c>
      <c r="C515">
        <f>'AARnetCBR-CamDTN1_tcpmon_ts_11'!C529</f>
        <v>0</v>
      </c>
      <c r="D515">
        <f>'AARnetCBR-CamDTN1_tcpmon_ts_21'!C529+'AARnetCBR-CamDTN1_tcpmon_ts_22'!C529</f>
        <v>0</v>
      </c>
      <c r="E515">
        <f>'AARnetCBR-CamDTN1_tcpmon_ts_31'!C529+'AARnetCBR-CamDTN1_tcpmon_ts_32'!C529+'AARnetCBR-CamDTN1_tcpmon_ts_33'!C529</f>
        <v>0</v>
      </c>
      <c r="F515">
        <f>'AARnetCBR-CamDTN1_tcpmon_ts_41'!C529+'AARnetCBR-CamDTN1_tcpmon_ts_42'!C529+'AARnetCBR-CamDTN1_tcpmon_ts_43'!C529+'AARnetCBR-CamDTN1_tcpmon_ts_44'!C529</f>
        <v>0</v>
      </c>
      <c r="L515">
        <f>'AARnetCBR-CamDTN1_tcpmon_ts_11'!D515</f>
        <v>0</v>
      </c>
      <c r="M515">
        <f>'AARnetCBR-CamDTN1_tcpmon_ts_21'!D515+'AARnetCBR-CamDTN1_tcpmon_ts_22'!D515</f>
        <v>0</v>
      </c>
      <c r="N515">
        <f>'AARnetCBR-CamDTN1_tcpmon_ts_31'!D515+'AARnetCBR-CamDTN1_tcpmon_ts_32'!D515+'AARnetCBR-CamDTN1_tcpmon_ts_33'!D515</f>
        <v>0</v>
      </c>
      <c r="O515">
        <f>'AARnetCBR-CamDTN1_tcpmon_ts_41'!D515+'AARnetCBR-CamDTN1_tcpmon_ts_42'!D515+'AARnetCBR-CamDTN1_tcpmon_ts_43'!D515+'AARnetCBR-CamDTN1_tcpmon_ts_44'!D515</f>
        <v>0</v>
      </c>
      <c r="P515">
        <f>'AARnetCBR-CamDTN1_tcpmon_ts_51'!D515+'AARnetCBR-CamDTN1_tcpmon_ts_52'!D515+'AARnetCBR-CamDTN1_tcpmon_ts_53'!D515+'AARnetCBR-CamDTN1_tcpmon_ts_54'!D515+'AARnetCBR-CamDTN1_tcpmon_ts_55'!D515</f>
        <v>0</v>
      </c>
    </row>
    <row r="516" spans="1:16">
      <c r="A516">
        <f>'AARnetCBR-CamDTN1_tcpmon_ts_11'!A530</f>
        <v>0</v>
      </c>
      <c r="C516">
        <f>'AARnetCBR-CamDTN1_tcpmon_ts_11'!C530</f>
        <v>0</v>
      </c>
      <c r="D516">
        <f>'AARnetCBR-CamDTN1_tcpmon_ts_21'!C530+'AARnetCBR-CamDTN1_tcpmon_ts_22'!C530</f>
        <v>0</v>
      </c>
      <c r="E516">
        <f>'AARnetCBR-CamDTN1_tcpmon_ts_31'!C530+'AARnetCBR-CamDTN1_tcpmon_ts_32'!C530+'AARnetCBR-CamDTN1_tcpmon_ts_33'!C530</f>
        <v>0</v>
      </c>
      <c r="F516">
        <f>'AARnetCBR-CamDTN1_tcpmon_ts_41'!C530+'AARnetCBR-CamDTN1_tcpmon_ts_42'!C530+'AARnetCBR-CamDTN1_tcpmon_ts_43'!C530+'AARnetCBR-CamDTN1_tcpmon_ts_44'!C530</f>
        <v>0</v>
      </c>
      <c r="L516">
        <f>'AARnetCBR-CamDTN1_tcpmon_ts_11'!D516</f>
        <v>0</v>
      </c>
      <c r="M516">
        <f>'AARnetCBR-CamDTN1_tcpmon_ts_21'!D516+'AARnetCBR-CamDTN1_tcpmon_ts_22'!D516</f>
        <v>0</v>
      </c>
      <c r="N516">
        <f>'AARnetCBR-CamDTN1_tcpmon_ts_31'!D516+'AARnetCBR-CamDTN1_tcpmon_ts_32'!D516+'AARnetCBR-CamDTN1_tcpmon_ts_33'!D516</f>
        <v>0</v>
      </c>
      <c r="O516">
        <f>'AARnetCBR-CamDTN1_tcpmon_ts_41'!D516+'AARnetCBR-CamDTN1_tcpmon_ts_42'!D516+'AARnetCBR-CamDTN1_tcpmon_ts_43'!D516+'AARnetCBR-CamDTN1_tcpmon_ts_44'!D516</f>
        <v>0</v>
      </c>
      <c r="P516">
        <f>'AARnetCBR-CamDTN1_tcpmon_ts_51'!D516+'AARnetCBR-CamDTN1_tcpmon_ts_52'!D516+'AARnetCBR-CamDTN1_tcpmon_ts_53'!D516+'AARnetCBR-CamDTN1_tcpmon_ts_54'!D516+'AARnetCBR-CamDTN1_tcpmon_ts_55'!D516</f>
        <v>0</v>
      </c>
    </row>
    <row r="517" spans="1:16">
      <c r="A517">
        <f>'AARnetCBR-CamDTN1_tcpmon_ts_11'!A531</f>
        <v>0</v>
      </c>
      <c r="C517">
        <f>'AARnetCBR-CamDTN1_tcpmon_ts_11'!C531</f>
        <v>0</v>
      </c>
      <c r="D517">
        <f>'AARnetCBR-CamDTN1_tcpmon_ts_21'!C531+'AARnetCBR-CamDTN1_tcpmon_ts_22'!C531</f>
        <v>0</v>
      </c>
      <c r="E517">
        <f>'AARnetCBR-CamDTN1_tcpmon_ts_31'!C531+'AARnetCBR-CamDTN1_tcpmon_ts_32'!C531+'AARnetCBR-CamDTN1_tcpmon_ts_33'!C531</f>
        <v>0</v>
      </c>
      <c r="F517">
        <f>'AARnetCBR-CamDTN1_tcpmon_ts_41'!C531+'AARnetCBR-CamDTN1_tcpmon_ts_42'!C531+'AARnetCBR-CamDTN1_tcpmon_ts_43'!C531+'AARnetCBR-CamDTN1_tcpmon_ts_44'!C531</f>
        <v>0</v>
      </c>
      <c r="L517">
        <f>'AARnetCBR-CamDTN1_tcpmon_ts_11'!D517</f>
        <v>0</v>
      </c>
      <c r="M517">
        <f>'AARnetCBR-CamDTN1_tcpmon_ts_21'!D517+'AARnetCBR-CamDTN1_tcpmon_ts_22'!D517</f>
        <v>0</v>
      </c>
      <c r="N517">
        <f>'AARnetCBR-CamDTN1_tcpmon_ts_31'!D517+'AARnetCBR-CamDTN1_tcpmon_ts_32'!D517+'AARnetCBR-CamDTN1_tcpmon_ts_33'!D517</f>
        <v>0</v>
      </c>
      <c r="O517">
        <f>'AARnetCBR-CamDTN1_tcpmon_ts_41'!D517+'AARnetCBR-CamDTN1_tcpmon_ts_42'!D517+'AARnetCBR-CamDTN1_tcpmon_ts_43'!D517+'AARnetCBR-CamDTN1_tcpmon_ts_44'!D517</f>
        <v>0</v>
      </c>
      <c r="P517">
        <f>'AARnetCBR-CamDTN1_tcpmon_ts_51'!D517+'AARnetCBR-CamDTN1_tcpmon_ts_52'!D517+'AARnetCBR-CamDTN1_tcpmon_ts_53'!D517+'AARnetCBR-CamDTN1_tcpmon_ts_54'!D517+'AARnetCBR-CamDTN1_tcpmon_ts_55'!D517</f>
        <v>0</v>
      </c>
    </row>
    <row r="518" spans="1:16">
      <c r="A518">
        <f>'AARnetCBR-CamDTN1_tcpmon_ts_11'!A532</f>
        <v>0</v>
      </c>
      <c r="C518">
        <f>'AARnetCBR-CamDTN1_tcpmon_ts_11'!C532</f>
        <v>0</v>
      </c>
      <c r="D518">
        <f>'AARnetCBR-CamDTN1_tcpmon_ts_21'!C532+'AARnetCBR-CamDTN1_tcpmon_ts_22'!C532</f>
        <v>0</v>
      </c>
      <c r="E518">
        <f>'AARnetCBR-CamDTN1_tcpmon_ts_31'!C532+'AARnetCBR-CamDTN1_tcpmon_ts_32'!C532+'AARnetCBR-CamDTN1_tcpmon_ts_33'!C532</f>
        <v>0</v>
      </c>
      <c r="F518">
        <f>'AARnetCBR-CamDTN1_tcpmon_ts_41'!C532+'AARnetCBR-CamDTN1_tcpmon_ts_42'!C532+'AARnetCBR-CamDTN1_tcpmon_ts_43'!C532+'AARnetCBR-CamDTN1_tcpmon_ts_44'!C532</f>
        <v>0</v>
      </c>
      <c r="L518">
        <f>'AARnetCBR-CamDTN1_tcpmon_ts_11'!D518</f>
        <v>0</v>
      </c>
      <c r="M518">
        <f>'AARnetCBR-CamDTN1_tcpmon_ts_21'!D518+'AARnetCBR-CamDTN1_tcpmon_ts_22'!D518</f>
        <v>0</v>
      </c>
      <c r="N518">
        <f>'AARnetCBR-CamDTN1_tcpmon_ts_31'!D518+'AARnetCBR-CamDTN1_tcpmon_ts_32'!D518+'AARnetCBR-CamDTN1_tcpmon_ts_33'!D518</f>
        <v>0</v>
      </c>
      <c r="O518">
        <f>'AARnetCBR-CamDTN1_tcpmon_ts_41'!D518+'AARnetCBR-CamDTN1_tcpmon_ts_42'!D518+'AARnetCBR-CamDTN1_tcpmon_ts_43'!D518+'AARnetCBR-CamDTN1_tcpmon_ts_44'!D518</f>
        <v>0</v>
      </c>
      <c r="P518">
        <f>'AARnetCBR-CamDTN1_tcpmon_ts_51'!D518+'AARnetCBR-CamDTN1_tcpmon_ts_52'!D518+'AARnetCBR-CamDTN1_tcpmon_ts_53'!D518+'AARnetCBR-CamDTN1_tcpmon_ts_54'!D518+'AARnetCBR-CamDTN1_tcpmon_ts_55'!D518</f>
        <v>0</v>
      </c>
    </row>
    <row r="519" spans="1:16">
      <c r="A519">
        <f>'AARnetCBR-CamDTN1_tcpmon_ts_11'!A533</f>
        <v>0</v>
      </c>
      <c r="C519">
        <f>'AARnetCBR-CamDTN1_tcpmon_ts_11'!C533</f>
        <v>0</v>
      </c>
      <c r="D519">
        <f>'AARnetCBR-CamDTN1_tcpmon_ts_21'!C533+'AARnetCBR-CamDTN1_tcpmon_ts_22'!C533</f>
        <v>0</v>
      </c>
      <c r="E519">
        <f>'AARnetCBR-CamDTN1_tcpmon_ts_31'!C533+'AARnetCBR-CamDTN1_tcpmon_ts_32'!C533+'AARnetCBR-CamDTN1_tcpmon_ts_33'!C533</f>
        <v>0</v>
      </c>
      <c r="F519">
        <f>'AARnetCBR-CamDTN1_tcpmon_ts_41'!C533+'AARnetCBR-CamDTN1_tcpmon_ts_42'!C533+'AARnetCBR-CamDTN1_tcpmon_ts_43'!C533+'AARnetCBR-CamDTN1_tcpmon_ts_44'!C533</f>
        <v>0</v>
      </c>
      <c r="L519">
        <f>'AARnetCBR-CamDTN1_tcpmon_ts_11'!D519</f>
        <v>0</v>
      </c>
      <c r="M519">
        <f>'AARnetCBR-CamDTN1_tcpmon_ts_21'!D519+'AARnetCBR-CamDTN1_tcpmon_ts_22'!D519</f>
        <v>0</v>
      </c>
      <c r="N519">
        <f>'AARnetCBR-CamDTN1_tcpmon_ts_31'!D519+'AARnetCBR-CamDTN1_tcpmon_ts_32'!D519+'AARnetCBR-CamDTN1_tcpmon_ts_33'!D519</f>
        <v>0</v>
      </c>
      <c r="O519">
        <f>'AARnetCBR-CamDTN1_tcpmon_ts_41'!D519+'AARnetCBR-CamDTN1_tcpmon_ts_42'!D519+'AARnetCBR-CamDTN1_tcpmon_ts_43'!D519+'AARnetCBR-CamDTN1_tcpmon_ts_44'!D519</f>
        <v>0</v>
      </c>
      <c r="P519">
        <f>'AARnetCBR-CamDTN1_tcpmon_ts_51'!D519+'AARnetCBR-CamDTN1_tcpmon_ts_52'!D519+'AARnetCBR-CamDTN1_tcpmon_ts_53'!D519+'AARnetCBR-CamDTN1_tcpmon_ts_54'!D519+'AARnetCBR-CamDTN1_tcpmon_ts_55'!D519</f>
        <v>0</v>
      </c>
    </row>
    <row r="520" spans="1:16">
      <c r="A520">
        <f>'AARnetCBR-CamDTN1_tcpmon_ts_11'!A534</f>
        <v>0</v>
      </c>
      <c r="C520">
        <f>'AARnetCBR-CamDTN1_tcpmon_ts_11'!C534</f>
        <v>0</v>
      </c>
      <c r="D520">
        <f>'AARnetCBR-CamDTN1_tcpmon_ts_21'!C534+'AARnetCBR-CamDTN1_tcpmon_ts_22'!C534</f>
        <v>0</v>
      </c>
      <c r="E520">
        <f>'AARnetCBR-CamDTN1_tcpmon_ts_31'!C534+'AARnetCBR-CamDTN1_tcpmon_ts_32'!C534+'AARnetCBR-CamDTN1_tcpmon_ts_33'!C534</f>
        <v>0</v>
      </c>
      <c r="F520">
        <f>'AARnetCBR-CamDTN1_tcpmon_ts_41'!C534+'AARnetCBR-CamDTN1_tcpmon_ts_42'!C534+'AARnetCBR-CamDTN1_tcpmon_ts_43'!C534+'AARnetCBR-CamDTN1_tcpmon_ts_44'!C534</f>
        <v>0</v>
      </c>
      <c r="L520">
        <f>'AARnetCBR-CamDTN1_tcpmon_ts_11'!D520</f>
        <v>0</v>
      </c>
      <c r="M520">
        <f>'AARnetCBR-CamDTN1_tcpmon_ts_21'!D520+'AARnetCBR-CamDTN1_tcpmon_ts_22'!D520</f>
        <v>0</v>
      </c>
      <c r="N520">
        <f>'AARnetCBR-CamDTN1_tcpmon_ts_31'!D520+'AARnetCBR-CamDTN1_tcpmon_ts_32'!D520+'AARnetCBR-CamDTN1_tcpmon_ts_33'!D520</f>
        <v>0</v>
      </c>
      <c r="O520">
        <f>'AARnetCBR-CamDTN1_tcpmon_ts_41'!D520+'AARnetCBR-CamDTN1_tcpmon_ts_42'!D520+'AARnetCBR-CamDTN1_tcpmon_ts_43'!D520+'AARnetCBR-CamDTN1_tcpmon_ts_44'!D520</f>
        <v>0</v>
      </c>
      <c r="P520">
        <f>'AARnetCBR-CamDTN1_tcpmon_ts_51'!D520+'AARnetCBR-CamDTN1_tcpmon_ts_52'!D520+'AARnetCBR-CamDTN1_tcpmon_ts_53'!D520+'AARnetCBR-CamDTN1_tcpmon_ts_54'!D520+'AARnetCBR-CamDTN1_tcpmon_ts_55'!D520</f>
        <v>0</v>
      </c>
    </row>
    <row r="521" spans="1:16">
      <c r="A521">
        <f>'AARnetCBR-CamDTN1_tcpmon_ts_11'!A535</f>
        <v>0</v>
      </c>
      <c r="C521">
        <f>'AARnetCBR-CamDTN1_tcpmon_ts_11'!C535</f>
        <v>0</v>
      </c>
      <c r="D521">
        <f>'AARnetCBR-CamDTN1_tcpmon_ts_21'!C535+'AARnetCBR-CamDTN1_tcpmon_ts_22'!C535</f>
        <v>0</v>
      </c>
      <c r="E521">
        <f>'AARnetCBR-CamDTN1_tcpmon_ts_31'!C535+'AARnetCBR-CamDTN1_tcpmon_ts_32'!C535+'AARnetCBR-CamDTN1_tcpmon_ts_33'!C535</f>
        <v>0</v>
      </c>
      <c r="F521">
        <f>'AARnetCBR-CamDTN1_tcpmon_ts_41'!C535+'AARnetCBR-CamDTN1_tcpmon_ts_42'!C535+'AARnetCBR-CamDTN1_tcpmon_ts_43'!C535+'AARnetCBR-CamDTN1_tcpmon_ts_44'!C535</f>
        <v>0</v>
      </c>
      <c r="L521">
        <f>'AARnetCBR-CamDTN1_tcpmon_ts_11'!D521</f>
        <v>0</v>
      </c>
      <c r="M521">
        <f>'AARnetCBR-CamDTN1_tcpmon_ts_21'!D521+'AARnetCBR-CamDTN1_tcpmon_ts_22'!D521</f>
        <v>0</v>
      </c>
      <c r="N521">
        <f>'AARnetCBR-CamDTN1_tcpmon_ts_31'!D521+'AARnetCBR-CamDTN1_tcpmon_ts_32'!D521+'AARnetCBR-CamDTN1_tcpmon_ts_33'!D521</f>
        <v>0</v>
      </c>
      <c r="O521">
        <f>'AARnetCBR-CamDTN1_tcpmon_ts_41'!D521+'AARnetCBR-CamDTN1_tcpmon_ts_42'!D521+'AARnetCBR-CamDTN1_tcpmon_ts_43'!D521+'AARnetCBR-CamDTN1_tcpmon_ts_44'!D521</f>
        <v>0</v>
      </c>
      <c r="P521">
        <f>'AARnetCBR-CamDTN1_tcpmon_ts_51'!D521+'AARnetCBR-CamDTN1_tcpmon_ts_52'!D521+'AARnetCBR-CamDTN1_tcpmon_ts_53'!D521+'AARnetCBR-CamDTN1_tcpmon_ts_54'!D521+'AARnetCBR-CamDTN1_tcpmon_ts_55'!D521</f>
        <v>0</v>
      </c>
    </row>
    <row r="522" spans="1:16">
      <c r="A522">
        <f>'AARnetCBR-CamDTN1_tcpmon_ts_11'!A536</f>
        <v>0</v>
      </c>
      <c r="C522">
        <f>'AARnetCBR-CamDTN1_tcpmon_ts_11'!C536</f>
        <v>0</v>
      </c>
      <c r="D522">
        <f>'AARnetCBR-CamDTN1_tcpmon_ts_21'!C536+'AARnetCBR-CamDTN1_tcpmon_ts_22'!C536</f>
        <v>0</v>
      </c>
      <c r="E522">
        <f>'AARnetCBR-CamDTN1_tcpmon_ts_31'!C536+'AARnetCBR-CamDTN1_tcpmon_ts_32'!C536+'AARnetCBR-CamDTN1_tcpmon_ts_33'!C536</f>
        <v>0</v>
      </c>
      <c r="F522">
        <f>'AARnetCBR-CamDTN1_tcpmon_ts_41'!C536+'AARnetCBR-CamDTN1_tcpmon_ts_42'!C536+'AARnetCBR-CamDTN1_tcpmon_ts_43'!C536+'AARnetCBR-CamDTN1_tcpmon_ts_44'!C536</f>
        <v>0</v>
      </c>
      <c r="L522">
        <f>'AARnetCBR-CamDTN1_tcpmon_ts_11'!D522</f>
        <v>0</v>
      </c>
      <c r="M522">
        <f>'AARnetCBR-CamDTN1_tcpmon_ts_21'!D522+'AARnetCBR-CamDTN1_tcpmon_ts_22'!D522</f>
        <v>0</v>
      </c>
      <c r="N522">
        <f>'AARnetCBR-CamDTN1_tcpmon_ts_31'!D522+'AARnetCBR-CamDTN1_tcpmon_ts_32'!D522+'AARnetCBR-CamDTN1_tcpmon_ts_33'!D522</f>
        <v>0</v>
      </c>
      <c r="O522">
        <f>'AARnetCBR-CamDTN1_tcpmon_ts_41'!D522+'AARnetCBR-CamDTN1_tcpmon_ts_42'!D522+'AARnetCBR-CamDTN1_tcpmon_ts_43'!D522+'AARnetCBR-CamDTN1_tcpmon_ts_44'!D522</f>
        <v>0</v>
      </c>
      <c r="P522">
        <f>'AARnetCBR-CamDTN1_tcpmon_ts_51'!D522+'AARnetCBR-CamDTN1_tcpmon_ts_52'!D522+'AARnetCBR-CamDTN1_tcpmon_ts_53'!D522+'AARnetCBR-CamDTN1_tcpmon_ts_54'!D522+'AARnetCBR-CamDTN1_tcpmon_ts_55'!D522</f>
        <v>0</v>
      </c>
    </row>
    <row r="523" spans="1:16">
      <c r="A523">
        <f>'AARnetCBR-CamDTN1_tcpmon_ts_11'!A537</f>
        <v>0</v>
      </c>
      <c r="C523">
        <f>'AARnetCBR-CamDTN1_tcpmon_ts_11'!C537</f>
        <v>0</v>
      </c>
      <c r="D523">
        <f>'AARnetCBR-CamDTN1_tcpmon_ts_21'!C537+'AARnetCBR-CamDTN1_tcpmon_ts_22'!C537</f>
        <v>0</v>
      </c>
      <c r="E523">
        <f>'AARnetCBR-CamDTN1_tcpmon_ts_31'!C537+'AARnetCBR-CamDTN1_tcpmon_ts_32'!C537+'AARnetCBR-CamDTN1_tcpmon_ts_33'!C537</f>
        <v>0</v>
      </c>
      <c r="F523">
        <f>'AARnetCBR-CamDTN1_tcpmon_ts_41'!C537+'AARnetCBR-CamDTN1_tcpmon_ts_42'!C537+'AARnetCBR-CamDTN1_tcpmon_ts_43'!C537+'AARnetCBR-CamDTN1_tcpmon_ts_44'!C537</f>
        <v>0</v>
      </c>
      <c r="L523">
        <f>'AARnetCBR-CamDTN1_tcpmon_ts_11'!D523</f>
        <v>0</v>
      </c>
      <c r="M523">
        <f>'AARnetCBR-CamDTN1_tcpmon_ts_21'!D523+'AARnetCBR-CamDTN1_tcpmon_ts_22'!D523</f>
        <v>0</v>
      </c>
      <c r="N523">
        <f>'AARnetCBR-CamDTN1_tcpmon_ts_31'!D523+'AARnetCBR-CamDTN1_tcpmon_ts_32'!D523+'AARnetCBR-CamDTN1_tcpmon_ts_33'!D523</f>
        <v>0</v>
      </c>
      <c r="O523">
        <f>'AARnetCBR-CamDTN1_tcpmon_ts_41'!D523+'AARnetCBR-CamDTN1_tcpmon_ts_42'!D523+'AARnetCBR-CamDTN1_tcpmon_ts_43'!D523+'AARnetCBR-CamDTN1_tcpmon_ts_44'!D523</f>
        <v>0</v>
      </c>
      <c r="P523">
        <f>'AARnetCBR-CamDTN1_tcpmon_ts_51'!D523+'AARnetCBR-CamDTN1_tcpmon_ts_52'!D523+'AARnetCBR-CamDTN1_tcpmon_ts_53'!D523+'AARnetCBR-CamDTN1_tcpmon_ts_54'!D523+'AARnetCBR-CamDTN1_tcpmon_ts_55'!D523</f>
        <v>0</v>
      </c>
    </row>
    <row r="524" spans="1:16">
      <c r="A524">
        <f>'AARnetCBR-CamDTN1_tcpmon_ts_11'!A538</f>
        <v>0</v>
      </c>
      <c r="C524">
        <f>'AARnetCBR-CamDTN1_tcpmon_ts_11'!C538</f>
        <v>0</v>
      </c>
      <c r="D524">
        <f>'AARnetCBR-CamDTN1_tcpmon_ts_21'!C538+'AARnetCBR-CamDTN1_tcpmon_ts_22'!C538</f>
        <v>0</v>
      </c>
      <c r="E524">
        <f>'AARnetCBR-CamDTN1_tcpmon_ts_31'!C538+'AARnetCBR-CamDTN1_tcpmon_ts_32'!C538+'AARnetCBR-CamDTN1_tcpmon_ts_33'!C538</f>
        <v>0</v>
      </c>
      <c r="F524">
        <f>'AARnetCBR-CamDTN1_tcpmon_ts_41'!C538+'AARnetCBR-CamDTN1_tcpmon_ts_42'!C538+'AARnetCBR-CamDTN1_tcpmon_ts_43'!C538+'AARnetCBR-CamDTN1_tcpmon_ts_44'!C538</f>
        <v>0</v>
      </c>
      <c r="L524">
        <f>'AARnetCBR-CamDTN1_tcpmon_ts_11'!D524</f>
        <v>0</v>
      </c>
      <c r="M524">
        <f>'AARnetCBR-CamDTN1_tcpmon_ts_21'!D524+'AARnetCBR-CamDTN1_tcpmon_ts_22'!D524</f>
        <v>0</v>
      </c>
      <c r="N524">
        <f>'AARnetCBR-CamDTN1_tcpmon_ts_31'!D524+'AARnetCBR-CamDTN1_tcpmon_ts_32'!D524+'AARnetCBR-CamDTN1_tcpmon_ts_33'!D524</f>
        <v>0</v>
      </c>
      <c r="O524">
        <f>'AARnetCBR-CamDTN1_tcpmon_ts_41'!D524+'AARnetCBR-CamDTN1_tcpmon_ts_42'!D524+'AARnetCBR-CamDTN1_tcpmon_ts_43'!D524+'AARnetCBR-CamDTN1_tcpmon_ts_44'!D524</f>
        <v>0</v>
      </c>
      <c r="P524">
        <f>'AARnetCBR-CamDTN1_tcpmon_ts_51'!D524+'AARnetCBR-CamDTN1_tcpmon_ts_52'!D524+'AARnetCBR-CamDTN1_tcpmon_ts_53'!D524+'AARnetCBR-CamDTN1_tcpmon_ts_54'!D524+'AARnetCBR-CamDTN1_tcpmon_ts_55'!D524</f>
        <v>0</v>
      </c>
    </row>
    <row r="525" spans="1:16">
      <c r="A525">
        <f>'AARnetCBR-CamDTN1_tcpmon_ts_11'!A539</f>
        <v>0</v>
      </c>
      <c r="C525">
        <f>'AARnetCBR-CamDTN1_tcpmon_ts_11'!C539</f>
        <v>0</v>
      </c>
      <c r="D525">
        <f>'AARnetCBR-CamDTN1_tcpmon_ts_21'!C539+'AARnetCBR-CamDTN1_tcpmon_ts_22'!C539</f>
        <v>0</v>
      </c>
      <c r="E525">
        <f>'AARnetCBR-CamDTN1_tcpmon_ts_31'!C539+'AARnetCBR-CamDTN1_tcpmon_ts_32'!C539+'AARnetCBR-CamDTN1_tcpmon_ts_33'!C539</f>
        <v>0</v>
      </c>
      <c r="F525">
        <f>'AARnetCBR-CamDTN1_tcpmon_ts_41'!C539+'AARnetCBR-CamDTN1_tcpmon_ts_42'!C539+'AARnetCBR-CamDTN1_tcpmon_ts_43'!C539+'AARnetCBR-CamDTN1_tcpmon_ts_44'!C539</f>
        <v>0</v>
      </c>
      <c r="L525">
        <f>'AARnetCBR-CamDTN1_tcpmon_ts_11'!D525</f>
        <v>0</v>
      </c>
      <c r="M525">
        <f>'AARnetCBR-CamDTN1_tcpmon_ts_21'!D525+'AARnetCBR-CamDTN1_tcpmon_ts_22'!D525</f>
        <v>0</v>
      </c>
      <c r="N525">
        <f>'AARnetCBR-CamDTN1_tcpmon_ts_31'!D525+'AARnetCBR-CamDTN1_tcpmon_ts_32'!D525+'AARnetCBR-CamDTN1_tcpmon_ts_33'!D525</f>
        <v>0</v>
      </c>
      <c r="O525">
        <f>'AARnetCBR-CamDTN1_tcpmon_ts_41'!D525+'AARnetCBR-CamDTN1_tcpmon_ts_42'!D525+'AARnetCBR-CamDTN1_tcpmon_ts_43'!D525+'AARnetCBR-CamDTN1_tcpmon_ts_44'!D525</f>
        <v>0</v>
      </c>
      <c r="P525">
        <f>'AARnetCBR-CamDTN1_tcpmon_ts_51'!D525+'AARnetCBR-CamDTN1_tcpmon_ts_52'!D525+'AARnetCBR-CamDTN1_tcpmon_ts_53'!D525+'AARnetCBR-CamDTN1_tcpmon_ts_54'!D525+'AARnetCBR-CamDTN1_tcpmon_ts_55'!D525</f>
        <v>0</v>
      </c>
    </row>
    <row r="526" spans="1:16">
      <c r="A526">
        <f>'AARnetCBR-CamDTN1_tcpmon_ts_11'!A540</f>
        <v>0</v>
      </c>
      <c r="C526">
        <f>'AARnetCBR-CamDTN1_tcpmon_ts_11'!C540</f>
        <v>0</v>
      </c>
      <c r="D526">
        <f>'AARnetCBR-CamDTN1_tcpmon_ts_21'!C540+'AARnetCBR-CamDTN1_tcpmon_ts_22'!C540</f>
        <v>0</v>
      </c>
      <c r="E526">
        <f>'AARnetCBR-CamDTN1_tcpmon_ts_31'!C540+'AARnetCBR-CamDTN1_tcpmon_ts_32'!C540+'AARnetCBR-CamDTN1_tcpmon_ts_33'!C540</f>
        <v>0</v>
      </c>
      <c r="F526">
        <f>'AARnetCBR-CamDTN1_tcpmon_ts_41'!C540+'AARnetCBR-CamDTN1_tcpmon_ts_42'!C540+'AARnetCBR-CamDTN1_tcpmon_ts_43'!C540+'AARnetCBR-CamDTN1_tcpmon_ts_44'!C540</f>
        <v>0</v>
      </c>
      <c r="L526">
        <f>'AARnetCBR-CamDTN1_tcpmon_ts_11'!D526</f>
        <v>0</v>
      </c>
      <c r="M526">
        <f>'AARnetCBR-CamDTN1_tcpmon_ts_21'!D526+'AARnetCBR-CamDTN1_tcpmon_ts_22'!D526</f>
        <v>0</v>
      </c>
      <c r="N526">
        <f>'AARnetCBR-CamDTN1_tcpmon_ts_31'!D526+'AARnetCBR-CamDTN1_tcpmon_ts_32'!D526+'AARnetCBR-CamDTN1_tcpmon_ts_33'!D526</f>
        <v>0</v>
      </c>
      <c r="O526">
        <f>'AARnetCBR-CamDTN1_tcpmon_ts_41'!D526+'AARnetCBR-CamDTN1_tcpmon_ts_42'!D526+'AARnetCBR-CamDTN1_tcpmon_ts_43'!D526+'AARnetCBR-CamDTN1_tcpmon_ts_44'!D526</f>
        <v>0</v>
      </c>
      <c r="P526">
        <f>'AARnetCBR-CamDTN1_tcpmon_ts_51'!D526+'AARnetCBR-CamDTN1_tcpmon_ts_52'!D526+'AARnetCBR-CamDTN1_tcpmon_ts_53'!D526+'AARnetCBR-CamDTN1_tcpmon_ts_54'!D526+'AARnetCBR-CamDTN1_tcpmon_ts_55'!D526</f>
        <v>0</v>
      </c>
    </row>
    <row r="527" spans="1:16">
      <c r="A527">
        <f>'AARnetCBR-CamDTN1_tcpmon_ts_11'!A541</f>
        <v>0</v>
      </c>
      <c r="C527">
        <f>'AARnetCBR-CamDTN1_tcpmon_ts_11'!C541</f>
        <v>0</v>
      </c>
      <c r="D527">
        <f>'AARnetCBR-CamDTN1_tcpmon_ts_21'!C541+'AARnetCBR-CamDTN1_tcpmon_ts_22'!C541</f>
        <v>0</v>
      </c>
      <c r="E527">
        <f>'AARnetCBR-CamDTN1_tcpmon_ts_31'!C541+'AARnetCBR-CamDTN1_tcpmon_ts_32'!C541+'AARnetCBR-CamDTN1_tcpmon_ts_33'!C541</f>
        <v>0</v>
      </c>
      <c r="F527">
        <f>'AARnetCBR-CamDTN1_tcpmon_ts_41'!C541+'AARnetCBR-CamDTN1_tcpmon_ts_42'!C541+'AARnetCBR-CamDTN1_tcpmon_ts_43'!C541+'AARnetCBR-CamDTN1_tcpmon_ts_44'!C541</f>
        <v>0</v>
      </c>
      <c r="L527">
        <f>'AARnetCBR-CamDTN1_tcpmon_ts_11'!D527</f>
        <v>0</v>
      </c>
      <c r="M527">
        <f>'AARnetCBR-CamDTN1_tcpmon_ts_21'!D527+'AARnetCBR-CamDTN1_tcpmon_ts_22'!D527</f>
        <v>0</v>
      </c>
      <c r="N527">
        <f>'AARnetCBR-CamDTN1_tcpmon_ts_31'!D527+'AARnetCBR-CamDTN1_tcpmon_ts_32'!D527+'AARnetCBR-CamDTN1_tcpmon_ts_33'!D527</f>
        <v>0</v>
      </c>
      <c r="O527">
        <f>'AARnetCBR-CamDTN1_tcpmon_ts_41'!D527+'AARnetCBR-CamDTN1_tcpmon_ts_42'!D527+'AARnetCBR-CamDTN1_tcpmon_ts_43'!D527+'AARnetCBR-CamDTN1_tcpmon_ts_44'!D527</f>
        <v>0</v>
      </c>
      <c r="P527">
        <f>'AARnetCBR-CamDTN1_tcpmon_ts_51'!D527+'AARnetCBR-CamDTN1_tcpmon_ts_52'!D527+'AARnetCBR-CamDTN1_tcpmon_ts_53'!D527+'AARnetCBR-CamDTN1_tcpmon_ts_54'!D527+'AARnetCBR-CamDTN1_tcpmon_ts_55'!D527</f>
        <v>0</v>
      </c>
    </row>
    <row r="528" spans="1:16">
      <c r="A528">
        <f>'AARnetCBR-CamDTN1_tcpmon_ts_11'!A542</f>
        <v>0</v>
      </c>
      <c r="C528">
        <f>'AARnetCBR-CamDTN1_tcpmon_ts_11'!C542</f>
        <v>0</v>
      </c>
      <c r="D528">
        <f>'AARnetCBR-CamDTN1_tcpmon_ts_21'!C542+'AARnetCBR-CamDTN1_tcpmon_ts_22'!C542</f>
        <v>0</v>
      </c>
      <c r="E528">
        <f>'AARnetCBR-CamDTN1_tcpmon_ts_31'!C542+'AARnetCBR-CamDTN1_tcpmon_ts_32'!C542+'AARnetCBR-CamDTN1_tcpmon_ts_33'!C542</f>
        <v>0</v>
      </c>
      <c r="F528">
        <f>'AARnetCBR-CamDTN1_tcpmon_ts_41'!C542+'AARnetCBR-CamDTN1_tcpmon_ts_42'!C542+'AARnetCBR-CamDTN1_tcpmon_ts_43'!C542+'AARnetCBR-CamDTN1_tcpmon_ts_44'!C542</f>
        <v>0</v>
      </c>
      <c r="L528">
        <f>'AARnetCBR-CamDTN1_tcpmon_ts_11'!D528</f>
        <v>0</v>
      </c>
      <c r="M528">
        <f>'AARnetCBR-CamDTN1_tcpmon_ts_21'!D528+'AARnetCBR-CamDTN1_tcpmon_ts_22'!D528</f>
        <v>0</v>
      </c>
      <c r="N528">
        <f>'AARnetCBR-CamDTN1_tcpmon_ts_31'!D528+'AARnetCBR-CamDTN1_tcpmon_ts_32'!D528+'AARnetCBR-CamDTN1_tcpmon_ts_33'!D528</f>
        <v>0</v>
      </c>
      <c r="O528">
        <f>'AARnetCBR-CamDTN1_tcpmon_ts_41'!D528+'AARnetCBR-CamDTN1_tcpmon_ts_42'!D528+'AARnetCBR-CamDTN1_tcpmon_ts_43'!D528+'AARnetCBR-CamDTN1_tcpmon_ts_44'!D528</f>
        <v>0</v>
      </c>
      <c r="P528">
        <f>'AARnetCBR-CamDTN1_tcpmon_ts_51'!D528+'AARnetCBR-CamDTN1_tcpmon_ts_52'!D528+'AARnetCBR-CamDTN1_tcpmon_ts_53'!D528+'AARnetCBR-CamDTN1_tcpmon_ts_54'!D528+'AARnetCBR-CamDTN1_tcpmon_ts_55'!D528</f>
        <v>0</v>
      </c>
    </row>
    <row r="529" spans="1:16">
      <c r="A529">
        <f>'AARnetCBR-CamDTN1_tcpmon_ts_11'!A543</f>
        <v>0</v>
      </c>
      <c r="C529">
        <f>'AARnetCBR-CamDTN1_tcpmon_ts_11'!C543</f>
        <v>0</v>
      </c>
      <c r="D529">
        <f>'AARnetCBR-CamDTN1_tcpmon_ts_21'!C543+'AARnetCBR-CamDTN1_tcpmon_ts_22'!C543</f>
        <v>0</v>
      </c>
      <c r="E529">
        <f>'AARnetCBR-CamDTN1_tcpmon_ts_31'!C543+'AARnetCBR-CamDTN1_tcpmon_ts_32'!C543+'AARnetCBR-CamDTN1_tcpmon_ts_33'!C543</f>
        <v>0</v>
      </c>
      <c r="F529">
        <f>'AARnetCBR-CamDTN1_tcpmon_ts_41'!C543+'AARnetCBR-CamDTN1_tcpmon_ts_42'!C543+'AARnetCBR-CamDTN1_tcpmon_ts_43'!C543+'AARnetCBR-CamDTN1_tcpmon_ts_44'!C543</f>
        <v>0</v>
      </c>
      <c r="L529">
        <f>'AARnetCBR-CamDTN1_tcpmon_ts_11'!D529</f>
        <v>0</v>
      </c>
      <c r="M529">
        <f>'AARnetCBR-CamDTN1_tcpmon_ts_21'!D529+'AARnetCBR-CamDTN1_tcpmon_ts_22'!D529</f>
        <v>0</v>
      </c>
      <c r="N529">
        <f>'AARnetCBR-CamDTN1_tcpmon_ts_31'!D529+'AARnetCBR-CamDTN1_tcpmon_ts_32'!D529+'AARnetCBR-CamDTN1_tcpmon_ts_33'!D529</f>
        <v>0</v>
      </c>
      <c r="O529">
        <f>'AARnetCBR-CamDTN1_tcpmon_ts_41'!D529+'AARnetCBR-CamDTN1_tcpmon_ts_42'!D529+'AARnetCBR-CamDTN1_tcpmon_ts_43'!D529+'AARnetCBR-CamDTN1_tcpmon_ts_44'!D529</f>
        <v>0</v>
      </c>
      <c r="P529">
        <f>'AARnetCBR-CamDTN1_tcpmon_ts_51'!D529+'AARnetCBR-CamDTN1_tcpmon_ts_52'!D529+'AARnetCBR-CamDTN1_tcpmon_ts_53'!D529+'AARnetCBR-CamDTN1_tcpmon_ts_54'!D529+'AARnetCBR-CamDTN1_tcpmon_ts_55'!D529</f>
        <v>0</v>
      </c>
    </row>
    <row r="530" spans="1:16">
      <c r="A530">
        <f>'AARnetCBR-CamDTN1_tcpmon_ts_11'!A544</f>
        <v>0</v>
      </c>
      <c r="C530">
        <f>'AARnetCBR-CamDTN1_tcpmon_ts_11'!C544</f>
        <v>0</v>
      </c>
      <c r="D530">
        <f>'AARnetCBR-CamDTN1_tcpmon_ts_21'!C544+'AARnetCBR-CamDTN1_tcpmon_ts_22'!C544</f>
        <v>0</v>
      </c>
      <c r="E530">
        <f>'AARnetCBR-CamDTN1_tcpmon_ts_31'!C544+'AARnetCBR-CamDTN1_tcpmon_ts_32'!C544+'AARnetCBR-CamDTN1_tcpmon_ts_33'!C544</f>
        <v>0</v>
      </c>
      <c r="F530">
        <f>'AARnetCBR-CamDTN1_tcpmon_ts_41'!C544+'AARnetCBR-CamDTN1_tcpmon_ts_42'!C544+'AARnetCBR-CamDTN1_tcpmon_ts_43'!C544+'AARnetCBR-CamDTN1_tcpmon_ts_44'!C544</f>
        <v>0</v>
      </c>
      <c r="L530">
        <f>'AARnetCBR-CamDTN1_tcpmon_ts_11'!D530</f>
        <v>0</v>
      </c>
      <c r="M530">
        <f>'AARnetCBR-CamDTN1_tcpmon_ts_21'!D530+'AARnetCBR-CamDTN1_tcpmon_ts_22'!D530</f>
        <v>0</v>
      </c>
      <c r="N530">
        <f>'AARnetCBR-CamDTN1_tcpmon_ts_31'!D530+'AARnetCBR-CamDTN1_tcpmon_ts_32'!D530+'AARnetCBR-CamDTN1_tcpmon_ts_33'!D530</f>
        <v>0</v>
      </c>
      <c r="O530">
        <f>'AARnetCBR-CamDTN1_tcpmon_ts_41'!D530+'AARnetCBR-CamDTN1_tcpmon_ts_42'!D530+'AARnetCBR-CamDTN1_tcpmon_ts_43'!D530+'AARnetCBR-CamDTN1_tcpmon_ts_44'!D530</f>
        <v>0</v>
      </c>
      <c r="P530">
        <f>'AARnetCBR-CamDTN1_tcpmon_ts_51'!D530+'AARnetCBR-CamDTN1_tcpmon_ts_52'!D530+'AARnetCBR-CamDTN1_tcpmon_ts_53'!D530+'AARnetCBR-CamDTN1_tcpmon_ts_54'!D530+'AARnetCBR-CamDTN1_tcpmon_ts_55'!D530</f>
        <v>0</v>
      </c>
    </row>
    <row r="531" spans="1:16">
      <c r="A531">
        <f>'AARnetCBR-CamDTN1_tcpmon_ts_11'!A545</f>
        <v>0</v>
      </c>
      <c r="C531">
        <f>'AARnetCBR-CamDTN1_tcpmon_ts_11'!C545</f>
        <v>0</v>
      </c>
      <c r="D531">
        <f>'AARnetCBR-CamDTN1_tcpmon_ts_21'!C545+'AARnetCBR-CamDTN1_tcpmon_ts_22'!C545</f>
        <v>0</v>
      </c>
      <c r="E531">
        <f>'AARnetCBR-CamDTN1_tcpmon_ts_31'!C545+'AARnetCBR-CamDTN1_tcpmon_ts_32'!C545+'AARnetCBR-CamDTN1_tcpmon_ts_33'!C545</f>
        <v>0</v>
      </c>
      <c r="F531">
        <f>'AARnetCBR-CamDTN1_tcpmon_ts_41'!C545+'AARnetCBR-CamDTN1_tcpmon_ts_42'!C545+'AARnetCBR-CamDTN1_tcpmon_ts_43'!C545+'AARnetCBR-CamDTN1_tcpmon_ts_44'!C545</f>
        <v>0</v>
      </c>
      <c r="L531">
        <f>'AARnetCBR-CamDTN1_tcpmon_ts_11'!D531</f>
        <v>0</v>
      </c>
      <c r="M531">
        <f>'AARnetCBR-CamDTN1_tcpmon_ts_21'!D531+'AARnetCBR-CamDTN1_tcpmon_ts_22'!D531</f>
        <v>0</v>
      </c>
      <c r="N531">
        <f>'AARnetCBR-CamDTN1_tcpmon_ts_31'!D531+'AARnetCBR-CamDTN1_tcpmon_ts_32'!D531+'AARnetCBR-CamDTN1_tcpmon_ts_33'!D531</f>
        <v>0</v>
      </c>
      <c r="O531">
        <f>'AARnetCBR-CamDTN1_tcpmon_ts_41'!D531+'AARnetCBR-CamDTN1_tcpmon_ts_42'!D531+'AARnetCBR-CamDTN1_tcpmon_ts_43'!D531+'AARnetCBR-CamDTN1_tcpmon_ts_44'!D531</f>
        <v>0</v>
      </c>
      <c r="P531">
        <f>'AARnetCBR-CamDTN1_tcpmon_ts_51'!D531+'AARnetCBR-CamDTN1_tcpmon_ts_52'!D531+'AARnetCBR-CamDTN1_tcpmon_ts_53'!D531+'AARnetCBR-CamDTN1_tcpmon_ts_54'!D531+'AARnetCBR-CamDTN1_tcpmon_ts_55'!D531</f>
        <v>0</v>
      </c>
    </row>
    <row r="532" spans="1:16">
      <c r="A532">
        <f>'AARnetCBR-CamDTN1_tcpmon_ts_11'!A546</f>
        <v>0</v>
      </c>
      <c r="C532">
        <f>'AARnetCBR-CamDTN1_tcpmon_ts_11'!C546</f>
        <v>0</v>
      </c>
      <c r="D532">
        <f>'AARnetCBR-CamDTN1_tcpmon_ts_21'!C546+'AARnetCBR-CamDTN1_tcpmon_ts_22'!C546</f>
        <v>0</v>
      </c>
      <c r="E532">
        <f>'AARnetCBR-CamDTN1_tcpmon_ts_31'!C546+'AARnetCBR-CamDTN1_tcpmon_ts_32'!C546+'AARnetCBR-CamDTN1_tcpmon_ts_33'!C546</f>
        <v>0</v>
      </c>
      <c r="F532">
        <f>'AARnetCBR-CamDTN1_tcpmon_ts_41'!C546+'AARnetCBR-CamDTN1_tcpmon_ts_42'!C546+'AARnetCBR-CamDTN1_tcpmon_ts_43'!C546+'AARnetCBR-CamDTN1_tcpmon_ts_44'!C546</f>
        <v>0</v>
      </c>
      <c r="L532">
        <f>'AARnetCBR-CamDTN1_tcpmon_ts_11'!D532</f>
        <v>0</v>
      </c>
      <c r="M532">
        <f>'AARnetCBR-CamDTN1_tcpmon_ts_21'!D532+'AARnetCBR-CamDTN1_tcpmon_ts_22'!D532</f>
        <v>0</v>
      </c>
      <c r="N532">
        <f>'AARnetCBR-CamDTN1_tcpmon_ts_31'!D532+'AARnetCBR-CamDTN1_tcpmon_ts_32'!D532+'AARnetCBR-CamDTN1_tcpmon_ts_33'!D532</f>
        <v>0</v>
      </c>
      <c r="O532">
        <f>'AARnetCBR-CamDTN1_tcpmon_ts_41'!D532+'AARnetCBR-CamDTN1_tcpmon_ts_42'!D532+'AARnetCBR-CamDTN1_tcpmon_ts_43'!D532+'AARnetCBR-CamDTN1_tcpmon_ts_44'!D532</f>
        <v>0</v>
      </c>
      <c r="P532">
        <f>'AARnetCBR-CamDTN1_tcpmon_ts_51'!D532+'AARnetCBR-CamDTN1_tcpmon_ts_52'!D532+'AARnetCBR-CamDTN1_tcpmon_ts_53'!D532+'AARnetCBR-CamDTN1_tcpmon_ts_54'!D532+'AARnetCBR-CamDTN1_tcpmon_ts_55'!D532</f>
        <v>0</v>
      </c>
    </row>
    <row r="533" spans="1:16">
      <c r="A533">
        <f>'AARnetCBR-CamDTN1_tcpmon_ts_11'!A547</f>
        <v>0</v>
      </c>
      <c r="C533">
        <f>'AARnetCBR-CamDTN1_tcpmon_ts_11'!C547</f>
        <v>0</v>
      </c>
      <c r="D533">
        <f>'AARnetCBR-CamDTN1_tcpmon_ts_21'!C547+'AARnetCBR-CamDTN1_tcpmon_ts_22'!C547</f>
        <v>0</v>
      </c>
      <c r="E533">
        <f>'AARnetCBR-CamDTN1_tcpmon_ts_31'!C547+'AARnetCBR-CamDTN1_tcpmon_ts_32'!C547+'AARnetCBR-CamDTN1_tcpmon_ts_33'!C547</f>
        <v>0</v>
      </c>
      <c r="F533">
        <f>'AARnetCBR-CamDTN1_tcpmon_ts_41'!C547+'AARnetCBR-CamDTN1_tcpmon_ts_42'!C547+'AARnetCBR-CamDTN1_tcpmon_ts_43'!C547+'AARnetCBR-CamDTN1_tcpmon_ts_44'!C547</f>
        <v>0</v>
      </c>
      <c r="L533">
        <f>'AARnetCBR-CamDTN1_tcpmon_ts_11'!D533</f>
        <v>0</v>
      </c>
      <c r="M533">
        <f>'AARnetCBR-CamDTN1_tcpmon_ts_21'!D533+'AARnetCBR-CamDTN1_tcpmon_ts_22'!D533</f>
        <v>0</v>
      </c>
      <c r="N533">
        <f>'AARnetCBR-CamDTN1_tcpmon_ts_31'!D533+'AARnetCBR-CamDTN1_tcpmon_ts_32'!D533+'AARnetCBR-CamDTN1_tcpmon_ts_33'!D533</f>
        <v>0</v>
      </c>
      <c r="O533">
        <f>'AARnetCBR-CamDTN1_tcpmon_ts_41'!D533+'AARnetCBR-CamDTN1_tcpmon_ts_42'!D533+'AARnetCBR-CamDTN1_tcpmon_ts_43'!D533+'AARnetCBR-CamDTN1_tcpmon_ts_44'!D533</f>
        <v>0</v>
      </c>
      <c r="P533">
        <f>'AARnetCBR-CamDTN1_tcpmon_ts_51'!D533+'AARnetCBR-CamDTN1_tcpmon_ts_52'!D533+'AARnetCBR-CamDTN1_tcpmon_ts_53'!D533+'AARnetCBR-CamDTN1_tcpmon_ts_54'!D533+'AARnetCBR-CamDTN1_tcpmon_ts_55'!D533</f>
        <v>0</v>
      </c>
    </row>
    <row r="534" spans="1:16">
      <c r="A534">
        <f>'AARnetCBR-CamDTN1_tcpmon_ts_11'!A548</f>
        <v>0</v>
      </c>
      <c r="C534">
        <f>'AARnetCBR-CamDTN1_tcpmon_ts_11'!C548</f>
        <v>0</v>
      </c>
      <c r="D534">
        <f>'AARnetCBR-CamDTN1_tcpmon_ts_21'!C548+'AARnetCBR-CamDTN1_tcpmon_ts_22'!C548</f>
        <v>0</v>
      </c>
      <c r="E534">
        <f>'AARnetCBR-CamDTN1_tcpmon_ts_31'!C548+'AARnetCBR-CamDTN1_tcpmon_ts_32'!C548+'AARnetCBR-CamDTN1_tcpmon_ts_33'!C548</f>
        <v>0</v>
      </c>
      <c r="F534">
        <f>'AARnetCBR-CamDTN1_tcpmon_ts_41'!C548+'AARnetCBR-CamDTN1_tcpmon_ts_42'!C548+'AARnetCBR-CamDTN1_tcpmon_ts_43'!C548+'AARnetCBR-CamDTN1_tcpmon_ts_44'!C548</f>
        <v>0</v>
      </c>
      <c r="L534">
        <f>'AARnetCBR-CamDTN1_tcpmon_ts_11'!D534</f>
        <v>0</v>
      </c>
      <c r="M534">
        <f>'AARnetCBR-CamDTN1_tcpmon_ts_21'!D534+'AARnetCBR-CamDTN1_tcpmon_ts_22'!D534</f>
        <v>0</v>
      </c>
      <c r="N534">
        <f>'AARnetCBR-CamDTN1_tcpmon_ts_31'!D534+'AARnetCBR-CamDTN1_tcpmon_ts_32'!D534+'AARnetCBR-CamDTN1_tcpmon_ts_33'!D534</f>
        <v>0</v>
      </c>
      <c r="O534">
        <f>'AARnetCBR-CamDTN1_tcpmon_ts_41'!D534+'AARnetCBR-CamDTN1_tcpmon_ts_42'!D534+'AARnetCBR-CamDTN1_tcpmon_ts_43'!D534+'AARnetCBR-CamDTN1_tcpmon_ts_44'!D534</f>
        <v>0</v>
      </c>
      <c r="P534">
        <f>'AARnetCBR-CamDTN1_tcpmon_ts_51'!D534+'AARnetCBR-CamDTN1_tcpmon_ts_52'!D534+'AARnetCBR-CamDTN1_tcpmon_ts_53'!D534+'AARnetCBR-CamDTN1_tcpmon_ts_54'!D534+'AARnetCBR-CamDTN1_tcpmon_ts_55'!D534</f>
        <v>0</v>
      </c>
    </row>
    <row r="535" spans="1:16">
      <c r="A535">
        <f>'AARnetCBR-CamDTN1_tcpmon_ts_11'!A549</f>
        <v>0</v>
      </c>
      <c r="C535">
        <f>'AARnetCBR-CamDTN1_tcpmon_ts_11'!C549</f>
        <v>0</v>
      </c>
      <c r="D535">
        <f>'AARnetCBR-CamDTN1_tcpmon_ts_21'!C549+'AARnetCBR-CamDTN1_tcpmon_ts_22'!C549</f>
        <v>0</v>
      </c>
      <c r="E535">
        <f>'AARnetCBR-CamDTN1_tcpmon_ts_31'!C549+'AARnetCBR-CamDTN1_tcpmon_ts_32'!C549+'AARnetCBR-CamDTN1_tcpmon_ts_33'!C549</f>
        <v>0</v>
      </c>
      <c r="F535">
        <f>'AARnetCBR-CamDTN1_tcpmon_ts_41'!C549+'AARnetCBR-CamDTN1_tcpmon_ts_42'!C549+'AARnetCBR-CamDTN1_tcpmon_ts_43'!C549+'AARnetCBR-CamDTN1_tcpmon_ts_44'!C549</f>
        <v>0</v>
      </c>
      <c r="L535">
        <f>'AARnetCBR-CamDTN1_tcpmon_ts_11'!D535</f>
        <v>0</v>
      </c>
      <c r="M535">
        <f>'AARnetCBR-CamDTN1_tcpmon_ts_21'!D535+'AARnetCBR-CamDTN1_tcpmon_ts_22'!D535</f>
        <v>0</v>
      </c>
      <c r="N535">
        <f>'AARnetCBR-CamDTN1_tcpmon_ts_31'!D535+'AARnetCBR-CamDTN1_tcpmon_ts_32'!D535+'AARnetCBR-CamDTN1_tcpmon_ts_33'!D535</f>
        <v>0</v>
      </c>
      <c r="O535">
        <f>'AARnetCBR-CamDTN1_tcpmon_ts_41'!D535+'AARnetCBR-CamDTN1_tcpmon_ts_42'!D535+'AARnetCBR-CamDTN1_tcpmon_ts_43'!D535+'AARnetCBR-CamDTN1_tcpmon_ts_44'!D535</f>
        <v>0</v>
      </c>
      <c r="P535">
        <f>'AARnetCBR-CamDTN1_tcpmon_ts_51'!D535+'AARnetCBR-CamDTN1_tcpmon_ts_52'!D535+'AARnetCBR-CamDTN1_tcpmon_ts_53'!D535+'AARnetCBR-CamDTN1_tcpmon_ts_54'!D535+'AARnetCBR-CamDTN1_tcpmon_ts_55'!D535</f>
        <v>0</v>
      </c>
    </row>
    <row r="536" spans="1:16">
      <c r="A536">
        <f>'AARnetCBR-CamDTN1_tcpmon_ts_11'!A550</f>
        <v>0</v>
      </c>
      <c r="C536">
        <f>'AARnetCBR-CamDTN1_tcpmon_ts_11'!C550</f>
        <v>0</v>
      </c>
      <c r="D536">
        <f>'AARnetCBR-CamDTN1_tcpmon_ts_21'!C550+'AARnetCBR-CamDTN1_tcpmon_ts_22'!C550</f>
        <v>0</v>
      </c>
      <c r="E536">
        <f>'AARnetCBR-CamDTN1_tcpmon_ts_31'!C550+'AARnetCBR-CamDTN1_tcpmon_ts_32'!C550+'AARnetCBR-CamDTN1_tcpmon_ts_33'!C550</f>
        <v>0</v>
      </c>
      <c r="F536">
        <f>'AARnetCBR-CamDTN1_tcpmon_ts_41'!C550+'AARnetCBR-CamDTN1_tcpmon_ts_42'!C550+'AARnetCBR-CamDTN1_tcpmon_ts_43'!C550+'AARnetCBR-CamDTN1_tcpmon_ts_44'!C550</f>
        <v>0</v>
      </c>
      <c r="L536">
        <f>'AARnetCBR-CamDTN1_tcpmon_ts_11'!D536</f>
        <v>0</v>
      </c>
      <c r="M536">
        <f>'AARnetCBR-CamDTN1_tcpmon_ts_21'!D536+'AARnetCBR-CamDTN1_tcpmon_ts_22'!D536</f>
        <v>0</v>
      </c>
      <c r="N536">
        <f>'AARnetCBR-CamDTN1_tcpmon_ts_31'!D536+'AARnetCBR-CamDTN1_tcpmon_ts_32'!D536+'AARnetCBR-CamDTN1_tcpmon_ts_33'!D536</f>
        <v>0</v>
      </c>
      <c r="O536">
        <f>'AARnetCBR-CamDTN1_tcpmon_ts_41'!D536+'AARnetCBR-CamDTN1_tcpmon_ts_42'!D536+'AARnetCBR-CamDTN1_tcpmon_ts_43'!D536+'AARnetCBR-CamDTN1_tcpmon_ts_44'!D536</f>
        <v>0</v>
      </c>
      <c r="P536">
        <f>'AARnetCBR-CamDTN1_tcpmon_ts_51'!D536+'AARnetCBR-CamDTN1_tcpmon_ts_52'!D536+'AARnetCBR-CamDTN1_tcpmon_ts_53'!D536+'AARnetCBR-CamDTN1_tcpmon_ts_54'!D536+'AARnetCBR-CamDTN1_tcpmon_ts_55'!D536</f>
        <v>0</v>
      </c>
    </row>
    <row r="537" spans="1:16">
      <c r="A537">
        <f>'AARnetCBR-CamDTN1_tcpmon_ts_11'!A551</f>
        <v>0</v>
      </c>
      <c r="C537">
        <f>'AARnetCBR-CamDTN1_tcpmon_ts_11'!C551</f>
        <v>0</v>
      </c>
      <c r="D537">
        <f>'AARnetCBR-CamDTN1_tcpmon_ts_21'!C551+'AARnetCBR-CamDTN1_tcpmon_ts_22'!C551</f>
        <v>0</v>
      </c>
      <c r="E537">
        <f>'AARnetCBR-CamDTN1_tcpmon_ts_31'!C551+'AARnetCBR-CamDTN1_tcpmon_ts_32'!C551+'AARnetCBR-CamDTN1_tcpmon_ts_33'!C551</f>
        <v>0</v>
      </c>
      <c r="F537">
        <f>'AARnetCBR-CamDTN1_tcpmon_ts_41'!C551+'AARnetCBR-CamDTN1_tcpmon_ts_42'!C551+'AARnetCBR-CamDTN1_tcpmon_ts_43'!C551+'AARnetCBR-CamDTN1_tcpmon_ts_44'!C551</f>
        <v>0</v>
      </c>
      <c r="L537">
        <f>'AARnetCBR-CamDTN1_tcpmon_ts_11'!D537</f>
        <v>0</v>
      </c>
      <c r="M537">
        <f>'AARnetCBR-CamDTN1_tcpmon_ts_21'!D537+'AARnetCBR-CamDTN1_tcpmon_ts_22'!D537</f>
        <v>0</v>
      </c>
      <c r="N537">
        <f>'AARnetCBR-CamDTN1_tcpmon_ts_31'!D537+'AARnetCBR-CamDTN1_tcpmon_ts_32'!D537+'AARnetCBR-CamDTN1_tcpmon_ts_33'!D537</f>
        <v>0</v>
      </c>
      <c r="O537">
        <f>'AARnetCBR-CamDTN1_tcpmon_ts_41'!D537+'AARnetCBR-CamDTN1_tcpmon_ts_42'!D537+'AARnetCBR-CamDTN1_tcpmon_ts_43'!D537+'AARnetCBR-CamDTN1_tcpmon_ts_44'!D537</f>
        <v>0</v>
      </c>
      <c r="P537">
        <f>'AARnetCBR-CamDTN1_tcpmon_ts_51'!D537+'AARnetCBR-CamDTN1_tcpmon_ts_52'!D537+'AARnetCBR-CamDTN1_tcpmon_ts_53'!D537+'AARnetCBR-CamDTN1_tcpmon_ts_54'!D537+'AARnetCBR-CamDTN1_tcpmon_ts_55'!D537</f>
        <v>0</v>
      </c>
    </row>
    <row r="538" spans="1:16">
      <c r="A538">
        <f>'AARnetCBR-CamDTN1_tcpmon_ts_11'!A552</f>
        <v>0</v>
      </c>
      <c r="C538">
        <f>'AARnetCBR-CamDTN1_tcpmon_ts_11'!C552</f>
        <v>0</v>
      </c>
      <c r="D538">
        <f>'AARnetCBR-CamDTN1_tcpmon_ts_21'!C552+'AARnetCBR-CamDTN1_tcpmon_ts_22'!C552</f>
        <v>0</v>
      </c>
      <c r="E538">
        <f>'AARnetCBR-CamDTN1_tcpmon_ts_31'!C552+'AARnetCBR-CamDTN1_tcpmon_ts_32'!C552+'AARnetCBR-CamDTN1_tcpmon_ts_33'!C552</f>
        <v>0</v>
      </c>
      <c r="F538">
        <f>'AARnetCBR-CamDTN1_tcpmon_ts_41'!C552+'AARnetCBR-CamDTN1_tcpmon_ts_42'!C552+'AARnetCBR-CamDTN1_tcpmon_ts_43'!C552+'AARnetCBR-CamDTN1_tcpmon_ts_44'!C552</f>
        <v>0</v>
      </c>
      <c r="L538">
        <f>'AARnetCBR-CamDTN1_tcpmon_ts_11'!D538</f>
        <v>0</v>
      </c>
      <c r="M538">
        <f>'AARnetCBR-CamDTN1_tcpmon_ts_21'!D538+'AARnetCBR-CamDTN1_tcpmon_ts_22'!D538</f>
        <v>0</v>
      </c>
      <c r="N538">
        <f>'AARnetCBR-CamDTN1_tcpmon_ts_31'!D538+'AARnetCBR-CamDTN1_tcpmon_ts_32'!D538+'AARnetCBR-CamDTN1_tcpmon_ts_33'!D538</f>
        <v>0</v>
      </c>
      <c r="O538">
        <f>'AARnetCBR-CamDTN1_tcpmon_ts_41'!D538+'AARnetCBR-CamDTN1_tcpmon_ts_42'!D538+'AARnetCBR-CamDTN1_tcpmon_ts_43'!D538+'AARnetCBR-CamDTN1_tcpmon_ts_44'!D538</f>
        <v>0</v>
      </c>
      <c r="P538">
        <f>'AARnetCBR-CamDTN1_tcpmon_ts_51'!D538+'AARnetCBR-CamDTN1_tcpmon_ts_52'!D538+'AARnetCBR-CamDTN1_tcpmon_ts_53'!D538+'AARnetCBR-CamDTN1_tcpmon_ts_54'!D538+'AARnetCBR-CamDTN1_tcpmon_ts_55'!D538</f>
        <v>0</v>
      </c>
    </row>
    <row r="539" spans="1:16">
      <c r="A539">
        <f>'AARnetCBR-CamDTN1_tcpmon_ts_11'!A553</f>
        <v>0</v>
      </c>
      <c r="C539">
        <f>'AARnetCBR-CamDTN1_tcpmon_ts_11'!C553</f>
        <v>0</v>
      </c>
      <c r="D539">
        <f>'AARnetCBR-CamDTN1_tcpmon_ts_21'!C553+'AARnetCBR-CamDTN1_tcpmon_ts_22'!C553</f>
        <v>0</v>
      </c>
      <c r="E539">
        <f>'AARnetCBR-CamDTN1_tcpmon_ts_31'!C553+'AARnetCBR-CamDTN1_tcpmon_ts_32'!C553+'AARnetCBR-CamDTN1_tcpmon_ts_33'!C553</f>
        <v>0</v>
      </c>
      <c r="F539">
        <f>'AARnetCBR-CamDTN1_tcpmon_ts_41'!C553+'AARnetCBR-CamDTN1_tcpmon_ts_42'!C553+'AARnetCBR-CamDTN1_tcpmon_ts_43'!C553+'AARnetCBR-CamDTN1_tcpmon_ts_44'!C553</f>
        <v>0</v>
      </c>
      <c r="L539">
        <f>'AARnetCBR-CamDTN1_tcpmon_ts_11'!D539</f>
        <v>0</v>
      </c>
      <c r="M539">
        <f>'AARnetCBR-CamDTN1_tcpmon_ts_21'!D539+'AARnetCBR-CamDTN1_tcpmon_ts_22'!D539</f>
        <v>0</v>
      </c>
      <c r="N539">
        <f>'AARnetCBR-CamDTN1_tcpmon_ts_31'!D539+'AARnetCBR-CamDTN1_tcpmon_ts_32'!D539+'AARnetCBR-CamDTN1_tcpmon_ts_33'!D539</f>
        <v>0</v>
      </c>
      <c r="O539">
        <f>'AARnetCBR-CamDTN1_tcpmon_ts_41'!D539+'AARnetCBR-CamDTN1_tcpmon_ts_42'!D539+'AARnetCBR-CamDTN1_tcpmon_ts_43'!D539+'AARnetCBR-CamDTN1_tcpmon_ts_44'!D539</f>
        <v>0</v>
      </c>
      <c r="P539">
        <f>'AARnetCBR-CamDTN1_tcpmon_ts_51'!D539+'AARnetCBR-CamDTN1_tcpmon_ts_52'!D539+'AARnetCBR-CamDTN1_tcpmon_ts_53'!D539+'AARnetCBR-CamDTN1_tcpmon_ts_54'!D539+'AARnetCBR-CamDTN1_tcpmon_ts_55'!D539</f>
        <v>0</v>
      </c>
    </row>
    <row r="540" spans="1:16">
      <c r="A540">
        <f>'AARnetCBR-CamDTN1_tcpmon_ts_11'!A554</f>
        <v>0</v>
      </c>
      <c r="C540">
        <f>'AARnetCBR-CamDTN1_tcpmon_ts_11'!C554</f>
        <v>0</v>
      </c>
      <c r="D540">
        <f>'AARnetCBR-CamDTN1_tcpmon_ts_21'!C554+'AARnetCBR-CamDTN1_tcpmon_ts_22'!C554</f>
        <v>0</v>
      </c>
      <c r="E540">
        <f>'AARnetCBR-CamDTN1_tcpmon_ts_31'!C554+'AARnetCBR-CamDTN1_tcpmon_ts_32'!C554+'AARnetCBR-CamDTN1_tcpmon_ts_33'!C554</f>
        <v>0</v>
      </c>
      <c r="F540">
        <f>'AARnetCBR-CamDTN1_tcpmon_ts_41'!C554+'AARnetCBR-CamDTN1_tcpmon_ts_42'!C554+'AARnetCBR-CamDTN1_tcpmon_ts_43'!C554+'AARnetCBR-CamDTN1_tcpmon_ts_44'!C554</f>
        <v>0</v>
      </c>
      <c r="L540">
        <f>'AARnetCBR-CamDTN1_tcpmon_ts_11'!D540</f>
        <v>0</v>
      </c>
      <c r="M540">
        <f>'AARnetCBR-CamDTN1_tcpmon_ts_21'!D540+'AARnetCBR-CamDTN1_tcpmon_ts_22'!D540</f>
        <v>0</v>
      </c>
      <c r="N540">
        <f>'AARnetCBR-CamDTN1_tcpmon_ts_31'!D540+'AARnetCBR-CamDTN1_tcpmon_ts_32'!D540+'AARnetCBR-CamDTN1_tcpmon_ts_33'!D540</f>
        <v>0</v>
      </c>
      <c r="O540">
        <f>'AARnetCBR-CamDTN1_tcpmon_ts_41'!D540+'AARnetCBR-CamDTN1_tcpmon_ts_42'!D540+'AARnetCBR-CamDTN1_tcpmon_ts_43'!D540+'AARnetCBR-CamDTN1_tcpmon_ts_44'!D540</f>
        <v>0</v>
      </c>
      <c r="P540">
        <f>'AARnetCBR-CamDTN1_tcpmon_ts_51'!D540+'AARnetCBR-CamDTN1_tcpmon_ts_52'!D540+'AARnetCBR-CamDTN1_tcpmon_ts_53'!D540+'AARnetCBR-CamDTN1_tcpmon_ts_54'!D540+'AARnetCBR-CamDTN1_tcpmon_ts_55'!D540</f>
        <v>0</v>
      </c>
    </row>
    <row r="541" spans="1:16">
      <c r="A541">
        <f>'AARnetCBR-CamDTN1_tcpmon_ts_11'!A555</f>
        <v>0</v>
      </c>
      <c r="C541">
        <f>'AARnetCBR-CamDTN1_tcpmon_ts_11'!C555</f>
        <v>0</v>
      </c>
      <c r="D541">
        <f>'AARnetCBR-CamDTN1_tcpmon_ts_21'!C555+'AARnetCBR-CamDTN1_tcpmon_ts_22'!C555</f>
        <v>0</v>
      </c>
      <c r="E541">
        <f>'AARnetCBR-CamDTN1_tcpmon_ts_31'!C555+'AARnetCBR-CamDTN1_tcpmon_ts_32'!C555+'AARnetCBR-CamDTN1_tcpmon_ts_33'!C555</f>
        <v>0</v>
      </c>
      <c r="F541">
        <f>'AARnetCBR-CamDTN1_tcpmon_ts_41'!C555+'AARnetCBR-CamDTN1_tcpmon_ts_42'!C555+'AARnetCBR-CamDTN1_tcpmon_ts_43'!C555+'AARnetCBR-CamDTN1_tcpmon_ts_44'!C555</f>
        <v>0</v>
      </c>
      <c r="L541">
        <f>'AARnetCBR-CamDTN1_tcpmon_ts_11'!D541</f>
        <v>0</v>
      </c>
      <c r="M541">
        <f>'AARnetCBR-CamDTN1_tcpmon_ts_21'!D541+'AARnetCBR-CamDTN1_tcpmon_ts_22'!D541</f>
        <v>0</v>
      </c>
      <c r="N541">
        <f>'AARnetCBR-CamDTN1_tcpmon_ts_31'!D541+'AARnetCBR-CamDTN1_tcpmon_ts_32'!D541+'AARnetCBR-CamDTN1_tcpmon_ts_33'!D541</f>
        <v>0</v>
      </c>
      <c r="O541">
        <f>'AARnetCBR-CamDTN1_tcpmon_ts_41'!D541+'AARnetCBR-CamDTN1_tcpmon_ts_42'!D541+'AARnetCBR-CamDTN1_tcpmon_ts_43'!D541+'AARnetCBR-CamDTN1_tcpmon_ts_44'!D541</f>
        <v>0</v>
      </c>
      <c r="P541">
        <f>'AARnetCBR-CamDTN1_tcpmon_ts_51'!D541+'AARnetCBR-CamDTN1_tcpmon_ts_52'!D541+'AARnetCBR-CamDTN1_tcpmon_ts_53'!D541+'AARnetCBR-CamDTN1_tcpmon_ts_54'!D541+'AARnetCBR-CamDTN1_tcpmon_ts_55'!D541</f>
        <v>0</v>
      </c>
    </row>
    <row r="542" spans="1:16">
      <c r="A542">
        <f>'AARnetCBR-CamDTN1_tcpmon_ts_11'!A556</f>
        <v>0</v>
      </c>
      <c r="C542">
        <f>'AARnetCBR-CamDTN1_tcpmon_ts_11'!C556</f>
        <v>0</v>
      </c>
      <c r="D542">
        <f>'AARnetCBR-CamDTN1_tcpmon_ts_21'!C556+'AARnetCBR-CamDTN1_tcpmon_ts_22'!C556</f>
        <v>0</v>
      </c>
      <c r="E542">
        <f>'AARnetCBR-CamDTN1_tcpmon_ts_31'!C556+'AARnetCBR-CamDTN1_tcpmon_ts_32'!C556+'AARnetCBR-CamDTN1_tcpmon_ts_33'!C556</f>
        <v>0</v>
      </c>
      <c r="F542">
        <f>'AARnetCBR-CamDTN1_tcpmon_ts_41'!C556+'AARnetCBR-CamDTN1_tcpmon_ts_42'!C556+'AARnetCBR-CamDTN1_tcpmon_ts_43'!C556+'AARnetCBR-CamDTN1_tcpmon_ts_44'!C556</f>
        <v>0</v>
      </c>
      <c r="L542">
        <f>'AARnetCBR-CamDTN1_tcpmon_ts_11'!D542</f>
        <v>0</v>
      </c>
      <c r="M542">
        <f>'AARnetCBR-CamDTN1_tcpmon_ts_21'!D542+'AARnetCBR-CamDTN1_tcpmon_ts_22'!D542</f>
        <v>0</v>
      </c>
      <c r="N542">
        <f>'AARnetCBR-CamDTN1_tcpmon_ts_31'!D542+'AARnetCBR-CamDTN1_tcpmon_ts_32'!D542+'AARnetCBR-CamDTN1_tcpmon_ts_33'!D542</f>
        <v>0</v>
      </c>
      <c r="O542">
        <f>'AARnetCBR-CamDTN1_tcpmon_ts_41'!D542+'AARnetCBR-CamDTN1_tcpmon_ts_42'!D542+'AARnetCBR-CamDTN1_tcpmon_ts_43'!D542+'AARnetCBR-CamDTN1_tcpmon_ts_44'!D542</f>
        <v>0</v>
      </c>
      <c r="P542">
        <f>'AARnetCBR-CamDTN1_tcpmon_ts_51'!D542+'AARnetCBR-CamDTN1_tcpmon_ts_52'!D542+'AARnetCBR-CamDTN1_tcpmon_ts_53'!D542+'AARnetCBR-CamDTN1_tcpmon_ts_54'!D542+'AARnetCBR-CamDTN1_tcpmon_ts_55'!D542</f>
        <v>0</v>
      </c>
    </row>
    <row r="543" spans="1:16">
      <c r="A543">
        <f>'AARnetCBR-CamDTN1_tcpmon_ts_11'!A557</f>
        <v>0</v>
      </c>
      <c r="C543">
        <f>'AARnetCBR-CamDTN1_tcpmon_ts_11'!C557</f>
        <v>0</v>
      </c>
      <c r="D543">
        <f>'AARnetCBR-CamDTN1_tcpmon_ts_21'!C557+'AARnetCBR-CamDTN1_tcpmon_ts_22'!C557</f>
        <v>0</v>
      </c>
      <c r="E543">
        <f>'AARnetCBR-CamDTN1_tcpmon_ts_31'!C557+'AARnetCBR-CamDTN1_tcpmon_ts_32'!C557+'AARnetCBR-CamDTN1_tcpmon_ts_33'!C557</f>
        <v>0</v>
      </c>
      <c r="F543">
        <f>'AARnetCBR-CamDTN1_tcpmon_ts_41'!C557+'AARnetCBR-CamDTN1_tcpmon_ts_42'!C557+'AARnetCBR-CamDTN1_tcpmon_ts_43'!C557+'AARnetCBR-CamDTN1_tcpmon_ts_44'!C557</f>
        <v>0</v>
      </c>
      <c r="L543">
        <f>'AARnetCBR-CamDTN1_tcpmon_ts_11'!D543</f>
        <v>0</v>
      </c>
      <c r="M543">
        <f>'AARnetCBR-CamDTN1_tcpmon_ts_21'!D543+'AARnetCBR-CamDTN1_tcpmon_ts_22'!D543</f>
        <v>0</v>
      </c>
      <c r="N543">
        <f>'AARnetCBR-CamDTN1_tcpmon_ts_31'!D543+'AARnetCBR-CamDTN1_tcpmon_ts_32'!D543+'AARnetCBR-CamDTN1_tcpmon_ts_33'!D543</f>
        <v>0</v>
      </c>
      <c r="O543">
        <f>'AARnetCBR-CamDTN1_tcpmon_ts_41'!D543+'AARnetCBR-CamDTN1_tcpmon_ts_42'!D543+'AARnetCBR-CamDTN1_tcpmon_ts_43'!D543+'AARnetCBR-CamDTN1_tcpmon_ts_44'!D543</f>
        <v>0</v>
      </c>
      <c r="P543">
        <f>'AARnetCBR-CamDTN1_tcpmon_ts_51'!D543+'AARnetCBR-CamDTN1_tcpmon_ts_52'!D543+'AARnetCBR-CamDTN1_tcpmon_ts_53'!D543+'AARnetCBR-CamDTN1_tcpmon_ts_54'!D543+'AARnetCBR-CamDTN1_tcpmon_ts_55'!D543</f>
        <v>0</v>
      </c>
    </row>
    <row r="544" spans="1:16">
      <c r="A544">
        <f>'AARnetCBR-CamDTN1_tcpmon_ts_11'!A558</f>
        <v>0</v>
      </c>
      <c r="C544">
        <f>'AARnetCBR-CamDTN1_tcpmon_ts_11'!C558</f>
        <v>0</v>
      </c>
      <c r="D544">
        <f>'AARnetCBR-CamDTN1_tcpmon_ts_21'!C558+'AARnetCBR-CamDTN1_tcpmon_ts_22'!C558</f>
        <v>0</v>
      </c>
      <c r="E544">
        <f>'AARnetCBR-CamDTN1_tcpmon_ts_31'!C558+'AARnetCBR-CamDTN1_tcpmon_ts_32'!C558+'AARnetCBR-CamDTN1_tcpmon_ts_33'!C558</f>
        <v>0</v>
      </c>
      <c r="F544">
        <f>'AARnetCBR-CamDTN1_tcpmon_ts_41'!C558+'AARnetCBR-CamDTN1_tcpmon_ts_42'!C558+'AARnetCBR-CamDTN1_tcpmon_ts_43'!C558+'AARnetCBR-CamDTN1_tcpmon_ts_44'!C558</f>
        <v>0</v>
      </c>
      <c r="L544">
        <f>'AARnetCBR-CamDTN1_tcpmon_ts_11'!D544</f>
        <v>0</v>
      </c>
      <c r="M544">
        <f>'AARnetCBR-CamDTN1_tcpmon_ts_21'!D544+'AARnetCBR-CamDTN1_tcpmon_ts_22'!D544</f>
        <v>0</v>
      </c>
      <c r="N544">
        <f>'AARnetCBR-CamDTN1_tcpmon_ts_31'!D544+'AARnetCBR-CamDTN1_tcpmon_ts_32'!D544+'AARnetCBR-CamDTN1_tcpmon_ts_33'!D544</f>
        <v>0</v>
      </c>
      <c r="O544">
        <f>'AARnetCBR-CamDTN1_tcpmon_ts_41'!D544+'AARnetCBR-CamDTN1_tcpmon_ts_42'!D544+'AARnetCBR-CamDTN1_tcpmon_ts_43'!D544+'AARnetCBR-CamDTN1_tcpmon_ts_44'!D544</f>
        <v>0</v>
      </c>
      <c r="P544">
        <f>'AARnetCBR-CamDTN1_tcpmon_ts_51'!D544+'AARnetCBR-CamDTN1_tcpmon_ts_52'!D544+'AARnetCBR-CamDTN1_tcpmon_ts_53'!D544+'AARnetCBR-CamDTN1_tcpmon_ts_54'!D544+'AARnetCBR-CamDTN1_tcpmon_ts_55'!D544</f>
        <v>0</v>
      </c>
    </row>
    <row r="545" spans="1:16">
      <c r="A545">
        <f>'AARnetCBR-CamDTN1_tcpmon_ts_11'!A559</f>
        <v>0</v>
      </c>
      <c r="C545">
        <f>'AARnetCBR-CamDTN1_tcpmon_ts_11'!C559</f>
        <v>0</v>
      </c>
      <c r="D545">
        <f>'AARnetCBR-CamDTN1_tcpmon_ts_21'!C559+'AARnetCBR-CamDTN1_tcpmon_ts_22'!C559</f>
        <v>0</v>
      </c>
      <c r="E545">
        <f>'AARnetCBR-CamDTN1_tcpmon_ts_31'!C559+'AARnetCBR-CamDTN1_tcpmon_ts_32'!C559+'AARnetCBR-CamDTN1_tcpmon_ts_33'!C559</f>
        <v>0</v>
      </c>
      <c r="F545">
        <f>'AARnetCBR-CamDTN1_tcpmon_ts_41'!C559+'AARnetCBR-CamDTN1_tcpmon_ts_42'!C559+'AARnetCBR-CamDTN1_tcpmon_ts_43'!C559+'AARnetCBR-CamDTN1_tcpmon_ts_44'!C559</f>
        <v>0</v>
      </c>
      <c r="L545">
        <f>'AARnetCBR-CamDTN1_tcpmon_ts_11'!D545</f>
        <v>0</v>
      </c>
      <c r="M545">
        <f>'AARnetCBR-CamDTN1_tcpmon_ts_21'!D545+'AARnetCBR-CamDTN1_tcpmon_ts_22'!D545</f>
        <v>0</v>
      </c>
      <c r="N545">
        <f>'AARnetCBR-CamDTN1_tcpmon_ts_31'!D545+'AARnetCBR-CamDTN1_tcpmon_ts_32'!D545+'AARnetCBR-CamDTN1_tcpmon_ts_33'!D545</f>
        <v>0</v>
      </c>
      <c r="O545">
        <f>'AARnetCBR-CamDTN1_tcpmon_ts_41'!D545+'AARnetCBR-CamDTN1_tcpmon_ts_42'!D545+'AARnetCBR-CamDTN1_tcpmon_ts_43'!D545+'AARnetCBR-CamDTN1_tcpmon_ts_44'!D545</f>
        <v>0</v>
      </c>
      <c r="P545">
        <f>'AARnetCBR-CamDTN1_tcpmon_ts_51'!D545+'AARnetCBR-CamDTN1_tcpmon_ts_52'!D545+'AARnetCBR-CamDTN1_tcpmon_ts_53'!D545+'AARnetCBR-CamDTN1_tcpmon_ts_54'!D545+'AARnetCBR-CamDTN1_tcpmon_ts_55'!D545</f>
        <v>0</v>
      </c>
    </row>
    <row r="546" spans="1:16">
      <c r="A546">
        <f>'AARnetCBR-CamDTN1_tcpmon_ts_11'!A560</f>
        <v>0</v>
      </c>
      <c r="C546">
        <f>'AARnetCBR-CamDTN1_tcpmon_ts_11'!C560</f>
        <v>0</v>
      </c>
      <c r="D546">
        <f>'AARnetCBR-CamDTN1_tcpmon_ts_21'!C560+'AARnetCBR-CamDTN1_tcpmon_ts_22'!C560</f>
        <v>0</v>
      </c>
      <c r="E546">
        <f>'AARnetCBR-CamDTN1_tcpmon_ts_31'!C560+'AARnetCBR-CamDTN1_tcpmon_ts_32'!C560+'AARnetCBR-CamDTN1_tcpmon_ts_33'!C560</f>
        <v>0</v>
      </c>
      <c r="F546">
        <f>'AARnetCBR-CamDTN1_tcpmon_ts_41'!C560+'AARnetCBR-CamDTN1_tcpmon_ts_42'!C560+'AARnetCBR-CamDTN1_tcpmon_ts_43'!C560+'AARnetCBR-CamDTN1_tcpmon_ts_44'!C560</f>
        <v>0</v>
      </c>
      <c r="L546">
        <f>'AARnetCBR-CamDTN1_tcpmon_ts_11'!D546</f>
        <v>0</v>
      </c>
      <c r="M546">
        <f>'AARnetCBR-CamDTN1_tcpmon_ts_21'!D546+'AARnetCBR-CamDTN1_tcpmon_ts_22'!D546</f>
        <v>0</v>
      </c>
      <c r="N546">
        <f>'AARnetCBR-CamDTN1_tcpmon_ts_31'!D546+'AARnetCBR-CamDTN1_tcpmon_ts_32'!D546+'AARnetCBR-CamDTN1_tcpmon_ts_33'!D546</f>
        <v>0</v>
      </c>
      <c r="O546">
        <f>'AARnetCBR-CamDTN1_tcpmon_ts_41'!D546+'AARnetCBR-CamDTN1_tcpmon_ts_42'!D546+'AARnetCBR-CamDTN1_tcpmon_ts_43'!D546+'AARnetCBR-CamDTN1_tcpmon_ts_44'!D546</f>
        <v>0</v>
      </c>
      <c r="P546">
        <f>'AARnetCBR-CamDTN1_tcpmon_ts_51'!D546+'AARnetCBR-CamDTN1_tcpmon_ts_52'!D546+'AARnetCBR-CamDTN1_tcpmon_ts_53'!D546+'AARnetCBR-CamDTN1_tcpmon_ts_54'!D546+'AARnetCBR-CamDTN1_tcpmon_ts_55'!D546</f>
        <v>0</v>
      </c>
    </row>
    <row r="547" spans="1:16">
      <c r="A547">
        <f>'AARnetCBR-CamDTN1_tcpmon_ts_11'!A561</f>
        <v>0</v>
      </c>
      <c r="C547">
        <f>'AARnetCBR-CamDTN1_tcpmon_ts_11'!C561</f>
        <v>0</v>
      </c>
      <c r="D547">
        <f>'AARnetCBR-CamDTN1_tcpmon_ts_21'!C561+'AARnetCBR-CamDTN1_tcpmon_ts_22'!C561</f>
        <v>0</v>
      </c>
      <c r="E547">
        <f>'AARnetCBR-CamDTN1_tcpmon_ts_31'!C561+'AARnetCBR-CamDTN1_tcpmon_ts_32'!C561+'AARnetCBR-CamDTN1_tcpmon_ts_33'!C561</f>
        <v>0</v>
      </c>
      <c r="F547">
        <f>'AARnetCBR-CamDTN1_tcpmon_ts_41'!C561+'AARnetCBR-CamDTN1_tcpmon_ts_42'!C561+'AARnetCBR-CamDTN1_tcpmon_ts_43'!C561+'AARnetCBR-CamDTN1_tcpmon_ts_44'!C561</f>
        <v>0</v>
      </c>
      <c r="L547">
        <f>'AARnetCBR-CamDTN1_tcpmon_ts_11'!D547</f>
        <v>0</v>
      </c>
      <c r="M547">
        <f>'AARnetCBR-CamDTN1_tcpmon_ts_21'!D547+'AARnetCBR-CamDTN1_tcpmon_ts_22'!D547</f>
        <v>0</v>
      </c>
      <c r="N547">
        <f>'AARnetCBR-CamDTN1_tcpmon_ts_31'!D547+'AARnetCBR-CamDTN1_tcpmon_ts_32'!D547+'AARnetCBR-CamDTN1_tcpmon_ts_33'!D547</f>
        <v>0</v>
      </c>
      <c r="O547">
        <f>'AARnetCBR-CamDTN1_tcpmon_ts_41'!D547+'AARnetCBR-CamDTN1_tcpmon_ts_42'!D547+'AARnetCBR-CamDTN1_tcpmon_ts_43'!D547+'AARnetCBR-CamDTN1_tcpmon_ts_44'!D547</f>
        <v>0</v>
      </c>
      <c r="P547">
        <f>'AARnetCBR-CamDTN1_tcpmon_ts_51'!D547+'AARnetCBR-CamDTN1_tcpmon_ts_52'!D547+'AARnetCBR-CamDTN1_tcpmon_ts_53'!D547+'AARnetCBR-CamDTN1_tcpmon_ts_54'!D547+'AARnetCBR-CamDTN1_tcpmon_ts_55'!D547</f>
        <v>0</v>
      </c>
    </row>
    <row r="548" spans="1:16">
      <c r="A548">
        <f>'AARnetCBR-CamDTN1_tcpmon_ts_11'!A562</f>
        <v>0</v>
      </c>
      <c r="C548">
        <f>'AARnetCBR-CamDTN1_tcpmon_ts_11'!C562</f>
        <v>0</v>
      </c>
      <c r="D548">
        <f>'AARnetCBR-CamDTN1_tcpmon_ts_21'!C562+'AARnetCBR-CamDTN1_tcpmon_ts_22'!C562</f>
        <v>0</v>
      </c>
      <c r="E548">
        <f>'AARnetCBR-CamDTN1_tcpmon_ts_31'!C562+'AARnetCBR-CamDTN1_tcpmon_ts_32'!C562+'AARnetCBR-CamDTN1_tcpmon_ts_33'!C562</f>
        <v>0</v>
      </c>
      <c r="F548">
        <f>'AARnetCBR-CamDTN1_tcpmon_ts_41'!C562+'AARnetCBR-CamDTN1_tcpmon_ts_42'!C562+'AARnetCBR-CamDTN1_tcpmon_ts_43'!C562+'AARnetCBR-CamDTN1_tcpmon_ts_44'!C562</f>
        <v>0</v>
      </c>
      <c r="L548">
        <f>'AARnetCBR-CamDTN1_tcpmon_ts_11'!D548</f>
        <v>0</v>
      </c>
      <c r="M548">
        <f>'AARnetCBR-CamDTN1_tcpmon_ts_21'!D548+'AARnetCBR-CamDTN1_tcpmon_ts_22'!D548</f>
        <v>0</v>
      </c>
      <c r="N548">
        <f>'AARnetCBR-CamDTN1_tcpmon_ts_31'!D548+'AARnetCBR-CamDTN1_tcpmon_ts_32'!D548+'AARnetCBR-CamDTN1_tcpmon_ts_33'!D548</f>
        <v>0</v>
      </c>
      <c r="O548">
        <f>'AARnetCBR-CamDTN1_tcpmon_ts_41'!D548+'AARnetCBR-CamDTN1_tcpmon_ts_42'!D548+'AARnetCBR-CamDTN1_tcpmon_ts_43'!D548+'AARnetCBR-CamDTN1_tcpmon_ts_44'!D548</f>
        <v>0</v>
      </c>
      <c r="P548">
        <f>'AARnetCBR-CamDTN1_tcpmon_ts_51'!D548+'AARnetCBR-CamDTN1_tcpmon_ts_52'!D548+'AARnetCBR-CamDTN1_tcpmon_ts_53'!D548+'AARnetCBR-CamDTN1_tcpmon_ts_54'!D548+'AARnetCBR-CamDTN1_tcpmon_ts_55'!D548</f>
        <v>0</v>
      </c>
    </row>
    <row r="549" spans="1:16">
      <c r="A549">
        <f>'AARnetCBR-CamDTN1_tcpmon_ts_11'!A563</f>
        <v>0</v>
      </c>
      <c r="C549">
        <f>'AARnetCBR-CamDTN1_tcpmon_ts_11'!C563</f>
        <v>0</v>
      </c>
      <c r="D549">
        <f>'AARnetCBR-CamDTN1_tcpmon_ts_21'!C563+'AARnetCBR-CamDTN1_tcpmon_ts_22'!C563</f>
        <v>0</v>
      </c>
      <c r="E549">
        <f>'AARnetCBR-CamDTN1_tcpmon_ts_31'!C563+'AARnetCBR-CamDTN1_tcpmon_ts_32'!C563+'AARnetCBR-CamDTN1_tcpmon_ts_33'!C563</f>
        <v>0</v>
      </c>
      <c r="F549">
        <f>'AARnetCBR-CamDTN1_tcpmon_ts_41'!C563+'AARnetCBR-CamDTN1_tcpmon_ts_42'!C563+'AARnetCBR-CamDTN1_tcpmon_ts_43'!C563+'AARnetCBR-CamDTN1_tcpmon_ts_44'!C563</f>
        <v>0</v>
      </c>
      <c r="L549">
        <f>'AARnetCBR-CamDTN1_tcpmon_ts_11'!D549</f>
        <v>0</v>
      </c>
      <c r="M549">
        <f>'AARnetCBR-CamDTN1_tcpmon_ts_21'!D549+'AARnetCBR-CamDTN1_tcpmon_ts_22'!D549</f>
        <v>0</v>
      </c>
      <c r="N549">
        <f>'AARnetCBR-CamDTN1_tcpmon_ts_31'!D549+'AARnetCBR-CamDTN1_tcpmon_ts_32'!D549+'AARnetCBR-CamDTN1_tcpmon_ts_33'!D549</f>
        <v>0</v>
      </c>
      <c r="O549">
        <f>'AARnetCBR-CamDTN1_tcpmon_ts_41'!D549+'AARnetCBR-CamDTN1_tcpmon_ts_42'!D549+'AARnetCBR-CamDTN1_tcpmon_ts_43'!D549+'AARnetCBR-CamDTN1_tcpmon_ts_44'!D549</f>
        <v>0</v>
      </c>
      <c r="P549">
        <f>'AARnetCBR-CamDTN1_tcpmon_ts_51'!D549+'AARnetCBR-CamDTN1_tcpmon_ts_52'!D549+'AARnetCBR-CamDTN1_tcpmon_ts_53'!D549+'AARnetCBR-CamDTN1_tcpmon_ts_54'!D549+'AARnetCBR-CamDTN1_tcpmon_ts_55'!D549</f>
        <v>0</v>
      </c>
    </row>
    <row r="550" spans="1:16">
      <c r="A550">
        <f>'AARnetCBR-CamDTN1_tcpmon_ts_11'!A564</f>
        <v>0</v>
      </c>
      <c r="C550">
        <f>'AARnetCBR-CamDTN1_tcpmon_ts_11'!C564</f>
        <v>0</v>
      </c>
      <c r="D550">
        <f>'AARnetCBR-CamDTN1_tcpmon_ts_21'!C564+'AARnetCBR-CamDTN1_tcpmon_ts_22'!C564</f>
        <v>0</v>
      </c>
      <c r="E550">
        <f>'AARnetCBR-CamDTN1_tcpmon_ts_31'!C564+'AARnetCBR-CamDTN1_tcpmon_ts_32'!C564+'AARnetCBR-CamDTN1_tcpmon_ts_33'!C564</f>
        <v>0</v>
      </c>
      <c r="F550">
        <f>'AARnetCBR-CamDTN1_tcpmon_ts_41'!C564+'AARnetCBR-CamDTN1_tcpmon_ts_42'!C564+'AARnetCBR-CamDTN1_tcpmon_ts_43'!C564+'AARnetCBR-CamDTN1_tcpmon_ts_44'!C564</f>
        <v>0</v>
      </c>
      <c r="L550">
        <f>'AARnetCBR-CamDTN1_tcpmon_ts_11'!D550</f>
        <v>0</v>
      </c>
      <c r="M550">
        <f>'AARnetCBR-CamDTN1_tcpmon_ts_21'!D550+'AARnetCBR-CamDTN1_tcpmon_ts_22'!D550</f>
        <v>0</v>
      </c>
      <c r="N550">
        <f>'AARnetCBR-CamDTN1_tcpmon_ts_31'!D550+'AARnetCBR-CamDTN1_tcpmon_ts_32'!D550+'AARnetCBR-CamDTN1_tcpmon_ts_33'!D550</f>
        <v>0</v>
      </c>
      <c r="O550">
        <f>'AARnetCBR-CamDTN1_tcpmon_ts_41'!D550+'AARnetCBR-CamDTN1_tcpmon_ts_42'!D550+'AARnetCBR-CamDTN1_tcpmon_ts_43'!D550+'AARnetCBR-CamDTN1_tcpmon_ts_44'!D550</f>
        <v>0</v>
      </c>
      <c r="P550">
        <f>'AARnetCBR-CamDTN1_tcpmon_ts_51'!D550+'AARnetCBR-CamDTN1_tcpmon_ts_52'!D550+'AARnetCBR-CamDTN1_tcpmon_ts_53'!D550+'AARnetCBR-CamDTN1_tcpmon_ts_54'!D550+'AARnetCBR-CamDTN1_tcpmon_ts_55'!D550</f>
        <v>0</v>
      </c>
    </row>
    <row r="551" spans="1:16">
      <c r="A551">
        <f>'AARnetCBR-CamDTN1_tcpmon_ts_11'!A565</f>
        <v>0</v>
      </c>
      <c r="C551">
        <f>'AARnetCBR-CamDTN1_tcpmon_ts_11'!C565</f>
        <v>0</v>
      </c>
      <c r="D551">
        <f>'AARnetCBR-CamDTN1_tcpmon_ts_21'!C565+'AARnetCBR-CamDTN1_tcpmon_ts_22'!C565</f>
        <v>0</v>
      </c>
      <c r="E551">
        <f>'AARnetCBR-CamDTN1_tcpmon_ts_31'!C565+'AARnetCBR-CamDTN1_tcpmon_ts_32'!C565+'AARnetCBR-CamDTN1_tcpmon_ts_33'!C565</f>
        <v>0</v>
      </c>
      <c r="F551">
        <f>'AARnetCBR-CamDTN1_tcpmon_ts_41'!C565+'AARnetCBR-CamDTN1_tcpmon_ts_42'!C565+'AARnetCBR-CamDTN1_tcpmon_ts_43'!C565+'AARnetCBR-CamDTN1_tcpmon_ts_44'!C565</f>
        <v>0</v>
      </c>
      <c r="L551">
        <f>'AARnetCBR-CamDTN1_tcpmon_ts_11'!D551</f>
        <v>0</v>
      </c>
      <c r="M551">
        <f>'AARnetCBR-CamDTN1_tcpmon_ts_21'!D551+'AARnetCBR-CamDTN1_tcpmon_ts_22'!D551</f>
        <v>0</v>
      </c>
      <c r="N551">
        <f>'AARnetCBR-CamDTN1_tcpmon_ts_31'!D551+'AARnetCBR-CamDTN1_tcpmon_ts_32'!D551+'AARnetCBR-CamDTN1_tcpmon_ts_33'!D551</f>
        <v>0</v>
      </c>
      <c r="O551">
        <f>'AARnetCBR-CamDTN1_tcpmon_ts_41'!D551+'AARnetCBR-CamDTN1_tcpmon_ts_42'!D551+'AARnetCBR-CamDTN1_tcpmon_ts_43'!D551+'AARnetCBR-CamDTN1_tcpmon_ts_44'!D551</f>
        <v>0</v>
      </c>
      <c r="P551">
        <f>'AARnetCBR-CamDTN1_tcpmon_ts_51'!D551+'AARnetCBR-CamDTN1_tcpmon_ts_52'!D551+'AARnetCBR-CamDTN1_tcpmon_ts_53'!D551+'AARnetCBR-CamDTN1_tcpmon_ts_54'!D551+'AARnetCBR-CamDTN1_tcpmon_ts_55'!D551</f>
        <v>0</v>
      </c>
    </row>
    <row r="552" spans="1:16">
      <c r="A552">
        <f>'AARnetCBR-CamDTN1_tcpmon_ts_11'!A566</f>
        <v>0</v>
      </c>
      <c r="C552">
        <f>'AARnetCBR-CamDTN1_tcpmon_ts_11'!C566</f>
        <v>0</v>
      </c>
      <c r="D552">
        <f>'AARnetCBR-CamDTN1_tcpmon_ts_21'!C566+'AARnetCBR-CamDTN1_tcpmon_ts_22'!C566</f>
        <v>0</v>
      </c>
      <c r="E552">
        <f>'AARnetCBR-CamDTN1_tcpmon_ts_31'!C566+'AARnetCBR-CamDTN1_tcpmon_ts_32'!C566+'AARnetCBR-CamDTN1_tcpmon_ts_33'!C566</f>
        <v>0</v>
      </c>
      <c r="F552">
        <f>'AARnetCBR-CamDTN1_tcpmon_ts_41'!C566+'AARnetCBR-CamDTN1_tcpmon_ts_42'!C566+'AARnetCBR-CamDTN1_tcpmon_ts_43'!C566+'AARnetCBR-CamDTN1_tcpmon_ts_44'!C566</f>
        <v>0</v>
      </c>
      <c r="L552">
        <f>'AARnetCBR-CamDTN1_tcpmon_ts_11'!D552</f>
        <v>0</v>
      </c>
      <c r="M552">
        <f>'AARnetCBR-CamDTN1_tcpmon_ts_21'!D552+'AARnetCBR-CamDTN1_tcpmon_ts_22'!D552</f>
        <v>0</v>
      </c>
      <c r="N552">
        <f>'AARnetCBR-CamDTN1_tcpmon_ts_31'!D552+'AARnetCBR-CamDTN1_tcpmon_ts_32'!D552+'AARnetCBR-CamDTN1_tcpmon_ts_33'!D552</f>
        <v>0</v>
      </c>
      <c r="O552">
        <f>'AARnetCBR-CamDTN1_tcpmon_ts_41'!D552+'AARnetCBR-CamDTN1_tcpmon_ts_42'!D552+'AARnetCBR-CamDTN1_tcpmon_ts_43'!D552+'AARnetCBR-CamDTN1_tcpmon_ts_44'!D552</f>
        <v>0</v>
      </c>
      <c r="P552">
        <f>'AARnetCBR-CamDTN1_tcpmon_ts_51'!D552+'AARnetCBR-CamDTN1_tcpmon_ts_52'!D552+'AARnetCBR-CamDTN1_tcpmon_ts_53'!D552+'AARnetCBR-CamDTN1_tcpmon_ts_54'!D552+'AARnetCBR-CamDTN1_tcpmon_ts_55'!D552</f>
        <v>0</v>
      </c>
    </row>
    <row r="553" spans="1:16">
      <c r="A553">
        <f>'AARnetCBR-CamDTN1_tcpmon_ts_11'!A567</f>
        <v>0</v>
      </c>
      <c r="C553">
        <f>'AARnetCBR-CamDTN1_tcpmon_ts_11'!C567</f>
        <v>0</v>
      </c>
      <c r="D553">
        <f>'AARnetCBR-CamDTN1_tcpmon_ts_21'!C567+'AARnetCBR-CamDTN1_tcpmon_ts_22'!C567</f>
        <v>0</v>
      </c>
      <c r="E553">
        <f>'AARnetCBR-CamDTN1_tcpmon_ts_31'!C567+'AARnetCBR-CamDTN1_tcpmon_ts_32'!C567+'AARnetCBR-CamDTN1_tcpmon_ts_33'!C567</f>
        <v>0</v>
      </c>
      <c r="F553">
        <f>'AARnetCBR-CamDTN1_tcpmon_ts_41'!C567+'AARnetCBR-CamDTN1_tcpmon_ts_42'!C567+'AARnetCBR-CamDTN1_tcpmon_ts_43'!C567+'AARnetCBR-CamDTN1_tcpmon_ts_44'!C567</f>
        <v>0</v>
      </c>
      <c r="L553">
        <f>'AARnetCBR-CamDTN1_tcpmon_ts_11'!D553</f>
        <v>0</v>
      </c>
      <c r="M553">
        <f>'AARnetCBR-CamDTN1_tcpmon_ts_21'!D553+'AARnetCBR-CamDTN1_tcpmon_ts_22'!D553</f>
        <v>0</v>
      </c>
      <c r="N553">
        <f>'AARnetCBR-CamDTN1_tcpmon_ts_31'!D553+'AARnetCBR-CamDTN1_tcpmon_ts_32'!D553+'AARnetCBR-CamDTN1_tcpmon_ts_33'!D553</f>
        <v>0</v>
      </c>
      <c r="O553">
        <f>'AARnetCBR-CamDTN1_tcpmon_ts_41'!D553+'AARnetCBR-CamDTN1_tcpmon_ts_42'!D553+'AARnetCBR-CamDTN1_tcpmon_ts_43'!D553+'AARnetCBR-CamDTN1_tcpmon_ts_44'!D553</f>
        <v>0</v>
      </c>
      <c r="P553">
        <f>'AARnetCBR-CamDTN1_tcpmon_ts_51'!D553+'AARnetCBR-CamDTN1_tcpmon_ts_52'!D553+'AARnetCBR-CamDTN1_tcpmon_ts_53'!D553+'AARnetCBR-CamDTN1_tcpmon_ts_54'!D553+'AARnetCBR-CamDTN1_tcpmon_ts_55'!D553</f>
        <v>0</v>
      </c>
    </row>
    <row r="554" spans="1:16">
      <c r="A554">
        <f>'AARnetCBR-CamDTN1_tcpmon_ts_11'!A568</f>
        <v>0</v>
      </c>
      <c r="C554">
        <f>'AARnetCBR-CamDTN1_tcpmon_ts_11'!C568</f>
        <v>0</v>
      </c>
      <c r="D554">
        <f>'AARnetCBR-CamDTN1_tcpmon_ts_21'!C568+'AARnetCBR-CamDTN1_tcpmon_ts_22'!C568</f>
        <v>0</v>
      </c>
      <c r="E554">
        <f>'AARnetCBR-CamDTN1_tcpmon_ts_31'!C568+'AARnetCBR-CamDTN1_tcpmon_ts_32'!C568+'AARnetCBR-CamDTN1_tcpmon_ts_33'!C568</f>
        <v>0</v>
      </c>
      <c r="F554">
        <f>'AARnetCBR-CamDTN1_tcpmon_ts_41'!C568+'AARnetCBR-CamDTN1_tcpmon_ts_42'!C568+'AARnetCBR-CamDTN1_tcpmon_ts_43'!C568+'AARnetCBR-CamDTN1_tcpmon_ts_44'!C568</f>
        <v>0</v>
      </c>
      <c r="L554">
        <f>'AARnetCBR-CamDTN1_tcpmon_ts_11'!D554</f>
        <v>0</v>
      </c>
      <c r="M554">
        <f>'AARnetCBR-CamDTN1_tcpmon_ts_21'!D554+'AARnetCBR-CamDTN1_tcpmon_ts_22'!D554</f>
        <v>0</v>
      </c>
      <c r="N554">
        <f>'AARnetCBR-CamDTN1_tcpmon_ts_31'!D554+'AARnetCBR-CamDTN1_tcpmon_ts_32'!D554+'AARnetCBR-CamDTN1_tcpmon_ts_33'!D554</f>
        <v>0</v>
      </c>
      <c r="O554">
        <f>'AARnetCBR-CamDTN1_tcpmon_ts_41'!D554+'AARnetCBR-CamDTN1_tcpmon_ts_42'!D554+'AARnetCBR-CamDTN1_tcpmon_ts_43'!D554+'AARnetCBR-CamDTN1_tcpmon_ts_44'!D554</f>
        <v>0</v>
      </c>
      <c r="P554">
        <f>'AARnetCBR-CamDTN1_tcpmon_ts_51'!D554+'AARnetCBR-CamDTN1_tcpmon_ts_52'!D554+'AARnetCBR-CamDTN1_tcpmon_ts_53'!D554+'AARnetCBR-CamDTN1_tcpmon_ts_54'!D554+'AARnetCBR-CamDTN1_tcpmon_ts_55'!D554</f>
        <v>0</v>
      </c>
    </row>
    <row r="555" spans="1:16">
      <c r="A555">
        <f>'AARnetCBR-CamDTN1_tcpmon_ts_11'!A569</f>
        <v>0</v>
      </c>
      <c r="C555">
        <f>'AARnetCBR-CamDTN1_tcpmon_ts_11'!C569</f>
        <v>0</v>
      </c>
      <c r="D555">
        <f>'AARnetCBR-CamDTN1_tcpmon_ts_21'!C569+'AARnetCBR-CamDTN1_tcpmon_ts_22'!C569</f>
        <v>0</v>
      </c>
      <c r="E555">
        <f>'AARnetCBR-CamDTN1_tcpmon_ts_31'!C569+'AARnetCBR-CamDTN1_tcpmon_ts_32'!C569+'AARnetCBR-CamDTN1_tcpmon_ts_33'!C569</f>
        <v>0</v>
      </c>
      <c r="F555">
        <f>'AARnetCBR-CamDTN1_tcpmon_ts_41'!C569+'AARnetCBR-CamDTN1_tcpmon_ts_42'!C569+'AARnetCBR-CamDTN1_tcpmon_ts_43'!C569+'AARnetCBR-CamDTN1_tcpmon_ts_44'!C569</f>
        <v>0</v>
      </c>
      <c r="L555">
        <f>'AARnetCBR-CamDTN1_tcpmon_ts_11'!D555</f>
        <v>0</v>
      </c>
      <c r="M555">
        <f>'AARnetCBR-CamDTN1_tcpmon_ts_21'!D555+'AARnetCBR-CamDTN1_tcpmon_ts_22'!D555</f>
        <v>0</v>
      </c>
      <c r="N555">
        <f>'AARnetCBR-CamDTN1_tcpmon_ts_31'!D555+'AARnetCBR-CamDTN1_tcpmon_ts_32'!D555+'AARnetCBR-CamDTN1_tcpmon_ts_33'!D555</f>
        <v>0</v>
      </c>
      <c r="O555">
        <f>'AARnetCBR-CamDTN1_tcpmon_ts_41'!D555+'AARnetCBR-CamDTN1_tcpmon_ts_42'!D555+'AARnetCBR-CamDTN1_tcpmon_ts_43'!D555+'AARnetCBR-CamDTN1_tcpmon_ts_44'!D555</f>
        <v>0</v>
      </c>
      <c r="P555">
        <f>'AARnetCBR-CamDTN1_tcpmon_ts_51'!D555+'AARnetCBR-CamDTN1_tcpmon_ts_52'!D555+'AARnetCBR-CamDTN1_tcpmon_ts_53'!D555+'AARnetCBR-CamDTN1_tcpmon_ts_54'!D555+'AARnetCBR-CamDTN1_tcpmon_ts_55'!D555</f>
        <v>0</v>
      </c>
    </row>
    <row r="556" spans="1:16">
      <c r="A556">
        <f>'AARnetCBR-CamDTN1_tcpmon_ts_11'!A570</f>
        <v>0</v>
      </c>
      <c r="C556">
        <f>'AARnetCBR-CamDTN1_tcpmon_ts_11'!C570</f>
        <v>0</v>
      </c>
      <c r="D556">
        <f>'AARnetCBR-CamDTN1_tcpmon_ts_21'!C570+'AARnetCBR-CamDTN1_tcpmon_ts_22'!C570</f>
        <v>0</v>
      </c>
      <c r="E556">
        <f>'AARnetCBR-CamDTN1_tcpmon_ts_31'!C570+'AARnetCBR-CamDTN1_tcpmon_ts_32'!C570+'AARnetCBR-CamDTN1_tcpmon_ts_33'!C570</f>
        <v>0</v>
      </c>
      <c r="F556">
        <f>'AARnetCBR-CamDTN1_tcpmon_ts_41'!C570+'AARnetCBR-CamDTN1_tcpmon_ts_42'!C570+'AARnetCBR-CamDTN1_tcpmon_ts_43'!C570+'AARnetCBR-CamDTN1_tcpmon_ts_44'!C570</f>
        <v>0</v>
      </c>
      <c r="L556">
        <f>'AARnetCBR-CamDTN1_tcpmon_ts_11'!D556</f>
        <v>0</v>
      </c>
      <c r="M556">
        <f>'AARnetCBR-CamDTN1_tcpmon_ts_21'!D556+'AARnetCBR-CamDTN1_tcpmon_ts_22'!D556</f>
        <v>0</v>
      </c>
      <c r="N556">
        <f>'AARnetCBR-CamDTN1_tcpmon_ts_31'!D556+'AARnetCBR-CamDTN1_tcpmon_ts_32'!D556+'AARnetCBR-CamDTN1_tcpmon_ts_33'!D556</f>
        <v>0</v>
      </c>
      <c r="O556">
        <f>'AARnetCBR-CamDTN1_tcpmon_ts_41'!D556+'AARnetCBR-CamDTN1_tcpmon_ts_42'!D556+'AARnetCBR-CamDTN1_tcpmon_ts_43'!D556+'AARnetCBR-CamDTN1_tcpmon_ts_44'!D556</f>
        <v>0</v>
      </c>
      <c r="P556">
        <f>'AARnetCBR-CamDTN1_tcpmon_ts_51'!D556+'AARnetCBR-CamDTN1_tcpmon_ts_52'!D556+'AARnetCBR-CamDTN1_tcpmon_ts_53'!D556+'AARnetCBR-CamDTN1_tcpmon_ts_54'!D556+'AARnetCBR-CamDTN1_tcpmon_ts_55'!D556</f>
        <v>0</v>
      </c>
    </row>
    <row r="557" spans="1:16">
      <c r="A557">
        <f>'AARnetCBR-CamDTN1_tcpmon_ts_11'!A571</f>
        <v>0</v>
      </c>
      <c r="C557">
        <f>'AARnetCBR-CamDTN1_tcpmon_ts_11'!C571</f>
        <v>0</v>
      </c>
      <c r="D557">
        <f>'AARnetCBR-CamDTN1_tcpmon_ts_21'!C571+'AARnetCBR-CamDTN1_tcpmon_ts_22'!C571</f>
        <v>0</v>
      </c>
      <c r="E557">
        <f>'AARnetCBR-CamDTN1_tcpmon_ts_31'!C571+'AARnetCBR-CamDTN1_tcpmon_ts_32'!C571+'AARnetCBR-CamDTN1_tcpmon_ts_33'!C571</f>
        <v>0</v>
      </c>
      <c r="F557">
        <f>'AARnetCBR-CamDTN1_tcpmon_ts_41'!C571+'AARnetCBR-CamDTN1_tcpmon_ts_42'!C571+'AARnetCBR-CamDTN1_tcpmon_ts_43'!C571+'AARnetCBR-CamDTN1_tcpmon_ts_44'!C571</f>
        <v>0</v>
      </c>
      <c r="L557">
        <f>'AARnetCBR-CamDTN1_tcpmon_ts_11'!D557</f>
        <v>0</v>
      </c>
      <c r="M557">
        <f>'AARnetCBR-CamDTN1_tcpmon_ts_21'!D557+'AARnetCBR-CamDTN1_tcpmon_ts_22'!D557</f>
        <v>0</v>
      </c>
      <c r="N557">
        <f>'AARnetCBR-CamDTN1_tcpmon_ts_31'!D557+'AARnetCBR-CamDTN1_tcpmon_ts_32'!D557+'AARnetCBR-CamDTN1_tcpmon_ts_33'!D557</f>
        <v>0</v>
      </c>
      <c r="O557">
        <f>'AARnetCBR-CamDTN1_tcpmon_ts_41'!D557+'AARnetCBR-CamDTN1_tcpmon_ts_42'!D557+'AARnetCBR-CamDTN1_tcpmon_ts_43'!D557+'AARnetCBR-CamDTN1_tcpmon_ts_44'!D557</f>
        <v>0</v>
      </c>
      <c r="P557">
        <f>'AARnetCBR-CamDTN1_tcpmon_ts_51'!D557+'AARnetCBR-CamDTN1_tcpmon_ts_52'!D557+'AARnetCBR-CamDTN1_tcpmon_ts_53'!D557+'AARnetCBR-CamDTN1_tcpmon_ts_54'!D557+'AARnetCBR-CamDTN1_tcpmon_ts_55'!D557</f>
        <v>0</v>
      </c>
    </row>
    <row r="558" spans="1:16">
      <c r="A558">
        <f>'AARnetCBR-CamDTN1_tcpmon_ts_11'!A572</f>
        <v>0</v>
      </c>
      <c r="C558">
        <f>'AARnetCBR-CamDTN1_tcpmon_ts_11'!C572</f>
        <v>0</v>
      </c>
      <c r="D558">
        <f>'AARnetCBR-CamDTN1_tcpmon_ts_21'!C572+'AARnetCBR-CamDTN1_tcpmon_ts_22'!C572</f>
        <v>0</v>
      </c>
      <c r="E558">
        <f>'AARnetCBR-CamDTN1_tcpmon_ts_31'!C572+'AARnetCBR-CamDTN1_tcpmon_ts_32'!C572+'AARnetCBR-CamDTN1_tcpmon_ts_33'!C572</f>
        <v>0</v>
      </c>
      <c r="F558">
        <f>'AARnetCBR-CamDTN1_tcpmon_ts_41'!C572+'AARnetCBR-CamDTN1_tcpmon_ts_42'!C572+'AARnetCBR-CamDTN1_tcpmon_ts_43'!C572+'AARnetCBR-CamDTN1_tcpmon_ts_44'!C572</f>
        <v>0</v>
      </c>
      <c r="L558">
        <f>'AARnetCBR-CamDTN1_tcpmon_ts_11'!D558</f>
        <v>0</v>
      </c>
      <c r="M558">
        <f>'AARnetCBR-CamDTN1_tcpmon_ts_21'!D558+'AARnetCBR-CamDTN1_tcpmon_ts_22'!D558</f>
        <v>0</v>
      </c>
      <c r="N558">
        <f>'AARnetCBR-CamDTN1_tcpmon_ts_31'!D558+'AARnetCBR-CamDTN1_tcpmon_ts_32'!D558+'AARnetCBR-CamDTN1_tcpmon_ts_33'!D558</f>
        <v>0</v>
      </c>
      <c r="O558">
        <f>'AARnetCBR-CamDTN1_tcpmon_ts_41'!D558+'AARnetCBR-CamDTN1_tcpmon_ts_42'!D558+'AARnetCBR-CamDTN1_tcpmon_ts_43'!D558+'AARnetCBR-CamDTN1_tcpmon_ts_44'!D558</f>
        <v>0</v>
      </c>
      <c r="P558">
        <f>'AARnetCBR-CamDTN1_tcpmon_ts_51'!D558+'AARnetCBR-CamDTN1_tcpmon_ts_52'!D558+'AARnetCBR-CamDTN1_tcpmon_ts_53'!D558+'AARnetCBR-CamDTN1_tcpmon_ts_54'!D558+'AARnetCBR-CamDTN1_tcpmon_ts_55'!D558</f>
        <v>0</v>
      </c>
    </row>
    <row r="559" spans="1:16">
      <c r="A559">
        <f>'AARnetCBR-CamDTN1_tcpmon_ts_11'!A573</f>
        <v>0</v>
      </c>
      <c r="C559">
        <f>'AARnetCBR-CamDTN1_tcpmon_ts_11'!C573</f>
        <v>0</v>
      </c>
      <c r="D559">
        <f>'AARnetCBR-CamDTN1_tcpmon_ts_21'!C573+'AARnetCBR-CamDTN1_tcpmon_ts_22'!C573</f>
        <v>0</v>
      </c>
      <c r="E559">
        <f>'AARnetCBR-CamDTN1_tcpmon_ts_31'!C573+'AARnetCBR-CamDTN1_tcpmon_ts_32'!C573+'AARnetCBR-CamDTN1_tcpmon_ts_33'!C573</f>
        <v>0</v>
      </c>
      <c r="F559">
        <f>'AARnetCBR-CamDTN1_tcpmon_ts_41'!C573+'AARnetCBR-CamDTN1_tcpmon_ts_42'!C573+'AARnetCBR-CamDTN1_tcpmon_ts_43'!C573+'AARnetCBR-CamDTN1_tcpmon_ts_44'!C573</f>
        <v>0</v>
      </c>
      <c r="L559">
        <f>'AARnetCBR-CamDTN1_tcpmon_ts_11'!D559</f>
        <v>0</v>
      </c>
      <c r="M559">
        <f>'AARnetCBR-CamDTN1_tcpmon_ts_21'!D559+'AARnetCBR-CamDTN1_tcpmon_ts_22'!D559</f>
        <v>0</v>
      </c>
      <c r="N559">
        <f>'AARnetCBR-CamDTN1_tcpmon_ts_31'!D559+'AARnetCBR-CamDTN1_tcpmon_ts_32'!D559+'AARnetCBR-CamDTN1_tcpmon_ts_33'!D559</f>
        <v>0</v>
      </c>
      <c r="O559">
        <f>'AARnetCBR-CamDTN1_tcpmon_ts_41'!D559+'AARnetCBR-CamDTN1_tcpmon_ts_42'!D559+'AARnetCBR-CamDTN1_tcpmon_ts_43'!D559+'AARnetCBR-CamDTN1_tcpmon_ts_44'!D559</f>
        <v>0</v>
      </c>
      <c r="P559">
        <f>'AARnetCBR-CamDTN1_tcpmon_ts_51'!D559+'AARnetCBR-CamDTN1_tcpmon_ts_52'!D559+'AARnetCBR-CamDTN1_tcpmon_ts_53'!D559+'AARnetCBR-CamDTN1_tcpmon_ts_54'!D559+'AARnetCBR-CamDTN1_tcpmon_ts_55'!D559</f>
        <v>0</v>
      </c>
    </row>
    <row r="560" spans="1:16">
      <c r="A560">
        <f>'AARnetCBR-CamDTN1_tcpmon_ts_11'!A574</f>
        <v>0</v>
      </c>
      <c r="C560">
        <f>'AARnetCBR-CamDTN1_tcpmon_ts_11'!C574</f>
        <v>0</v>
      </c>
      <c r="D560">
        <f>'AARnetCBR-CamDTN1_tcpmon_ts_21'!C574+'AARnetCBR-CamDTN1_tcpmon_ts_22'!C574</f>
        <v>0</v>
      </c>
      <c r="E560">
        <f>'AARnetCBR-CamDTN1_tcpmon_ts_31'!C574+'AARnetCBR-CamDTN1_tcpmon_ts_32'!C574+'AARnetCBR-CamDTN1_tcpmon_ts_33'!C574</f>
        <v>0</v>
      </c>
      <c r="F560">
        <f>'AARnetCBR-CamDTN1_tcpmon_ts_41'!C574+'AARnetCBR-CamDTN1_tcpmon_ts_42'!C574+'AARnetCBR-CamDTN1_tcpmon_ts_43'!C574+'AARnetCBR-CamDTN1_tcpmon_ts_44'!C574</f>
        <v>0</v>
      </c>
      <c r="L560">
        <f>'AARnetCBR-CamDTN1_tcpmon_ts_11'!D560</f>
        <v>0</v>
      </c>
      <c r="M560">
        <f>'AARnetCBR-CamDTN1_tcpmon_ts_21'!D560+'AARnetCBR-CamDTN1_tcpmon_ts_22'!D560</f>
        <v>0</v>
      </c>
      <c r="N560">
        <f>'AARnetCBR-CamDTN1_tcpmon_ts_31'!D560+'AARnetCBR-CamDTN1_tcpmon_ts_32'!D560+'AARnetCBR-CamDTN1_tcpmon_ts_33'!D560</f>
        <v>0</v>
      </c>
      <c r="O560">
        <f>'AARnetCBR-CamDTN1_tcpmon_ts_41'!D560+'AARnetCBR-CamDTN1_tcpmon_ts_42'!D560+'AARnetCBR-CamDTN1_tcpmon_ts_43'!D560+'AARnetCBR-CamDTN1_tcpmon_ts_44'!D560</f>
        <v>0</v>
      </c>
      <c r="P560">
        <f>'AARnetCBR-CamDTN1_tcpmon_ts_51'!D560+'AARnetCBR-CamDTN1_tcpmon_ts_52'!D560+'AARnetCBR-CamDTN1_tcpmon_ts_53'!D560+'AARnetCBR-CamDTN1_tcpmon_ts_54'!D560+'AARnetCBR-CamDTN1_tcpmon_ts_55'!D560</f>
        <v>0</v>
      </c>
    </row>
    <row r="561" spans="1:16">
      <c r="A561">
        <f>'AARnetCBR-CamDTN1_tcpmon_ts_11'!A575</f>
        <v>0</v>
      </c>
      <c r="C561">
        <f>'AARnetCBR-CamDTN1_tcpmon_ts_11'!C575</f>
        <v>0</v>
      </c>
      <c r="D561">
        <f>'AARnetCBR-CamDTN1_tcpmon_ts_21'!C575+'AARnetCBR-CamDTN1_tcpmon_ts_22'!C575</f>
        <v>0</v>
      </c>
      <c r="E561">
        <f>'AARnetCBR-CamDTN1_tcpmon_ts_31'!C575+'AARnetCBR-CamDTN1_tcpmon_ts_32'!C575+'AARnetCBR-CamDTN1_tcpmon_ts_33'!C575</f>
        <v>0</v>
      </c>
      <c r="F561">
        <f>'AARnetCBR-CamDTN1_tcpmon_ts_41'!C575+'AARnetCBR-CamDTN1_tcpmon_ts_42'!C575+'AARnetCBR-CamDTN1_tcpmon_ts_43'!C575+'AARnetCBR-CamDTN1_tcpmon_ts_44'!C575</f>
        <v>0</v>
      </c>
      <c r="L561">
        <f>'AARnetCBR-CamDTN1_tcpmon_ts_11'!D561</f>
        <v>0</v>
      </c>
      <c r="M561">
        <f>'AARnetCBR-CamDTN1_tcpmon_ts_21'!D561+'AARnetCBR-CamDTN1_tcpmon_ts_22'!D561</f>
        <v>0</v>
      </c>
      <c r="N561">
        <f>'AARnetCBR-CamDTN1_tcpmon_ts_31'!D561+'AARnetCBR-CamDTN1_tcpmon_ts_32'!D561+'AARnetCBR-CamDTN1_tcpmon_ts_33'!D561</f>
        <v>0</v>
      </c>
      <c r="O561">
        <f>'AARnetCBR-CamDTN1_tcpmon_ts_41'!D561+'AARnetCBR-CamDTN1_tcpmon_ts_42'!D561+'AARnetCBR-CamDTN1_tcpmon_ts_43'!D561+'AARnetCBR-CamDTN1_tcpmon_ts_44'!D561</f>
        <v>0</v>
      </c>
      <c r="P561">
        <f>'AARnetCBR-CamDTN1_tcpmon_ts_51'!D561+'AARnetCBR-CamDTN1_tcpmon_ts_52'!D561+'AARnetCBR-CamDTN1_tcpmon_ts_53'!D561+'AARnetCBR-CamDTN1_tcpmon_ts_54'!D561+'AARnetCBR-CamDTN1_tcpmon_ts_55'!D561</f>
        <v>0</v>
      </c>
    </row>
    <row r="562" spans="1:16">
      <c r="A562">
        <f>'AARnetCBR-CamDTN1_tcpmon_ts_11'!A576</f>
        <v>0</v>
      </c>
      <c r="C562">
        <f>'AARnetCBR-CamDTN1_tcpmon_ts_11'!C576</f>
        <v>0</v>
      </c>
      <c r="D562">
        <f>'AARnetCBR-CamDTN1_tcpmon_ts_21'!C576+'AARnetCBR-CamDTN1_tcpmon_ts_22'!C576</f>
        <v>0</v>
      </c>
      <c r="E562">
        <f>'AARnetCBR-CamDTN1_tcpmon_ts_31'!C576+'AARnetCBR-CamDTN1_tcpmon_ts_32'!C576+'AARnetCBR-CamDTN1_tcpmon_ts_33'!C576</f>
        <v>0</v>
      </c>
      <c r="F562">
        <f>'AARnetCBR-CamDTN1_tcpmon_ts_41'!C576+'AARnetCBR-CamDTN1_tcpmon_ts_42'!C576+'AARnetCBR-CamDTN1_tcpmon_ts_43'!C576+'AARnetCBR-CamDTN1_tcpmon_ts_44'!C576</f>
        <v>0</v>
      </c>
      <c r="L562">
        <f>'AARnetCBR-CamDTN1_tcpmon_ts_11'!D562</f>
        <v>0</v>
      </c>
      <c r="M562">
        <f>'AARnetCBR-CamDTN1_tcpmon_ts_21'!D562+'AARnetCBR-CamDTN1_tcpmon_ts_22'!D562</f>
        <v>0</v>
      </c>
      <c r="N562">
        <f>'AARnetCBR-CamDTN1_tcpmon_ts_31'!D562+'AARnetCBR-CamDTN1_tcpmon_ts_32'!D562+'AARnetCBR-CamDTN1_tcpmon_ts_33'!D562</f>
        <v>0</v>
      </c>
      <c r="O562">
        <f>'AARnetCBR-CamDTN1_tcpmon_ts_41'!D562+'AARnetCBR-CamDTN1_tcpmon_ts_42'!D562+'AARnetCBR-CamDTN1_tcpmon_ts_43'!D562+'AARnetCBR-CamDTN1_tcpmon_ts_44'!D562</f>
        <v>0</v>
      </c>
      <c r="P562">
        <f>'AARnetCBR-CamDTN1_tcpmon_ts_51'!D562+'AARnetCBR-CamDTN1_tcpmon_ts_52'!D562+'AARnetCBR-CamDTN1_tcpmon_ts_53'!D562+'AARnetCBR-CamDTN1_tcpmon_ts_54'!D562+'AARnetCBR-CamDTN1_tcpmon_ts_55'!D562</f>
        <v>0</v>
      </c>
    </row>
    <row r="563" spans="1:16">
      <c r="A563">
        <f>'AARnetCBR-CamDTN1_tcpmon_ts_11'!A577</f>
        <v>0</v>
      </c>
      <c r="C563">
        <f>'AARnetCBR-CamDTN1_tcpmon_ts_11'!C577</f>
        <v>0</v>
      </c>
      <c r="D563">
        <f>'AARnetCBR-CamDTN1_tcpmon_ts_21'!C577+'AARnetCBR-CamDTN1_tcpmon_ts_22'!C577</f>
        <v>0</v>
      </c>
      <c r="E563">
        <f>'AARnetCBR-CamDTN1_tcpmon_ts_31'!C577+'AARnetCBR-CamDTN1_tcpmon_ts_32'!C577+'AARnetCBR-CamDTN1_tcpmon_ts_33'!C577</f>
        <v>0</v>
      </c>
      <c r="F563">
        <f>'AARnetCBR-CamDTN1_tcpmon_ts_41'!C577+'AARnetCBR-CamDTN1_tcpmon_ts_42'!C577+'AARnetCBR-CamDTN1_tcpmon_ts_43'!C577+'AARnetCBR-CamDTN1_tcpmon_ts_44'!C577</f>
        <v>0</v>
      </c>
      <c r="L563">
        <f>'AARnetCBR-CamDTN1_tcpmon_ts_11'!D563</f>
        <v>0</v>
      </c>
      <c r="M563">
        <f>'AARnetCBR-CamDTN1_tcpmon_ts_21'!D563+'AARnetCBR-CamDTN1_tcpmon_ts_22'!D563</f>
        <v>0</v>
      </c>
      <c r="N563">
        <f>'AARnetCBR-CamDTN1_tcpmon_ts_31'!D563+'AARnetCBR-CamDTN1_tcpmon_ts_32'!D563+'AARnetCBR-CamDTN1_tcpmon_ts_33'!D563</f>
        <v>0</v>
      </c>
      <c r="O563">
        <f>'AARnetCBR-CamDTN1_tcpmon_ts_41'!D563+'AARnetCBR-CamDTN1_tcpmon_ts_42'!D563+'AARnetCBR-CamDTN1_tcpmon_ts_43'!D563+'AARnetCBR-CamDTN1_tcpmon_ts_44'!D563</f>
        <v>0</v>
      </c>
      <c r="P563">
        <f>'AARnetCBR-CamDTN1_tcpmon_ts_51'!D563+'AARnetCBR-CamDTN1_tcpmon_ts_52'!D563+'AARnetCBR-CamDTN1_tcpmon_ts_53'!D563+'AARnetCBR-CamDTN1_tcpmon_ts_54'!D563+'AARnetCBR-CamDTN1_tcpmon_ts_55'!D563</f>
        <v>0</v>
      </c>
    </row>
    <row r="564" spans="1:16">
      <c r="A564">
        <f>'AARnetCBR-CamDTN1_tcpmon_ts_11'!A578</f>
        <v>0</v>
      </c>
      <c r="C564">
        <f>'AARnetCBR-CamDTN1_tcpmon_ts_11'!C578</f>
        <v>0</v>
      </c>
      <c r="D564">
        <f>'AARnetCBR-CamDTN1_tcpmon_ts_21'!C578+'AARnetCBR-CamDTN1_tcpmon_ts_22'!C578</f>
        <v>0</v>
      </c>
      <c r="E564">
        <f>'AARnetCBR-CamDTN1_tcpmon_ts_31'!C578+'AARnetCBR-CamDTN1_tcpmon_ts_32'!C578+'AARnetCBR-CamDTN1_tcpmon_ts_33'!C578</f>
        <v>0</v>
      </c>
      <c r="F564">
        <f>'AARnetCBR-CamDTN1_tcpmon_ts_41'!C578+'AARnetCBR-CamDTN1_tcpmon_ts_42'!C578+'AARnetCBR-CamDTN1_tcpmon_ts_43'!C578+'AARnetCBR-CamDTN1_tcpmon_ts_44'!C578</f>
        <v>0</v>
      </c>
      <c r="L564">
        <f>'AARnetCBR-CamDTN1_tcpmon_ts_11'!D564</f>
        <v>0</v>
      </c>
      <c r="M564">
        <f>'AARnetCBR-CamDTN1_tcpmon_ts_21'!D564+'AARnetCBR-CamDTN1_tcpmon_ts_22'!D564</f>
        <v>0</v>
      </c>
      <c r="N564">
        <f>'AARnetCBR-CamDTN1_tcpmon_ts_31'!D564+'AARnetCBR-CamDTN1_tcpmon_ts_32'!D564+'AARnetCBR-CamDTN1_tcpmon_ts_33'!D564</f>
        <v>0</v>
      </c>
      <c r="O564">
        <f>'AARnetCBR-CamDTN1_tcpmon_ts_41'!D564+'AARnetCBR-CamDTN1_tcpmon_ts_42'!D564+'AARnetCBR-CamDTN1_tcpmon_ts_43'!D564+'AARnetCBR-CamDTN1_tcpmon_ts_44'!D564</f>
        <v>0</v>
      </c>
      <c r="P564">
        <f>'AARnetCBR-CamDTN1_tcpmon_ts_51'!D564+'AARnetCBR-CamDTN1_tcpmon_ts_52'!D564+'AARnetCBR-CamDTN1_tcpmon_ts_53'!D564+'AARnetCBR-CamDTN1_tcpmon_ts_54'!D564+'AARnetCBR-CamDTN1_tcpmon_ts_55'!D564</f>
        <v>0</v>
      </c>
    </row>
    <row r="565" spans="1:16">
      <c r="A565">
        <f>'AARnetCBR-CamDTN1_tcpmon_ts_11'!A579</f>
        <v>0</v>
      </c>
      <c r="C565">
        <f>'AARnetCBR-CamDTN1_tcpmon_ts_11'!C579</f>
        <v>0</v>
      </c>
      <c r="D565">
        <f>'AARnetCBR-CamDTN1_tcpmon_ts_21'!C579+'AARnetCBR-CamDTN1_tcpmon_ts_22'!C579</f>
        <v>0</v>
      </c>
      <c r="E565">
        <f>'AARnetCBR-CamDTN1_tcpmon_ts_31'!C579+'AARnetCBR-CamDTN1_tcpmon_ts_32'!C579+'AARnetCBR-CamDTN1_tcpmon_ts_33'!C579</f>
        <v>0</v>
      </c>
      <c r="F565">
        <f>'AARnetCBR-CamDTN1_tcpmon_ts_41'!C579+'AARnetCBR-CamDTN1_tcpmon_ts_42'!C579+'AARnetCBR-CamDTN1_tcpmon_ts_43'!C579+'AARnetCBR-CamDTN1_tcpmon_ts_44'!C579</f>
        <v>0</v>
      </c>
      <c r="L565">
        <f>'AARnetCBR-CamDTN1_tcpmon_ts_11'!D565</f>
        <v>0</v>
      </c>
      <c r="M565">
        <f>'AARnetCBR-CamDTN1_tcpmon_ts_21'!D565+'AARnetCBR-CamDTN1_tcpmon_ts_22'!D565</f>
        <v>0</v>
      </c>
      <c r="N565">
        <f>'AARnetCBR-CamDTN1_tcpmon_ts_31'!D565+'AARnetCBR-CamDTN1_tcpmon_ts_32'!D565+'AARnetCBR-CamDTN1_tcpmon_ts_33'!D565</f>
        <v>0</v>
      </c>
      <c r="O565">
        <f>'AARnetCBR-CamDTN1_tcpmon_ts_41'!D565+'AARnetCBR-CamDTN1_tcpmon_ts_42'!D565+'AARnetCBR-CamDTN1_tcpmon_ts_43'!D565+'AARnetCBR-CamDTN1_tcpmon_ts_44'!D565</f>
        <v>0</v>
      </c>
      <c r="P565">
        <f>'AARnetCBR-CamDTN1_tcpmon_ts_51'!D565+'AARnetCBR-CamDTN1_tcpmon_ts_52'!D565+'AARnetCBR-CamDTN1_tcpmon_ts_53'!D565+'AARnetCBR-CamDTN1_tcpmon_ts_54'!D565+'AARnetCBR-CamDTN1_tcpmon_ts_55'!D565</f>
        <v>0</v>
      </c>
    </row>
    <row r="566" spans="1:16">
      <c r="A566">
        <f>'AARnetCBR-CamDTN1_tcpmon_ts_11'!A580</f>
        <v>0</v>
      </c>
      <c r="C566">
        <f>'AARnetCBR-CamDTN1_tcpmon_ts_11'!C580</f>
        <v>0</v>
      </c>
      <c r="D566">
        <f>'AARnetCBR-CamDTN1_tcpmon_ts_21'!C580+'AARnetCBR-CamDTN1_tcpmon_ts_22'!C580</f>
        <v>0</v>
      </c>
      <c r="E566">
        <f>'AARnetCBR-CamDTN1_tcpmon_ts_31'!C580+'AARnetCBR-CamDTN1_tcpmon_ts_32'!C580+'AARnetCBR-CamDTN1_tcpmon_ts_33'!C580</f>
        <v>0</v>
      </c>
      <c r="F566">
        <f>'AARnetCBR-CamDTN1_tcpmon_ts_41'!C580+'AARnetCBR-CamDTN1_tcpmon_ts_42'!C580+'AARnetCBR-CamDTN1_tcpmon_ts_43'!C580+'AARnetCBR-CamDTN1_tcpmon_ts_44'!C580</f>
        <v>0</v>
      </c>
      <c r="L566">
        <f>'AARnetCBR-CamDTN1_tcpmon_ts_11'!D566</f>
        <v>0</v>
      </c>
      <c r="M566">
        <f>'AARnetCBR-CamDTN1_tcpmon_ts_21'!D566+'AARnetCBR-CamDTN1_tcpmon_ts_22'!D566</f>
        <v>0</v>
      </c>
      <c r="N566">
        <f>'AARnetCBR-CamDTN1_tcpmon_ts_31'!D566+'AARnetCBR-CamDTN1_tcpmon_ts_32'!D566+'AARnetCBR-CamDTN1_tcpmon_ts_33'!D566</f>
        <v>0</v>
      </c>
      <c r="O566">
        <f>'AARnetCBR-CamDTN1_tcpmon_ts_41'!D566+'AARnetCBR-CamDTN1_tcpmon_ts_42'!D566+'AARnetCBR-CamDTN1_tcpmon_ts_43'!D566+'AARnetCBR-CamDTN1_tcpmon_ts_44'!D566</f>
        <v>0</v>
      </c>
      <c r="P566">
        <f>'AARnetCBR-CamDTN1_tcpmon_ts_51'!D566+'AARnetCBR-CamDTN1_tcpmon_ts_52'!D566+'AARnetCBR-CamDTN1_tcpmon_ts_53'!D566+'AARnetCBR-CamDTN1_tcpmon_ts_54'!D566+'AARnetCBR-CamDTN1_tcpmon_ts_55'!D566</f>
        <v>0</v>
      </c>
    </row>
    <row r="567" spans="1:16">
      <c r="A567">
        <f>'AARnetCBR-CamDTN1_tcpmon_ts_11'!A581</f>
        <v>0</v>
      </c>
      <c r="C567">
        <f>'AARnetCBR-CamDTN1_tcpmon_ts_11'!C581</f>
        <v>0</v>
      </c>
      <c r="D567">
        <f>'AARnetCBR-CamDTN1_tcpmon_ts_21'!C581+'AARnetCBR-CamDTN1_tcpmon_ts_22'!C581</f>
        <v>0</v>
      </c>
      <c r="E567">
        <f>'AARnetCBR-CamDTN1_tcpmon_ts_31'!C581+'AARnetCBR-CamDTN1_tcpmon_ts_32'!C581+'AARnetCBR-CamDTN1_tcpmon_ts_33'!C581</f>
        <v>0</v>
      </c>
      <c r="F567">
        <f>'AARnetCBR-CamDTN1_tcpmon_ts_41'!C581+'AARnetCBR-CamDTN1_tcpmon_ts_42'!C581+'AARnetCBR-CamDTN1_tcpmon_ts_43'!C581+'AARnetCBR-CamDTN1_tcpmon_ts_44'!C581</f>
        <v>0</v>
      </c>
      <c r="L567">
        <f>'AARnetCBR-CamDTN1_tcpmon_ts_11'!D567</f>
        <v>0</v>
      </c>
      <c r="M567">
        <f>'AARnetCBR-CamDTN1_tcpmon_ts_21'!D567+'AARnetCBR-CamDTN1_tcpmon_ts_22'!D567</f>
        <v>0</v>
      </c>
      <c r="N567">
        <f>'AARnetCBR-CamDTN1_tcpmon_ts_31'!D567+'AARnetCBR-CamDTN1_tcpmon_ts_32'!D567+'AARnetCBR-CamDTN1_tcpmon_ts_33'!D567</f>
        <v>0</v>
      </c>
      <c r="O567">
        <f>'AARnetCBR-CamDTN1_tcpmon_ts_41'!D567+'AARnetCBR-CamDTN1_tcpmon_ts_42'!D567+'AARnetCBR-CamDTN1_tcpmon_ts_43'!D567+'AARnetCBR-CamDTN1_tcpmon_ts_44'!D567</f>
        <v>0</v>
      </c>
      <c r="P567">
        <f>'AARnetCBR-CamDTN1_tcpmon_ts_51'!D567+'AARnetCBR-CamDTN1_tcpmon_ts_52'!D567+'AARnetCBR-CamDTN1_tcpmon_ts_53'!D567+'AARnetCBR-CamDTN1_tcpmon_ts_54'!D567+'AARnetCBR-CamDTN1_tcpmon_ts_55'!D567</f>
        <v>0</v>
      </c>
    </row>
    <row r="568" spans="1:16">
      <c r="A568">
        <f>'AARnetCBR-CamDTN1_tcpmon_ts_11'!A582</f>
        <v>0</v>
      </c>
      <c r="C568">
        <f>'AARnetCBR-CamDTN1_tcpmon_ts_11'!C582</f>
        <v>0</v>
      </c>
      <c r="D568">
        <f>'AARnetCBR-CamDTN1_tcpmon_ts_21'!C582+'AARnetCBR-CamDTN1_tcpmon_ts_22'!C582</f>
        <v>0</v>
      </c>
      <c r="E568">
        <f>'AARnetCBR-CamDTN1_tcpmon_ts_31'!C582+'AARnetCBR-CamDTN1_tcpmon_ts_32'!C582+'AARnetCBR-CamDTN1_tcpmon_ts_33'!C582</f>
        <v>0</v>
      </c>
      <c r="F568">
        <f>'AARnetCBR-CamDTN1_tcpmon_ts_41'!C582+'AARnetCBR-CamDTN1_tcpmon_ts_42'!C582+'AARnetCBR-CamDTN1_tcpmon_ts_43'!C582+'AARnetCBR-CamDTN1_tcpmon_ts_44'!C582</f>
        <v>0</v>
      </c>
      <c r="L568">
        <f>'AARnetCBR-CamDTN1_tcpmon_ts_11'!D568</f>
        <v>0</v>
      </c>
      <c r="M568">
        <f>'AARnetCBR-CamDTN1_tcpmon_ts_21'!D568+'AARnetCBR-CamDTN1_tcpmon_ts_22'!D568</f>
        <v>0</v>
      </c>
      <c r="N568">
        <f>'AARnetCBR-CamDTN1_tcpmon_ts_31'!D568+'AARnetCBR-CamDTN1_tcpmon_ts_32'!D568+'AARnetCBR-CamDTN1_tcpmon_ts_33'!D568</f>
        <v>0</v>
      </c>
      <c r="O568">
        <f>'AARnetCBR-CamDTN1_tcpmon_ts_41'!D568+'AARnetCBR-CamDTN1_tcpmon_ts_42'!D568+'AARnetCBR-CamDTN1_tcpmon_ts_43'!D568+'AARnetCBR-CamDTN1_tcpmon_ts_44'!D568</f>
        <v>0</v>
      </c>
      <c r="P568">
        <f>'AARnetCBR-CamDTN1_tcpmon_ts_51'!D568+'AARnetCBR-CamDTN1_tcpmon_ts_52'!D568+'AARnetCBR-CamDTN1_tcpmon_ts_53'!D568+'AARnetCBR-CamDTN1_tcpmon_ts_54'!D568+'AARnetCBR-CamDTN1_tcpmon_ts_55'!D568</f>
        <v>0</v>
      </c>
    </row>
    <row r="569" spans="1:16">
      <c r="A569">
        <f>'AARnetCBR-CamDTN1_tcpmon_ts_11'!A583</f>
        <v>0</v>
      </c>
      <c r="C569">
        <f>'AARnetCBR-CamDTN1_tcpmon_ts_11'!C583</f>
        <v>0</v>
      </c>
      <c r="D569">
        <f>'AARnetCBR-CamDTN1_tcpmon_ts_21'!C583+'AARnetCBR-CamDTN1_tcpmon_ts_22'!C583</f>
        <v>0</v>
      </c>
      <c r="E569">
        <f>'AARnetCBR-CamDTN1_tcpmon_ts_31'!C583+'AARnetCBR-CamDTN1_tcpmon_ts_32'!C583+'AARnetCBR-CamDTN1_tcpmon_ts_33'!C583</f>
        <v>0</v>
      </c>
      <c r="F569">
        <f>'AARnetCBR-CamDTN1_tcpmon_ts_41'!C583+'AARnetCBR-CamDTN1_tcpmon_ts_42'!C583+'AARnetCBR-CamDTN1_tcpmon_ts_43'!C583+'AARnetCBR-CamDTN1_tcpmon_ts_44'!C583</f>
        <v>0</v>
      </c>
      <c r="L569">
        <f>'AARnetCBR-CamDTN1_tcpmon_ts_11'!D569</f>
        <v>0</v>
      </c>
      <c r="M569">
        <f>'AARnetCBR-CamDTN1_tcpmon_ts_21'!D569+'AARnetCBR-CamDTN1_tcpmon_ts_22'!D569</f>
        <v>0</v>
      </c>
      <c r="N569">
        <f>'AARnetCBR-CamDTN1_tcpmon_ts_31'!D569+'AARnetCBR-CamDTN1_tcpmon_ts_32'!D569+'AARnetCBR-CamDTN1_tcpmon_ts_33'!D569</f>
        <v>0</v>
      </c>
      <c r="O569">
        <f>'AARnetCBR-CamDTN1_tcpmon_ts_41'!D569+'AARnetCBR-CamDTN1_tcpmon_ts_42'!D569+'AARnetCBR-CamDTN1_tcpmon_ts_43'!D569+'AARnetCBR-CamDTN1_tcpmon_ts_44'!D569</f>
        <v>0</v>
      </c>
      <c r="P569">
        <f>'AARnetCBR-CamDTN1_tcpmon_ts_51'!D569+'AARnetCBR-CamDTN1_tcpmon_ts_52'!D569+'AARnetCBR-CamDTN1_tcpmon_ts_53'!D569+'AARnetCBR-CamDTN1_tcpmon_ts_54'!D569+'AARnetCBR-CamDTN1_tcpmon_ts_55'!D569</f>
        <v>0</v>
      </c>
    </row>
    <row r="570" spans="1:16">
      <c r="A570">
        <f>'AARnetCBR-CamDTN1_tcpmon_ts_11'!A584</f>
        <v>0</v>
      </c>
      <c r="C570">
        <f>'AARnetCBR-CamDTN1_tcpmon_ts_11'!C584</f>
        <v>0</v>
      </c>
      <c r="D570">
        <f>'AARnetCBR-CamDTN1_tcpmon_ts_21'!C584+'AARnetCBR-CamDTN1_tcpmon_ts_22'!C584</f>
        <v>0</v>
      </c>
      <c r="E570">
        <f>'AARnetCBR-CamDTN1_tcpmon_ts_31'!C584+'AARnetCBR-CamDTN1_tcpmon_ts_32'!C584+'AARnetCBR-CamDTN1_tcpmon_ts_33'!C584</f>
        <v>0</v>
      </c>
      <c r="F570">
        <f>'AARnetCBR-CamDTN1_tcpmon_ts_41'!C584+'AARnetCBR-CamDTN1_tcpmon_ts_42'!C584+'AARnetCBR-CamDTN1_tcpmon_ts_43'!C584+'AARnetCBR-CamDTN1_tcpmon_ts_44'!C584</f>
        <v>0</v>
      </c>
      <c r="L570">
        <f>'AARnetCBR-CamDTN1_tcpmon_ts_11'!D570</f>
        <v>0</v>
      </c>
      <c r="M570">
        <f>'AARnetCBR-CamDTN1_tcpmon_ts_21'!D570+'AARnetCBR-CamDTN1_tcpmon_ts_22'!D570</f>
        <v>0</v>
      </c>
      <c r="N570">
        <f>'AARnetCBR-CamDTN1_tcpmon_ts_31'!D570+'AARnetCBR-CamDTN1_tcpmon_ts_32'!D570+'AARnetCBR-CamDTN1_tcpmon_ts_33'!D570</f>
        <v>0</v>
      </c>
      <c r="O570">
        <f>'AARnetCBR-CamDTN1_tcpmon_ts_41'!D570+'AARnetCBR-CamDTN1_tcpmon_ts_42'!D570+'AARnetCBR-CamDTN1_tcpmon_ts_43'!D570+'AARnetCBR-CamDTN1_tcpmon_ts_44'!D570</f>
        <v>0</v>
      </c>
      <c r="P570">
        <f>'AARnetCBR-CamDTN1_tcpmon_ts_51'!D570+'AARnetCBR-CamDTN1_tcpmon_ts_52'!D570+'AARnetCBR-CamDTN1_tcpmon_ts_53'!D570+'AARnetCBR-CamDTN1_tcpmon_ts_54'!D570+'AARnetCBR-CamDTN1_tcpmon_ts_55'!D570</f>
        <v>0</v>
      </c>
    </row>
    <row r="571" spans="1:16">
      <c r="A571">
        <f>'AARnetCBR-CamDTN1_tcpmon_ts_11'!A585</f>
        <v>0</v>
      </c>
      <c r="C571">
        <f>'AARnetCBR-CamDTN1_tcpmon_ts_11'!C585</f>
        <v>0</v>
      </c>
      <c r="D571">
        <f>'AARnetCBR-CamDTN1_tcpmon_ts_21'!C585+'AARnetCBR-CamDTN1_tcpmon_ts_22'!C585</f>
        <v>0</v>
      </c>
      <c r="E571">
        <f>'AARnetCBR-CamDTN1_tcpmon_ts_31'!C585+'AARnetCBR-CamDTN1_tcpmon_ts_32'!C585+'AARnetCBR-CamDTN1_tcpmon_ts_33'!C585</f>
        <v>0</v>
      </c>
      <c r="F571">
        <f>'AARnetCBR-CamDTN1_tcpmon_ts_41'!C585+'AARnetCBR-CamDTN1_tcpmon_ts_42'!C585+'AARnetCBR-CamDTN1_tcpmon_ts_43'!C585+'AARnetCBR-CamDTN1_tcpmon_ts_44'!C585</f>
        <v>0</v>
      </c>
      <c r="L571">
        <f>'AARnetCBR-CamDTN1_tcpmon_ts_11'!D571</f>
        <v>0</v>
      </c>
      <c r="M571">
        <f>'AARnetCBR-CamDTN1_tcpmon_ts_21'!D571+'AARnetCBR-CamDTN1_tcpmon_ts_22'!D571</f>
        <v>0</v>
      </c>
      <c r="N571">
        <f>'AARnetCBR-CamDTN1_tcpmon_ts_31'!D571+'AARnetCBR-CamDTN1_tcpmon_ts_32'!D571+'AARnetCBR-CamDTN1_tcpmon_ts_33'!D571</f>
        <v>0</v>
      </c>
      <c r="O571">
        <f>'AARnetCBR-CamDTN1_tcpmon_ts_41'!D571+'AARnetCBR-CamDTN1_tcpmon_ts_42'!D571+'AARnetCBR-CamDTN1_tcpmon_ts_43'!D571+'AARnetCBR-CamDTN1_tcpmon_ts_44'!D571</f>
        <v>0</v>
      </c>
      <c r="P571">
        <f>'AARnetCBR-CamDTN1_tcpmon_ts_51'!D571+'AARnetCBR-CamDTN1_tcpmon_ts_52'!D571+'AARnetCBR-CamDTN1_tcpmon_ts_53'!D571+'AARnetCBR-CamDTN1_tcpmon_ts_54'!D571+'AARnetCBR-CamDTN1_tcpmon_ts_55'!D571</f>
        <v>0</v>
      </c>
    </row>
    <row r="572" spans="1:16">
      <c r="A572">
        <f>'AARnetCBR-CamDTN1_tcpmon_ts_11'!A586</f>
        <v>0</v>
      </c>
      <c r="C572">
        <f>'AARnetCBR-CamDTN1_tcpmon_ts_11'!C586</f>
        <v>0</v>
      </c>
      <c r="D572">
        <f>'AARnetCBR-CamDTN1_tcpmon_ts_21'!C586+'AARnetCBR-CamDTN1_tcpmon_ts_22'!C586</f>
        <v>0</v>
      </c>
      <c r="E572">
        <f>'AARnetCBR-CamDTN1_tcpmon_ts_31'!C586+'AARnetCBR-CamDTN1_tcpmon_ts_32'!C586+'AARnetCBR-CamDTN1_tcpmon_ts_33'!C586</f>
        <v>0</v>
      </c>
      <c r="F572">
        <f>'AARnetCBR-CamDTN1_tcpmon_ts_41'!C586+'AARnetCBR-CamDTN1_tcpmon_ts_42'!C586+'AARnetCBR-CamDTN1_tcpmon_ts_43'!C586+'AARnetCBR-CamDTN1_tcpmon_ts_44'!C586</f>
        <v>0</v>
      </c>
      <c r="L572">
        <f>'AARnetCBR-CamDTN1_tcpmon_ts_11'!D572</f>
        <v>0</v>
      </c>
      <c r="M572">
        <f>'AARnetCBR-CamDTN1_tcpmon_ts_21'!D572+'AARnetCBR-CamDTN1_tcpmon_ts_22'!D572</f>
        <v>0</v>
      </c>
      <c r="N572">
        <f>'AARnetCBR-CamDTN1_tcpmon_ts_31'!D572+'AARnetCBR-CamDTN1_tcpmon_ts_32'!D572+'AARnetCBR-CamDTN1_tcpmon_ts_33'!D572</f>
        <v>0</v>
      </c>
      <c r="O572">
        <f>'AARnetCBR-CamDTN1_tcpmon_ts_41'!D572+'AARnetCBR-CamDTN1_tcpmon_ts_42'!D572+'AARnetCBR-CamDTN1_tcpmon_ts_43'!D572+'AARnetCBR-CamDTN1_tcpmon_ts_44'!D572</f>
        <v>0</v>
      </c>
      <c r="P572">
        <f>'AARnetCBR-CamDTN1_tcpmon_ts_51'!D572+'AARnetCBR-CamDTN1_tcpmon_ts_52'!D572+'AARnetCBR-CamDTN1_tcpmon_ts_53'!D572+'AARnetCBR-CamDTN1_tcpmon_ts_54'!D572+'AARnetCBR-CamDTN1_tcpmon_ts_55'!D572</f>
        <v>0</v>
      </c>
    </row>
    <row r="573" spans="1:16">
      <c r="A573">
        <f>'AARnetCBR-CamDTN1_tcpmon_ts_11'!A587</f>
        <v>0</v>
      </c>
      <c r="C573">
        <f>'AARnetCBR-CamDTN1_tcpmon_ts_11'!C587</f>
        <v>0</v>
      </c>
      <c r="D573">
        <f>'AARnetCBR-CamDTN1_tcpmon_ts_21'!C587+'AARnetCBR-CamDTN1_tcpmon_ts_22'!C587</f>
        <v>0</v>
      </c>
      <c r="E573">
        <f>'AARnetCBR-CamDTN1_tcpmon_ts_31'!C587+'AARnetCBR-CamDTN1_tcpmon_ts_32'!C587+'AARnetCBR-CamDTN1_tcpmon_ts_33'!C587</f>
        <v>0</v>
      </c>
      <c r="F573">
        <f>'AARnetCBR-CamDTN1_tcpmon_ts_41'!C587+'AARnetCBR-CamDTN1_tcpmon_ts_42'!C587+'AARnetCBR-CamDTN1_tcpmon_ts_43'!C587+'AARnetCBR-CamDTN1_tcpmon_ts_44'!C587</f>
        <v>0</v>
      </c>
      <c r="L573">
        <f>'AARnetCBR-CamDTN1_tcpmon_ts_11'!D573</f>
        <v>0</v>
      </c>
      <c r="M573">
        <f>'AARnetCBR-CamDTN1_tcpmon_ts_21'!D573+'AARnetCBR-CamDTN1_tcpmon_ts_22'!D573</f>
        <v>0</v>
      </c>
      <c r="N573">
        <f>'AARnetCBR-CamDTN1_tcpmon_ts_31'!D573+'AARnetCBR-CamDTN1_tcpmon_ts_32'!D573+'AARnetCBR-CamDTN1_tcpmon_ts_33'!D573</f>
        <v>0</v>
      </c>
      <c r="O573">
        <f>'AARnetCBR-CamDTN1_tcpmon_ts_41'!D573+'AARnetCBR-CamDTN1_tcpmon_ts_42'!D573+'AARnetCBR-CamDTN1_tcpmon_ts_43'!D573+'AARnetCBR-CamDTN1_tcpmon_ts_44'!D573</f>
        <v>0</v>
      </c>
      <c r="P573">
        <f>'AARnetCBR-CamDTN1_tcpmon_ts_51'!D573+'AARnetCBR-CamDTN1_tcpmon_ts_52'!D573+'AARnetCBR-CamDTN1_tcpmon_ts_53'!D573+'AARnetCBR-CamDTN1_tcpmon_ts_54'!D573+'AARnetCBR-CamDTN1_tcpmon_ts_55'!D573</f>
        <v>0</v>
      </c>
    </row>
    <row r="574" spans="1:16">
      <c r="A574">
        <f>'AARnetCBR-CamDTN1_tcpmon_ts_11'!A588</f>
        <v>0</v>
      </c>
      <c r="C574">
        <f>'AARnetCBR-CamDTN1_tcpmon_ts_11'!C588</f>
        <v>0</v>
      </c>
      <c r="D574">
        <f>'AARnetCBR-CamDTN1_tcpmon_ts_21'!C588+'AARnetCBR-CamDTN1_tcpmon_ts_22'!C588</f>
        <v>0</v>
      </c>
      <c r="E574">
        <f>'AARnetCBR-CamDTN1_tcpmon_ts_31'!C588+'AARnetCBR-CamDTN1_tcpmon_ts_32'!C588+'AARnetCBR-CamDTN1_tcpmon_ts_33'!C588</f>
        <v>0</v>
      </c>
      <c r="F574">
        <f>'AARnetCBR-CamDTN1_tcpmon_ts_41'!C588+'AARnetCBR-CamDTN1_tcpmon_ts_42'!C588+'AARnetCBR-CamDTN1_tcpmon_ts_43'!C588+'AARnetCBR-CamDTN1_tcpmon_ts_44'!C588</f>
        <v>0</v>
      </c>
      <c r="L574">
        <f>'AARnetCBR-CamDTN1_tcpmon_ts_11'!D574</f>
        <v>0</v>
      </c>
      <c r="M574">
        <f>'AARnetCBR-CamDTN1_tcpmon_ts_21'!D574+'AARnetCBR-CamDTN1_tcpmon_ts_22'!D574</f>
        <v>0</v>
      </c>
      <c r="N574">
        <f>'AARnetCBR-CamDTN1_tcpmon_ts_31'!D574+'AARnetCBR-CamDTN1_tcpmon_ts_32'!D574+'AARnetCBR-CamDTN1_tcpmon_ts_33'!D574</f>
        <v>0</v>
      </c>
      <c r="O574">
        <f>'AARnetCBR-CamDTN1_tcpmon_ts_41'!D574+'AARnetCBR-CamDTN1_tcpmon_ts_42'!D574+'AARnetCBR-CamDTN1_tcpmon_ts_43'!D574+'AARnetCBR-CamDTN1_tcpmon_ts_44'!D574</f>
        <v>0</v>
      </c>
      <c r="P574">
        <f>'AARnetCBR-CamDTN1_tcpmon_ts_51'!D574+'AARnetCBR-CamDTN1_tcpmon_ts_52'!D574+'AARnetCBR-CamDTN1_tcpmon_ts_53'!D574+'AARnetCBR-CamDTN1_tcpmon_ts_54'!D574+'AARnetCBR-CamDTN1_tcpmon_ts_55'!D574</f>
        <v>0</v>
      </c>
    </row>
    <row r="575" spans="1:16">
      <c r="A575">
        <f>'AARnetCBR-CamDTN1_tcpmon_ts_11'!A589</f>
        <v>0</v>
      </c>
      <c r="C575">
        <f>'AARnetCBR-CamDTN1_tcpmon_ts_11'!C589</f>
        <v>0</v>
      </c>
      <c r="D575">
        <f>'AARnetCBR-CamDTN1_tcpmon_ts_21'!C589+'AARnetCBR-CamDTN1_tcpmon_ts_22'!C589</f>
        <v>0</v>
      </c>
      <c r="E575">
        <f>'AARnetCBR-CamDTN1_tcpmon_ts_31'!C589+'AARnetCBR-CamDTN1_tcpmon_ts_32'!C589+'AARnetCBR-CamDTN1_tcpmon_ts_33'!C589</f>
        <v>0</v>
      </c>
      <c r="F575">
        <f>'AARnetCBR-CamDTN1_tcpmon_ts_41'!C589+'AARnetCBR-CamDTN1_tcpmon_ts_42'!C589+'AARnetCBR-CamDTN1_tcpmon_ts_43'!C589+'AARnetCBR-CamDTN1_tcpmon_ts_44'!C589</f>
        <v>0</v>
      </c>
      <c r="L575">
        <f>'AARnetCBR-CamDTN1_tcpmon_ts_11'!D575</f>
        <v>0</v>
      </c>
      <c r="M575">
        <f>'AARnetCBR-CamDTN1_tcpmon_ts_21'!D575+'AARnetCBR-CamDTN1_tcpmon_ts_22'!D575</f>
        <v>0</v>
      </c>
      <c r="N575">
        <f>'AARnetCBR-CamDTN1_tcpmon_ts_31'!D575+'AARnetCBR-CamDTN1_tcpmon_ts_32'!D575+'AARnetCBR-CamDTN1_tcpmon_ts_33'!D575</f>
        <v>0</v>
      </c>
      <c r="O575">
        <f>'AARnetCBR-CamDTN1_tcpmon_ts_41'!D575+'AARnetCBR-CamDTN1_tcpmon_ts_42'!D575+'AARnetCBR-CamDTN1_tcpmon_ts_43'!D575+'AARnetCBR-CamDTN1_tcpmon_ts_44'!D575</f>
        <v>0</v>
      </c>
      <c r="P575">
        <f>'AARnetCBR-CamDTN1_tcpmon_ts_51'!D575+'AARnetCBR-CamDTN1_tcpmon_ts_52'!D575+'AARnetCBR-CamDTN1_tcpmon_ts_53'!D575+'AARnetCBR-CamDTN1_tcpmon_ts_54'!D575+'AARnetCBR-CamDTN1_tcpmon_ts_55'!D575</f>
        <v>0</v>
      </c>
    </row>
    <row r="576" spans="1:16">
      <c r="A576">
        <f>'AARnetCBR-CamDTN1_tcpmon_ts_11'!A590</f>
        <v>0</v>
      </c>
      <c r="C576">
        <f>'AARnetCBR-CamDTN1_tcpmon_ts_11'!C590</f>
        <v>0</v>
      </c>
      <c r="D576">
        <f>'AARnetCBR-CamDTN1_tcpmon_ts_21'!C590+'AARnetCBR-CamDTN1_tcpmon_ts_22'!C590</f>
        <v>0</v>
      </c>
      <c r="E576">
        <f>'AARnetCBR-CamDTN1_tcpmon_ts_31'!C590+'AARnetCBR-CamDTN1_tcpmon_ts_32'!C590+'AARnetCBR-CamDTN1_tcpmon_ts_33'!C590</f>
        <v>0</v>
      </c>
      <c r="F576">
        <f>'AARnetCBR-CamDTN1_tcpmon_ts_41'!C590+'AARnetCBR-CamDTN1_tcpmon_ts_42'!C590+'AARnetCBR-CamDTN1_tcpmon_ts_43'!C590+'AARnetCBR-CamDTN1_tcpmon_ts_44'!C590</f>
        <v>0</v>
      </c>
      <c r="L576">
        <f>'AARnetCBR-CamDTN1_tcpmon_ts_11'!D576</f>
        <v>0</v>
      </c>
      <c r="M576">
        <f>'AARnetCBR-CamDTN1_tcpmon_ts_21'!D576+'AARnetCBR-CamDTN1_tcpmon_ts_22'!D576</f>
        <v>0</v>
      </c>
      <c r="N576">
        <f>'AARnetCBR-CamDTN1_tcpmon_ts_31'!D576+'AARnetCBR-CamDTN1_tcpmon_ts_32'!D576+'AARnetCBR-CamDTN1_tcpmon_ts_33'!D576</f>
        <v>0</v>
      </c>
      <c r="O576">
        <f>'AARnetCBR-CamDTN1_tcpmon_ts_41'!D576+'AARnetCBR-CamDTN1_tcpmon_ts_42'!D576+'AARnetCBR-CamDTN1_tcpmon_ts_43'!D576+'AARnetCBR-CamDTN1_tcpmon_ts_44'!D576</f>
        <v>0</v>
      </c>
      <c r="P576">
        <f>'AARnetCBR-CamDTN1_tcpmon_ts_51'!D576+'AARnetCBR-CamDTN1_tcpmon_ts_52'!D576+'AARnetCBR-CamDTN1_tcpmon_ts_53'!D576+'AARnetCBR-CamDTN1_tcpmon_ts_54'!D576+'AARnetCBR-CamDTN1_tcpmon_ts_55'!D576</f>
        <v>0</v>
      </c>
    </row>
    <row r="577" spans="1:16">
      <c r="A577">
        <f>'AARnetCBR-CamDTN1_tcpmon_ts_11'!A591</f>
        <v>0</v>
      </c>
      <c r="C577">
        <f>'AARnetCBR-CamDTN1_tcpmon_ts_11'!C591</f>
        <v>0</v>
      </c>
      <c r="D577">
        <f>'AARnetCBR-CamDTN1_tcpmon_ts_21'!C591+'AARnetCBR-CamDTN1_tcpmon_ts_22'!C591</f>
        <v>0</v>
      </c>
      <c r="E577">
        <f>'AARnetCBR-CamDTN1_tcpmon_ts_31'!C591+'AARnetCBR-CamDTN1_tcpmon_ts_32'!C591+'AARnetCBR-CamDTN1_tcpmon_ts_33'!C591</f>
        <v>0</v>
      </c>
      <c r="F577">
        <f>'AARnetCBR-CamDTN1_tcpmon_ts_41'!C591+'AARnetCBR-CamDTN1_tcpmon_ts_42'!C591+'AARnetCBR-CamDTN1_tcpmon_ts_43'!C591+'AARnetCBR-CamDTN1_tcpmon_ts_44'!C591</f>
        <v>0</v>
      </c>
      <c r="L577">
        <f>'AARnetCBR-CamDTN1_tcpmon_ts_11'!D577</f>
        <v>0</v>
      </c>
      <c r="M577">
        <f>'AARnetCBR-CamDTN1_tcpmon_ts_21'!D577+'AARnetCBR-CamDTN1_tcpmon_ts_22'!D577</f>
        <v>0</v>
      </c>
      <c r="N577">
        <f>'AARnetCBR-CamDTN1_tcpmon_ts_31'!D577+'AARnetCBR-CamDTN1_tcpmon_ts_32'!D577+'AARnetCBR-CamDTN1_tcpmon_ts_33'!D577</f>
        <v>0</v>
      </c>
      <c r="O577">
        <f>'AARnetCBR-CamDTN1_tcpmon_ts_41'!D577+'AARnetCBR-CamDTN1_tcpmon_ts_42'!D577+'AARnetCBR-CamDTN1_tcpmon_ts_43'!D577+'AARnetCBR-CamDTN1_tcpmon_ts_44'!D577</f>
        <v>0</v>
      </c>
      <c r="P577">
        <f>'AARnetCBR-CamDTN1_tcpmon_ts_51'!D577+'AARnetCBR-CamDTN1_tcpmon_ts_52'!D577+'AARnetCBR-CamDTN1_tcpmon_ts_53'!D577+'AARnetCBR-CamDTN1_tcpmon_ts_54'!D577+'AARnetCBR-CamDTN1_tcpmon_ts_55'!D577</f>
        <v>0</v>
      </c>
    </row>
    <row r="578" spans="1:16">
      <c r="A578">
        <f>'AARnetCBR-CamDTN1_tcpmon_ts_11'!A592</f>
        <v>0</v>
      </c>
      <c r="C578">
        <f>'AARnetCBR-CamDTN1_tcpmon_ts_11'!C592</f>
        <v>0</v>
      </c>
      <c r="D578">
        <f>'AARnetCBR-CamDTN1_tcpmon_ts_21'!C592+'AARnetCBR-CamDTN1_tcpmon_ts_22'!C592</f>
        <v>0</v>
      </c>
      <c r="E578">
        <f>'AARnetCBR-CamDTN1_tcpmon_ts_31'!C592+'AARnetCBR-CamDTN1_tcpmon_ts_32'!C592+'AARnetCBR-CamDTN1_tcpmon_ts_33'!C592</f>
        <v>0</v>
      </c>
      <c r="F578">
        <f>'AARnetCBR-CamDTN1_tcpmon_ts_41'!C592+'AARnetCBR-CamDTN1_tcpmon_ts_42'!C592+'AARnetCBR-CamDTN1_tcpmon_ts_43'!C592+'AARnetCBR-CamDTN1_tcpmon_ts_44'!C592</f>
        <v>0</v>
      </c>
      <c r="L578">
        <f>'AARnetCBR-CamDTN1_tcpmon_ts_11'!D578</f>
        <v>0</v>
      </c>
      <c r="M578">
        <f>'AARnetCBR-CamDTN1_tcpmon_ts_21'!D578+'AARnetCBR-CamDTN1_tcpmon_ts_22'!D578</f>
        <v>0</v>
      </c>
      <c r="N578">
        <f>'AARnetCBR-CamDTN1_tcpmon_ts_31'!D578+'AARnetCBR-CamDTN1_tcpmon_ts_32'!D578+'AARnetCBR-CamDTN1_tcpmon_ts_33'!D578</f>
        <v>0</v>
      </c>
      <c r="O578">
        <f>'AARnetCBR-CamDTN1_tcpmon_ts_41'!D578+'AARnetCBR-CamDTN1_tcpmon_ts_42'!D578+'AARnetCBR-CamDTN1_tcpmon_ts_43'!D578+'AARnetCBR-CamDTN1_tcpmon_ts_44'!D578</f>
        <v>0</v>
      </c>
      <c r="P578">
        <f>'AARnetCBR-CamDTN1_tcpmon_ts_51'!D578+'AARnetCBR-CamDTN1_tcpmon_ts_52'!D578+'AARnetCBR-CamDTN1_tcpmon_ts_53'!D578+'AARnetCBR-CamDTN1_tcpmon_ts_54'!D578+'AARnetCBR-CamDTN1_tcpmon_ts_55'!D578</f>
        <v>0</v>
      </c>
    </row>
    <row r="579" spans="1:16">
      <c r="A579">
        <f>'AARnetCBR-CamDTN1_tcpmon_ts_11'!A593</f>
        <v>0</v>
      </c>
      <c r="C579">
        <f>'AARnetCBR-CamDTN1_tcpmon_ts_11'!C593</f>
        <v>0</v>
      </c>
      <c r="D579">
        <f>'AARnetCBR-CamDTN1_tcpmon_ts_21'!C593+'AARnetCBR-CamDTN1_tcpmon_ts_22'!C593</f>
        <v>0</v>
      </c>
      <c r="E579">
        <f>'AARnetCBR-CamDTN1_tcpmon_ts_31'!C593+'AARnetCBR-CamDTN1_tcpmon_ts_32'!C593+'AARnetCBR-CamDTN1_tcpmon_ts_33'!C593</f>
        <v>0</v>
      </c>
      <c r="F579">
        <f>'AARnetCBR-CamDTN1_tcpmon_ts_41'!C593+'AARnetCBR-CamDTN1_tcpmon_ts_42'!C593+'AARnetCBR-CamDTN1_tcpmon_ts_43'!C593+'AARnetCBR-CamDTN1_tcpmon_ts_44'!C593</f>
        <v>0</v>
      </c>
      <c r="L579">
        <f>'AARnetCBR-CamDTN1_tcpmon_ts_11'!D579</f>
        <v>0</v>
      </c>
      <c r="M579">
        <f>'AARnetCBR-CamDTN1_tcpmon_ts_21'!D579+'AARnetCBR-CamDTN1_tcpmon_ts_22'!D579</f>
        <v>0</v>
      </c>
      <c r="N579">
        <f>'AARnetCBR-CamDTN1_tcpmon_ts_31'!D579+'AARnetCBR-CamDTN1_tcpmon_ts_32'!D579+'AARnetCBR-CamDTN1_tcpmon_ts_33'!D579</f>
        <v>0</v>
      </c>
      <c r="O579">
        <f>'AARnetCBR-CamDTN1_tcpmon_ts_41'!D579+'AARnetCBR-CamDTN1_tcpmon_ts_42'!D579+'AARnetCBR-CamDTN1_tcpmon_ts_43'!D579+'AARnetCBR-CamDTN1_tcpmon_ts_44'!D579</f>
        <v>0</v>
      </c>
      <c r="P579">
        <f>'AARnetCBR-CamDTN1_tcpmon_ts_51'!D579+'AARnetCBR-CamDTN1_tcpmon_ts_52'!D579+'AARnetCBR-CamDTN1_tcpmon_ts_53'!D579+'AARnetCBR-CamDTN1_tcpmon_ts_54'!D579+'AARnetCBR-CamDTN1_tcpmon_ts_55'!D579</f>
        <v>0</v>
      </c>
    </row>
    <row r="580" spans="1:16">
      <c r="A580">
        <f>'AARnetCBR-CamDTN1_tcpmon_ts_11'!A594</f>
        <v>0</v>
      </c>
      <c r="C580">
        <f>'AARnetCBR-CamDTN1_tcpmon_ts_11'!C594</f>
        <v>0</v>
      </c>
      <c r="D580">
        <f>'AARnetCBR-CamDTN1_tcpmon_ts_21'!C594+'AARnetCBR-CamDTN1_tcpmon_ts_22'!C594</f>
        <v>0</v>
      </c>
      <c r="E580">
        <f>'AARnetCBR-CamDTN1_tcpmon_ts_31'!C594+'AARnetCBR-CamDTN1_tcpmon_ts_32'!C594+'AARnetCBR-CamDTN1_tcpmon_ts_33'!C594</f>
        <v>0</v>
      </c>
      <c r="F580">
        <f>'AARnetCBR-CamDTN1_tcpmon_ts_41'!C594+'AARnetCBR-CamDTN1_tcpmon_ts_42'!C594+'AARnetCBR-CamDTN1_tcpmon_ts_43'!C594+'AARnetCBR-CamDTN1_tcpmon_ts_44'!C594</f>
        <v>0</v>
      </c>
      <c r="L580">
        <f>'AARnetCBR-CamDTN1_tcpmon_ts_11'!D580</f>
        <v>0</v>
      </c>
      <c r="M580">
        <f>'AARnetCBR-CamDTN1_tcpmon_ts_21'!D580+'AARnetCBR-CamDTN1_tcpmon_ts_22'!D580</f>
        <v>0</v>
      </c>
      <c r="N580">
        <f>'AARnetCBR-CamDTN1_tcpmon_ts_31'!D580+'AARnetCBR-CamDTN1_tcpmon_ts_32'!D580+'AARnetCBR-CamDTN1_tcpmon_ts_33'!D580</f>
        <v>0</v>
      </c>
      <c r="O580">
        <f>'AARnetCBR-CamDTN1_tcpmon_ts_41'!D580+'AARnetCBR-CamDTN1_tcpmon_ts_42'!D580+'AARnetCBR-CamDTN1_tcpmon_ts_43'!D580+'AARnetCBR-CamDTN1_tcpmon_ts_44'!D580</f>
        <v>0</v>
      </c>
      <c r="P580">
        <f>'AARnetCBR-CamDTN1_tcpmon_ts_51'!D580+'AARnetCBR-CamDTN1_tcpmon_ts_52'!D580+'AARnetCBR-CamDTN1_tcpmon_ts_53'!D580+'AARnetCBR-CamDTN1_tcpmon_ts_54'!D580+'AARnetCBR-CamDTN1_tcpmon_ts_55'!D580</f>
        <v>0</v>
      </c>
    </row>
    <row r="581" spans="1:16">
      <c r="A581">
        <f>'AARnetCBR-CamDTN1_tcpmon_ts_11'!A595</f>
        <v>0</v>
      </c>
      <c r="C581">
        <f>'AARnetCBR-CamDTN1_tcpmon_ts_11'!C595</f>
        <v>0</v>
      </c>
      <c r="D581">
        <f>'AARnetCBR-CamDTN1_tcpmon_ts_21'!C595+'AARnetCBR-CamDTN1_tcpmon_ts_22'!C595</f>
        <v>0</v>
      </c>
      <c r="E581">
        <f>'AARnetCBR-CamDTN1_tcpmon_ts_31'!C595+'AARnetCBR-CamDTN1_tcpmon_ts_32'!C595+'AARnetCBR-CamDTN1_tcpmon_ts_33'!C595</f>
        <v>0</v>
      </c>
      <c r="F581">
        <f>'AARnetCBR-CamDTN1_tcpmon_ts_41'!C595+'AARnetCBR-CamDTN1_tcpmon_ts_42'!C595+'AARnetCBR-CamDTN1_tcpmon_ts_43'!C595+'AARnetCBR-CamDTN1_tcpmon_ts_44'!C595</f>
        <v>0</v>
      </c>
      <c r="L581">
        <f>'AARnetCBR-CamDTN1_tcpmon_ts_11'!D581</f>
        <v>0</v>
      </c>
      <c r="M581">
        <f>'AARnetCBR-CamDTN1_tcpmon_ts_21'!D581+'AARnetCBR-CamDTN1_tcpmon_ts_22'!D581</f>
        <v>0</v>
      </c>
      <c r="N581">
        <f>'AARnetCBR-CamDTN1_tcpmon_ts_31'!D581+'AARnetCBR-CamDTN1_tcpmon_ts_32'!D581+'AARnetCBR-CamDTN1_tcpmon_ts_33'!D581</f>
        <v>0</v>
      </c>
      <c r="O581">
        <f>'AARnetCBR-CamDTN1_tcpmon_ts_41'!D581+'AARnetCBR-CamDTN1_tcpmon_ts_42'!D581+'AARnetCBR-CamDTN1_tcpmon_ts_43'!D581+'AARnetCBR-CamDTN1_tcpmon_ts_44'!D581</f>
        <v>0</v>
      </c>
      <c r="P581">
        <f>'AARnetCBR-CamDTN1_tcpmon_ts_51'!D581+'AARnetCBR-CamDTN1_tcpmon_ts_52'!D581+'AARnetCBR-CamDTN1_tcpmon_ts_53'!D581+'AARnetCBR-CamDTN1_tcpmon_ts_54'!D581+'AARnetCBR-CamDTN1_tcpmon_ts_55'!D581</f>
        <v>0</v>
      </c>
    </row>
    <row r="582" spans="1:16">
      <c r="A582">
        <f>'AARnetCBR-CamDTN1_tcpmon_ts_11'!A596</f>
        <v>0</v>
      </c>
      <c r="C582">
        <f>'AARnetCBR-CamDTN1_tcpmon_ts_11'!C596</f>
        <v>0</v>
      </c>
      <c r="D582">
        <f>'AARnetCBR-CamDTN1_tcpmon_ts_21'!C596+'AARnetCBR-CamDTN1_tcpmon_ts_22'!C596</f>
        <v>0</v>
      </c>
      <c r="E582">
        <f>'AARnetCBR-CamDTN1_tcpmon_ts_31'!C596+'AARnetCBR-CamDTN1_tcpmon_ts_32'!C596+'AARnetCBR-CamDTN1_tcpmon_ts_33'!C596</f>
        <v>0</v>
      </c>
      <c r="F582">
        <f>'AARnetCBR-CamDTN1_tcpmon_ts_41'!C596+'AARnetCBR-CamDTN1_tcpmon_ts_42'!C596+'AARnetCBR-CamDTN1_tcpmon_ts_43'!C596+'AARnetCBR-CamDTN1_tcpmon_ts_44'!C596</f>
        <v>0</v>
      </c>
      <c r="L582">
        <f>'AARnetCBR-CamDTN1_tcpmon_ts_11'!D582</f>
        <v>0</v>
      </c>
      <c r="M582">
        <f>'AARnetCBR-CamDTN1_tcpmon_ts_21'!D582+'AARnetCBR-CamDTN1_tcpmon_ts_22'!D582</f>
        <v>0</v>
      </c>
      <c r="N582">
        <f>'AARnetCBR-CamDTN1_tcpmon_ts_31'!D582+'AARnetCBR-CamDTN1_tcpmon_ts_32'!D582+'AARnetCBR-CamDTN1_tcpmon_ts_33'!D582</f>
        <v>0</v>
      </c>
      <c r="O582">
        <f>'AARnetCBR-CamDTN1_tcpmon_ts_41'!D582+'AARnetCBR-CamDTN1_tcpmon_ts_42'!D582+'AARnetCBR-CamDTN1_tcpmon_ts_43'!D582+'AARnetCBR-CamDTN1_tcpmon_ts_44'!D582</f>
        <v>0</v>
      </c>
      <c r="P582">
        <f>'AARnetCBR-CamDTN1_tcpmon_ts_51'!D582+'AARnetCBR-CamDTN1_tcpmon_ts_52'!D582+'AARnetCBR-CamDTN1_tcpmon_ts_53'!D582+'AARnetCBR-CamDTN1_tcpmon_ts_54'!D582+'AARnetCBR-CamDTN1_tcpmon_ts_55'!D582</f>
        <v>0</v>
      </c>
    </row>
    <row r="583" spans="1:16">
      <c r="A583">
        <f>'AARnetCBR-CamDTN1_tcpmon_ts_11'!A597</f>
        <v>0</v>
      </c>
      <c r="C583">
        <f>'AARnetCBR-CamDTN1_tcpmon_ts_11'!C597</f>
        <v>0</v>
      </c>
      <c r="D583">
        <f>'AARnetCBR-CamDTN1_tcpmon_ts_21'!C597+'AARnetCBR-CamDTN1_tcpmon_ts_22'!C597</f>
        <v>0</v>
      </c>
      <c r="E583">
        <f>'AARnetCBR-CamDTN1_tcpmon_ts_31'!C597+'AARnetCBR-CamDTN1_tcpmon_ts_32'!C597+'AARnetCBR-CamDTN1_tcpmon_ts_33'!C597</f>
        <v>0</v>
      </c>
      <c r="F583">
        <f>'AARnetCBR-CamDTN1_tcpmon_ts_41'!C597+'AARnetCBR-CamDTN1_tcpmon_ts_42'!C597+'AARnetCBR-CamDTN1_tcpmon_ts_43'!C597+'AARnetCBR-CamDTN1_tcpmon_ts_44'!C597</f>
        <v>0</v>
      </c>
      <c r="L583">
        <f>'AARnetCBR-CamDTN1_tcpmon_ts_11'!D583</f>
        <v>0</v>
      </c>
      <c r="M583">
        <f>'AARnetCBR-CamDTN1_tcpmon_ts_21'!D583+'AARnetCBR-CamDTN1_tcpmon_ts_22'!D583</f>
        <v>0</v>
      </c>
      <c r="N583">
        <f>'AARnetCBR-CamDTN1_tcpmon_ts_31'!D583+'AARnetCBR-CamDTN1_tcpmon_ts_32'!D583+'AARnetCBR-CamDTN1_tcpmon_ts_33'!D583</f>
        <v>0</v>
      </c>
      <c r="O583">
        <f>'AARnetCBR-CamDTN1_tcpmon_ts_41'!D583+'AARnetCBR-CamDTN1_tcpmon_ts_42'!D583+'AARnetCBR-CamDTN1_tcpmon_ts_43'!D583+'AARnetCBR-CamDTN1_tcpmon_ts_44'!D583</f>
        <v>0</v>
      </c>
      <c r="P583">
        <f>'AARnetCBR-CamDTN1_tcpmon_ts_51'!D583+'AARnetCBR-CamDTN1_tcpmon_ts_52'!D583+'AARnetCBR-CamDTN1_tcpmon_ts_53'!D583+'AARnetCBR-CamDTN1_tcpmon_ts_54'!D583+'AARnetCBR-CamDTN1_tcpmon_ts_55'!D583</f>
        <v>0</v>
      </c>
    </row>
    <row r="584" spans="1:16">
      <c r="A584">
        <f>'AARnetCBR-CamDTN1_tcpmon_ts_11'!A598</f>
        <v>0</v>
      </c>
      <c r="C584">
        <f>'AARnetCBR-CamDTN1_tcpmon_ts_11'!C598</f>
        <v>0</v>
      </c>
      <c r="D584">
        <f>'AARnetCBR-CamDTN1_tcpmon_ts_21'!C598+'AARnetCBR-CamDTN1_tcpmon_ts_22'!C598</f>
        <v>0</v>
      </c>
      <c r="E584">
        <f>'AARnetCBR-CamDTN1_tcpmon_ts_31'!C598+'AARnetCBR-CamDTN1_tcpmon_ts_32'!C598+'AARnetCBR-CamDTN1_tcpmon_ts_33'!C598</f>
        <v>0</v>
      </c>
      <c r="F584">
        <f>'AARnetCBR-CamDTN1_tcpmon_ts_41'!C598+'AARnetCBR-CamDTN1_tcpmon_ts_42'!C598+'AARnetCBR-CamDTN1_tcpmon_ts_43'!C598+'AARnetCBR-CamDTN1_tcpmon_ts_44'!C598</f>
        <v>0</v>
      </c>
      <c r="L584">
        <f>'AARnetCBR-CamDTN1_tcpmon_ts_11'!D584</f>
        <v>0</v>
      </c>
      <c r="M584">
        <f>'AARnetCBR-CamDTN1_tcpmon_ts_21'!D584+'AARnetCBR-CamDTN1_tcpmon_ts_22'!D584</f>
        <v>0</v>
      </c>
      <c r="N584">
        <f>'AARnetCBR-CamDTN1_tcpmon_ts_31'!D584+'AARnetCBR-CamDTN1_tcpmon_ts_32'!D584+'AARnetCBR-CamDTN1_tcpmon_ts_33'!D584</f>
        <v>0</v>
      </c>
      <c r="O584">
        <f>'AARnetCBR-CamDTN1_tcpmon_ts_41'!D584+'AARnetCBR-CamDTN1_tcpmon_ts_42'!D584+'AARnetCBR-CamDTN1_tcpmon_ts_43'!D584+'AARnetCBR-CamDTN1_tcpmon_ts_44'!D584</f>
        <v>0</v>
      </c>
      <c r="P584">
        <f>'AARnetCBR-CamDTN1_tcpmon_ts_51'!D584+'AARnetCBR-CamDTN1_tcpmon_ts_52'!D584+'AARnetCBR-CamDTN1_tcpmon_ts_53'!D584+'AARnetCBR-CamDTN1_tcpmon_ts_54'!D584+'AARnetCBR-CamDTN1_tcpmon_ts_55'!D584</f>
        <v>0</v>
      </c>
    </row>
    <row r="585" spans="1:16">
      <c r="A585">
        <f>'AARnetCBR-CamDTN1_tcpmon_ts_11'!A599</f>
        <v>0</v>
      </c>
      <c r="C585">
        <f>'AARnetCBR-CamDTN1_tcpmon_ts_11'!C599</f>
        <v>0</v>
      </c>
      <c r="D585">
        <f>'AARnetCBR-CamDTN1_tcpmon_ts_21'!C599+'AARnetCBR-CamDTN1_tcpmon_ts_22'!C599</f>
        <v>0</v>
      </c>
      <c r="E585">
        <f>'AARnetCBR-CamDTN1_tcpmon_ts_31'!C599+'AARnetCBR-CamDTN1_tcpmon_ts_32'!C599+'AARnetCBR-CamDTN1_tcpmon_ts_33'!C599</f>
        <v>0</v>
      </c>
      <c r="F585">
        <f>'AARnetCBR-CamDTN1_tcpmon_ts_41'!C599+'AARnetCBR-CamDTN1_tcpmon_ts_42'!C599+'AARnetCBR-CamDTN1_tcpmon_ts_43'!C599+'AARnetCBR-CamDTN1_tcpmon_ts_44'!C599</f>
        <v>0</v>
      </c>
      <c r="L585">
        <f>'AARnetCBR-CamDTN1_tcpmon_ts_11'!D585</f>
        <v>0</v>
      </c>
      <c r="M585">
        <f>'AARnetCBR-CamDTN1_tcpmon_ts_21'!D585+'AARnetCBR-CamDTN1_tcpmon_ts_22'!D585</f>
        <v>0</v>
      </c>
      <c r="N585">
        <f>'AARnetCBR-CamDTN1_tcpmon_ts_31'!D585+'AARnetCBR-CamDTN1_tcpmon_ts_32'!D585+'AARnetCBR-CamDTN1_tcpmon_ts_33'!D585</f>
        <v>0</v>
      </c>
      <c r="O585">
        <f>'AARnetCBR-CamDTN1_tcpmon_ts_41'!D585+'AARnetCBR-CamDTN1_tcpmon_ts_42'!D585+'AARnetCBR-CamDTN1_tcpmon_ts_43'!D585+'AARnetCBR-CamDTN1_tcpmon_ts_44'!D585</f>
        <v>0</v>
      </c>
      <c r="P585">
        <f>'AARnetCBR-CamDTN1_tcpmon_ts_51'!D585+'AARnetCBR-CamDTN1_tcpmon_ts_52'!D585+'AARnetCBR-CamDTN1_tcpmon_ts_53'!D585+'AARnetCBR-CamDTN1_tcpmon_ts_54'!D585+'AARnetCBR-CamDTN1_tcpmon_ts_55'!D585</f>
        <v>0</v>
      </c>
    </row>
    <row r="586" spans="1:16">
      <c r="A586">
        <f>'AARnetCBR-CamDTN1_tcpmon_ts_11'!A600</f>
        <v>0</v>
      </c>
      <c r="C586">
        <f>'AARnetCBR-CamDTN1_tcpmon_ts_11'!C600</f>
        <v>0</v>
      </c>
      <c r="D586">
        <f>'AARnetCBR-CamDTN1_tcpmon_ts_21'!C600+'AARnetCBR-CamDTN1_tcpmon_ts_22'!C600</f>
        <v>0</v>
      </c>
      <c r="E586">
        <f>'AARnetCBR-CamDTN1_tcpmon_ts_31'!C600+'AARnetCBR-CamDTN1_tcpmon_ts_32'!C600+'AARnetCBR-CamDTN1_tcpmon_ts_33'!C600</f>
        <v>0</v>
      </c>
      <c r="F586">
        <f>'AARnetCBR-CamDTN1_tcpmon_ts_41'!C600+'AARnetCBR-CamDTN1_tcpmon_ts_42'!C600+'AARnetCBR-CamDTN1_tcpmon_ts_43'!C600+'AARnetCBR-CamDTN1_tcpmon_ts_44'!C600</f>
        <v>0</v>
      </c>
      <c r="L586">
        <f>'AARnetCBR-CamDTN1_tcpmon_ts_11'!D586</f>
        <v>0</v>
      </c>
      <c r="M586">
        <f>'AARnetCBR-CamDTN1_tcpmon_ts_21'!D586+'AARnetCBR-CamDTN1_tcpmon_ts_22'!D586</f>
        <v>0</v>
      </c>
      <c r="N586">
        <f>'AARnetCBR-CamDTN1_tcpmon_ts_31'!D586+'AARnetCBR-CamDTN1_tcpmon_ts_32'!D586+'AARnetCBR-CamDTN1_tcpmon_ts_33'!D586</f>
        <v>0</v>
      </c>
      <c r="O586">
        <f>'AARnetCBR-CamDTN1_tcpmon_ts_41'!D586+'AARnetCBR-CamDTN1_tcpmon_ts_42'!D586+'AARnetCBR-CamDTN1_tcpmon_ts_43'!D586+'AARnetCBR-CamDTN1_tcpmon_ts_44'!D586</f>
        <v>0</v>
      </c>
      <c r="P586">
        <f>'AARnetCBR-CamDTN1_tcpmon_ts_51'!D586+'AARnetCBR-CamDTN1_tcpmon_ts_52'!D586+'AARnetCBR-CamDTN1_tcpmon_ts_53'!D586+'AARnetCBR-CamDTN1_tcpmon_ts_54'!D586+'AARnetCBR-CamDTN1_tcpmon_ts_55'!D586</f>
        <v>0</v>
      </c>
    </row>
    <row r="587" spans="1:16">
      <c r="A587">
        <f>'AARnetCBR-CamDTN1_tcpmon_ts_11'!A601</f>
        <v>0</v>
      </c>
      <c r="C587">
        <f>'AARnetCBR-CamDTN1_tcpmon_ts_11'!C601</f>
        <v>0</v>
      </c>
      <c r="D587">
        <f>'AARnetCBR-CamDTN1_tcpmon_ts_21'!C601+'AARnetCBR-CamDTN1_tcpmon_ts_22'!C601</f>
        <v>0</v>
      </c>
      <c r="E587">
        <f>'AARnetCBR-CamDTN1_tcpmon_ts_31'!C601+'AARnetCBR-CamDTN1_tcpmon_ts_32'!C601+'AARnetCBR-CamDTN1_tcpmon_ts_33'!C601</f>
        <v>0</v>
      </c>
      <c r="F587">
        <f>'AARnetCBR-CamDTN1_tcpmon_ts_41'!C601+'AARnetCBR-CamDTN1_tcpmon_ts_42'!C601+'AARnetCBR-CamDTN1_tcpmon_ts_43'!C601+'AARnetCBR-CamDTN1_tcpmon_ts_44'!C601</f>
        <v>0</v>
      </c>
      <c r="L587">
        <f>'AARnetCBR-CamDTN1_tcpmon_ts_11'!D587</f>
        <v>0</v>
      </c>
      <c r="M587">
        <f>'AARnetCBR-CamDTN1_tcpmon_ts_21'!D587+'AARnetCBR-CamDTN1_tcpmon_ts_22'!D587</f>
        <v>0</v>
      </c>
      <c r="N587">
        <f>'AARnetCBR-CamDTN1_tcpmon_ts_31'!D587+'AARnetCBR-CamDTN1_tcpmon_ts_32'!D587+'AARnetCBR-CamDTN1_tcpmon_ts_33'!D587</f>
        <v>0</v>
      </c>
      <c r="O587">
        <f>'AARnetCBR-CamDTN1_tcpmon_ts_41'!D587+'AARnetCBR-CamDTN1_tcpmon_ts_42'!D587+'AARnetCBR-CamDTN1_tcpmon_ts_43'!D587+'AARnetCBR-CamDTN1_tcpmon_ts_44'!D587</f>
        <v>0</v>
      </c>
      <c r="P587">
        <f>'AARnetCBR-CamDTN1_tcpmon_ts_51'!D587+'AARnetCBR-CamDTN1_tcpmon_ts_52'!D587+'AARnetCBR-CamDTN1_tcpmon_ts_53'!D587+'AARnetCBR-CamDTN1_tcpmon_ts_54'!D587+'AARnetCBR-CamDTN1_tcpmon_ts_55'!D587</f>
        <v>0</v>
      </c>
    </row>
    <row r="588" spans="1:16">
      <c r="A588">
        <f>'AARnetCBR-CamDTN1_tcpmon_ts_11'!A602</f>
        <v>0</v>
      </c>
      <c r="C588">
        <f>'AARnetCBR-CamDTN1_tcpmon_ts_11'!C602</f>
        <v>0</v>
      </c>
      <c r="D588">
        <f>'AARnetCBR-CamDTN1_tcpmon_ts_21'!C602+'AARnetCBR-CamDTN1_tcpmon_ts_22'!C602</f>
        <v>0</v>
      </c>
      <c r="E588">
        <f>'AARnetCBR-CamDTN1_tcpmon_ts_31'!C602+'AARnetCBR-CamDTN1_tcpmon_ts_32'!C602+'AARnetCBR-CamDTN1_tcpmon_ts_33'!C602</f>
        <v>0</v>
      </c>
      <c r="F588">
        <f>'AARnetCBR-CamDTN1_tcpmon_ts_41'!C602+'AARnetCBR-CamDTN1_tcpmon_ts_42'!C602+'AARnetCBR-CamDTN1_tcpmon_ts_43'!C602+'AARnetCBR-CamDTN1_tcpmon_ts_44'!C602</f>
        <v>0</v>
      </c>
      <c r="L588">
        <f>'AARnetCBR-CamDTN1_tcpmon_ts_11'!D588</f>
        <v>0</v>
      </c>
      <c r="M588">
        <f>'AARnetCBR-CamDTN1_tcpmon_ts_21'!D588+'AARnetCBR-CamDTN1_tcpmon_ts_22'!D588</f>
        <v>0</v>
      </c>
      <c r="N588">
        <f>'AARnetCBR-CamDTN1_tcpmon_ts_31'!D588+'AARnetCBR-CamDTN1_tcpmon_ts_32'!D588+'AARnetCBR-CamDTN1_tcpmon_ts_33'!D588</f>
        <v>0</v>
      </c>
      <c r="O588">
        <f>'AARnetCBR-CamDTN1_tcpmon_ts_41'!D588+'AARnetCBR-CamDTN1_tcpmon_ts_42'!D588+'AARnetCBR-CamDTN1_tcpmon_ts_43'!D588+'AARnetCBR-CamDTN1_tcpmon_ts_44'!D588</f>
        <v>0</v>
      </c>
      <c r="P588">
        <f>'AARnetCBR-CamDTN1_tcpmon_ts_51'!D588+'AARnetCBR-CamDTN1_tcpmon_ts_52'!D588+'AARnetCBR-CamDTN1_tcpmon_ts_53'!D588+'AARnetCBR-CamDTN1_tcpmon_ts_54'!D588+'AARnetCBR-CamDTN1_tcpmon_ts_55'!D588</f>
        <v>0</v>
      </c>
    </row>
    <row r="589" spans="1:16">
      <c r="A589">
        <f>'AARnetCBR-CamDTN1_tcpmon_ts_11'!A603</f>
        <v>0</v>
      </c>
      <c r="C589">
        <f>'AARnetCBR-CamDTN1_tcpmon_ts_11'!C603</f>
        <v>0</v>
      </c>
      <c r="D589">
        <f>'AARnetCBR-CamDTN1_tcpmon_ts_21'!C603+'AARnetCBR-CamDTN1_tcpmon_ts_22'!C603</f>
        <v>0</v>
      </c>
      <c r="E589">
        <f>'AARnetCBR-CamDTN1_tcpmon_ts_31'!C603+'AARnetCBR-CamDTN1_tcpmon_ts_32'!C603+'AARnetCBR-CamDTN1_tcpmon_ts_33'!C603</f>
        <v>0</v>
      </c>
      <c r="F589">
        <f>'AARnetCBR-CamDTN1_tcpmon_ts_41'!C603+'AARnetCBR-CamDTN1_tcpmon_ts_42'!C603+'AARnetCBR-CamDTN1_tcpmon_ts_43'!C603+'AARnetCBR-CamDTN1_tcpmon_ts_44'!C603</f>
        <v>0</v>
      </c>
      <c r="L589">
        <f>'AARnetCBR-CamDTN1_tcpmon_ts_11'!D589</f>
        <v>0</v>
      </c>
      <c r="M589">
        <f>'AARnetCBR-CamDTN1_tcpmon_ts_21'!D589+'AARnetCBR-CamDTN1_tcpmon_ts_22'!D589</f>
        <v>0</v>
      </c>
      <c r="N589">
        <f>'AARnetCBR-CamDTN1_tcpmon_ts_31'!D589+'AARnetCBR-CamDTN1_tcpmon_ts_32'!D589+'AARnetCBR-CamDTN1_tcpmon_ts_33'!D589</f>
        <v>0</v>
      </c>
      <c r="O589">
        <f>'AARnetCBR-CamDTN1_tcpmon_ts_41'!D589+'AARnetCBR-CamDTN1_tcpmon_ts_42'!D589+'AARnetCBR-CamDTN1_tcpmon_ts_43'!D589+'AARnetCBR-CamDTN1_tcpmon_ts_44'!D589</f>
        <v>0</v>
      </c>
      <c r="P589">
        <f>'AARnetCBR-CamDTN1_tcpmon_ts_51'!D589+'AARnetCBR-CamDTN1_tcpmon_ts_52'!D589+'AARnetCBR-CamDTN1_tcpmon_ts_53'!D589+'AARnetCBR-CamDTN1_tcpmon_ts_54'!D589+'AARnetCBR-CamDTN1_tcpmon_ts_55'!D589</f>
        <v>0</v>
      </c>
    </row>
    <row r="590" spans="1:16">
      <c r="A590">
        <f>'AARnetCBR-CamDTN1_tcpmon_ts_11'!A604</f>
        <v>0</v>
      </c>
      <c r="C590">
        <f>'AARnetCBR-CamDTN1_tcpmon_ts_11'!C604</f>
        <v>0</v>
      </c>
      <c r="D590">
        <f>'AARnetCBR-CamDTN1_tcpmon_ts_21'!C604+'AARnetCBR-CamDTN1_tcpmon_ts_22'!C604</f>
        <v>0</v>
      </c>
      <c r="E590">
        <f>'AARnetCBR-CamDTN1_tcpmon_ts_31'!C604+'AARnetCBR-CamDTN1_tcpmon_ts_32'!C604+'AARnetCBR-CamDTN1_tcpmon_ts_33'!C604</f>
        <v>0</v>
      </c>
      <c r="F590">
        <f>'AARnetCBR-CamDTN1_tcpmon_ts_41'!C604+'AARnetCBR-CamDTN1_tcpmon_ts_42'!C604+'AARnetCBR-CamDTN1_tcpmon_ts_43'!C604+'AARnetCBR-CamDTN1_tcpmon_ts_44'!C604</f>
        <v>0</v>
      </c>
      <c r="L590">
        <f>'AARnetCBR-CamDTN1_tcpmon_ts_11'!D590</f>
        <v>0</v>
      </c>
      <c r="M590">
        <f>'AARnetCBR-CamDTN1_tcpmon_ts_21'!D590+'AARnetCBR-CamDTN1_tcpmon_ts_22'!D590</f>
        <v>0</v>
      </c>
      <c r="N590">
        <f>'AARnetCBR-CamDTN1_tcpmon_ts_31'!D590+'AARnetCBR-CamDTN1_tcpmon_ts_32'!D590+'AARnetCBR-CamDTN1_tcpmon_ts_33'!D590</f>
        <v>0</v>
      </c>
      <c r="O590">
        <f>'AARnetCBR-CamDTN1_tcpmon_ts_41'!D590+'AARnetCBR-CamDTN1_tcpmon_ts_42'!D590+'AARnetCBR-CamDTN1_tcpmon_ts_43'!D590+'AARnetCBR-CamDTN1_tcpmon_ts_44'!D590</f>
        <v>0</v>
      </c>
      <c r="P590">
        <f>'AARnetCBR-CamDTN1_tcpmon_ts_51'!D590+'AARnetCBR-CamDTN1_tcpmon_ts_52'!D590+'AARnetCBR-CamDTN1_tcpmon_ts_53'!D590+'AARnetCBR-CamDTN1_tcpmon_ts_54'!D590+'AARnetCBR-CamDTN1_tcpmon_ts_55'!D590</f>
        <v>0</v>
      </c>
    </row>
    <row r="591" spans="1:16">
      <c r="A591">
        <f>'AARnetCBR-CamDTN1_tcpmon_ts_11'!A605</f>
        <v>0</v>
      </c>
      <c r="C591">
        <f>'AARnetCBR-CamDTN1_tcpmon_ts_11'!C605</f>
        <v>0</v>
      </c>
      <c r="D591">
        <f>'AARnetCBR-CamDTN1_tcpmon_ts_21'!C605+'AARnetCBR-CamDTN1_tcpmon_ts_22'!C605</f>
        <v>0</v>
      </c>
      <c r="E591">
        <f>'AARnetCBR-CamDTN1_tcpmon_ts_31'!C605+'AARnetCBR-CamDTN1_tcpmon_ts_32'!C605+'AARnetCBR-CamDTN1_tcpmon_ts_33'!C605</f>
        <v>0</v>
      </c>
      <c r="F591">
        <f>'AARnetCBR-CamDTN1_tcpmon_ts_41'!C605+'AARnetCBR-CamDTN1_tcpmon_ts_42'!C605+'AARnetCBR-CamDTN1_tcpmon_ts_43'!C605+'AARnetCBR-CamDTN1_tcpmon_ts_44'!C605</f>
        <v>0</v>
      </c>
      <c r="L591">
        <f>'AARnetCBR-CamDTN1_tcpmon_ts_11'!D591</f>
        <v>0</v>
      </c>
      <c r="M591">
        <f>'AARnetCBR-CamDTN1_tcpmon_ts_21'!D591+'AARnetCBR-CamDTN1_tcpmon_ts_22'!D591</f>
        <v>0</v>
      </c>
      <c r="N591">
        <f>'AARnetCBR-CamDTN1_tcpmon_ts_31'!D591+'AARnetCBR-CamDTN1_tcpmon_ts_32'!D591+'AARnetCBR-CamDTN1_tcpmon_ts_33'!D591</f>
        <v>0</v>
      </c>
      <c r="O591">
        <f>'AARnetCBR-CamDTN1_tcpmon_ts_41'!D591+'AARnetCBR-CamDTN1_tcpmon_ts_42'!D591+'AARnetCBR-CamDTN1_tcpmon_ts_43'!D591+'AARnetCBR-CamDTN1_tcpmon_ts_44'!D591</f>
        <v>0</v>
      </c>
      <c r="P591">
        <f>'AARnetCBR-CamDTN1_tcpmon_ts_51'!D591+'AARnetCBR-CamDTN1_tcpmon_ts_52'!D591+'AARnetCBR-CamDTN1_tcpmon_ts_53'!D591+'AARnetCBR-CamDTN1_tcpmon_ts_54'!D591+'AARnetCBR-CamDTN1_tcpmon_ts_55'!D591</f>
        <v>0</v>
      </c>
    </row>
    <row r="592" spans="1:16">
      <c r="A592">
        <f>'AARnetCBR-CamDTN1_tcpmon_ts_11'!A606</f>
        <v>0</v>
      </c>
      <c r="C592">
        <f>'AARnetCBR-CamDTN1_tcpmon_ts_11'!C606</f>
        <v>0</v>
      </c>
      <c r="D592">
        <f>'AARnetCBR-CamDTN1_tcpmon_ts_21'!C606+'AARnetCBR-CamDTN1_tcpmon_ts_22'!C606</f>
        <v>0</v>
      </c>
      <c r="E592">
        <f>'AARnetCBR-CamDTN1_tcpmon_ts_31'!C606+'AARnetCBR-CamDTN1_tcpmon_ts_32'!C606+'AARnetCBR-CamDTN1_tcpmon_ts_33'!C606</f>
        <v>0</v>
      </c>
      <c r="F592">
        <f>'AARnetCBR-CamDTN1_tcpmon_ts_41'!C606+'AARnetCBR-CamDTN1_tcpmon_ts_42'!C606+'AARnetCBR-CamDTN1_tcpmon_ts_43'!C606+'AARnetCBR-CamDTN1_tcpmon_ts_44'!C606</f>
        <v>0</v>
      </c>
      <c r="L592">
        <f>'AARnetCBR-CamDTN1_tcpmon_ts_11'!D592</f>
        <v>0</v>
      </c>
      <c r="M592">
        <f>'AARnetCBR-CamDTN1_tcpmon_ts_21'!D592+'AARnetCBR-CamDTN1_tcpmon_ts_22'!D592</f>
        <v>0</v>
      </c>
      <c r="N592">
        <f>'AARnetCBR-CamDTN1_tcpmon_ts_31'!D592+'AARnetCBR-CamDTN1_tcpmon_ts_32'!D592+'AARnetCBR-CamDTN1_tcpmon_ts_33'!D592</f>
        <v>0</v>
      </c>
      <c r="O592">
        <f>'AARnetCBR-CamDTN1_tcpmon_ts_41'!D592+'AARnetCBR-CamDTN1_tcpmon_ts_42'!D592+'AARnetCBR-CamDTN1_tcpmon_ts_43'!D592+'AARnetCBR-CamDTN1_tcpmon_ts_44'!D592</f>
        <v>0</v>
      </c>
      <c r="P592">
        <f>'AARnetCBR-CamDTN1_tcpmon_ts_51'!D592+'AARnetCBR-CamDTN1_tcpmon_ts_52'!D592+'AARnetCBR-CamDTN1_tcpmon_ts_53'!D592+'AARnetCBR-CamDTN1_tcpmon_ts_54'!D592+'AARnetCBR-CamDTN1_tcpmon_ts_55'!D592</f>
        <v>0</v>
      </c>
    </row>
    <row r="593" spans="1:16">
      <c r="A593">
        <f>'AARnetCBR-CamDTN1_tcpmon_ts_11'!A607</f>
        <v>0</v>
      </c>
      <c r="C593">
        <f>'AARnetCBR-CamDTN1_tcpmon_ts_11'!C607</f>
        <v>0</v>
      </c>
      <c r="D593">
        <f>'AARnetCBR-CamDTN1_tcpmon_ts_21'!C607+'AARnetCBR-CamDTN1_tcpmon_ts_22'!C607</f>
        <v>0</v>
      </c>
      <c r="E593">
        <f>'AARnetCBR-CamDTN1_tcpmon_ts_31'!C607+'AARnetCBR-CamDTN1_tcpmon_ts_32'!C607+'AARnetCBR-CamDTN1_tcpmon_ts_33'!C607</f>
        <v>0</v>
      </c>
      <c r="F593">
        <f>'AARnetCBR-CamDTN1_tcpmon_ts_41'!C607+'AARnetCBR-CamDTN1_tcpmon_ts_42'!C607+'AARnetCBR-CamDTN1_tcpmon_ts_43'!C607+'AARnetCBR-CamDTN1_tcpmon_ts_44'!C607</f>
        <v>0</v>
      </c>
      <c r="L593">
        <f>'AARnetCBR-CamDTN1_tcpmon_ts_11'!D593</f>
        <v>0</v>
      </c>
      <c r="M593">
        <f>'AARnetCBR-CamDTN1_tcpmon_ts_21'!D593+'AARnetCBR-CamDTN1_tcpmon_ts_22'!D593</f>
        <v>0</v>
      </c>
      <c r="N593">
        <f>'AARnetCBR-CamDTN1_tcpmon_ts_31'!D593+'AARnetCBR-CamDTN1_tcpmon_ts_32'!D593+'AARnetCBR-CamDTN1_tcpmon_ts_33'!D593</f>
        <v>0</v>
      </c>
      <c r="O593">
        <f>'AARnetCBR-CamDTN1_tcpmon_ts_41'!D593+'AARnetCBR-CamDTN1_tcpmon_ts_42'!D593+'AARnetCBR-CamDTN1_tcpmon_ts_43'!D593+'AARnetCBR-CamDTN1_tcpmon_ts_44'!D593</f>
        <v>0</v>
      </c>
      <c r="P593">
        <f>'AARnetCBR-CamDTN1_tcpmon_ts_51'!D593+'AARnetCBR-CamDTN1_tcpmon_ts_52'!D593+'AARnetCBR-CamDTN1_tcpmon_ts_53'!D593+'AARnetCBR-CamDTN1_tcpmon_ts_54'!D593+'AARnetCBR-CamDTN1_tcpmon_ts_55'!D593</f>
        <v>0</v>
      </c>
    </row>
    <row r="594" spans="1:16">
      <c r="A594">
        <f>'AARnetCBR-CamDTN1_tcpmon_ts_11'!A608</f>
        <v>0</v>
      </c>
      <c r="C594">
        <f>'AARnetCBR-CamDTN1_tcpmon_ts_11'!C608</f>
        <v>0</v>
      </c>
      <c r="D594">
        <f>'AARnetCBR-CamDTN1_tcpmon_ts_21'!C608+'AARnetCBR-CamDTN1_tcpmon_ts_22'!C608</f>
        <v>0</v>
      </c>
      <c r="E594">
        <f>'AARnetCBR-CamDTN1_tcpmon_ts_31'!C608+'AARnetCBR-CamDTN1_tcpmon_ts_32'!C608+'AARnetCBR-CamDTN1_tcpmon_ts_33'!C608</f>
        <v>0</v>
      </c>
      <c r="F594">
        <f>'AARnetCBR-CamDTN1_tcpmon_ts_41'!C608+'AARnetCBR-CamDTN1_tcpmon_ts_42'!C608+'AARnetCBR-CamDTN1_tcpmon_ts_43'!C608+'AARnetCBR-CamDTN1_tcpmon_ts_44'!C608</f>
        <v>0</v>
      </c>
      <c r="L594">
        <f>'AARnetCBR-CamDTN1_tcpmon_ts_11'!D594</f>
        <v>0</v>
      </c>
      <c r="M594">
        <f>'AARnetCBR-CamDTN1_tcpmon_ts_21'!D594+'AARnetCBR-CamDTN1_tcpmon_ts_22'!D594</f>
        <v>0</v>
      </c>
      <c r="N594">
        <f>'AARnetCBR-CamDTN1_tcpmon_ts_31'!D594+'AARnetCBR-CamDTN1_tcpmon_ts_32'!D594+'AARnetCBR-CamDTN1_tcpmon_ts_33'!D594</f>
        <v>0</v>
      </c>
      <c r="O594">
        <f>'AARnetCBR-CamDTN1_tcpmon_ts_41'!D594+'AARnetCBR-CamDTN1_tcpmon_ts_42'!D594+'AARnetCBR-CamDTN1_tcpmon_ts_43'!D594+'AARnetCBR-CamDTN1_tcpmon_ts_44'!D594</f>
        <v>0</v>
      </c>
      <c r="P594">
        <f>'AARnetCBR-CamDTN1_tcpmon_ts_51'!D594+'AARnetCBR-CamDTN1_tcpmon_ts_52'!D594+'AARnetCBR-CamDTN1_tcpmon_ts_53'!D594+'AARnetCBR-CamDTN1_tcpmon_ts_54'!D594+'AARnetCBR-CamDTN1_tcpmon_ts_55'!D594</f>
        <v>0</v>
      </c>
    </row>
    <row r="595" spans="1:16">
      <c r="A595">
        <f>'AARnetCBR-CamDTN1_tcpmon_ts_11'!A609</f>
        <v>0</v>
      </c>
      <c r="C595">
        <f>'AARnetCBR-CamDTN1_tcpmon_ts_11'!C609</f>
        <v>0</v>
      </c>
      <c r="D595">
        <f>'AARnetCBR-CamDTN1_tcpmon_ts_21'!C609+'AARnetCBR-CamDTN1_tcpmon_ts_22'!C609</f>
        <v>0</v>
      </c>
      <c r="E595">
        <f>'AARnetCBR-CamDTN1_tcpmon_ts_31'!C609+'AARnetCBR-CamDTN1_tcpmon_ts_32'!C609+'AARnetCBR-CamDTN1_tcpmon_ts_33'!C609</f>
        <v>0</v>
      </c>
      <c r="F595">
        <f>'AARnetCBR-CamDTN1_tcpmon_ts_41'!C609+'AARnetCBR-CamDTN1_tcpmon_ts_42'!C609+'AARnetCBR-CamDTN1_tcpmon_ts_43'!C609+'AARnetCBR-CamDTN1_tcpmon_ts_44'!C609</f>
        <v>0</v>
      </c>
      <c r="L595">
        <f>'AARnetCBR-CamDTN1_tcpmon_ts_11'!D595</f>
        <v>0</v>
      </c>
      <c r="M595">
        <f>'AARnetCBR-CamDTN1_tcpmon_ts_21'!D595+'AARnetCBR-CamDTN1_tcpmon_ts_22'!D595</f>
        <v>0</v>
      </c>
      <c r="N595">
        <f>'AARnetCBR-CamDTN1_tcpmon_ts_31'!D595+'AARnetCBR-CamDTN1_tcpmon_ts_32'!D595+'AARnetCBR-CamDTN1_tcpmon_ts_33'!D595</f>
        <v>0</v>
      </c>
      <c r="O595">
        <f>'AARnetCBR-CamDTN1_tcpmon_ts_41'!D595+'AARnetCBR-CamDTN1_tcpmon_ts_42'!D595+'AARnetCBR-CamDTN1_tcpmon_ts_43'!D595+'AARnetCBR-CamDTN1_tcpmon_ts_44'!D595</f>
        <v>0</v>
      </c>
      <c r="P595">
        <f>'AARnetCBR-CamDTN1_tcpmon_ts_51'!D595+'AARnetCBR-CamDTN1_tcpmon_ts_52'!D595+'AARnetCBR-CamDTN1_tcpmon_ts_53'!D595+'AARnetCBR-CamDTN1_tcpmon_ts_54'!D595+'AARnetCBR-CamDTN1_tcpmon_ts_55'!D595</f>
        <v>0</v>
      </c>
    </row>
    <row r="596" spans="1:16">
      <c r="A596">
        <f>'AARnetCBR-CamDTN1_tcpmon_ts_11'!A610</f>
        <v>0</v>
      </c>
      <c r="C596">
        <f>'AARnetCBR-CamDTN1_tcpmon_ts_11'!C610</f>
        <v>0</v>
      </c>
      <c r="D596">
        <f>'AARnetCBR-CamDTN1_tcpmon_ts_21'!C610+'AARnetCBR-CamDTN1_tcpmon_ts_22'!C610</f>
        <v>0</v>
      </c>
      <c r="E596">
        <f>'AARnetCBR-CamDTN1_tcpmon_ts_31'!C610+'AARnetCBR-CamDTN1_tcpmon_ts_32'!C610+'AARnetCBR-CamDTN1_tcpmon_ts_33'!C610</f>
        <v>0</v>
      </c>
      <c r="F596">
        <f>'AARnetCBR-CamDTN1_tcpmon_ts_41'!C610+'AARnetCBR-CamDTN1_tcpmon_ts_42'!C610+'AARnetCBR-CamDTN1_tcpmon_ts_43'!C610+'AARnetCBR-CamDTN1_tcpmon_ts_44'!C610</f>
        <v>0</v>
      </c>
      <c r="L596">
        <f>'AARnetCBR-CamDTN1_tcpmon_ts_11'!D596</f>
        <v>0</v>
      </c>
      <c r="M596">
        <f>'AARnetCBR-CamDTN1_tcpmon_ts_21'!D596+'AARnetCBR-CamDTN1_tcpmon_ts_22'!D596</f>
        <v>0</v>
      </c>
      <c r="N596">
        <f>'AARnetCBR-CamDTN1_tcpmon_ts_31'!D596+'AARnetCBR-CamDTN1_tcpmon_ts_32'!D596+'AARnetCBR-CamDTN1_tcpmon_ts_33'!D596</f>
        <v>0</v>
      </c>
      <c r="O596">
        <f>'AARnetCBR-CamDTN1_tcpmon_ts_41'!D596+'AARnetCBR-CamDTN1_tcpmon_ts_42'!D596+'AARnetCBR-CamDTN1_tcpmon_ts_43'!D596+'AARnetCBR-CamDTN1_tcpmon_ts_44'!D596</f>
        <v>0</v>
      </c>
      <c r="P596">
        <f>'AARnetCBR-CamDTN1_tcpmon_ts_51'!D596+'AARnetCBR-CamDTN1_tcpmon_ts_52'!D596+'AARnetCBR-CamDTN1_tcpmon_ts_53'!D596+'AARnetCBR-CamDTN1_tcpmon_ts_54'!D596+'AARnetCBR-CamDTN1_tcpmon_ts_55'!D596</f>
        <v>0</v>
      </c>
    </row>
    <row r="597" spans="1:16">
      <c r="A597">
        <f>'AARnetCBR-CamDTN1_tcpmon_ts_11'!A611</f>
        <v>0</v>
      </c>
      <c r="C597">
        <f>'AARnetCBR-CamDTN1_tcpmon_ts_11'!C611</f>
        <v>0</v>
      </c>
      <c r="D597">
        <f>'AARnetCBR-CamDTN1_tcpmon_ts_21'!C611+'AARnetCBR-CamDTN1_tcpmon_ts_22'!C611</f>
        <v>0</v>
      </c>
      <c r="E597">
        <f>'AARnetCBR-CamDTN1_tcpmon_ts_31'!C611+'AARnetCBR-CamDTN1_tcpmon_ts_32'!C611+'AARnetCBR-CamDTN1_tcpmon_ts_33'!C611</f>
        <v>0</v>
      </c>
      <c r="F597">
        <f>'AARnetCBR-CamDTN1_tcpmon_ts_41'!C611+'AARnetCBR-CamDTN1_tcpmon_ts_42'!C611+'AARnetCBR-CamDTN1_tcpmon_ts_43'!C611+'AARnetCBR-CamDTN1_tcpmon_ts_44'!C611</f>
        <v>0</v>
      </c>
      <c r="L597">
        <f>'AARnetCBR-CamDTN1_tcpmon_ts_11'!D597</f>
        <v>0</v>
      </c>
      <c r="M597">
        <f>'AARnetCBR-CamDTN1_tcpmon_ts_21'!D597+'AARnetCBR-CamDTN1_tcpmon_ts_22'!D597</f>
        <v>0</v>
      </c>
      <c r="N597">
        <f>'AARnetCBR-CamDTN1_tcpmon_ts_31'!D597+'AARnetCBR-CamDTN1_tcpmon_ts_32'!D597+'AARnetCBR-CamDTN1_tcpmon_ts_33'!D597</f>
        <v>0</v>
      </c>
      <c r="O597">
        <f>'AARnetCBR-CamDTN1_tcpmon_ts_41'!D597+'AARnetCBR-CamDTN1_tcpmon_ts_42'!D597+'AARnetCBR-CamDTN1_tcpmon_ts_43'!D597+'AARnetCBR-CamDTN1_tcpmon_ts_44'!D597</f>
        <v>0</v>
      </c>
      <c r="P597">
        <f>'AARnetCBR-CamDTN1_tcpmon_ts_51'!D597+'AARnetCBR-CamDTN1_tcpmon_ts_52'!D597+'AARnetCBR-CamDTN1_tcpmon_ts_53'!D597+'AARnetCBR-CamDTN1_tcpmon_ts_54'!D597+'AARnetCBR-CamDTN1_tcpmon_ts_55'!D597</f>
        <v>0</v>
      </c>
    </row>
    <row r="598" spans="1:16">
      <c r="A598">
        <f>'AARnetCBR-CamDTN1_tcpmon_ts_11'!A612</f>
        <v>0</v>
      </c>
      <c r="C598">
        <f>'AARnetCBR-CamDTN1_tcpmon_ts_11'!C612</f>
        <v>0</v>
      </c>
      <c r="D598">
        <f>'AARnetCBR-CamDTN1_tcpmon_ts_21'!C612+'AARnetCBR-CamDTN1_tcpmon_ts_22'!C612</f>
        <v>0</v>
      </c>
      <c r="E598">
        <f>'AARnetCBR-CamDTN1_tcpmon_ts_31'!C612+'AARnetCBR-CamDTN1_tcpmon_ts_32'!C612+'AARnetCBR-CamDTN1_tcpmon_ts_33'!C612</f>
        <v>0</v>
      </c>
      <c r="F598">
        <f>'AARnetCBR-CamDTN1_tcpmon_ts_41'!C612+'AARnetCBR-CamDTN1_tcpmon_ts_42'!C612+'AARnetCBR-CamDTN1_tcpmon_ts_43'!C612+'AARnetCBR-CamDTN1_tcpmon_ts_44'!C612</f>
        <v>0</v>
      </c>
      <c r="L598">
        <f>'AARnetCBR-CamDTN1_tcpmon_ts_11'!D598</f>
        <v>0</v>
      </c>
      <c r="M598">
        <f>'AARnetCBR-CamDTN1_tcpmon_ts_21'!D598+'AARnetCBR-CamDTN1_tcpmon_ts_22'!D598</f>
        <v>0</v>
      </c>
      <c r="N598">
        <f>'AARnetCBR-CamDTN1_tcpmon_ts_31'!D598+'AARnetCBR-CamDTN1_tcpmon_ts_32'!D598+'AARnetCBR-CamDTN1_tcpmon_ts_33'!D598</f>
        <v>0</v>
      </c>
      <c r="O598">
        <f>'AARnetCBR-CamDTN1_tcpmon_ts_41'!D598+'AARnetCBR-CamDTN1_tcpmon_ts_42'!D598+'AARnetCBR-CamDTN1_tcpmon_ts_43'!D598+'AARnetCBR-CamDTN1_tcpmon_ts_44'!D598</f>
        <v>0</v>
      </c>
      <c r="P598">
        <f>'AARnetCBR-CamDTN1_tcpmon_ts_51'!D598+'AARnetCBR-CamDTN1_tcpmon_ts_52'!D598+'AARnetCBR-CamDTN1_tcpmon_ts_53'!D598+'AARnetCBR-CamDTN1_tcpmon_ts_54'!D598+'AARnetCBR-CamDTN1_tcpmon_ts_55'!D598</f>
        <v>0</v>
      </c>
    </row>
    <row r="599" spans="1:16">
      <c r="L599">
        <f>'AARnetCBR-CamDTN1_tcpmon_ts_11'!D599</f>
        <v>0</v>
      </c>
      <c r="M599">
        <f>'AARnetCBR-CamDTN1_tcpmon_ts_21'!D599+'AARnetCBR-CamDTN1_tcpmon_ts_22'!D599</f>
        <v>0</v>
      </c>
      <c r="N599">
        <f>'AARnetCBR-CamDTN1_tcpmon_ts_31'!D599+'AARnetCBR-CamDTN1_tcpmon_ts_32'!D599+'AARnetCBR-CamDTN1_tcpmon_ts_33'!D599</f>
        <v>0</v>
      </c>
      <c r="O599">
        <f>'AARnetCBR-CamDTN1_tcpmon_ts_41'!D599+'AARnetCBR-CamDTN1_tcpmon_ts_42'!D599+'AARnetCBR-CamDTN1_tcpmon_ts_43'!D599+'AARnetCBR-CamDTN1_tcpmon_ts_44'!D599</f>
        <v>0</v>
      </c>
      <c r="P599">
        <f>'AARnetCBR-CamDTN1_tcpmon_ts_51'!D599+'AARnetCBR-CamDTN1_tcpmon_ts_52'!D599+'AARnetCBR-CamDTN1_tcpmon_ts_53'!D599+'AARnetCBR-CamDTN1_tcpmon_ts_54'!D599+'AARnetCBR-CamDTN1_tcpmon_ts_55'!D599</f>
        <v>0</v>
      </c>
    </row>
    <row r="600" spans="1:16">
      <c r="L600">
        <f>'AARnetCBR-CamDTN1_tcpmon_ts_11'!D600</f>
        <v>0</v>
      </c>
      <c r="M600">
        <f>'AARnetCBR-CamDTN1_tcpmon_ts_21'!D600+'AARnetCBR-CamDTN1_tcpmon_ts_22'!D600</f>
        <v>0</v>
      </c>
      <c r="N600">
        <f>'AARnetCBR-CamDTN1_tcpmon_ts_31'!D600+'AARnetCBR-CamDTN1_tcpmon_ts_32'!D600+'AARnetCBR-CamDTN1_tcpmon_ts_33'!D600</f>
        <v>0</v>
      </c>
      <c r="O600">
        <f>'AARnetCBR-CamDTN1_tcpmon_ts_41'!D600+'AARnetCBR-CamDTN1_tcpmon_ts_42'!D600+'AARnetCBR-CamDTN1_tcpmon_ts_43'!D600+'AARnetCBR-CamDTN1_tcpmon_ts_44'!D600</f>
        <v>0</v>
      </c>
      <c r="P600">
        <f>'AARnetCBR-CamDTN1_tcpmon_ts_51'!D600+'AARnetCBR-CamDTN1_tcpmon_ts_52'!D600+'AARnetCBR-CamDTN1_tcpmon_ts_53'!D600+'AARnetCBR-CamDTN1_tcpmon_ts_54'!D600+'AARnetCBR-CamDTN1_tcpmon_ts_55'!D600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E11"/>
  <sheetViews>
    <sheetView workbookViewId="0">
      <selection activeCell="B4" sqref="B4"/>
    </sheetView>
  </sheetViews>
  <sheetFormatPr defaultRowHeight="12.5"/>
  <cols>
    <col min="2" max="2" width="17.453125" customWidth="1"/>
    <col min="5" max="5" width="18.36328125" customWidth="1"/>
  </cols>
  <sheetData>
    <row r="2" spans="2:5">
      <c r="B2" t="s">
        <v>0</v>
      </c>
    </row>
    <row r="3" spans="2:5">
      <c r="B3" s="1" t="s">
        <v>1</v>
      </c>
    </row>
    <row r="4" spans="2:5">
      <c r="B4">
        <v>1446738718</v>
      </c>
      <c r="E4" s="2">
        <f>(((B4/60)/60)/24)+DATE(1970,1,1)</f>
        <v>42313.661087962959</v>
      </c>
    </row>
    <row r="5" spans="2:5">
      <c r="B5">
        <v>1446740983</v>
      </c>
      <c r="D5">
        <f>B5-B4</f>
        <v>2265</v>
      </c>
      <c r="E5" s="2">
        <f>(((B5/60)/60)/24)+DATE(1970,1,1)</f>
        <v>42313.687303240738</v>
      </c>
    </row>
    <row r="9" spans="2:5">
      <c r="B9" s="1" t="s">
        <v>2</v>
      </c>
    </row>
    <row r="10" spans="2:5">
      <c r="B10">
        <v>1357318882</v>
      </c>
      <c r="E10" s="2">
        <f>(((B10/60)/60)/24)+DATE(1970,1,1)</f>
        <v>41278.709282407406</v>
      </c>
    </row>
    <row r="11" spans="2:5">
      <c r="B11">
        <v>1357318901</v>
      </c>
      <c r="D11">
        <f>B11-B10</f>
        <v>19</v>
      </c>
      <c r="E11" s="2">
        <f>(((B11/60)/60)/24)+DATE(1970,1,1)</f>
        <v>41278.709502314814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Z228"/>
  <sheetViews>
    <sheetView topLeftCell="A150" zoomScaleNormal="100" workbookViewId="0">
      <selection activeCell="C32" sqref="C32:C161"/>
    </sheetView>
  </sheetViews>
  <sheetFormatPr defaultRowHeight="12.5"/>
  <sheetData>
    <row r="1" spans="1:7">
      <c r="A1" t="s">
        <v>246</v>
      </c>
      <c r="B1">
        <v>9</v>
      </c>
      <c r="C1" t="s">
        <v>196</v>
      </c>
      <c r="D1" t="s">
        <v>60</v>
      </c>
      <c r="E1" t="s">
        <v>247</v>
      </c>
    </row>
    <row r="2" spans="1:7">
      <c r="A2" t="s">
        <v>61</v>
      </c>
      <c r="B2" t="s">
        <v>248</v>
      </c>
      <c r="C2">
        <v>1</v>
      </c>
    </row>
    <row r="3" spans="1:7">
      <c r="A3" t="s">
        <v>249</v>
      </c>
    </row>
    <row r="4" spans="1:7">
      <c r="A4" t="s">
        <v>250</v>
      </c>
    </row>
    <row r="5" spans="1:7">
      <c r="A5" t="s">
        <v>62</v>
      </c>
      <c r="B5" t="s">
        <v>197</v>
      </c>
      <c r="C5" t="s">
        <v>63</v>
      </c>
      <c r="D5" t="s">
        <v>251</v>
      </c>
    </row>
    <row r="6" spans="1:7">
      <c r="A6" t="s">
        <v>252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66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3738440</v>
      </c>
      <c r="C13">
        <v>0.01</v>
      </c>
      <c r="D13">
        <v>0</v>
      </c>
      <c r="E13">
        <v>0.49</v>
      </c>
      <c r="F13">
        <v>108</v>
      </c>
      <c r="G13">
        <v>280</v>
      </c>
    </row>
    <row r="14" spans="1:7">
      <c r="A14">
        <v>4</v>
      </c>
      <c r="B14">
        <v>4722240</v>
      </c>
      <c r="C14">
        <v>0.02</v>
      </c>
      <c r="D14">
        <v>0</v>
      </c>
      <c r="E14">
        <v>0.71</v>
      </c>
      <c r="F14">
        <v>318</v>
      </c>
      <c r="G14">
        <v>794</v>
      </c>
    </row>
    <row r="15" spans="1:7">
      <c r="A15">
        <v>6</v>
      </c>
      <c r="B15">
        <v>6984980</v>
      </c>
      <c r="C15">
        <v>0.03</v>
      </c>
      <c r="D15">
        <v>0</v>
      </c>
      <c r="E15">
        <v>1.03</v>
      </c>
      <c r="F15">
        <v>626</v>
      </c>
      <c r="G15">
        <v>1546</v>
      </c>
    </row>
    <row r="16" spans="1:7">
      <c r="A16">
        <v>8</v>
      </c>
      <c r="B16">
        <v>12494260</v>
      </c>
      <c r="C16">
        <v>0.05</v>
      </c>
      <c r="D16">
        <v>0</v>
      </c>
      <c r="E16">
        <v>1.62</v>
      </c>
      <c r="F16">
        <v>1089</v>
      </c>
      <c r="G16">
        <v>2671</v>
      </c>
    </row>
    <row r="17" spans="1:7">
      <c r="A17">
        <v>10</v>
      </c>
      <c r="B17">
        <v>19971140</v>
      </c>
      <c r="C17">
        <v>0.08</v>
      </c>
      <c r="D17">
        <v>0</v>
      </c>
      <c r="E17">
        <v>2.99</v>
      </c>
      <c r="F17">
        <v>1903</v>
      </c>
      <c r="G17">
        <v>4686</v>
      </c>
    </row>
    <row r="18" spans="1:7">
      <c r="A18">
        <v>12</v>
      </c>
      <c r="B18">
        <v>36695740</v>
      </c>
      <c r="C18">
        <v>0.15</v>
      </c>
      <c r="D18">
        <v>0</v>
      </c>
      <c r="E18">
        <v>5.14</v>
      </c>
      <c r="F18">
        <v>3364</v>
      </c>
      <c r="G18">
        <v>8265</v>
      </c>
    </row>
    <row r="19" spans="1:7">
      <c r="A19">
        <v>14</v>
      </c>
      <c r="B19">
        <v>60503700</v>
      </c>
      <c r="C19">
        <v>0.24</v>
      </c>
      <c r="D19">
        <v>0</v>
      </c>
      <c r="E19">
        <v>8.2200000000000006</v>
      </c>
      <c r="F19">
        <v>5322</v>
      </c>
      <c r="G19">
        <v>14143</v>
      </c>
    </row>
    <row r="20" spans="1:7">
      <c r="A20">
        <v>16</v>
      </c>
      <c r="B20">
        <v>93067480</v>
      </c>
      <c r="C20">
        <v>0.37</v>
      </c>
      <c r="D20">
        <v>0</v>
      </c>
      <c r="E20">
        <v>12.43</v>
      </c>
      <c r="F20">
        <v>7802</v>
      </c>
      <c r="G20">
        <v>23248</v>
      </c>
    </row>
    <row r="21" spans="1:7">
      <c r="A21">
        <v>18</v>
      </c>
      <c r="B21">
        <v>136551440</v>
      </c>
      <c r="C21">
        <v>0.55000000000000004</v>
      </c>
      <c r="D21">
        <v>0</v>
      </c>
      <c r="E21">
        <v>18.16</v>
      </c>
      <c r="F21">
        <v>10112</v>
      </c>
      <c r="G21">
        <v>36658</v>
      </c>
    </row>
    <row r="22" spans="1:7">
      <c r="A22">
        <v>20</v>
      </c>
      <c r="B22">
        <v>188496080</v>
      </c>
      <c r="C22">
        <v>0.75</v>
      </c>
      <c r="D22">
        <v>0</v>
      </c>
      <c r="E22">
        <v>26.5</v>
      </c>
      <c r="F22">
        <v>13208</v>
      </c>
      <c r="G22">
        <v>56237</v>
      </c>
    </row>
    <row r="23" spans="1:7">
      <c r="A23">
        <v>22</v>
      </c>
      <c r="B23">
        <v>253033360</v>
      </c>
      <c r="C23">
        <v>1.01</v>
      </c>
      <c r="D23">
        <v>0</v>
      </c>
      <c r="E23">
        <v>38.67</v>
      </c>
      <c r="F23">
        <v>17751</v>
      </c>
      <c r="G23">
        <v>84811</v>
      </c>
    </row>
    <row r="24" spans="1:7">
      <c r="A24">
        <v>24</v>
      </c>
      <c r="B24">
        <v>409555940</v>
      </c>
      <c r="C24">
        <v>1.64</v>
      </c>
      <c r="D24">
        <v>0</v>
      </c>
      <c r="E24">
        <v>56.5</v>
      </c>
      <c r="F24">
        <v>24816</v>
      </c>
      <c r="G24">
        <v>126657</v>
      </c>
    </row>
    <row r="25" spans="1:7">
      <c r="A25">
        <v>26</v>
      </c>
      <c r="B25">
        <v>597068220</v>
      </c>
      <c r="C25">
        <v>2.39</v>
      </c>
      <c r="D25">
        <v>0</v>
      </c>
      <c r="E25">
        <v>82.54</v>
      </c>
      <c r="F25">
        <v>35582</v>
      </c>
      <c r="G25">
        <v>187767</v>
      </c>
    </row>
    <row r="26" spans="1:7">
      <c r="A26">
        <v>28</v>
      </c>
      <c r="B26">
        <v>881583180</v>
      </c>
      <c r="C26">
        <v>3.53</v>
      </c>
      <c r="D26">
        <v>0</v>
      </c>
      <c r="E26">
        <v>120.51</v>
      </c>
      <c r="F26">
        <v>51065</v>
      </c>
      <c r="G26">
        <v>276870</v>
      </c>
    </row>
    <row r="27" spans="1:7">
      <c r="A27">
        <v>30</v>
      </c>
      <c r="B27">
        <v>1393159180</v>
      </c>
      <c r="C27">
        <v>5.57</v>
      </c>
      <c r="D27">
        <v>0</v>
      </c>
      <c r="E27">
        <v>175.99</v>
      </c>
      <c r="F27">
        <v>72910</v>
      </c>
      <c r="G27">
        <v>407070</v>
      </c>
    </row>
    <row r="28" spans="1:7">
      <c r="A28">
        <v>32</v>
      </c>
      <c r="B28">
        <v>1650521260</v>
      </c>
      <c r="C28">
        <v>6.6</v>
      </c>
      <c r="D28">
        <v>0</v>
      </c>
      <c r="E28">
        <v>257.19</v>
      </c>
      <c r="F28">
        <v>101854</v>
      </c>
      <c r="G28">
        <v>597652</v>
      </c>
    </row>
    <row r="29" spans="1:7">
      <c r="A29">
        <v>34</v>
      </c>
      <c r="B29">
        <v>2755623800</v>
      </c>
      <c r="C29">
        <v>11.02</v>
      </c>
      <c r="D29">
        <v>0</v>
      </c>
      <c r="E29">
        <v>375.76</v>
      </c>
      <c r="F29">
        <v>142110</v>
      </c>
      <c r="G29">
        <v>875930</v>
      </c>
    </row>
    <row r="30" spans="1:7">
      <c r="A30">
        <v>36</v>
      </c>
      <c r="B30">
        <v>4224240440</v>
      </c>
      <c r="C30">
        <v>16.899999999999999</v>
      </c>
      <c r="D30">
        <v>0</v>
      </c>
      <c r="E30">
        <v>544.22</v>
      </c>
      <c r="F30">
        <v>200392</v>
      </c>
      <c r="G30">
        <v>1280187</v>
      </c>
    </row>
    <row r="31" spans="1:7">
      <c r="A31">
        <v>38</v>
      </c>
      <c r="B31">
        <v>5008132280</v>
      </c>
      <c r="C31">
        <v>20.03</v>
      </c>
      <c r="D31">
        <v>0</v>
      </c>
      <c r="E31">
        <v>757.22</v>
      </c>
      <c r="F31">
        <v>283587</v>
      </c>
      <c r="G31">
        <v>1851604</v>
      </c>
    </row>
    <row r="32" spans="1:7">
      <c r="A32">
        <v>40</v>
      </c>
      <c r="B32">
        <v>6080179140</v>
      </c>
      <c r="C32">
        <v>24.32</v>
      </c>
      <c r="D32">
        <v>0</v>
      </c>
      <c r="E32">
        <v>983.98</v>
      </c>
      <c r="F32">
        <v>387479</v>
      </c>
      <c r="G32">
        <v>2618909</v>
      </c>
    </row>
    <row r="33" spans="1:7">
      <c r="A33">
        <v>42</v>
      </c>
      <c r="B33">
        <v>7919786760</v>
      </c>
      <c r="C33">
        <v>31.68</v>
      </c>
      <c r="D33">
        <v>0</v>
      </c>
      <c r="E33">
        <v>983.98</v>
      </c>
      <c r="F33">
        <v>461287</v>
      </c>
      <c r="G33">
        <v>3448094</v>
      </c>
    </row>
    <row r="34" spans="1:7">
      <c r="A34">
        <v>44</v>
      </c>
      <c r="B34">
        <v>7023249820</v>
      </c>
      <c r="C34">
        <v>28.09</v>
      </c>
      <c r="D34">
        <v>0</v>
      </c>
      <c r="E34">
        <v>983.98</v>
      </c>
      <c r="F34">
        <v>537202</v>
      </c>
      <c r="G34">
        <v>4275326</v>
      </c>
    </row>
    <row r="35" spans="1:7">
      <c r="A35">
        <v>46</v>
      </c>
      <c r="B35">
        <v>7290745040</v>
      </c>
      <c r="C35">
        <v>29.16</v>
      </c>
      <c r="D35">
        <v>0</v>
      </c>
      <c r="E35">
        <v>983.98</v>
      </c>
      <c r="F35">
        <v>614032</v>
      </c>
      <c r="G35">
        <v>5101837</v>
      </c>
    </row>
    <row r="36" spans="1:7">
      <c r="A36">
        <v>48</v>
      </c>
      <c r="B36">
        <v>7745752540</v>
      </c>
      <c r="C36">
        <v>30.98</v>
      </c>
      <c r="D36">
        <v>0</v>
      </c>
      <c r="E36">
        <v>983.98</v>
      </c>
      <c r="F36">
        <v>690723</v>
      </c>
      <c r="G36">
        <v>5927844</v>
      </c>
    </row>
    <row r="37" spans="1:7">
      <c r="A37">
        <v>50</v>
      </c>
      <c r="B37">
        <v>7467730660</v>
      </c>
      <c r="C37">
        <v>29.87</v>
      </c>
      <c r="D37">
        <v>0</v>
      </c>
      <c r="E37">
        <v>983.98</v>
      </c>
      <c r="F37">
        <v>766265</v>
      </c>
      <c r="G37">
        <v>6755146</v>
      </c>
    </row>
    <row r="38" spans="1:7">
      <c r="A38">
        <v>52</v>
      </c>
      <c r="B38">
        <v>6810355500</v>
      </c>
      <c r="C38">
        <v>27.24</v>
      </c>
      <c r="D38">
        <v>0</v>
      </c>
      <c r="E38">
        <v>983.98</v>
      </c>
      <c r="F38">
        <v>843152</v>
      </c>
      <c r="G38">
        <v>7578633</v>
      </c>
    </row>
    <row r="39" spans="1:7">
      <c r="A39">
        <v>54</v>
      </c>
      <c r="B39">
        <v>7599559860</v>
      </c>
      <c r="C39">
        <v>30.4</v>
      </c>
      <c r="D39">
        <v>0</v>
      </c>
      <c r="E39">
        <v>983.98</v>
      </c>
      <c r="F39">
        <v>922742</v>
      </c>
      <c r="G39">
        <v>8404696</v>
      </c>
    </row>
    <row r="40" spans="1:7">
      <c r="A40">
        <v>56</v>
      </c>
      <c r="B40">
        <v>7325866700</v>
      </c>
      <c r="C40">
        <v>29.3</v>
      </c>
      <c r="D40">
        <v>0</v>
      </c>
      <c r="E40">
        <v>983.98</v>
      </c>
      <c r="F40">
        <v>997557</v>
      </c>
      <c r="G40">
        <v>9233055</v>
      </c>
    </row>
    <row r="41" spans="1:7">
      <c r="A41">
        <v>58</v>
      </c>
      <c r="B41">
        <v>7976945540</v>
      </c>
      <c r="C41">
        <v>31.91</v>
      </c>
      <c r="D41">
        <v>0</v>
      </c>
      <c r="E41">
        <v>983.98</v>
      </c>
      <c r="F41">
        <v>1072783</v>
      </c>
      <c r="G41">
        <v>10060896</v>
      </c>
    </row>
    <row r="42" spans="1:7">
      <c r="A42">
        <v>60</v>
      </c>
      <c r="B42">
        <v>6838984080</v>
      </c>
      <c r="C42">
        <v>27.36</v>
      </c>
      <c r="D42">
        <v>0</v>
      </c>
      <c r="E42">
        <v>983.98</v>
      </c>
      <c r="F42">
        <v>1147685</v>
      </c>
      <c r="G42">
        <v>10889220</v>
      </c>
    </row>
    <row r="43" spans="1:7">
      <c r="A43">
        <v>62</v>
      </c>
      <c r="B43">
        <v>7403193380</v>
      </c>
      <c r="C43">
        <v>29.61</v>
      </c>
      <c r="D43">
        <v>0</v>
      </c>
      <c r="E43">
        <v>983.98</v>
      </c>
      <c r="F43">
        <v>1220844</v>
      </c>
      <c r="G43">
        <v>11716823</v>
      </c>
    </row>
    <row r="44" spans="1:7">
      <c r="A44">
        <v>64</v>
      </c>
      <c r="B44">
        <v>7870006480</v>
      </c>
      <c r="C44">
        <v>31.48</v>
      </c>
      <c r="D44">
        <v>0</v>
      </c>
      <c r="E44">
        <v>983.98</v>
      </c>
      <c r="F44">
        <v>1299393</v>
      </c>
      <c r="G44">
        <v>12543726</v>
      </c>
    </row>
    <row r="45" spans="1:7">
      <c r="A45">
        <v>66</v>
      </c>
      <c r="B45">
        <v>6746900400</v>
      </c>
      <c r="C45">
        <v>26.99</v>
      </c>
      <c r="D45">
        <v>0</v>
      </c>
      <c r="E45">
        <v>983.98</v>
      </c>
      <c r="F45">
        <v>1375014</v>
      </c>
      <c r="G45">
        <v>13370377</v>
      </c>
    </row>
    <row r="46" spans="1:7">
      <c r="A46">
        <v>68</v>
      </c>
      <c r="B46">
        <v>7353905000</v>
      </c>
      <c r="C46">
        <v>29.42</v>
      </c>
      <c r="D46">
        <v>0</v>
      </c>
      <c r="E46">
        <v>983.98</v>
      </c>
      <c r="F46">
        <v>1431660</v>
      </c>
      <c r="G46">
        <v>14156857</v>
      </c>
    </row>
    <row r="47" spans="1:7">
      <c r="A47">
        <v>70</v>
      </c>
      <c r="B47">
        <v>6556436720</v>
      </c>
      <c r="C47">
        <v>26.23</v>
      </c>
      <c r="D47">
        <v>0</v>
      </c>
      <c r="E47">
        <v>983.98</v>
      </c>
      <c r="F47">
        <v>1480317</v>
      </c>
      <c r="G47">
        <v>14892536</v>
      </c>
    </row>
    <row r="48" spans="1:7">
      <c r="A48">
        <v>72</v>
      </c>
      <c r="B48">
        <v>6522594000</v>
      </c>
      <c r="C48">
        <v>26.09</v>
      </c>
      <c r="D48">
        <v>0</v>
      </c>
      <c r="E48">
        <v>983.98</v>
      </c>
      <c r="F48">
        <v>1528583</v>
      </c>
      <c r="G48">
        <v>15624253</v>
      </c>
    </row>
    <row r="49" spans="1:7">
      <c r="A49">
        <v>74</v>
      </c>
      <c r="B49">
        <v>6965500760</v>
      </c>
      <c r="C49">
        <v>27.86</v>
      </c>
      <c r="D49">
        <v>0</v>
      </c>
      <c r="E49">
        <v>983.98</v>
      </c>
      <c r="F49">
        <v>1576773</v>
      </c>
      <c r="G49">
        <v>16353873</v>
      </c>
    </row>
    <row r="50" spans="1:7">
      <c r="A50">
        <v>76</v>
      </c>
      <c r="B50">
        <v>6524463220</v>
      </c>
      <c r="C50">
        <v>26.1</v>
      </c>
      <c r="D50">
        <v>0</v>
      </c>
      <c r="E50">
        <v>983.98</v>
      </c>
      <c r="F50">
        <v>1624799</v>
      </c>
      <c r="G50">
        <v>17082169</v>
      </c>
    </row>
    <row r="51" spans="1:7">
      <c r="A51">
        <v>78</v>
      </c>
      <c r="B51">
        <v>6082146740</v>
      </c>
      <c r="C51">
        <v>24.33</v>
      </c>
      <c r="D51">
        <v>0</v>
      </c>
      <c r="E51">
        <v>983.98</v>
      </c>
      <c r="F51">
        <v>1672752</v>
      </c>
      <c r="G51">
        <v>17809971</v>
      </c>
    </row>
    <row r="52" spans="1:7">
      <c r="A52">
        <v>80</v>
      </c>
      <c r="B52">
        <v>6688167540</v>
      </c>
      <c r="C52">
        <v>26.75</v>
      </c>
      <c r="D52">
        <v>0</v>
      </c>
      <c r="E52">
        <v>983.98</v>
      </c>
      <c r="F52">
        <v>1720865</v>
      </c>
      <c r="G52">
        <v>18537421</v>
      </c>
    </row>
    <row r="53" spans="1:7">
      <c r="A53">
        <v>82</v>
      </c>
      <c r="B53">
        <v>6834163460</v>
      </c>
      <c r="C53">
        <v>27.34</v>
      </c>
      <c r="D53">
        <v>0</v>
      </c>
      <c r="E53">
        <v>983.98</v>
      </c>
      <c r="F53">
        <v>1768961</v>
      </c>
      <c r="G53">
        <v>19264113</v>
      </c>
    </row>
    <row r="54" spans="1:7">
      <c r="A54">
        <v>84</v>
      </c>
      <c r="B54">
        <v>6358692920</v>
      </c>
      <c r="C54">
        <v>25.43</v>
      </c>
      <c r="D54">
        <v>0</v>
      </c>
      <c r="E54">
        <v>983.98</v>
      </c>
      <c r="F54">
        <v>1816846</v>
      </c>
      <c r="G54">
        <v>19990624</v>
      </c>
    </row>
    <row r="55" spans="1:7">
      <c r="A55">
        <v>86</v>
      </c>
      <c r="B55">
        <v>6555846440</v>
      </c>
      <c r="C55">
        <v>26.22</v>
      </c>
      <c r="D55">
        <v>0</v>
      </c>
      <c r="E55">
        <v>983.98</v>
      </c>
      <c r="F55">
        <v>1864817</v>
      </c>
      <c r="G55">
        <v>20717235</v>
      </c>
    </row>
    <row r="56" spans="1:7">
      <c r="A56">
        <v>88</v>
      </c>
      <c r="B56">
        <v>6596182240</v>
      </c>
      <c r="C56">
        <v>26.38</v>
      </c>
      <c r="D56">
        <v>0</v>
      </c>
      <c r="E56">
        <v>983.98</v>
      </c>
      <c r="F56">
        <v>1912977</v>
      </c>
      <c r="G56">
        <v>21443448</v>
      </c>
    </row>
    <row r="57" spans="1:7">
      <c r="A57">
        <v>90</v>
      </c>
      <c r="B57">
        <v>6588410220</v>
      </c>
      <c r="C57">
        <v>26.35</v>
      </c>
      <c r="D57">
        <v>0</v>
      </c>
      <c r="E57">
        <v>983.98</v>
      </c>
      <c r="F57">
        <v>1961294</v>
      </c>
      <c r="G57">
        <v>22169109</v>
      </c>
    </row>
    <row r="58" spans="1:7">
      <c r="A58">
        <v>92</v>
      </c>
      <c r="B58">
        <v>6271134720</v>
      </c>
      <c r="C58">
        <v>25.08</v>
      </c>
      <c r="D58">
        <v>0</v>
      </c>
      <c r="E58">
        <v>983.98</v>
      </c>
      <c r="F58">
        <v>2009526</v>
      </c>
      <c r="G58">
        <v>22895248</v>
      </c>
    </row>
    <row r="59" spans="1:7">
      <c r="A59">
        <v>94</v>
      </c>
      <c r="B59">
        <v>5939102220</v>
      </c>
      <c r="C59">
        <v>23.76</v>
      </c>
      <c r="D59">
        <v>0</v>
      </c>
      <c r="E59">
        <v>983.98</v>
      </c>
      <c r="F59">
        <v>2057702</v>
      </c>
      <c r="G59">
        <v>23621822</v>
      </c>
    </row>
    <row r="60" spans="1:7">
      <c r="A60">
        <v>96</v>
      </c>
      <c r="B60">
        <v>6551222580</v>
      </c>
      <c r="C60">
        <v>26.2</v>
      </c>
      <c r="D60">
        <v>0</v>
      </c>
      <c r="E60">
        <v>983.98</v>
      </c>
      <c r="F60">
        <v>2105983</v>
      </c>
      <c r="G60">
        <v>24348320</v>
      </c>
    </row>
    <row r="61" spans="1:7">
      <c r="A61">
        <v>98</v>
      </c>
      <c r="B61">
        <v>6873220320</v>
      </c>
      <c r="C61">
        <v>27.49</v>
      </c>
      <c r="D61">
        <v>0</v>
      </c>
      <c r="E61">
        <v>983.98</v>
      </c>
      <c r="F61">
        <v>2154107</v>
      </c>
      <c r="G61">
        <v>25073052</v>
      </c>
    </row>
    <row r="62" spans="1:7">
      <c r="A62">
        <v>100</v>
      </c>
      <c r="B62">
        <v>6517379860</v>
      </c>
      <c r="C62">
        <v>26.07</v>
      </c>
      <c r="D62">
        <v>0</v>
      </c>
      <c r="E62">
        <v>983.98</v>
      </c>
      <c r="F62">
        <v>2202224</v>
      </c>
      <c r="G62">
        <v>25798935</v>
      </c>
    </row>
    <row r="63" spans="1:7">
      <c r="A63">
        <v>102</v>
      </c>
      <c r="B63">
        <v>6165868120</v>
      </c>
      <c r="C63">
        <v>24.66</v>
      </c>
      <c r="D63">
        <v>0</v>
      </c>
      <c r="E63">
        <v>983.98</v>
      </c>
      <c r="F63">
        <v>2250612</v>
      </c>
      <c r="G63">
        <v>26524782</v>
      </c>
    </row>
    <row r="64" spans="1:7">
      <c r="A64">
        <v>104</v>
      </c>
      <c r="B64">
        <v>6399127100</v>
      </c>
      <c r="C64">
        <v>25.6</v>
      </c>
      <c r="D64">
        <v>0</v>
      </c>
      <c r="E64">
        <v>983.98</v>
      </c>
      <c r="F64">
        <v>2298670</v>
      </c>
      <c r="G64">
        <v>27250689</v>
      </c>
    </row>
    <row r="65" spans="1:7">
      <c r="A65">
        <v>106</v>
      </c>
      <c r="B65">
        <v>6456876160</v>
      </c>
      <c r="C65">
        <v>25.83</v>
      </c>
      <c r="D65">
        <v>0</v>
      </c>
      <c r="E65">
        <v>983.98</v>
      </c>
      <c r="F65">
        <v>2346755</v>
      </c>
      <c r="G65">
        <v>27976711</v>
      </c>
    </row>
    <row r="66" spans="1:7">
      <c r="A66">
        <v>108</v>
      </c>
      <c r="B66">
        <v>6474584560</v>
      </c>
      <c r="C66">
        <v>25.9</v>
      </c>
      <c r="D66">
        <v>0</v>
      </c>
      <c r="E66">
        <v>983.98</v>
      </c>
      <c r="F66">
        <v>2394862</v>
      </c>
      <c r="G66">
        <v>28702981</v>
      </c>
    </row>
    <row r="67" spans="1:7">
      <c r="A67">
        <v>110</v>
      </c>
      <c r="B67">
        <v>6494358940</v>
      </c>
      <c r="C67">
        <v>25.98</v>
      </c>
      <c r="D67">
        <v>0</v>
      </c>
      <c r="E67">
        <v>983.98</v>
      </c>
      <c r="F67">
        <v>2443097</v>
      </c>
      <c r="G67">
        <v>29428921</v>
      </c>
    </row>
    <row r="68" spans="1:7">
      <c r="A68">
        <v>112</v>
      </c>
      <c r="B68">
        <v>6492489720</v>
      </c>
      <c r="C68">
        <v>25.97</v>
      </c>
      <c r="D68">
        <v>0</v>
      </c>
      <c r="E68">
        <v>983.98</v>
      </c>
      <c r="F68">
        <v>2491239</v>
      </c>
      <c r="G68">
        <v>30155052</v>
      </c>
    </row>
    <row r="69" spans="1:7">
      <c r="A69">
        <v>114</v>
      </c>
      <c r="B69">
        <v>6527513000</v>
      </c>
      <c r="C69">
        <v>26.11</v>
      </c>
      <c r="D69">
        <v>0</v>
      </c>
      <c r="E69">
        <v>983.98</v>
      </c>
      <c r="F69">
        <v>2539328</v>
      </c>
      <c r="G69">
        <v>30881289</v>
      </c>
    </row>
    <row r="70" spans="1:7">
      <c r="A70">
        <v>116</v>
      </c>
      <c r="B70">
        <v>6900471580</v>
      </c>
      <c r="C70">
        <v>27.6</v>
      </c>
      <c r="D70">
        <v>0</v>
      </c>
      <c r="E70">
        <v>983.98</v>
      </c>
      <c r="F70">
        <v>2587426</v>
      </c>
      <c r="G70">
        <v>31607802</v>
      </c>
    </row>
    <row r="71" spans="1:7">
      <c r="A71">
        <v>118</v>
      </c>
      <c r="B71">
        <v>6491112400</v>
      </c>
      <c r="C71">
        <v>25.96</v>
      </c>
      <c r="D71">
        <v>0</v>
      </c>
      <c r="E71">
        <v>983.98</v>
      </c>
      <c r="F71">
        <v>2635521</v>
      </c>
      <c r="G71">
        <v>32334207</v>
      </c>
    </row>
    <row r="72" spans="1:7">
      <c r="A72">
        <v>120</v>
      </c>
      <c r="B72">
        <v>6257066380</v>
      </c>
      <c r="C72">
        <v>25.03</v>
      </c>
      <c r="D72">
        <v>0</v>
      </c>
      <c r="E72">
        <v>983.98</v>
      </c>
      <c r="F72">
        <v>2683819</v>
      </c>
      <c r="G72">
        <v>33060524</v>
      </c>
    </row>
    <row r="73" spans="1:7">
      <c r="A73">
        <v>122</v>
      </c>
      <c r="B73">
        <v>6336262280</v>
      </c>
      <c r="C73">
        <v>25.35</v>
      </c>
      <c r="D73">
        <v>0</v>
      </c>
      <c r="E73">
        <v>983.98</v>
      </c>
      <c r="F73">
        <v>2731912</v>
      </c>
      <c r="G73">
        <v>33786637</v>
      </c>
    </row>
    <row r="74" spans="1:7">
      <c r="A74">
        <v>124</v>
      </c>
      <c r="B74">
        <v>6455400460</v>
      </c>
      <c r="C74">
        <v>25.82</v>
      </c>
      <c r="D74">
        <v>0</v>
      </c>
      <c r="E74">
        <v>983.98</v>
      </c>
      <c r="F74">
        <v>2780277</v>
      </c>
      <c r="G74">
        <v>34512288</v>
      </c>
    </row>
    <row r="75" spans="1:7">
      <c r="A75">
        <v>126</v>
      </c>
      <c r="B75">
        <v>6480290600</v>
      </c>
      <c r="C75">
        <v>25.92</v>
      </c>
      <c r="D75">
        <v>0</v>
      </c>
      <c r="E75">
        <v>983.98</v>
      </c>
      <c r="F75">
        <v>2828305</v>
      </c>
      <c r="G75">
        <v>35237999</v>
      </c>
    </row>
    <row r="76" spans="1:7">
      <c r="A76">
        <v>128</v>
      </c>
      <c r="B76">
        <v>6569422880</v>
      </c>
      <c r="C76">
        <v>26.28</v>
      </c>
      <c r="D76">
        <v>0</v>
      </c>
      <c r="E76">
        <v>983.98</v>
      </c>
      <c r="F76">
        <v>2876314</v>
      </c>
      <c r="G76">
        <v>35962367</v>
      </c>
    </row>
    <row r="77" spans="1:7">
      <c r="A77">
        <v>130</v>
      </c>
      <c r="B77">
        <v>6545811680</v>
      </c>
      <c r="C77">
        <v>26.18</v>
      </c>
      <c r="D77">
        <v>0</v>
      </c>
      <c r="E77">
        <v>983.98</v>
      </c>
      <c r="F77">
        <v>2924309</v>
      </c>
      <c r="G77">
        <v>36688076</v>
      </c>
    </row>
    <row r="78" spans="1:7">
      <c r="A78">
        <v>132</v>
      </c>
      <c r="B78">
        <v>6749163140</v>
      </c>
      <c r="C78">
        <v>27</v>
      </c>
      <c r="D78">
        <v>0</v>
      </c>
      <c r="E78">
        <v>983.98</v>
      </c>
      <c r="F78">
        <v>2972383</v>
      </c>
      <c r="G78">
        <v>37413658</v>
      </c>
    </row>
    <row r="79" spans="1:7">
      <c r="A79">
        <v>134</v>
      </c>
      <c r="B79">
        <v>6582704180</v>
      </c>
      <c r="C79">
        <v>26.33</v>
      </c>
      <c r="D79">
        <v>0</v>
      </c>
      <c r="E79">
        <v>983.98</v>
      </c>
      <c r="F79">
        <v>3020335</v>
      </c>
      <c r="G79">
        <v>38139210</v>
      </c>
    </row>
    <row r="80" spans="1:7">
      <c r="A80">
        <v>136</v>
      </c>
      <c r="B80">
        <v>6500950400</v>
      </c>
      <c r="C80">
        <v>26</v>
      </c>
      <c r="D80">
        <v>0</v>
      </c>
      <c r="E80">
        <v>983.98</v>
      </c>
      <c r="F80">
        <v>3068185</v>
      </c>
      <c r="G80">
        <v>38865278</v>
      </c>
    </row>
    <row r="81" spans="1:7">
      <c r="A81">
        <v>138</v>
      </c>
      <c r="B81">
        <v>6551812860</v>
      </c>
      <c r="C81">
        <v>26.21</v>
      </c>
      <c r="D81">
        <v>0</v>
      </c>
      <c r="E81">
        <v>983.98</v>
      </c>
      <c r="F81">
        <v>3116162</v>
      </c>
      <c r="G81">
        <v>39591910</v>
      </c>
    </row>
    <row r="82" spans="1:7">
      <c r="A82">
        <v>140</v>
      </c>
      <c r="B82">
        <v>6587524800</v>
      </c>
      <c r="C82">
        <v>26.35</v>
      </c>
      <c r="D82">
        <v>0</v>
      </c>
      <c r="E82">
        <v>983.98</v>
      </c>
      <c r="F82">
        <v>3164095</v>
      </c>
      <c r="G82">
        <v>40318944</v>
      </c>
    </row>
    <row r="83" spans="1:7">
      <c r="A83">
        <v>142</v>
      </c>
      <c r="B83">
        <v>6558109180</v>
      </c>
      <c r="C83">
        <v>26.23</v>
      </c>
      <c r="D83">
        <v>0</v>
      </c>
      <c r="E83">
        <v>983.98</v>
      </c>
      <c r="F83">
        <v>3211956</v>
      </c>
      <c r="G83">
        <v>41046051</v>
      </c>
    </row>
    <row r="84" spans="1:7">
      <c r="A84">
        <v>144</v>
      </c>
      <c r="B84">
        <v>6500753640</v>
      </c>
      <c r="C84">
        <v>26</v>
      </c>
      <c r="D84">
        <v>0</v>
      </c>
      <c r="E84">
        <v>983.98</v>
      </c>
      <c r="F84">
        <v>3259743</v>
      </c>
      <c r="G84">
        <v>41773357</v>
      </c>
    </row>
    <row r="85" spans="1:7">
      <c r="A85">
        <v>146</v>
      </c>
      <c r="B85">
        <v>6583097700</v>
      </c>
      <c r="C85">
        <v>26.33</v>
      </c>
      <c r="D85">
        <v>0</v>
      </c>
      <c r="E85">
        <v>983.98</v>
      </c>
      <c r="F85">
        <v>3307450</v>
      </c>
      <c r="G85">
        <v>42501190</v>
      </c>
    </row>
    <row r="86" spans="1:7">
      <c r="A86">
        <v>148</v>
      </c>
      <c r="B86">
        <v>6397553020</v>
      </c>
      <c r="C86">
        <v>25.59</v>
      </c>
      <c r="D86">
        <v>0</v>
      </c>
      <c r="E86">
        <v>983.98</v>
      </c>
      <c r="F86">
        <v>3355364</v>
      </c>
      <c r="G86">
        <v>43228724</v>
      </c>
    </row>
    <row r="87" spans="1:7">
      <c r="A87">
        <v>150</v>
      </c>
      <c r="B87">
        <v>6617727460</v>
      </c>
      <c r="C87">
        <v>26.47</v>
      </c>
      <c r="D87">
        <v>0</v>
      </c>
      <c r="E87">
        <v>983.98</v>
      </c>
      <c r="F87">
        <v>3403354</v>
      </c>
      <c r="G87">
        <v>43956079</v>
      </c>
    </row>
    <row r="88" spans="1:7">
      <c r="A88">
        <v>152</v>
      </c>
      <c r="B88">
        <v>6371088800</v>
      </c>
      <c r="C88">
        <v>25.48</v>
      </c>
      <c r="D88">
        <v>0</v>
      </c>
      <c r="E88">
        <v>983.98</v>
      </c>
      <c r="F88">
        <v>3451307</v>
      </c>
      <c r="G88">
        <v>44683171</v>
      </c>
    </row>
    <row r="89" spans="1:7">
      <c r="A89">
        <v>154</v>
      </c>
      <c r="B89">
        <v>6513936560</v>
      </c>
      <c r="C89">
        <v>26.06</v>
      </c>
      <c r="D89">
        <v>0</v>
      </c>
      <c r="E89">
        <v>983.98</v>
      </c>
      <c r="F89">
        <v>3499298</v>
      </c>
      <c r="G89">
        <v>45410005</v>
      </c>
    </row>
    <row r="90" spans="1:7">
      <c r="A90">
        <v>156</v>
      </c>
      <c r="B90">
        <v>6550238780</v>
      </c>
      <c r="C90">
        <v>26.2</v>
      </c>
      <c r="D90">
        <v>0</v>
      </c>
      <c r="E90">
        <v>983.98</v>
      </c>
      <c r="F90">
        <v>3547188</v>
      </c>
      <c r="G90">
        <v>46137306</v>
      </c>
    </row>
    <row r="91" spans="1:7">
      <c r="A91">
        <v>158</v>
      </c>
      <c r="B91">
        <v>6450383080</v>
      </c>
      <c r="C91">
        <v>25.8</v>
      </c>
      <c r="D91">
        <v>0</v>
      </c>
      <c r="E91">
        <v>983.98</v>
      </c>
      <c r="F91">
        <v>3595064</v>
      </c>
      <c r="G91">
        <v>46863220</v>
      </c>
    </row>
    <row r="92" spans="1:7">
      <c r="A92">
        <v>160</v>
      </c>
      <c r="B92">
        <v>6478421380</v>
      </c>
      <c r="C92">
        <v>25.91</v>
      </c>
      <c r="D92">
        <v>0</v>
      </c>
      <c r="E92">
        <v>983.98</v>
      </c>
      <c r="F92">
        <v>3643119</v>
      </c>
      <c r="G92">
        <v>47590053</v>
      </c>
    </row>
    <row r="93" spans="1:7">
      <c r="A93">
        <v>162</v>
      </c>
      <c r="B93">
        <v>6612316560</v>
      </c>
      <c r="C93">
        <v>26.45</v>
      </c>
      <c r="D93">
        <v>0</v>
      </c>
      <c r="E93">
        <v>983.98</v>
      </c>
      <c r="F93">
        <v>3691033</v>
      </c>
      <c r="G93">
        <v>48317103</v>
      </c>
    </row>
    <row r="94" spans="1:7">
      <c r="A94">
        <v>164</v>
      </c>
      <c r="B94">
        <v>6278611600</v>
      </c>
      <c r="C94">
        <v>25.11</v>
      </c>
      <c r="D94">
        <v>0</v>
      </c>
      <c r="E94">
        <v>983.98</v>
      </c>
      <c r="F94">
        <v>3739176</v>
      </c>
      <c r="G94">
        <v>49044292</v>
      </c>
    </row>
    <row r="95" spans="1:7">
      <c r="A95">
        <v>166</v>
      </c>
      <c r="B95">
        <v>6303895260</v>
      </c>
      <c r="C95">
        <v>25.22</v>
      </c>
      <c r="D95">
        <v>0</v>
      </c>
      <c r="E95">
        <v>983.98</v>
      </c>
      <c r="F95">
        <v>3787311</v>
      </c>
      <c r="G95">
        <v>49771284</v>
      </c>
    </row>
    <row r="96" spans="1:7">
      <c r="A96">
        <v>168</v>
      </c>
      <c r="B96">
        <v>6597559560</v>
      </c>
      <c r="C96">
        <v>26.39</v>
      </c>
      <c r="D96">
        <v>0</v>
      </c>
      <c r="E96">
        <v>983.98</v>
      </c>
      <c r="F96">
        <v>3835337</v>
      </c>
      <c r="G96">
        <v>50498115</v>
      </c>
    </row>
    <row r="97" spans="1:7">
      <c r="A97">
        <v>170</v>
      </c>
      <c r="B97">
        <v>6618416120</v>
      </c>
      <c r="C97">
        <v>26.47</v>
      </c>
      <c r="D97">
        <v>0</v>
      </c>
      <c r="E97">
        <v>983.98</v>
      </c>
      <c r="F97">
        <v>3883294</v>
      </c>
      <c r="G97">
        <v>51225078</v>
      </c>
    </row>
    <row r="98" spans="1:7">
      <c r="A98">
        <v>172</v>
      </c>
      <c r="B98">
        <v>6583097700</v>
      </c>
      <c r="C98">
        <v>26.33</v>
      </c>
      <c r="D98">
        <v>0</v>
      </c>
      <c r="E98">
        <v>983.98</v>
      </c>
      <c r="F98">
        <v>3931371</v>
      </c>
      <c r="G98">
        <v>51951944</v>
      </c>
    </row>
    <row r="99" spans="1:7">
      <c r="A99">
        <v>174</v>
      </c>
      <c r="B99">
        <v>6460909740</v>
      </c>
      <c r="C99">
        <v>25.84</v>
      </c>
      <c r="D99">
        <v>0</v>
      </c>
      <c r="E99">
        <v>983.98</v>
      </c>
      <c r="F99">
        <v>3979549</v>
      </c>
      <c r="G99">
        <v>52678656</v>
      </c>
    </row>
    <row r="100" spans="1:7">
      <c r="A100">
        <v>176</v>
      </c>
      <c r="B100">
        <v>6530759540</v>
      </c>
      <c r="C100">
        <v>26.12</v>
      </c>
      <c r="D100">
        <v>0</v>
      </c>
      <c r="E100">
        <v>983.98</v>
      </c>
      <c r="F100">
        <v>4027597</v>
      </c>
      <c r="G100">
        <v>53405102</v>
      </c>
    </row>
    <row r="101" spans="1:7">
      <c r="A101">
        <v>178</v>
      </c>
      <c r="B101">
        <v>6535973680</v>
      </c>
      <c r="C101">
        <v>26.14</v>
      </c>
      <c r="D101">
        <v>0</v>
      </c>
      <c r="E101">
        <v>983.98</v>
      </c>
      <c r="F101">
        <v>4075695</v>
      </c>
      <c r="G101">
        <v>54131328</v>
      </c>
    </row>
    <row r="102" spans="1:7">
      <c r="A102">
        <v>180</v>
      </c>
      <c r="B102">
        <v>6531054680</v>
      </c>
      <c r="C102">
        <v>26.12</v>
      </c>
      <c r="D102">
        <v>0</v>
      </c>
      <c r="E102">
        <v>983.98</v>
      </c>
      <c r="F102">
        <v>4123634</v>
      </c>
      <c r="G102">
        <v>54857466</v>
      </c>
    </row>
    <row r="103" spans="1:7">
      <c r="A103">
        <v>182</v>
      </c>
      <c r="B103">
        <v>6383779820</v>
      </c>
      <c r="C103">
        <v>25.53</v>
      </c>
      <c r="D103">
        <v>0</v>
      </c>
      <c r="E103">
        <v>983.98</v>
      </c>
      <c r="F103">
        <v>4171674</v>
      </c>
      <c r="G103">
        <v>55584112</v>
      </c>
    </row>
    <row r="104" spans="1:7">
      <c r="A104">
        <v>184</v>
      </c>
      <c r="B104">
        <v>6461598400</v>
      </c>
      <c r="C104">
        <v>25.85</v>
      </c>
      <c r="D104">
        <v>0</v>
      </c>
      <c r="E104">
        <v>983.98</v>
      </c>
      <c r="F104">
        <v>4219802</v>
      </c>
      <c r="G104">
        <v>56310819</v>
      </c>
    </row>
    <row r="105" spans="1:7">
      <c r="A105">
        <v>186</v>
      </c>
      <c r="B105">
        <v>6653144260</v>
      </c>
      <c r="C105">
        <v>26.61</v>
      </c>
      <c r="D105">
        <v>0</v>
      </c>
      <c r="E105">
        <v>983.98</v>
      </c>
      <c r="F105">
        <v>4267981</v>
      </c>
      <c r="G105">
        <v>57037994</v>
      </c>
    </row>
    <row r="106" spans="1:7">
      <c r="A106">
        <v>188</v>
      </c>
      <c r="B106">
        <v>6545713300</v>
      </c>
      <c r="C106">
        <v>26.18</v>
      </c>
      <c r="D106">
        <v>0</v>
      </c>
      <c r="E106">
        <v>983.98</v>
      </c>
      <c r="F106">
        <v>4315729</v>
      </c>
      <c r="G106">
        <v>57763843</v>
      </c>
    </row>
    <row r="107" spans="1:7">
      <c r="A107">
        <v>190</v>
      </c>
      <c r="B107">
        <v>6286285240</v>
      </c>
      <c r="C107">
        <v>25.14</v>
      </c>
      <c r="D107">
        <v>0</v>
      </c>
      <c r="E107">
        <v>983.98</v>
      </c>
      <c r="F107">
        <v>4363710</v>
      </c>
      <c r="G107">
        <v>58490831</v>
      </c>
    </row>
    <row r="108" spans="1:7">
      <c r="A108">
        <v>192</v>
      </c>
      <c r="B108">
        <v>6574735400</v>
      </c>
      <c r="C108">
        <v>26.3</v>
      </c>
      <c r="D108">
        <v>0</v>
      </c>
      <c r="E108">
        <v>983.98</v>
      </c>
      <c r="F108">
        <v>4411672</v>
      </c>
      <c r="G108">
        <v>59218044</v>
      </c>
    </row>
    <row r="109" spans="1:7">
      <c r="A109">
        <v>194</v>
      </c>
      <c r="B109">
        <v>6635534240</v>
      </c>
      <c r="C109">
        <v>26.54</v>
      </c>
      <c r="D109">
        <v>0</v>
      </c>
      <c r="E109">
        <v>983.98</v>
      </c>
      <c r="F109">
        <v>4459609</v>
      </c>
      <c r="G109">
        <v>59945188</v>
      </c>
    </row>
    <row r="110" spans="1:7">
      <c r="A110">
        <v>196</v>
      </c>
      <c r="B110">
        <v>6476355400</v>
      </c>
      <c r="C110">
        <v>25.91</v>
      </c>
      <c r="D110">
        <v>0</v>
      </c>
      <c r="E110">
        <v>983.98</v>
      </c>
      <c r="F110">
        <v>4507707</v>
      </c>
      <c r="G110">
        <v>60672139</v>
      </c>
    </row>
    <row r="111" spans="1:7">
      <c r="A111">
        <v>198</v>
      </c>
      <c r="B111">
        <v>6510001360</v>
      </c>
      <c r="C111">
        <v>26.04</v>
      </c>
      <c r="D111">
        <v>0</v>
      </c>
      <c r="E111">
        <v>983.98</v>
      </c>
      <c r="F111">
        <v>4555770</v>
      </c>
      <c r="G111">
        <v>61399425</v>
      </c>
    </row>
    <row r="112" spans="1:7">
      <c r="A112">
        <v>200</v>
      </c>
      <c r="B112">
        <v>6299763300</v>
      </c>
      <c r="C112">
        <v>25.2</v>
      </c>
      <c r="D112">
        <v>0</v>
      </c>
      <c r="E112">
        <v>983.98</v>
      </c>
      <c r="F112">
        <v>4603738</v>
      </c>
      <c r="G112">
        <v>62126658</v>
      </c>
    </row>
    <row r="113" spans="1:7">
      <c r="A113">
        <v>202</v>
      </c>
      <c r="B113">
        <v>6209843980</v>
      </c>
      <c r="C113">
        <v>24.84</v>
      </c>
      <c r="D113">
        <v>0</v>
      </c>
      <c r="E113">
        <v>983.98</v>
      </c>
      <c r="F113">
        <v>4651822</v>
      </c>
      <c r="G113">
        <v>62853964</v>
      </c>
    </row>
    <row r="114" spans="1:7">
      <c r="A114">
        <v>204</v>
      </c>
      <c r="B114">
        <v>6477929480</v>
      </c>
      <c r="C114">
        <v>25.91</v>
      </c>
      <c r="D114">
        <v>0</v>
      </c>
      <c r="E114">
        <v>983.98</v>
      </c>
      <c r="F114">
        <v>4699853</v>
      </c>
      <c r="G114">
        <v>63581125</v>
      </c>
    </row>
    <row r="115" spans="1:7">
      <c r="A115">
        <v>206</v>
      </c>
      <c r="B115">
        <v>6573358080</v>
      </c>
      <c r="C115">
        <v>26.29</v>
      </c>
      <c r="D115">
        <v>0</v>
      </c>
      <c r="E115">
        <v>983.98</v>
      </c>
      <c r="F115">
        <v>4747771</v>
      </c>
      <c r="G115">
        <v>64308213</v>
      </c>
    </row>
    <row r="116" spans="1:7">
      <c r="A116">
        <v>208</v>
      </c>
      <c r="B116">
        <v>6686691840</v>
      </c>
      <c r="C116">
        <v>26.75</v>
      </c>
      <c r="D116">
        <v>0</v>
      </c>
      <c r="E116">
        <v>983.98</v>
      </c>
      <c r="F116">
        <v>4795872</v>
      </c>
      <c r="G116">
        <v>65034902</v>
      </c>
    </row>
    <row r="117" spans="1:7">
      <c r="A117">
        <v>210</v>
      </c>
      <c r="B117">
        <v>6453728000</v>
      </c>
      <c r="C117">
        <v>25.81</v>
      </c>
      <c r="D117">
        <v>0</v>
      </c>
      <c r="E117">
        <v>983.98</v>
      </c>
      <c r="F117">
        <v>4843856</v>
      </c>
      <c r="G117">
        <v>65762239</v>
      </c>
    </row>
    <row r="118" spans="1:7">
      <c r="A118">
        <v>212</v>
      </c>
      <c r="B118">
        <v>6642814360</v>
      </c>
      <c r="C118">
        <v>26.57</v>
      </c>
      <c r="D118">
        <v>0</v>
      </c>
      <c r="E118">
        <v>983.98</v>
      </c>
      <c r="F118">
        <v>4891892</v>
      </c>
      <c r="G118">
        <v>66489384</v>
      </c>
    </row>
    <row r="119" spans="1:7">
      <c r="A119">
        <v>214</v>
      </c>
      <c r="B119">
        <v>6560568680</v>
      </c>
      <c r="C119">
        <v>26.24</v>
      </c>
      <c r="D119">
        <v>0</v>
      </c>
      <c r="E119">
        <v>983.98</v>
      </c>
      <c r="F119">
        <v>4940051</v>
      </c>
      <c r="G119">
        <v>67216313</v>
      </c>
    </row>
    <row r="120" spans="1:7">
      <c r="A120">
        <v>216</v>
      </c>
      <c r="B120">
        <v>6557912420</v>
      </c>
      <c r="C120">
        <v>26.23</v>
      </c>
      <c r="D120">
        <v>0</v>
      </c>
      <c r="E120">
        <v>983.98</v>
      </c>
      <c r="F120">
        <v>4988147</v>
      </c>
      <c r="G120">
        <v>67943465</v>
      </c>
    </row>
    <row r="121" spans="1:7">
      <c r="A121">
        <v>218</v>
      </c>
      <c r="B121">
        <v>6530857920</v>
      </c>
      <c r="C121">
        <v>26.12</v>
      </c>
      <c r="D121">
        <v>0</v>
      </c>
      <c r="E121">
        <v>983.98</v>
      </c>
      <c r="F121">
        <v>5036257</v>
      </c>
      <c r="G121">
        <v>68669178</v>
      </c>
    </row>
    <row r="122" spans="1:7">
      <c r="A122">
        <v>220</v>
      </c>
      <c r="B122">
        <v>6505574260</v>
      </c>
      <c r="C122">
        <v>26.02</v>
      </c>
      <c r="D122">
        <v>0</v>
      </c>
      <c r="E122">
        <v>983.98</v>
      </c>
      <c r="F122">
        <v>5084370</v>
      </c>
      <c r="G122">
        <v>69396274</v>
      </c>
    </row>
    <row r="123" spans="1:7">
      <c r="A123">
        <v>222</v>
      </c>
      <c r="B123">
        <v>6527414620</v>
      </c>
      <c r="C123">
        <v>26.11</v>
      </c>
      <c r="D123">
        <v>0</v>
      </c>
      <c r="E123">
        <v>983.98</v>
      </c>
      <c r="F123">
        <v>5132389</v>
      </c>
      <c r="G123">
        <v>70123419</v>
      </c>
    </row>
    <row r="124" spans="1:7">
      <c r="A124">
        <v>224</v>
      </c>
      <c r="B124">
        <v>6443496480</v>
      </c>
      <c r="C124">
        <v>25.77</v>
      </c>
      <c r="D124">
        <v>0</v>
      </c>
      <c r="E124">
        <v>983.98</v>
      </c>
      <c r="F124">
        <v>5180646</v>
      </c>
      <c r="G124">
        <v>70850407</v>
      </c>
    </row>
    <row r="125" spans="1:7">
      <c r="A125">
        <v>226</v>
      </c>
      <c r="B125">
        <v>6552009620</v>
      </c>
      <c r="C125">
        <v>26.21</v>
      </c>
      <c r="D125">
        <v>0</v>
      </c>
      <c r="E125">
        <v>983.98</v>
      </c>
      <c r="F125">
        <v>5228811</v>
      </c>
      <c r="G125">
        <v>71577287</v>
      </c>
    </row>
    <row r="126" spans="1:7">
      <c r="A126">
        <v>228</v>
      </c>
      <c r="B126">
        <v>6256771240</v>
      </c>
      <c r="C126">
        <v>25.03</v>
      </c>
      <c r="D126">
        <v>0</v>
      </c>
      <c r="E126">
        <v>983.98</v>
      </c>
      <c r="F126">
        <v>5276879</v>
      </c>
      <c r="G126">
        <v>72304473</v>
      </c>
    </row>
    <row r="127" spans="1:7">
      <c r="A127">
        <v>230</v>
      </c>
      <c r="B127">
        <v>6346690560</v>
      </c>
      <c r="C127">
        <v>25.39</v>
      </c>
      <c r="D127">
        <v>0</v>
      </c>
      <c r="E127">
        <v>983.98</v>
      </c>
      <c r="F127">
        <v>5324849</v>
      </c>
      <c r="G127">
        <v>73031657</v>
      </c>
    </row>
    <row r="128" spans="1:7">
      <c r="A128">
        <v>232</v>
      </c>
      <c r="B128">
        <v>6618612880</v>
      </c>
      <c r="C128">
        <v>26.47</v>
      </c>
      <c r="D128">
        <v>0</v>
      </c>
      <c r="E128">
        <v>983.98</v>
      </c>
      <c r="F128">
        <v>5372755</v>
      </c>
      <c r="G128">
        <v>73758912</v>
      </c>
    </row>
    <row r="129" spans="1:7">
      <c r="A129">
        <v>234</v>
      </c>
      <c r="B129">
        <v>6588508600</v>
      </c>
      <c r="C129">
        <v>26.35</v>
      </c>
      <c r="D129">
        <v>0</v>
      </c>
      <c r="E129">
        <v>983.98</v>
      </c>
      <c r="F129">
        <v>5420764</v>
      </c>
      <c r="G129">
        <v>74486104</v>
      </c>
    </row>
    <row r="130" spans="1:7">
      <c r="A130">
        <v>236</v>
      </c>
      <c r="B130">
        <v>6628057360</v>
      </c>
      <c r="C130">
        <v>26.51</v>
      </c>
      <c r="D130">
        <v>0</v>
      </c>
      <c r="E130">
        <v>983.98</v>
      </c>
      <c r="F130">
        <v>5468920</v>
      </c>
      <c r="G130">
        <v>75213197</v>
      </c>
    </row>
    <row r="131" spans="1:7">
      <c r="A131">
        <v>238</v>
      </c>
      <c r="B131">
        <v>6532923900</v>
      </c>
      <c r="C131">
        <v>26.13</v>
      </c>
      <c r="D131">
        <v>0</v>
      </c>
      <c r="E131">
        <v>983.98</v>
      </c>
      <c r="F131">
        <v>5517148</v>
      </c>
      <c r="G131">
        <v>75939775</v>
      </c>
    </row>
    <row r="132" spans="1:7">
      <c r="A132">
        <v>240</v>
      </c>
      <c r="B132">
        <v>6432773060</v>
      </c>
      <c r="C132">
        <v>25.73</v>
      </c>
      <c r="D132">
        <v>0</v>
      </c>
      <c r="E132">
        <v>983.98</v>
      </c>
      <c r="F132">
        <v>5565408</v>
      </c>
      <c r="G132">
        <v>76666806</v>
      </c>
    </row>
    <row r="133" spans="1:7">
      <c r="A133">
        <v>242</v>
      </c>
      <c r="B133">
        <v>6414277620</v>
      </c>
      <c r="C133">
        <v>25.66</v>
      </c>
      <c r="D133">
        <v>0</v>
      </c>
      <c r="E133">
        <v>983.98</v>
      </c>
      <c r="F133">
        <v>5613548</v>
      </c>
      <c r="G133">
        <v>77393875</v>
      </c>
    </row>
    <row r="134" spans="1:7">
      <c r="A134">
        <v>244</v>
      </c>
      <c r="B134">
        <v>6505672640</v>
      </c>
      <c r="C134">
        <v>26.02</v>
      </c>
      <c r="D134">
        <v>0</v>
      </c>
      <c r="E134">
        <v>983.98</v>
      </c>
      <c r="F134">
        <v>5661723</v>
      </c>
      <c r="G134">
        <v>78120791</v>
      </c>
    </row>
    <row r="135" spans="1:7">
      <c r="A135">
        <v>246</v>
      </c>
      <c r="B135">
        <v>6474682940</v>
      </c>
      <c r="C135">
        <v>25.9</v>
      </c>
      <c r="D135">
        <v>0</v>
      </c>
      <c r="E135">
        <v>983.98</v>
      </c>
      <c r="F135">
        <v>5709873</v>
      </c>
      <c r="G135">
        <v>78847684</v>
      </c>
    </row>
    <row r="136" spans="1:7">
      <c r="A136">
        <v>248</v>
      </c>
      <c r="B136">
        <v>6341279660</v>
      </c>
      <c r="C136">
        <v>25.37</v>
      </c>
      <c r="D136">
        <v>0</v>
      </c>
      <c r="E136">
        <v>983.98</v>
      </c>
      <c r="F136">
        <v>5757933</v>
      </c>
      <c r="G136">
        <v>79572603</v>
      </c>
    </row>
    <row r="137" spans="1:7">
      <c r="A137">
        <v>250</v>
      </c>
      <c r="B137">
        <v>6686790220</v>
      </c>
      <c r="C137">
        <v>26.75</v>
      </c>
      <c r="D137">
        <v>0</v>
      </c>
      <c r="E137">
        <v>983.98</v>
      </c>
      <c r="F137">
        <v>5806116</v>
      </c>
      <c r="G137">
        <v>80298718</v>
      </c>
    </row>
    <row r="138" spans="1:7">
      <c r="A138">
        <v>252</v>
      </c>
      <c r="B138">
        <v>6516887960</v>
      </c>
      <c r="C138">
        <v>26.07</v>
      </c>
      <c r="D138">
        <v>0</v>
      </c>
      <c r="E138">
        <v>983.98</v>
      </c>
      <c r="F138">
        <v>5854147</v>
      </c>
      <c r="G138">
        <v>81024973</v>
      </c>
    </row>
    <row r="139" spans="1:7">
      <c r="A139">
        <v>254</v>
      </c>
      <c r="B139">
        <v>6586442620</v>
      </c>
      <c r="C139">
        <v>26.35</v>
      </c>
      <c r="D139">
        <v>0</v>
      </c>
      <c r="E139">
        <v>983.98</v>
      </c>
      <c r="F139">
        <v>5902246</v>
      </c>
      <c r="G139">
        <v>81751370</v>
      </c>
    </row>
    <row r="140" spans="1:7">
      <c r="A140">
        <v>256</v>
      </c>
      <c r="B140">
        <v>6537154240</v>
      </c>
      <c r="C140">
        <v>26.15</v>
      </c>
      <c r="D140">
        <v>0</v>
      </c>
      <c r="E140">
        <v>983.98</v>
      </c>
      <c r="F140">
        <v>5950388</v>
      </c>
      <c r="G140">
        <v>82478163</v>
      </c>
    </row>
    <row r="141" spans="1:7">
      <c r="A141">
        <v>258</v>
      </c>
      <c r="B141">
        <v>6401980120</v>
      </c>
      <c r="C141">
        <v>25.61</v>
      </c>
      <c r="D141">
        <v>0</v>
      </c>
      <c r="E141">
        <v>983.98</v>
      </c>
      <c r="F141">
        <v>5998602</v>
      </c>
      <c r="G141">
        <v>83204590</v>
      </c>
    </row>
    <row r="142" spans="1:7">
      <c r="A142">
        <v>260</v>
      </c>
      <c r="B142">
        <v>6324259920</v>
      </c>
      <c r="C142">
        <v>25.3</v>
      </c>
      <c r="D142">
        <v>0</v>
      </c>
      <c r="E142">
        <v>983.98</v>
      </c>
      <c r="F142">
        <v>6046641</v>
      </c>
      <c r="G142">
        <v>83931291</v>
      </c>
    </row>
    <row r="143" spans="1:7">
      <c r="A143">
        <v>262</v>
      </c>
      <c r="B143">
        <v>6574046740</v>
      </c>
      <c r="C143">
        <v>26.3</v>
      </c>
      <c r="D143">
        <v>0</v>
      </c>
      <c r="E143">
        <v>983.98</v>
      </c>
      <c r="F143">
        <v>6094864</v>
      </c>
      <c r="G143">
        <v>84658238</v>
      </c>
    </row>
    <row r="144" spans="1:7">
      <c r="A144">
        <v>264</v>
      </c>
      <c r="B144">
        <v>6606610520</v>
      </c>
      <c r="C144">
        <v>26.43</v>
      </c>
      <c r="D144">
        <v>0</v>
      </c>
      <c r="E144">
        <v>983.98</v>
      </c>
      <c r="F144">
        <v>6143092</v>
      </c>
      <c r="G144">
        <v>85385196</v>
      </c>
    </row>
    <row r="145" spans="1:7">
      <c r="A145">
        <v>266</v>
      </c>
      <c r="B145">
        <v>6540204020</v>
      </c>
      <c r="C145">
        <v>26.16</v>
      </c>
      <c r="D145">
        <v>0</v>
      </c>
      <c r="E145">
        <v>983.98</v>
      </c>
      <c r="F145">
        <v>6191117</v>
      </c>
      <c r="G145">
        <v>86112149</v>
      </c>
    </row>
    <row r="146" spans="1:7">
      <c r="A146">
        <v>268</v>
      </c>
      <c r="B146">
        <v>6475273220</v>
      </c>
      <c r="C146">
        <v>25.9</v>
      </c>
      <c r="D146">
        <v>0</v>
      </c>
      <c r="E146">
        <v>983.98</v>
      </c>
      <c r="F146">
        <v>6239103</v>
      </c>
      <c r="G146">
        <v>86839050</v>
      </c>
    </row>
    <row r="147" spans="1:7">
      <c r="A147">
        <v>270</v>
      </c>
      <c r="B147">
        <v>6523676180</v>
      </c>
      <c r="C147">
        <v>26.09</v>
      </c>
      <c r="D147">
        <v>0</v>
      </c>
      <c r="E147">
        <v>983.98</v>
      </c>
      <c r="F147">
        <v>6287241</v>
      </c>
      <c r="G147">
        <v>87565403</v>
      </c>
    </row>
    <row r="148" spans="1:7">
      <c r="A148">
        <v>272</v>
      </c>
      <c r="B148">
        <v>6469272040</v>
      </c>
      <c r="C148">
        <v>25.88</v>
      </c>
      <c r="D148">
        <v>0</v>
      </c>
      <c r="E148">
        <v>983.98</v>
      </c>
      <c r="F148">
        <v>6335348</v>
      </c>
      <c r="G148">
        <v>88291764</v>
      </c>
    </row>
    <row r="149" spans="1:7">
      <c r="A149">
        <v>274</v>
      </c>
      <c r="B149">
        <v>6506951580</v>
      </c>
      <c r="C149">
        <v>26.03</v>
      </c>
      <c r="D149">
        <v>0</v>
      </c>
      <c r="E149">
        <v>983.98</v>
      </c>
      <c r="F149">
        <v>6383474</v>
      </c>
      <c r="G149">
        <v>89018774</v>
      </c>
    </row>
    <row r="150" spans="1:7">
      <c r="A150">
        <v>276</v>
      </c>
      <c r="B150">
        <v>6538138040</v>
      </c>
      <c r="C150">
        <v>26.15</v>
      </c>
      <c r="D150">
        <v>0</v>
      </c>
      <c r="E150">
        <v>983.98</v>
      </c>
      <c r="F150">
        <v>6431386</v>
      </c>
      <c r="G150">
        <v>89745514</v>
      </c>
    </row>
    <row r="151" spans="1:7">
      <c r="A151">
        <v>278</v>
      </c>
      <c r="B151">
        <v>6464844940</v>
      </c>
      <c r="C151">
        <v>25.86</v>
      </c>
      <c r="D151">
        <v>0</v>
      </c>
      <c r="E151">
        <v>983.98</v>
      </c>
      <c r="F151">
        <v>6479386</v>
      </c>
      <c r="G151">
        <v>90470703</v>
      </c>
    </row>
    <row r="152" spans="1:7">
      <c r="A152">
        <v>280</v>
      </c>
      <c r="B152">
        <v>6131533500</v>
      </c>
      <c r="C152">
        <v>24.53</v>
      </c>
      <c r="D152">
        <v>0</v>
      </c>
      <c r="E152">
        <v>983.98</v>
      </c>
      <c r="F152">
        <v>6527474</v>
      </c>
      <c r="G152">
        <v>91197317</v>
      </c>
    </row>
    <row r="153" spans="1:7">
      <c r="A153">
        <v>282</v>
      </c>
      <c r="B153">
        <v>6604347780</v>
      </c>
      <c r="C153">
        <v>26.42</v>
      </c>
      <c r="D153">
        <v>0</v>
      </c>
      <c r="E153">
        <v>983.98</v>
      </c>
      <c r="F153">
        <v>6575544</v>
      </c>
      <c r="G153">
        <v>91923349</v>
      </c>
    </row>
    <row r="154" spans="1:7">
      <c r="A154">
        <v>284</v>
      </c>
      <c r="B154">
        <v>6560863820</v>
      </c>
      <c r="C154">
        <v>26.24</v>
      </c>
      <c r="D154">
        <v>0</v>
      </c>
      <c r="E154">
        <v>983.98</v>
      </c>
      <c r="F154">
        <v>6623466</v>
      </c>
      <c r="G154">
        <v>92649467</v>
      </c>
    </row>
    <row r="155" spans="1:7">
      <c r="A155">
        <v>286</v>
      </c>
      <c r="B155">
        <v>6550238780</v>
      </c>
      <c r="C155">
        <v>26.2</v>
      </c>
      <c r="D155">
        <v>0</v>
      </c>
      <c r="E155">
        <v>983.98</v>
      </c>
      <c r="F155">
        <v>6671516</v>
      </c>
      <c r="G155">
        <v>93375976</v>
      </c>
    </row>
    <row r="156" spans="1:7">
      <c r="A156">
        <v>288</v>
      </c>
      <c r="B156">
        <v>6620777240</v>
      </c>
      <c r="C156">
        <v>26.48</v>
      </c>
      <c r="D156">
        <v>0</v>
      </c>
      <c r="E156">
        <v>983.98</v>
      </c>
      <c r="F156">
        <v>6719404</v>
      </c>
      <c r="G156">
        <v>94102590</v>
      </c>
    </row>
    <row r="157" spans="1:7">
      <c r="A157">
        <v>290</v>
      </c>
      <c r="B157">
        <v>6470944500</v>
      </c>
      <c r="C157">
        <v>25.88</v>
      </c>
      <c r="D157">
        <v>0</v>
      </c>
      <c r="E157">
        <v>983.98</v>
      </c>
      <c r="F157">
        <v>6767468</v>
      </c>
      <c r="G157">
        <v>94829886</v>
      </c>
    </row>
    <row r="158" spans="1:7">
      <c r="A158">
        <v>292</v>
      </c>
      <c r="B158">
        <v>6512067340</v>
      </c>
      <c r="C158">
        <v>26.05</v>
      </c>
      <c r="D158">
        <v>0</v>
      </c>
      <c r="E158">
        <v>983.98</v>
      </c>
      <c r="F158">
        <v>6815788</v>
      </c>
      <c r="G158">
        <v>95556733</v>
      </c>
    </row>
    <row r="159" spans="1:7">
      <c r="A159">
        <v>294</v>
      </c>
      <c r="B159">
        <v>6567061760</v>
      </c>
      <c r="C159">
        <v>26.27</v>
      </c>
      <c r="D159">
        <v>0</v>
      </c>
      <c r="E159">
        <v>983.98</v>
      </c>
      <c r="F159">
        <v>6863741</v>
      </c>
      <c r="G159">
        <v>96283941</v>
      </c>
    </row>
    <row r="160" spans="1:7">
      <c r="A160">
        <v>296</v>
      </c>
      <c r="B160">
        <v>6499769840</v>
      </c>
      <c r="C160">
        <v>26</v>
      </c>
      <c r="D160">
        <v>0</v>
      </c>
      <c r="E160">
        <v>983.98</v>
      </c>
      <c r="F160">
        <v>6911874</v>
      </c>
      <c r="G160">
        <v>97010347</v>
      </c>
    </row>
    <row r="161" spans="1:156">
      <c r="A161">
        <v>298</v>
      </c>
      <c r="B161">
        <v>6475568360</v>
      </c>
      <c r="C161">
        <v>25.9</v>
      </c>
      <c r="D161">
        <v>0</v>
      </c>
      <c r="E161">
        <v>983.98</v>
      </c>
      <c r="F161">
        <v>6960041</v>
      </c>
      <c r="G161">
        <v>97736681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8956136</v>
      </c>
      <c r="D164">
        <v>0</v>
      </c>
      <c r="E164">
        <v>33.496699999999997</v>
      </c>
      <c r="F164" s="4">
        <v>302001000</v>
      </c>
      <c r="G164">
        <v>23496.1</v>
      </c>
      <c r="H164">
        <v>98530332</v>
      </c>
      <c r="I164">
        <v>0</v>
      </c>
      <c r="J164">
        <v>0</v>
      </c>
      <c r="K164" t="s">
        <v>118</v>
      </c>
      <c r="L164">
        <v>0</v>
      </c>
      <c r="M164">
        <v>8956136</v>
      </c>
      <c r="N164">
        <v>881104659680</v>
      </c>
      <c r="O164">
        <v>33.497500000000002</v>
      </c>
      <c r="P164">
        <v>300008087</v>
      </c>
      <c r="Q164">
        <v>23495.5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39</v>
      </c>
      <c r="AA164">
        <v>7221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7018793</v>
      </c>
      <c r="AQ164">
        <v>463240232</v>
      </c>
      <c r="AR164">
        <v>0</v>
      </c>
      <c r="AS164">
        <v>0</v>
      </c>
      <c r="AT164">
        <v>98530334</v>
      </c>
      <c r="AU164">
        <v>887607661764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41</v>
      </c>
      <c r="BE164">
        <v>7931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16</v>
      </c>
      <c r="BU164">
        <v>1408</v>
      </c>
      <c r="BV164">
        <v>0</v>
      </c>
      <c r="BW164">
        <v>0</v>
      </c>
      <c r="BX164">
        <v>16</v>
      </c>
      <c r="BY164">
        <v>1408</v>
      </c>
      <c r="BZ164">
        <v>0</v>
      </c>
      <c r="CA164">
        <v>0</v>
      </c>
      <c r="CB164" t="s">
        <v>102</v>
      </c>
      <c r="CC164">
        <v>7018760</v>
      </c>
      <c r="CD164">
        <v>0</v>
      </c>
      <c r="CE164">
        <v>98530332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91015</v>
      </c>
      <c r="CL164">
        <v>4211069</v>
      </c>
      <c r="CM164">
        <v>0</v>
      </c>
      <c r="CN164">
        <v>0</v>
      </c>
      <c r="CO164">
        <v>873</v>
      </c>
      <c r="CP164">
        <v>314573</v>
      </c>
      <c r="CQ164">
        <v>0</v>
      </c>
      <c r="CR164">
        <v>0</v>
      </c>
      <c r="CS164" t="s">
        <v>209</v>
      </c>
      <c r="CT164" t="s">
        <v>47</v>
      </c>
      <c r="CU164">
        <v>98622663</v>
      </c>
      <c r="CV164">
        <v>887613271535</v>
      </c>
      <c r="CW164">
        <v>0</v>
      </c>
      <c r="CX164">
        <v>0</v>
      </c>
      <c r="CY164">
        <v>7020880</v>
      </c>
      <c r="CZ164">
        <v>463710831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14588985</v>
      </c>
      <c r="DP164">
        <v>881863323122</v>
      </c>
      <c r="DQ164">
        <v>0</v>
      </c>
      <c r="DR164">
        <v>0</v>
      </c>
      <c r="DS164">
        <v>7019892</v>
      </c>
      <c r="DT164">
        <v>463375468</v>
      </c>
      <c r="DU164">
        <v>0</v>
      </c>
      <c r="DV164">
        <v>0</v>
      </c>
      <c r="DW164" t="s">
        <v>211</v>
      </c>
      <c r="DX164" t="s">
        <v>47</v>
      </c>
      <c r="DY164">
        <v>9514</v>
      </c>
      <c r="DZ164">
        <v>951400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14588574</v>
      </c>
      <c r="EI164">
        <v>7</v>
      </c>
      <c r="EJ164">
        <v>7019699</v>
      </c>
      <c r="EK164">
        <v>46</v>
      </c>
      <c r="EL164">
        <v>33</v>
      </c>
      <c r="EM164" t="s">
        <v>108</v>
      </c>
      <c r="EN164" t="s">
        <v>212</v>
      </c>
      <c r="EO164">
        <v>98622663</v>
      </c>
      <c r="EP164">
        <v>7020880</v>
      </c>
      <c r="EQ164">
        <v>98632685</v>
      </c>
      <c r="ER164">
        <v>7020880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18</v>
      </c>
      <c r="E166">
        <v>81</v>
      </c>
      <c r="F166">
        <v>0</v>
      </c>
      <c r="G166">
        <v>0</v>
      </c>
      <c r="H166">
        <v>4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71</v>
      </c>
      <c r="E167">
        <v>27</v>
      </c>
      <c r="F167">
        <v>0</v>
      </c>
      <c r="G167">
        <v>3</v>
      </c>
      <c r="H167">
        <v>18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0</v>
      </c>
      <c r="E168">
        <v>99</v>
      </c>
      <c r="F168">
        <v>0</v>
      </c>
      <c r="G168">
        <v>0</v>
      </c>
      <c r="H168">
        <v>0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0</v>
      </c>
      <c r="E169">
        <v>99</v>
      </c>
      <c r="F169">
        <v>0</v>
      </c>
      <c r="G169">
        <v>0</v>
      </c>
      <c r="H169">
        <v>0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0</v>
      </c>
      <c r="E170">
        <v>99</v>
      </c>
      <c r="F170">
        <v>0</v>
      </c>
      <c r="G170">
        <v>0</v>
      </c>
      <c r="H170">
        <v>0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1</v>
      </c>
      <c r="E172">
        <v>98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4</v>
      </c>
      <c r="C179">
        <v>0</v>
      </c>
      <c r="D179">
        <v>87</v>
      </c>
      <c r="E179">
        <v>8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0</v>
      </c>
      <c r="C180">
        <v>0</v>
      </c>
      <c r="D180">
        <v>0</v>
      </c>
      <c r="E180">
        <v>99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1</v>
      </c>
      <c r="E205">
        <v>98</v>
      </c>
      <c r="F205">
        <v>0</v>
      </c>
      <c r="G205">
        <v>0</v>
      </c>
      <c r="H205">
        <v>1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  <pageSetup paperSize="9" orientation="portrait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Z228"/>
  <sheetViews>
    <sheetView topLeftCell="A34" workbookViewId="0"/>
  </sheetViews>
  <sheetFormatPr defaultRowHeight="12.5"/>
  <cols>
    <col min="2" max="2" width="13.54296875" customWidth="1"/>
    <col min="3" max="3" width="11.90625" customWidth="1"/>
    <col min="9" max="9" width="13.453125" customWidth="1"/>
  </cols>
  <sheetData>
    <row r="1" spans="1:7">
      <c r="A1" t="s">
        <v>246</v>
      </c>
      <c r="B1">
        <v>34</v>
      </c>
      <c r="C1" t="s">
        <v>196</v>
      </c>
      <c r="D1" t="s">
        <v>60</v>
      </c>
      <c r="E1" t="s">
        <v>247</v>
      </c>
    </row>
    <row r="2" spans="1:7">
      <c r="A2" t="s">
        <v>61</v>
      </c>
      <c r="B2" t="s">
        <v>248</v>
      </c>
      <c r="C2">
        <v>1</v>
      </c>
    </row>
    <row r="3" spans="1:7">
      <c r="A3" t="s">
        <v>249</v>
      </c>
    </row>
    <row r="4" spans="1:7">
      <c r="A4" t="s">
        <v>253</v>
      </c>
    </row>
    <row r="5" spans="1:7">
      <c r="A5" t="s">
        <v>62</v>
      </c>
      <c r="B5" t="s">
        <v>213</v>
      </c>
      <c r="C5" t="s">
        <v>63</v>
      </c>
      <c r="D5" t="s">
        <v>216</v>
      </c>
    </row>
    <row r="6" spans="1:7">
      <c r="A6" t="s">
        <v>215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66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661</v>
      </c>
      <c r="G13">
        <v>2758</v>
      </c>
    </row>
    <row r="14" spans="1:7">
      <c r="A14">
        <v>4</v>
      </c>
      <c r="B14">
        <v>141962340</v>
      </c>
      <c r="C14">
        <v>0.56999999999999995</v>
      </c>
      <c r="D14">
        <v>0</v>
      </c>
      <c r="E14">
        <v>17.010000000000002</v>
      </c>
      <c r="F14">
        <v>5561</v>
      </c>
      <c r="G14">
        <v>32123</v>
      </c>
    </row>
    <row r="15" spans="1:7">
      <c r="A15">
        <v>6</v>
      </c>
      <c r="B15">
        <v>155342020</v>
      </c>
      <c r="C15">
        <v>0.62</v>
      </c>
      <c r="D15">
        <v>0</v>
      </c>
      <c r="E15">
        <v>24.78</v>
      </c>
      <c r="F15">
        <v>12713</v>
      </c>
      <c r="G15">
        <v>76342</v>
      </c>
    </row>
    <row r="16" spans="1:7">
      <c r="A16">
        <v>8</v>
      </c>
      <c r="B16">
        <v>258641020</v>
      </c>
      <c r="C16">
        <v>1.03</v>
      </c>
      <c r="D16">
        <v>0</v>
      </c>
      <c r="E16">
        <v>36.14</v>
      </c>
      <c r="F16">
        <v>23568</v>
      </c>
      <c r="G16">
        <v>140924</v>
      </c>
    </row>
    <row r="17" spans="1:7">
      <c r="A17">
        <v>10</v>
      </c>
      <c r="B17">
        <v>381025740</v>
      </c>
      <c r="C17">
        <v>1.52</v>
      </c>
      <c r="D17">
        <v>0</v>
      </c>
      <c r="E17">
        <v>53.03</v>
      </c>
      <c r="F17">
        <v>40561</v>
      </c>
      <c r="G17">
        <v>237146</v>
      </c>
    </row>
    <row r="18" spans="1:7">
      <c r="A18">
        <v>12</v>
      </c>
      <c r="B18">
        <v>572768360</v>
      </c>
      <c r="C18">
        <v>2.29</v>
      </c>
      <c r="D18">
        <v>0</v>
      </c>
      <c r="E18">
        <v>77.319999999999993</v>
      </c>
      <c r="F18">
        <v>65144</v>
      </c>
      <c r="G18">
        <v>375305</v>
      </c>
    </row>
    <row r="19" spans="1:7">
      <c r="A19">
        <v>14</v>
      </c>
      <c r="B19">
        <v>844690680</v>
      </c>
      <c r="C19">
        <v>3.38</v>
      </c>
      <c r="D19">
        <v>0</v>
      </c>
      <c r="E19">
        <v>112.75</v>
      </c>
      <c r="F19">
        <v>101167</v>
      </c>
      <c r="G19">
        <v>576863</v>
      </c>
    </row>
    <row r="20" spans="1:7">
      <c r="A20">
        <v>16</v>
      </c>
      <c r="B20">
        <v>1268314960</v>
      </c>
      <c r="C20">
        <v>5.07</v>
      </c>
      <c r="D20">
        <v>0</v>
      </c>
      <c r="E20">
        <v>164.49</v>
      </c>
      <c r="F20">
        <v>150354</v>
      </c>
      <c r="G20">
        <v>871003</v>
      </c>
    </row>
    <row r="21" spans="1:7">
      <c r="A21">
        <v>18</v>
      </c>
      <c r="B21">
        <v>1577031400</v>
      </c>
      <c r="C21">
        <v>6.31</v>
      </c>
      <c r="D21">
        <v>0</v>
      </c>
      <c r="E21">
        <v>241.31</v>
      </c>
      <c r="F21">
        <v>216332</v>
      </c>
      <c r="G21">
        <v>1308179</v>
      </c>
    </row>
    <row r="22" spans="1:7">
      <c r="A22">
        <v>20</v>
      </c>
      <c r="B22">
        <v>2585721540</v>
      </c>
      <c r="C22">
        <v>10.34</v>
      </c>
      <c r="D22">
        <v>0</v>
      </c>
      <c r="E22">
        <v>347.53</v>
      </c>
      <c r="F22">
        <v>309708</v>
      </c>
      <c r="G22">
        <v>1933764</v>
      </c>
    </row>
    <row r="23" spans="1:7">
      <c r="A23">
        <v>22</v>
      </c>
      <c r="B23">
        <v>3374335620</v>
      </c>
      <c r="C23">
        <v>13.5</v>
      </c>
      <c r="D23">
        <v>0</v>
      </c>
      <c r="E23">
        <v>474.11</v>
      </c>
      <c r="F23">
        <v>439909</v>
      </c>
      <c r="G23">
        <v>2785419</v>
      </c>
    </row>
    <row r="24" spans="1:7">
      <c r="A24">
        <v>24</v>
      </c>
      <c r="B24">
        <v>4784809680</v>
      </c>
      <c r="C24">
        <v>19.14</v>
      </c>
      <c r="D24">
        <v>0</v>
      </c>
      <c r="E24">
        <v>637.29</v>
      </c>
      <c r="F24">
        <v>599586</v>
      </c>
      <c r="G24">
        <v>3939516</v>
      </c>
    </row>
    <row r="25" spans="1:7">
      <c r="A25">
        <v>26</v>
      </c>
      <c r="B25">
        <v>5437954500</v>
      </c>
      <c r="C25">
        <v>21.75</v>
      </c>
      <c r="D25">
        <v>0</v>
      </c>
      <c r="E25">
        <v>850.67</v>
      </c>
      <c r="F25">
        <v>762808</v>
      </c>
      <c r="G25">
        <v>5398594</v>
      </c>
    </row>
    <row r="26" spans="1:7">
      <c r="A26">
        <v>28</v>
      </c>
      <c r="B26">
        <v>6750048560</v>
      </c>
      <c r="C26">
        <v>27</v>
      </c>
      <c r="D26">
        <v>0</v>
      </c>
      <c r="E26">
        <v>936.01</v>
      </c>
      <c r="F26">
        <v>944742</v>
      </c>
      <c r="G26">
        <v>6949051</v>
      </c>
    </row>
    <row r="27" spans="1:7">
      <c r="A27">
        <v>30</v>
      </c>
      <c r="B27">
        <v>6970911660</v>
      </c>
      <c r="C27">
        <v>27.88</v>
      </c>
      <c r="D27">
        <v>0</v>
      </c>
      <c r="E27">
        <v>939.4</v>
      </c>
      <c r="F27">
        <v>1131847</v>
      </c>
      <c r="G27">
        <v>8526091</v>
      </c>
    </row>
    <row r="28" spans="1:7">
      <c r="A28">
        <v>32</v>
      </c>
      <c r="B28">
        <v>7014100480</v>
      </c>
      <c r="C28">
        <v>28.06</v>
      </c>
      <c r="D28">
        <v>0</v>
      </c>
      <c r="E28">
        <v>1012.21</v>
      </c>
      <c r="F28">
        <v>1319988</v>
      </c>
      <c r="G28">
        <v>10114870</v>
      </c>
    </row>
    <row r="29" spans="1:7">
      <c r="A29">
        <v>34</v>
      </c>
      <c r="B29">
        <v>7278250780</v>
      </c>
      <c r="C29">
        <v>29.11</v>
      </c>
      <c r="D29">
        <v>0</v>
      </c>
      <c r="E29">
        <v>1012.21</v>
      </c>
      <c r="F29">
        <v>1509174</v>
      </c>
      <c r="G29">
        <v>11708850</v>
      </c>
    </row>
    <row r="30" spans="1:7">
      <c r="A30">
        <v>36</v>
      </c>
      <c r="B30">
        <v>7987865720</v>
      </c>
      <c r="C30">
        <v>31.95</v>
      </c>
      <c r="D30">
        <v>0</v>
      </c>
      <c r="E30">
        <v>1012.21</v>
      </c>
      <c r="F30">
        <v>1698842</v>
      </c>
      <c r="G30">
        <v>13308423</v>
      </c>
    </row>
    <row r="31" spans="1:7">
      <c r="A31">
        <v>38</v>
      </c>
      <c r="B31">
        <v>6938544640</v>
      </c>
      <c r="C31">
        <v>27.75</v>
      </c>
      <c r="D31">
        <v>0</v>
      </c>
      <c r="E31">
        <v>1012.21</v>
      </c>
      <c r="F31">
        <v>1888607</v>
      </c>
      <c r="G31">
        <v>14906566</v>
      </c>
    </row>
    <row r="32" spans="1:7">
      <c r="A32">
        <v>40</v>
      </c>
      <c r="B32">
        <v>7134517600</v>
      </c>
      <c r="C32">
        <v>28.54</v>
      </c>
      <c r="D32">
        <v>0</v>
      </c>
      <c r="E32">
        <v>1012.21</v>
      </c>
      <c r="F32">
        <v>2078760</v>
      </c>
      <c r="G32">
        <v>16503672</v>
      </c>
    </row>
    <row r="33" spans="1:7">
      <c r="A33">
        <v>42</v>
      </c>
      <c r="B33">
        <v>7568471780</v>
      </c>
      <c r="C33">
        <v>30.27</v>
      </c>
      <c r="D33">
        <v>0</v>
      </c>
      <c r="E33">
        <v>1012.21</v>
      </c>
      <c r="F33">
        <v>2268859</v>
      </c>
      <c r="G33">
        <v>18101460</v>
      </c>
    </row>
    <row r="34" spans="1:7">
      <c r="A34">
        <v>44</v>
      </c>
      <c r="B34">
        <v>8050435400</v>
      </c>
      <c r="C34">
        <v>32.200000000000003</v>
      </c>
      <c r="D34">
        <v>0</v>
      </c>
      <c r="E34">
        <v>1012.21</v>
      </c>
      <c r="F34">
        <v>2458458</v>
      </c>
      <c r="G34">
        <v>19701982</v>
      </c>
    </row>
    <row r="35" spans="1:7">
      <c r="A35">
        <v>46</v>
      </c>
      <c r="B35">
        <v>7213516740</v>
      </c>
      <c r="C35">
        <v>28.85</v>
      </c>
      <c r="D35">
        <v>0</v>
      </c>
      <c r="E35">
        <v>1012.21</v>
      </c>
      <c r="F35">
        <v>2648182</v>
      </c>
      <c r="G35">
        <v>21297818</v>
      </c>
    </row>
    <row r="36" spans="1:7">
      <c r="A36">
        <v>48</v>
      </c>
      <c r="B36">
        <v>7044598280</v>
      </c>
      <c r="C36">
        <v>28.18</v>
      </c>
      <c r="D36">
        <v>0</v>
      </c>
      <c r="E36">
        <v>1012.21</v>
      </c>
      <c r="F36">
        <v>2837716</v>
      </c>
      <c r="G36">
        <v>22893182</v>
      </c>
    </row>
    <row r="37" spans="1:7">
      <c r="A37">
        <v>50</v>
      </c>
      <c r="B37">
        <v>7653570480</v>
      </c>
      <c r="C37">
        <v>30.61</v>
      </c>
      <c r="D37">
        <v>0</v>
      </c>
      <c r="E37">
        <v>1012.21</v>
      </c>
      <c r="F37">
        <v>3027268</v>
      </c>
      <c r="G37">
        <v>24488195</v>
      </c>
    </row>
    <row r="38" spans="1:7">
      <c r="A38">
        <v>52</v>
      </c>
      <c r="B38">
        <v>7115333500</v>
      </c>
      <c r="C38">
        <v>28.46</v>
      </c>
      <c r="D38">
        <v>0</v>
      </c>
      <c r="E38">
        <v>1012.21</v>
      </c>
      <c r="F38">
        <v>3216273</v>
      </c>
      <c r="G38">
        <v>26081964</v>
      </c>
    </row>
    <row r="39" spans="1:7">
      <c r="A39">
        <v>54</v>
      </c>
      <c r="B39">
        <v>7816389380</v>
      </c>
      <c r="C39">
        <v>31.27</v>
      </c>
      <c r="D39">
        <v>0</v>
      </c>
      <c r="E39">
        <v>1012.21</v>
      </c>
      <c r="F39">
        <v>3405768</v>
      </c>
      <c r="G39">
        <v>27677503</v>
      </c>
    </row>
    <row r="40" spans="1:7">
      <c r="A40">
        <v>56</v>
      </c>
      <c r="B40">
        <v>7383419000</v>
      </c>
      <c r="C40">
        <v>29.53</v>
      </c>
      <c r="D40">
        <v>0</v>
      </c>
      <c r="E40">
        <v>1012.21</v>
      </c>
      <c r="F40">
        <v>3594835</v>
      </c>
      <c r="G40">
        <v>29273316</v>
      </c>
    </row>
    <row r="41" spans="1:7">
      <c r="A41">
        <v>58</v>
      </c>
      <c r="B41">
        <v>7051681640</v>
      </c>
      <c r="C41">
        <v>28.21</v>
      </c>
      <c r="D41">
        <v>0</v>
      </c>
      <c r="E41">
        <v>1012.21</v>
      </c>
      <c r="F41">
        <v>3784480</v>
      </c>
      <c r="G41">
        <v>30870921</v>
      </c>
    </row>
    <row r="42" spans="1:7">
      <c r="A42">
        <v>60</v>
      </c>
      <c r="B42">
        <v>7053452480</v>
      </c>
      <c r="C42">
        <v>28.21</v>
      </c>
      <c r="D42">
        <v>0</v>
      </c>
      <c r="E42">
        <v>1012.21</v>
      </c>
      <c r="F42">
        <v>3973892</v>
      </c>
      <c r="G42">
        <v>32466094</v>
      </c>
    </row>
    <row r="43" spans="1:7">
      <c r="A43">
        <v>62</v>
      </c>
      <c r="B43">
        <v>7341509120</v>
      </c>
      <c r="C43">
        <v>29.37</v>
      </c>
      <c r="D43">
        <v>0</v>
      </c>
      <c r="E43">
        <v>1012.21</v>
      </c>
      <c r="F43">
        <v>4163385</v>
      </c>
      <c r="G43">
        <v>34063600</v>
      </c>
    </row>
    <row r="44" spans="1:7">
      <c r="A44">
        <v>64</v>
      </c>
      <c r="B44">
        <v>7088475760</v>
      </c>
      <c r="C44">
        <v>28.35</v>
      </c>
      <c r="D44">
        <v>0</v>
      </c>
      <c r="E44">
        <v>1012.21</v>
      </c>
      <c r="F44">
        <v>4352312</v>
      </c>
      <c r="G44">
        <v>35656650</v>
      </c>
    </row>
    <row r="45" spans="1:7">
      <c r="A45">
        <v>66</v>
      </c>
      <c r="B45">
        <v>7297139740</v>
      </c>
      <c r="C45">
        <v>29.19</v>
      </c>
      <c r="D45">
        <v>0</v>
      </c>
      <c r="E45">
        <v>1012.21</v>
      </c>
      <c r="F45">
        <v>4541188</v>
      </c>
      <c r="G45">
        <v>37249469</v>
      </c>
    </row>
    <row r="46" spans="1:7">
      <c r="A46">
        <v>68</v>
      </c>
      <c r="B46">
        <v>7764444740</v>
      </c>
      <c r="C46">
        <v>31.06</v>
      </c>
      <c r="D46">
        <v>0</v>
      </c>
      <c r="E46">
        <v>1012.21</v>
      </c>
      <c r="F46">
        <v>4730625</v>
      </c>
      <c r="G46">
        <v>38848566</v>
      </c>
    </row>
    <row r="47" spans="1:7">
      <c r="A47">
        <v>70</v>
      </c>
      <c r="B47">
        <v>7798877740</v>
      </c>
      <c r="C47">
        <v>31.2</v>
      </c>
      <c r="D47">
        <v>0</v>
      </c>
      <c r="E47">
        <v>1012.21</v>
      </c>
      <c r="F47">
        <v>4920608</v>
      </c>
      <c r="G47">
        <v>40447905</v>
      </c>
    </row>
    <row r="48" spans="1:7">
      <c r="A48">
        <v>72</v>
      </c>
      <c r="B48">
        <v>7051976780</v>
      </c>
      <c r="C48">
        <v>28.21</v>
      </c>
      <c r="D48">
        <v>0</v>
      </c>
      <c r="E48">
        <v>1012.21</v>
      </c>
      <c r="F48">
        <v>5109712</v>
      </c>
      <c r="G48">
        <v>42040136</v>
      </c>
    </row>
    <row r="49" spans="1:7">
      <c r="A49">
        <v>74</v>
      </c>
      <c r="B49">
        <v>7027676920</v>
      </c>
      <c r="C49">
        <v>28.11</v>
      </c>
      <c r="D49">
        <v>0</v>
      </c>
      <c r="E49">
        <v>1012.21</v>
      </c>
      <c r="F49">
        <v>5299212</v>
      </c>
      <c r="G49">
        <v>43636863</v>
      </c>
    </row>
    <row r="50" spans="1:7">
      <c r="A50">
        <v>76</v>
      </c>
      <c r="B50">
        <v>7150061640</v>
      </c>
      <c r="C50">
        <v>28.6</v>
      </c>
      <c r="D50">
        <v>0</v>
      </c>
      <c r="E50">
        <v>1012.21</v>
      </c>
      <c r="F50">
        <v>5488953</v>
      </c>
      <c r="G50">
        <v>45234362</v>
      </c>
    </row>
    <row r="51" spans="1:7">
      <c r="A51">
        <v>78</v>
      </c>
      <c r="B51">
        <v>7516133620</v>
      </c>
      <c r="C51">
        <v>30.06</v>
      </c>
      <c r="D51">
        <v>0</v>
      </c>
      <c r="E51">
        <v>1012.21</v>
      </c>
      <c r="F51">
        <v>5678718</v>
      </c>
      <c r="G51">
        <v>46830597</v>
      </c>
    </row>
    <row r="52" spans="1:7">
      <c r="A52">
        <v>80</v>
      </c>
      <c r="B52">
        <v>7376434020</v>
      </c>
      <c r="C52">
        <v>29.5</v>
      </c>
      <c r="D52">
        <v>0</v>
      </c>
      <c r="E52">
        <v>1012.21</v>
      </c>
      <c r="F52">
        <v>5867670</v>
      </c>
      <c r="G52">
        <v>48429898</v>
      </c>
    </row>
    <row r="53" spans="1:7">
      <c r="A53">
        <v>82</v>
      </c>
      <c r="B53">
        <v>7382533580</v>
      </c>
      <c r="C53">
        <v>29.53</v>
      </c>
      <c r="D53">
        <v>0</v>
      </c>
      <c r="E53">
        <v>1012.21</v>
      </c>
      <c r="F53">
        <v>6057077</v>
      </c>
      <c r="G53">
        <v>50028138</v>
      </c>
    </row>
    <row r="54" spans="1:7">
      <c r="A54">
        <v>84</v>
      </c>
      <c r="B54">
        <v>7126352060</v>
      </c>
      <c r="C54">
        <v>28.5</v>
      </c>
      <c r="D54">
        <v>0</v>
      </c>
      <c r="E54">
        <v>1012.21</v>
      </c>
      <c r="F54">
        <v>6246550</v>
      </c>
      <c r="G54">
        <v>51620317</v>
      </c>
    </row>
    <row r="55" spans="1:7">
      <c r="A55">
        <v>86</v>
      </c>
      <c r="B55">
        <v>7570832900</v>
      </c>
      <c r="C55">
        <v>30.28</v>
      </c>
      <c r="D55">
        <v>0</v>
      </c>
      <c r="E55">
        <v>1012.21</v>
      </c>
      <c r="F55">
        <v>6435628</v>
      </c>
      <c r="G55">
        <v>53217835</v>
      </c>
    </row>
    <row r="56" spans="1:7">
      <c r="A56">
        <v>88</v>
      </c>
      <c r="B56">
        <v>7932969680</v>
      </c>
      <c r="C56">
        <v>31.73</v>
      </c>
      <c r="D56">
        <v>0</v>
      </c>
      <c r="E56">
        <v>1012.21</v>
      </c>
      <c r="F56">
        <v>6625222</v>
      </c>
      <c r="G56">
        <v>54819600</v>
      </c>
    </row>
    <row r="57" spans="1:7">
      <c r="A57">
        <v>90</v>
      </c>
      <c r="B57">
        <v>7456613720</v>
      </c>
      <c r="C57">
        <v>29.83</v>
      </c>
      <c r="D57">
        <v>0</v>
      </c>
      <c r="E57">
        <v>1012.21</v>
      </c>
      <c r="F57">
        <v>6814863</v>
      </c>
      <c r="G57">
        <v>56420044</v>
      </c>
    </row>
    <row r="58" spans="1:7">
      <c r="A58">
        <v>92</v>
      </c>
      <c r="B58">
        <v>7063093720</v>
      </c>
      <c r="C58">
        <v>28.25</v>
      </c>
      <c r="D58">
        <v>0</v>
      </c>
      <c r="E58">
        <v>1012.21</v>
      </c>
      <c r="F58">
        <v>7003673</v>
      </c>
      <c r="G58">
        <v>58015012</v>
      </c>
    </row>
    <row r="59" spans="1:7">
      <c r="A59">
        <v>94</v>
      </c>
      <c r="B59">
        <v>6964910480</v>
      </c>
      <c r="C59">
        <v>27.86</v>
      </c>
      <c r="D59">
        <v>0</v>
      </c>
      <c r="E59">
        <v>1012.21</v>
      </c>
      <c r="F59">
        <v>7193158</v>
      </c>
      <c r="G59">
        <v>59614346</v>
      </c>
    </row>
    <row r="60" spans="1:7">
      <c r="A60">
        <v>96</v>
      </c>
      <c r="B60">
        <v>7110808020</v>
      </c>
      <c r="C60">
        <v>28.44</v>
      </c>
      <c r="D60">
        <v>0</v>
      </c>
      <c r="E60">
        <v>1012.21</v>
      </c>
      <c r="F60">
        <v>7382748</v>
      </c>
      <c r="G60">
        <v>61211784</v>
      </c>
    </row>
    <row r="61" spans="1:7">
      <c r="A61">
        <v>98</v>
      </c>
      <c r="B61">
        <v>7514264400</v>
      </c>
      <c r="C61">
        <v>30.06</v>
      </c>
      <c r="D61">
        <v>0</v>
      </c>
      <c r="E61">
        <v>1012.21</v>
      </c>
      <c r="F61">
        <v>7572701</v>
      </c>
      <c r="G61">
        <v>62812009</v>
      </c>
    </row>
    <row r="62" spans="1:7">
      <c r="A62">
        <v>100</v>
      </c>
      <c r="B62">
        <v>8164949720</v>
      </c>
      <c r="C62">
        <v>32.659999999999997</v>
      </c>
      <c r="D62">
        <v>0</v>
      </c>
      <c r="E62">
        <v>1012.21</v>
      </c>
      <c r="F62">
        <v>7762379</v>
      </c>
      <c r="G62">
        <v>64413449</v>
      </c>
    </row>
    <row r="63" spans="1:7">
      <c r="A63">
        <v>102</v>
      </c>
      <c r="B63">
        <v>7033382960</v>
      </c>
      <c r="C63">
        <v>28.13</v>
      </c>
      <c r="D63">
        <v>0</v>
      </c>
      <c r="E63">
        <v>1012.21</v>
      </c>
      <c r="F63">
        <v>7951570</v>
      </c>
      <c r="G63">
        <v>66006641</v>
      </c>
    </row>
    <row r="64" spans="1:7">
      <c r="A64">
        <v>104</v>
      </c>
      <c r="B64">
        <v>7030136420</v>
      </c>
      <c r="C64">
        <v>28.12</v>
      </c>
      <c r="D64">
        <v>0</v>
      </c>
      <c r="E64">
        <v>1012.21</v>
      </c>
      <c r="F64">
        <v>8140955</v>
      </c>
      <c r="G64">
        <v>67602268</v>
      </c>
    </row>
    <row r="65" spans="1:7">
      <c r="A65">
        <v>106</v>
      </c>
      <c r="B65">
        <v>7560798140</v>
      </c>
      <c r="C65">
        <v>30.24</v>
      </c>
      <c r="D65">
        <v>0</v>
      </c>
      <c r="E65">
        <v>1012.21</v>
      </c>
      <c r="F65">
        <v>8330538</v>
      </c>
      <c r="G65">
        <v>69198343</v>
      </c>
    </row>
    <row r="66" spans="1:7">
      <c r="A66">
        <v>108</v>
      </c>
      <c r="B66">
        <v>7108446900</v>
      </c>
      <c r="C66">
        <v>28.43</v>
      </c>
      <c r="D66">
        <v>0</v>
      </c>
      <c r="E66">
        <v>1012.21</v>
      </c>
      <c r="F66">
        <v>8520353</v>
      </c>
      <c r="G66">
        <v>70797724</v>
      </c>
    </row>
    <row r="67" spans="1:7">
      <c r="A67">
        <v>110</v>
      </c>
      <c r="B67">
        <v>7166097580</v>
      </c>
      <c r="C67">
        <v>28.66</v>
      </c>
      <c r="D67">
        <v>0</v>
      </c>
      <c r="E67">
        <v>1012.21</v>
      </c>
      <c r="F67">
        <v>8709266</v>
      </c>
      <c r="G67">
        <v>72391046</v>
      </c>
    </row>
    <row r="68" spans="1:7">
      <c r="A68">
        <v>112</v>
      </c>
      <c r="B68">
        <v>7303140920</v>
      </c>
      <c r="C68">
        <v>29.21</v>
      </c>
      <c r="D68">
        <v>0</v>
      </c>
      <c r="E68">
        <v>1012.21</v>
      </c>
      <c r="F68">
        <v>8898367</v>
      </c>
      <c r="G68">
        <v>73986654</v>
      </c>
    </row>
    <row r="69" spans="1:7">
      <c r="A69">
        <v>114</v>
      </c>
      <c r="B69">
        <v>7632812300</v>
      </c>
      <c r="C69">
        <v>30.53</v>
      </c>
      <c r="D69">
        <v>0</v>
      </c>
      <c r="E69">
        <v>1012.21</v>
      </c>
      <c r="F69">
        <v>9088309</v>
      </c>
      <c r="G69">
        <v>75586417</v>
      </c>
    </row>
    <row r="70" spans="1:7">
      <c r="A70">
        <v>116</v>
      </c>
      <c r="B70">
        <v>7602314500</v>
      </c>
      <c r="C70">
        <v>30.41</v>
      </c>
      <c r="D70">
        <v>0</v>
      </c>
      <c r="E70">
        <v>1012.21</v>
      </c>
      <c r="F70">
        <v>9277775</v>
      </c>
      <c r="G70">
        <v>77185875</v>
      </c>
    </row>
    <row r="71" spans="1:7">
      <c r="A71">
        <v>118</v>
      </c>
      <c r="B71">
        <v>7301566840</v>
      </c>
      <c r="C71">
        <v>29.21</v>
      </c>
      <c r="D71">
        <v>0</v>
      </c>
      <c r="E71">
        <v>1012.21</v>
      </c>
      <c r="F71">
        <v>9467203</v>
      </c>
      <c r="G71">
        <v>78784159</v>
      </c>
    </row>
    <row r="72" spans="1:7">
      <c r="A72">
        <v>120</v>
      </c>
      <c r="B72">
        <v>7066143500</v>
      </c>
      <c r="C72">
        <v>28.26</v>
      </c>
      <c r="D72">
        <v>0</v>
      </c>
      <c r="E72">
        <v>1012.21</v>
      </c>
      <c r="F72">
        <v>9655968</v>
      </c>
      <c r="G72">
        <v>80383352</v>
      </c>
    </row>
    <row r="73" spans="1:7">
      <c r="A73">
        <v>122</v>
      </c>
      <c r="B73">
        <v>7825341960</v>
      </c>
      <c r="C73">
        <v>31.3</v>
      </c>
      <c r="D73">
        <v>0</v>
      </c>
      <c r="E73">
        <v>1012.21</v>
      </c>
      <c r="F73">
        <v>9845021</v>
      </c>
      <c r="G73">
        <v>81981854</v>
      </c>
    </row>
    <row r="74" spans="1:7">
      <c r="A74">
        <v>124</v>
      </c>
      <c r="B74">
        <v>7137075480</v>
      </c>
      <c r="C74">
        <v>28.55</v>
      </c>
      <c r="D74">
        <v>0</v>
      </c>
      <c r="E74">
        <v>1012.21</v>
      </c>
      <c r="F74">
        <v>10034513</v>
      </c>
      <c r="G74">
        <v>83582799</v>
      </c>
    </row>
    <row r="75" spans="1:7">
      <c r="A75">
        <v>126</v>
      </c>
      <c r="B75">
        <v>7242735600</v>
      </c>
      <c r="C75">
        <v>28.97</v>
      </c>
      <c r="D75">
        <v>0</v>
      </c>
      <c r="E75">
        <v>1012.21</v>
      </c>
      <c r="F75">
        <v>10223528</v>
      </c>
      <c r="G75">
        <v>85180315</v>
      </c>
    </row>
    <row r="76" spans="1:7">
      <c r="A76">
        <v>128</v>
      </c>
      <c r="B76">
        <v>7528529500</v>
      </c>
      <c r="C76">
        <v>30.11</v>
      </c>
      <c r="D76">
        <v>0</v>
      </c>
      <c r="E76">
        <v>1012.21</v>
      </c>
      <c r="F76">
        <v>10412913</v>
      </c>
      <c r="G76">
        <v>86777503</v>
      </c>
    </row>
    <row r="77" spans="1:7">
      <c r="A77">
        <v>130</v>
      </c>
      <c r="B77">
        <v>7507082660</v>
      </c>
      <c r="C77">
        <v>30.03</v>
      </c>
      <c r="D77">
        <v>0</v>
      </c>
      <c r="E77">
        <v>1012.21</v>
      </c>
      <c r="F77">
        <v>10602748</v>
      </c>
      <c r="G77">
        <v>88377772</v>
      </c>
    </row>
    <row r="78" spans="1:7">
      <c r="A78">
        <v>132</v>
      </c>
      <c r="B78">
        <v>7125860160</v>
      </c>
      <c r="C78">
        <v>28.5</v>
      </c>
      <c r="D78">
        <v>0</v>
      </c>
      <c r="E78">
        <v>1012.21</v>
      </c>
      <c r="F78">
        <v>10791919</v>
      </c>
      <c r="G78">
        <v>89974930</v>
      </c>
    </row>
    <row r="79" spans="1:7">
      <c r="A79">
        <v>134</v>
      </c>
      <c r="B79">
        <v>7367481440</v>
      </c>
      <c r="C79">
        <v>29.47</v>
      </c>
      <c r="D79">
        <v>0</v>
      </c>
      <c r="E79">
        <v>1012.21</v>
      </c>
      <c r="F79">
        <v>10981400</v>
      </c>
      <c r="G79">
        <v>91573174</v>
      </c>
    </row>
    <row r="80" spans="1:7">
      <c r="A80">
        <v>136</v>
      </c>
      <c r="B80">
        <v>7234865200</v>
      </c>
      <c r="C80">
        <v>28.94</v>
      </c>
      <c r="D80">
        <v>0</v>
      </c>
      <c r="E80">
        <v>1012.21</v>
      </c>
      <c r="F80">
        <v>11170449</v>
      </c>
      <c r="G80">
        <v>93169440</v>
      </c>
    </row>
    <row r="81" spans="1:7">
      <c r="A81">
        <v>138</v>
      </c>
      <c r="B81">
        <v>7428968940</v>
      </c>
      <c r="C81">
        <v>29.72</v>
      </c>
      <c r="D81">
        <v>0</v>
      </c>
      <c r="E81">
        <v>1012.21</v>
      </c>
      <c r="F81">
        <v>11359713</v>
      </c>
      <c r="G81">
        <v>94766071</v>
      </c>
    </row>
    <row r="82" spans="1:7">
      <c r="A82">
        <v>140</v>
      </c>
      <c r="B82">
        <v>7303927960</v>
      </c>
      <c r="C82">
        <v>29.22</v>
      </c>
      <c r="D82">
        <v>0</v>
      </c>
      <c r="E82">
        <v>1012.21</v>
      </c>
      <c r="F82">
        <v>11548987</v>
      </c>
      <c r="G82">
        <v>96363121</v>
      </c>
    </row>
    <row r="83" spans="1:7">
      <c r="A83">
        <v>142</v>
      </c>
      <c r="B83">
        <v>7487013140</v>
      </c>
      <c r="C83">
        <v>29.95</v>
      </c>
      <c r="D83">
        <v>0</v>
      </c>
      <c r="E83">
        <v>1012.21</v>
      </c>
      <c r="F83">
        <v>11738648</v>
      </c>
      <c r="G83">
        <v>97960202</v>
      </c>
    </row>
    <row r="84" spans="1:7">
      <c r="A84">
        <v>144</v>
      </c>
      <c r="B84">
        <v>7151537340</v>
      </c>
      <c r="C84">
        <v>28.61</v>
      </c>
      <c r="D84">
        <v>0</v>
      </c>
      <c r="E84">
        <v>1012.21</v>
      </c>
      <c r="F84">
        <v>11928054</v>
      </c>
      <c r="G84">
        <v>99557373</v>
      </c>
    </row>
    <row r="85" spans="1:7">
      <c r="A85">
        <v>146</v>
      </c>
      <c r="B85">
        <v>7426214300</v>
      </c>
      <c r="C85">
        <v>29.7</v>
      </c>
      <c r="D85">
        <v>0</v>
      </c>
      <c r="E85">
        <v>1012.21</v>
      </c>
      <c r="F85">
        <v>12118098</v>
      </c>
      <c r="G85">
        <v>101154752</v>
      </c>
    </row>
    <row r="86" spans="1:7">
      <c r="A86">
        <v>148</v>
      </c>
      <c r="B86">
        <v>7370236080</v>
      </c>
      <c r="C86">
        <v>29.48</v>
      </c>
      <c r="D86">
        <v>0</v>
      </c>
      <c r="E86">
        <v>1012.21</v>
      </c>
      <c r="F86">
        <v>12307684</v>
      </c>
      <c r="G86">
        <v>102754659</v>
      </c>
    </row>
    <row r="87" spans="1:7">
      <c r="A87">
        <v>150</v>
      </c>
      <c r="B87">
        <v>7336786880</v>
      </c>
      <c r="C87">
        <v>29.35</v>
      </c>
      <c r="D87">
        <v>0</v>
      </c>
      <c r="E87">
        <v>1012.21</v>
      </c>
      <c r="F87">
        <v>12497243</v>
      </c>
      <c r="G87">
        <v>104354969</v>
      </c>
    </row>
    <row r="88" spans="1:7">
      <c r="A88">
        <v>152</v>
      </c>
      <c r="B88">
        <v>7310617800</v>
      </c>
      <c r="C88">
        <v>29.24</v>
      </c>
      <c r="D88">
        <v>0</v>
      </c>
      <c r="E88">
        <v>1012.21</v>
      </c>
      <c r="F88">
        <v>12687094</v>
      </c>
      <c r="G88">
        <v>105954495</v>
      </c>
    </row>
    <row r="89" spans="1:7">
      <c r="A89">
        <v>154</v>
      </c>
      <c r="B89">
        <v>7289859620</v>
      </c>
      <c r="C89">
        <v>29.16</v>
      </c>
      <c r="D89">
        <v>0</v>
      </c>
      <c r="E89">
        <v>1012.21</v>
      </c>
      <c r="F89">
        <v>12876709</v>
      </c>
      <c r="G89">
        <v>107552521</v>
      </c>
    </row>
    <row r="90" spans="1:7">
      <c r="A90">
        <v>156</v>
      </c>
      <c r="B90">
        <v>7588934820</v>
      </c>
      <c r="C90">
        <v>30.36</v>
      </c>
      <c r="D90">
        <v>0</v>
      </c>
      <c r="E90">
        <v>1012.21</v>
      </c>
      <c r="F90">
        <v>13066493</v>
      </c>
      <c r="G90">
        <v>109152995</v>
      </c>
    </row>
    <row r="91" spans="1:7">
      <c r="A91">
        <v>158</v>
      </c>
      <c r="B91">
        <v>7559224060</v>
      </c>
      <c r="C91">
        <v>30.24</v>
      </c>
      <c r="D91">
        <v>0</v>
      </c>
      <c r="E91">
        <v>1012.21</v>
      </c>
      <c r="F91">
        <v>13256257</v>
      </c>
      <c r="G91">
        <v>110752759</v>
      </c>
    </row>
    <row r="92" spans="1:7">
      <c r="A92">
        <v>160</v>
      </c>
      <c r="B92">
        <v>7097133200</v>
      </c>
      <c r="C92">
        <v>28.39</v>
      </c>
      <c r="D92">
        <v>0</v>
      </c>
      <c r="E92">
        <v>1012.21</v>
      </c>
      <c r="F92">
        <v>13445857</v>
      </c>
      <c r="G92">
        <v>112350440</v>
      </c>
    </row>
    <row r="93" spans="1:7">
      <c r="A93">
        <v>162</v>
      </c>
      <c r="B93">
        <v>7282677880</v>
      </c>
      <c r="C93">
        <v>29.13</v>
      </c>
      <c r="D93">
        <v>0</v>
      </c>
      <c r="E93">
        <v>1012.21</v>
      </c>
      <c r="F93">
        <v>13635116</v>
      </c>
      <c r="G93">
        <v>113946992</v>
      </c>
    </row>
    <row r="94" spans="1:7">
      <c r="A94">
        <v>164</v>
      </c>
      <c r="B94">
        <v>7750376400</v>
      </c>
      <c r="C94">
        <v>31</v>
      </c>
      <c r="D94">
        <v>0</v>
      </c>
      <c r="E94">
        <v>1012.21</v>
      </c>
      <c r="F94">
        <v>13824490</v>
      </c>
      <c r="G94">
        <v>115540041</v>
      </c>
    </row>
    <row r="95" spans="1:7">
      <c r="A95">
        <v>166</v>
      </c>
      <c r="B95">
        <v>7200137060</v>
      </c>
      <c r="C95">
        <v>28.8</v>
      </c>
      <c r="D95">
        <v>0</v>
      </c>
      <c r="E95">
        <v>1012.21</v>
      </c>
      <c r="F95">
        <v>14014252</v>
      </c>
      <c r="G95">
        <v>117135283</v>
      </c>
    </row>
    <row r="96" spans="1:7">
      <c r="A96">
        <v>168</v>
      </c>
      <c r="B96">
        <v>7138846320</v>
      </c>
      <c r="C96">
        <v>28.56</v>
      </c>
      <c r="D96">
        <v>0</v>
      </c>
      <c r="E96">
        <v>1012.21</v>
      </c>
      <c r="F96">
        <v>14204076</v>
      </c>
      <c r="G96">
        <v>118732985</v>
      </c>
    </row>
    <row r="97" spans="1:7">
      <c r="A97">
        <v>170</v>
      </c>
      <c r="B97">
        <v>7451104440</v>
      </c>
      <c r="C97">
        <v>29.8</v>
      </c>
      <c r="D97">
        <v>0</v>
      </c>
      <c r="E97">
        <v>1012.21</v>
      </c>
      <c r="F97">
        <v>14393997</v>
      </c>
      <c r="G97">
        <v>120330319</v>
      </c>
    </row>
    <row r="98" spans="1:7">
      <c r="A98">
        <v>172</v>
      </c>
      <c r="B98">
        <v>7256607180</v>
      </c>
      <c r="C98">
        <v>29.03</v>
      </c>
      <c r="D98">
        <v>0</v>
      </c>
      <c r="E98">
        <v>1012.21</v>
      </c>
      <c r="F98">
        <v>14583753</v>
      </c>
      <c r="G98">
        <v>121929414</v>
      </c>
    </row>
    <row r="99" spans="1:7">
      <c r="A99">
        <v>174</v>
      </c>
      <c r="B99">
        <v>7511903280</v>
      </c>
      <c r="C99">
        <v>30.05</v>
      </c>
      <c r="D99">
        <v>0</v>
      </c>
      <c r="E99">
        <v>1012.21</v>
      </c>
      <c r="F99">
        <v>14773410</v>
      </c>
      <c r="G99">
        <v>123527494</v>
      </c>
    </row>
    <row r="100" spans="1:7">
      <c r="A100">
        <v>176</v>
      </c>
      <c r="B100">
        <v>7096838060</v>
      </c>
      <c r="C100">
        <v>28.39</v>
      </c>
      <c r="D100">
        <v>0</v>
      </c>
      <c r="E100">
        <v>1012.21</v>
      </c>
      <c r="F100">
        <v>14962926</v>
      </c>
      <c r="G100">
        <v>125126896</v>
      </c>
    </row>
    <row r="101" spans="1:7">
      <c r="A101">
        <v>178</v>
      </c>
      <c r="B101">
        <v>7510919480</v>
      </c>
      <c r="C101">
        <v>30.04</v>
      </c>
      <c r="D101">
        <v>0</v>
      </c>
      <c r="E101">
        <v>1012.21</v>
      </c>
      <c r="F101">
        <v>15153086</v>
      </c>
      <c r="G101">
        <v>126724959</v>
      </c>
    </row>
    <row r="102" spans="1:7">
      <c r="A102">
        <v>180</v>
      </c>
      <c r="B102">
        <v>7063290480</v>
      </c>
      <c r="C102">
        <v>28.25</v>
      </c>
      <c r="D102">
        <v>0</v>
      </c>
      <c r="E102">
        <v>1012.21</v>
      </c>
      <c r="F102">
        <v>15342838</v>
      </c>
      <c r="G102">
        <v>128325828</v>
      </c>
    </row>
    <row r="103" spans="1:7">
      <c r="A103">
        <v>182</v>
      </c>
      <c r="B103">
        <v>7132550000</v>
      </c>
      <c r="C103">
        <v>28.53</v>
      </c>
      <c r="D103">
        <v>0</v>
      </c>
      <c r="E103">
        <v>1012.21</v>
      </c>
      <c r="F103">
        <v>15533153</v>
      </c>
      <c r="G103">
        <v>129925429</v>
      </c>
    </row>
    <row r="104" spans="1:7">
      <c r="A104">
        <v>184</v>
      </c>
      <c r="B104">
        <v>7599756620</v>
      </c>
      <c r="C104">
        <v>30.4</v>
      </c>
      <c r="D104">
        <v>0</v>
      </c>
      <c r="E104">
        <v>1012.21</v>
      </c>
      <c r="F104">
        <v>15723743</v>
      </c>
      <c r="G104">
        <v>131525661</v>
      </c>
    </row>
    <row r="105" spans="1:7">
      <c r="A105">
        <v>186</v>
      </c>
      <c r="B105">
        <v>7934937280</v>
      </c>
      <c r="C105">
        <v>31.74</v>
      </c>
      <c r="D105">
        <v>0</v>
      </c>
      <c r="E105">
        <v>1012.21</v>
      </c>
      <c r="F105">
        <v>15914405</v>
      </c>
      <c r="G105">
        <v>133127929</v>
      </c>
    </row>
    <row r="106" spans="1:7">
      <c r="A106">
        <v>188</v>
      </c>
      <c r="B106">
        <v>7058568240</v>
      </c>
      <c r="C106">
        <v>28.23</v>
      </c>
      <c r="D106">
        <v>0</v>
      </c>
      <c r="E106">
        <v>1012.21</v>
      </c>
      <c r="F106">
        <v>16105239</v>
      </c>
      <c r="G106">
        <v>134727222</v>
      </c>
    </row>
    <row r="107" spans="1:7">
      <c r="A107">
        <v>190</v>
      </c>
      <c r="B107">
        <v>7155079020</v>
      </c>
      <c r="C107">
        <v>28.62</v>
      </c>
      <c r="D107">
        <v>0</v>
      </c>
      <c r="E107">
        <v>1012.21</v>
      </c>
      <c r="F107">
        <v>16295676</v>
      </c>
      <c r="G107">
        <v>136326789</v>
      </c>
    </row>
    <row r="108" spans="1:7">
      <c r="A108">
        <v>192</v>
      </c>
      <c r="B108">
        <v>7107069580</v>
      </c>
      <c r="C108">
        <v>28.43</v>
      </c>
      <c r="D108">
        <v>0</v>
      </c>
      <c r="E108">
        <v>1012.21</v>
      </c>
      <c r="F108">
        <v>16486348</v>
      </c>
      <c r="G108">
        <v>137925586</v>
      </c>
    </row>
    <row r="109" spans="1:7">
      <c r="A109">
        <v>194</v>
      </c>
      <c r="B109">
        <v>7633205820</v>
      </c>
      <c r="C109">
        <v>30.53</v>
      </c>
      <c r="D109">
        <v>0</v>
      </c>
      <c r="E109">
        <v>1012.21</v>
      </c>
      <c r="F109">
        <v>16677008</v>
      </c>
      <c r="G109">
        <v>139525504</v>
      </c>
    </row>
    <row r="110" spans="1:7">
      <c r="A110">
        <v>196</v>
      </c>
      <c r="B110">
        <v>7969468660</v>
      </c>
      <c r="C110">
        <v>31.89</v>
      </c>
      <c r="D110">
        <v>0</v>
      </c>
      <c r="E110">
        <v>1012.21</v>
      </c>
      <c r="F110">
        <v>16867006</v>
      </c>
      <c r="G110">
        <v>141126129</v>
      </c>
    </row>
    <row r="111" spans="1:7">
      <c r="A111">
        <v>198</v>
      </c>
      <c r="B111">
        <v>7189708780</v>
      </c>
      <c r="C111">
        <v>28.76</v>
      </c>
      <c r="D111">
        <v>0</v>
      </c>
      <c r="E111">
        <v>1012.21</v>
      </c>
      <c r="F111">
        <v>17057498</v>
      </c>
      <c r="G111">
        <v>142723536</v>
      </c>
    </row>
    <row r="112" spans="1:7">
      <c r="A112">
        <v>200</v>
      </c>
      <c r="B112">
        <v>7154193600</v>
      </c>
      <c r="C112">
        <v>28.62</v>
      </c>
      <c r="D112">
        <v>0</v>
      </c>
      <c r="E112">
        <v>1012.21</v>
      </c>
      <c r="F112">
        <v>17247891</v>
      </c>
      <c r="G112">
        <v>144324501</v>
      </c>
    </row>
    <row r="113" spans="1:7">
      <c r="A113">
        <v>202</v>
      </c>
      <c r="B113">
        <v>7272249600</v>
      </c>
      <c r="C113">
        <v>29.09</v>
      </c>
      <c r="D113">
        <v>0</v>
      </c>
      <c r="E113">
        <v>1012.21</v>
      </c>
      <c r="F113">
        <v>17438474</v>
      </c>
      <c r="G113">
        <v>145922337</v>
      </c>
    </row>
    <row r="114" spans="1:7">
      <c r="A114">
        <v>204</v>
      </c>
      <c r="B114">
        <v>7467829040</v>
      </c>
      <c r="C114">
        <v>29.87</v>
      </c>
      <c r="D114">
        <v>0</v>
      </c>
      <c r="E114">
        <v>1012.21</v>
      </c>
      <c r="F114">
        <v>17628593</v>
      </c>
      <c r="G114">
        <v>147519051</v>
      </c>
    </row>
    <row r="115" spans="1:7">
      <c r="A115">
        <v>206</v>
      </c>
      <c r="B115">
        <v>7084934080</v>
      </c>
      <c r="C115">
        <v>28.34</v>
      </c>
      <c r="D115">
        <v>0</v>
      </c>
      <c r="E115">
        <v>1012.21</v>
      </c>
      <c r="F115">
        <v>17818524</v>
      </c>
      <c r="G115">
        <v>149117124</v>
      </c>
    </row>
    <row r="116" spans="1:7">
      <c r="A116">
        <v>208</v>
      </c>
      <c r="B116">
        <v>7161768860</v>
      </c>
      <c r="C116">
        <v>28.65</v>
      </c>
      <c r="D116">
        <v>0</v>
      </c>
      <c r="E116">
        <v>1012.21</v>
      </c>
      <c r="F116">
        <v>18008018</v>
      </c>
      <c r="G116">
        <v>150712827</v>
      </c>
    </row>
    <row r="117" spans="1:7">
      <c r="A117">
        <v>210</v>
      </c>
      <c r="B117">
        <v>7355872600</v>
      </c>
      <c r="C117">
        <v>29.42</v>
      </c>
      <c r="D117">
        <v>0</v>
      </c>
      <c r="E117">
        <v>1012.21</v>
      </c>
      <c r="F117">
        <v>18198120</v>
      </c>
      <c r="G117">
        <v>152310184</v>
      </c>
    </row>
    <row r="118" spans="1:7">
      <c r="A118">
        <v>212</v>
      </c>
      <c r="B118">
        <v>7806059480</v>
      </c>
      <c r="C118">
        <v>31.23</v>
      </c>
      <c r="D118">
        <v>0</v>
      </c>
      <c r="E118">
        <v>1012.21</v>
      </c>
      <c r="F118">
        <v>18387611</v>
      </c>
      <c r="G118">
        <v>153910485</v>
      </c>
    </row>
    <row r="119" spans="1:7">
      <c r="A119">
        <v>214</v>
      </c>
      <c r="B119">
        <v>7411850820</v>
      </c>
      <c r="C119">
        <v>29.65</v>
      </c>
      <c r="D119">
        <v>0</v>
      </c>
      <c r="E119">
        <v>1012.21</v>
      </c>
      <c r="F119">
        <v>18578139</v>
      </c>
      <c r="G119">
        <v>155511970</v>
      </c>
    </row>
    <row r="120" spans="1:7">
      <c r="A120">
        <v>216</v>
      </c>
      <c r="B120">
        <v>6940905760</v>
      </c>
      <c r="C120">
        <v>27.76</v>
      </c>
      <c r="D120">
        <v>0</v>
      </c>
      <c r="E120">
        <v>1012.21</v>
      </c>
      <c r="F120">
        <v>18768343</v>
      </c>
      <c r="G120">
        <v>157107315</v>
      </c>
    </row>
    <row r="121" spans="1:7">
      <c r="A121">
        <v>218</v>
      </c>
      <c r="B121">
        <v>8049451600</v>
      </c>
      <c r="C121">
        <v>32.200000000000003</v>
      </c>
      <c r="D121">
        <v>0</v>
      </c>
      <c r="E121">
        <v>1012.21</v>
      </c>
      <c r="F121">
        <v>18958255</v>
      </c>
      <c r="G121">
        <v>158710050</v>
      </c>
    </row>
    <row r="122" spans="1:7">
      <c r="A122">
        <v>220</v>
      </c>
      <c r="B122">
        <v>7081195640</v>
      </c>
      <c r="C122">
        <v>28.32</v>
      </c>
      <c r="D122">
        <v>0</v>
      </c>
      <c r="E122">
        <v>1012.21</v>
      </c>
      <c r="F122">
        <v>19148050</v>
      </c>
      <c r="G122">
        <v>160307858</v>
      </c>
    </row>
    <row r="123" spans="1:7">
      <c r="A123">
        <v>222</v>
      </c>
      <c r="B123">
        <v>7409883220</v>
      </c>
      <c r="C123">
        <v>29.64</v>
      </c>
      <c r="D123">
        <v>0</v>
      </c>
      <c r="E123">
        <v>1012.21</v>
      </c>
      <c r="F123">
        <v>19337949</v>
      </c>
      <c r="G123">
        <v>161906388</v>
      </c>
    </row>
    <row r="124" spans="1:7">
      <c r="A124">
        <v>224</v>
      </c>
      <c r="B124">
        <v>7058371480</v>
      </c>
      <c r="C124">
        <v>28.23</v>
      </c>
      <c r="D124">
        <v>0</v>
      </c>
      <c r="E124">
        <v>1012.21</v>
      </c>
      <c r="F124">
        <v>19527364</v>
      </c>
      <c r="G124">
        <v>163502727</v>
      </c>
    </row>
    <row r="125" spans="1:7">
      <c r="A125">
        <v>226</v>
      </c>
      <c r="B125">
        <v>7610381660</v>
      </c>
      <c r="C125">
        <v>30.44</v>
      </c>
      <c r="D125">
        <v>0</v>
      </c>
      <c r="E125">
        <v>1012.21</v>
      </c>
      <c r="F125">
        <v>19717237</v>
      </c>
      <c r="G125">
        <v>165100500</v>
      </c>
    </row>
    <row r="126" spans="1:7">
      <c r="A126">
        <v>228</v>
      </c>
      <c r="B126">
        <v>7065258080</v>
      </c>
      <c r="C126">
        <v>28.26</v>
      </c>
      <c r="D126">
        <v>0</v>
      </c>
      <c r="E126">
        <v>1012.21</v>
      </c>
      <c r="F126">
        <v>19907342</v>
      </c>
      <c r="G126">
        <v>166700458</v>
      </c>
    </row>
    <row r="127" spans="1:7">
      <c r="A127">
        <v>230</v>
      </c>
      <c r="B127">
        <v>7042040400</v>
      </c>
      <c r="C127">
        <v>28.17</v>
      </c>
      <c r="D127">
        <v>0</v>
      </c>
      <c r="E127">
        <v>1012.21</v>
      </c>
      <c r="F127">
        <v>20096719</v>
      </c>
      <c r="G127">
        <v>168293389</v>
      </c>
    </row>
    <row r="128" spans="1:7">
      <c r="A128">
        <v>232</v>
      </c>
      <c r="B128">
        <v>7380762740</v>
      </c>
      <c r="C128">
        <v>29.52</v>
      </c>
      <c r="D128">
        <v>0</v>
      </c>
      <c r="E128">
        <v>1012.21</v>
      </c>
      <c r="F128">
        <v>20286933</v>
      </c>
      <c r="G128">
        <v>169893503</v>
      </c>
    </row>
    <row r="129" spans="1:7">
      <c r="A129">
        <v>234</v>
      </c>
      <c r="B129">
        <v>7353413100</v>
      </c>
      <c r="C129">
        <v>29.41</v>
      </c>
      <c r="D129">
        <v>0</v>
      </c>
      <c r="E129">
        <v>1012.21</v>
      </c>
      <c r="F129">
        <v>20476965</v>
      </c>
      <c r="G129">
        <v>171491995</v>
      </c>
    </row>
    <row r="130" spans="1:7">
      <c r="A130">
        <v>236</v>
      </c>
      <c r="B130">
        <v>7611070320</v>
      </c>
      <c r="C130">
        <v>30.45</v>
      </c>
      <c r="D130">
        <v>0</v>
      </c>
      <c r="E130">
        <v>1012.21</v>
      </c>
      <c r="F130">
        <v>20666378</v>
      </c>
      <c r="G130">
        <v>173089816</v>
      </c>
    </row>
    <row r="131" spans="1:7">
      <c r="A131">
        <v>238</v>
      </c>
      <c r="B131">
        <v>7722042960</v>
      </c>
      <c r="C131">
        <v>30.89</v>
      </c>
      <c r="D131">
        <v>0</v>
      </c>
      <c r="E131">
        <v>1012.21</v>
      </c>
      <c r="F131">
        <v>20856273</v>
      </c>
      <c r="G131">
        <v>174692681</v>
      </c>
    </row>
    <row r="132" spans="1:7">
      <c r="A132">
        <v>240</v>
      </c>
      <c r="B132">
        <v>7005246280</v>
      </c>
      <c r="C132">
        <v>28.02</v>
      </c>
      <c r="D132">
        <v>0</v>
      </c>
      <c r="E132">
        <v>1012.21</v>
      </c>
      <c r="F132">
        <v>21045826</v>
      </c>
      <c r="G132">
        <v>176291342</v>
      </c>
    </row>
    <row r="133" spans="1:7">
      <c r="A133">
        <v>242</v>
      </c>
      <c r="B133">
        <v>7496457620</v>
      </c>
      <c r="C133">
        <v>29.99</v>
      </c>
      <c r="D133">
        <v>0</v>
      </c>
      <c r="E133">
        <v>1012.21</v>
      </c>
      <c r="F133">
        <v>21235625</v>
      </c>
      <c r="G133">
        <v>177889364</v>
      </c>
    </row>
    <row r="134" spans="1:7">
      <c r="A134">
        <v>244</v>
      </c>
      <c r="B134">
        <v>7177411280</v>
      </c>
      <c r="C134">
        <v>28.71</v>
      </c>
      <c r="D134">
        <v>0</v>
      </c>
      <c r="E134">
        <v>1012.21</v>
      </c>
      <c r="F134">
        <v>21425430</v>
      </c>
      <c r="G134">
        <v>179489386</v>
      </c>
    </row>
    <row r="135" spans="1:7">
      <c r="A135">
        <v>246</v>
      </c>
      <c r="B135">
        <v>7311503220</v>
      </c>
      <c r="C135">
        <v>29.25</v>
      </c>
      <c r="D135">
        <v>0</v>
      </c>
      <c r="E135">
        <v>1012.21</v>
      </c>
      <c r="F135">
        <v>21614891</v>
      </c>
      <c r="G135">
        <v>181084998</v>
      </c>
    </row>
    <row r="136" spans="1:7">
      <c r="A136">
        <v>248</v>
      </c>
      <c r="B136">
        <v>7779693640</v>
      </c>
      <c r="C136">
        <v>31.12</v>
      </c>
      <c r="D136">
        <v>0</v>
      </c>
      <c r="E136">
        <v>1012.21</v>
      </c>
      <c r="F136">
        <v>21804044</v>
      </c>
      <c r="G136">
        <v>182681017</v>
      </c>
    </row>
    <row r="137" spans="1:7">
      <c r="A137">
        <v>250</v>
      </c>
      <c r="B137">
        <v>7580572520</v>
      </c>
      <c r="C137">
        <v>30.32</v>
      </c>
      <c r="D137">
        <v>0</v>
      </c>
      <c r="E137">
        <v>1012.21</v>
      </c>
      <c r="F137">
        <v>21993705</v>
      </c>
      <c r="G137">
        <v>184277627</v>
      </c>
    </row>
    <row r="138" spans="1:7">
      <c r="A138">
        <v>252</v>
      </c>
      <c r="B138">
        <v>7184593020</v>
      </c>
      <c r="C138">
        <v>28.74</v>
      </c>
      <c r="D138">
        <v>0</v>
      </c>
      <c r="E138">
        <v>1012.21</v>
      </c>
      <c r="F138">
        <v>22182887</v>
      </c>
      <c r="G138">
        <v>185875188</v>
      </c>
    </row>
    <row r="139" spans="1:7">
      <c r="A139">
        <v>254</v>
      </c>
      <c r="B139">
        <v>7491440240</v>
      </c>
      <c r="C139">
        <v>29.97</v>
      </c>
      <c r="D139">
        <v>0</v>
      </c>
      <c r="E139">
        <v>1012.21</v>
      </c>
      <c r="F139">
        <v>22371762</v>
      </c>
      <c r="G139">
        <v>187468927</v>
      </c>
    </row>
    <row r="140" spans="1:7">
      <c r="A140">
        <v>256</v>
      </c>
      <c r="B140">
        <v>7100182980</v>
      </c>
      <c r="C140">
        <v>28.4</v>
      </c>
      <c r="D140">
        <v>0</v>
      </c>
      <c r="E140">
        <v>1012.21</v>
      </c>
      <c r="F140">
        <v>22559952</v>
      </c>
      <c r="G140">
        <v>189059697</v>
      </c>
    </row>
    <row r="141" spans="1:7">
      <c r="A141">
        <v>258</v>
      </c>
      <c r="B141">
        <v>7303337680</v>
      </c>
      <c r="C141">
        <v>29.21</v>
      </c>
      <c r="D141">
        <v>0</v>
      </c>
      <c r="E141">
        <v>1012.21</v>
      </c>
      <c r="F141">
        <v>22748974</v>
      </c>
      <c r="G141">
        <v>190656027</v>
      </c>
    </row>
    <row r="142" spans="1:7">
      <c r="A142">
        <v>260</v>
      </c>
      <c r="B142">
        <v>7101363540</v>
      </c>
      <c r="C142">
        <v>28.4</v>
      </c>
      <c r="D142">
        <v>0</v>
      </c>
      <c r="E142">
        <v>1012.21</v>
      </c>
      <c r="F142">
        <v>22938448</v>
      </c>
      <c r="G142">
        <v>192253268</v>
      </c>
    </row>
    <row r="143" spans="1:7">
      <c r="A143">
        <v>262</v>
      </c>
      <c r="B143">
        <v>7293204540</v>
      </c>
      <c r="C143">
        <v>29.17</v>
      </c>
      <c r="D143">
        <v>0</v>
      </c>
      <c r="E143">
        <v>1012.21</v>
      </c>
      <c r="F143">
        <v>23127583</v>
      </c>
      <c r="G143">
        <v>193849561</v>
      </c>
    </row>
    <row r="144" spans="1:7">
      <c r="A144">
        <v>264</v>
      </c>
      <c r="B144">
        <v>7195021300</v>
      </c>
      <c r="C144">
        <v>28.78</v>
      </c>
      <c r="D144">
        <v>0</v>
      </c>
      <c r="E144">
        <v>1012.21</v>
      </c>
      <c r="F144">
        <v>23317389</v>
      </c>
      <c r="G144">
        <v>195446868</v>
      </c>
    </row>
    <row r="145" spans="1:7">
      <c r="A145">
        <v>266</v>
      </c>
      <c r="B145">
        <v>7438708560</v>
      </c>
      <c r="C145">
        <v>29.75</v>
      </c>
      <c r="D145">
        <v>0</v>
      </c>
      <c r="E145">
        <v>1012.21</v>
      </c>
      <c r="F145">
        <v>23506922</v>
      </c>
      <c r="G145">
        <v>197043489</v>
      </c>
    </row>
    <row r="146" spans="1:7">
      <c r="A146">
        <v>268</v>
      </c>
      <c r="B146">
        <v>7461926240</v>
      </c>
      <c r="C146">
        <v>29.85</v>
      </c>
      <c r="D146">
        <v>0</v>
      </c>
      <c r="E146">
        <v>1012.21</v>
      </c>
      <c r="F146">
        <v>23696531</v>
      </c>
      <c r="G146">
        <v>198641467</v>
      </c>
    </row>
    <row r="147" spans="1:7">
      <c r="A147">
        <v>270</v>
      </c>
      <c r="B147">
        <v>7253360640</v>
      </c>
      <c r="C147">
        <v>29.01</v>
      </c>
      <c r="D147">
        <v>0</v>
      </c>
      <c r="E147">
        <v>1012.21</v>
      </c>
      <c r="F147">
        <v>23886534</v>
      </c>
      <c r="G147">
        <v>200238848</v>
      </c>
    </row>
    <row r="148" spans="1:7">
      <c r="A148">
        <v>272</v>
      </c>
      <c r="B148">
        <v>7638518340</v>
      </c>
      <c r="C148">
        <v>30.56</v>
      </c>
      <c r="D148">
        <v>0</v>
      </c>
      <c r="E148">
        <v>1012.21</v>
      </c>
      <c r="F148">
        <v>24076470</v>
      </c>
      <c r="G148">
        <v>201835073</v>
      </c>
    </row>
    <row r="149" spans="1:7">
      <c r="A149">
        <v>274</v>
      </c>
      <c r="B149">
        <v>7050205940</v>
      </c>
      <c r="C149">
        <v>28.2</v>
      </c>
      <c r="D149">
        <v>0</v>
      </c>
      <c r="E149">
        <v>1012.21</v>
      </c>
      <c r="F149">
        <v>24266266</v>
      </c>
      <c r="G149">
        <v>203433497</v>
      </c>
    </row>
    <row r="150" spans="1:7">
      <c r="A150">
        <v>276</v>
      </c>
      <c r="B150">
        <v>7146815100</v>
      </c>
      <c r="C150">
        <v>28.59</v>
      </c>
      <c r="D150">
        <v>0</v>
      </c>
      <c r="E150">
        <v>1012.21</v>
      </c>
      <c r="F150">
        <v>24455558</v>
      </c>
      <c r="G150">
        <v>205027482</v>
      </c>
    </row>
    <row r="151" spans="1:7">
      <c r="A151">
        <v>278</v>
      </c>
      <c r="B151">
        <v>7193348840</v>
      </c>
      <c r="C151">
        <v>28.77</v>
      </c>
      <c r="D151">
        <v>0</v>
      </c>
      <c r="E151">
        <v>1012.21</v>
      </c>
      <c r="F151">
        <v>24644835</v>
      </c>
      <c r="G151">
        <v>206620308</v>
      </c>
    </row>
    <row r="152" spans="1:7">
      <c r="A152">
        <v>280</v>
      </c>
      <c r="B152">
        <v>7667933960</v>
      </c>
      <c r="C152">
        <v>30.67</v>
      </c>
      <c r="D152">
        <v>0</v>
      </c>
      <c r="E152">
        <v>1012.21</v>
      </c>
      <c r="F152">
        <v>24834239</v>
      </c>
      <c r="G152">
        <v>208218290</v>
      </c>
    </row>
    <row r="153" spans="1:7">
      <c r="A153">
        <v>282</v>
      </c>
      <c r="B153">
        <v>7801730760</v>
      </c>
      <c r="C153">
        <v>31.21</v>
      </c>
      <c r="D153">
        <v>0</v>
      </c>
      <c r="E153">
        <v>1012.21</v>
      </c>
      <c r="F153">
        <v>25024039</v>
      </c>
      <c r="G153">
        <v>209819071</v>
      </c>
    </row>
    <row r="154" spans="1:7">
      <c r="A154">
        <v>284</v>
      </c>
      <c r="B154">
        <v>7011149080</v>
      </c>
      <c r="C154">
        <v>28.04</v>
      </c>
      <c r="D154">
        <v>0</v>
      </c>
      <c r="E154">
        <v>1012.21</v>
      </c>
      <c r="F154">
        <v>25213607</v>
      </c>
      <c r="G154">
        <v>211418047</v>
      </c>
    </row>
    <row r="155" spans="1:7">
      <c r="A155">
        <v>286</v>
      </c>
      <c r="B155">
        <v>7381156260</v>
      </c>
      <c r="C155">
        <v>29.53</v>
      </c>
      <c r="D155">
        <v>0</v>
      </c>
      <c r="E155">
        <v>1012.21</v>
      </c>
      <c r="F155">
        <v>25402754</v>
      </c>
      <c r="G155">
        <v>213015069</v>
      </c>
    </row>
    <row r="156" spans="1:7">
      <c r="A156">
        <v>288</v>
      </c>
      <c r="B156">
        <v>7296746220</v>
      </c>
      <c r="C156">
        <v>29.19</v>
      </c>
      <c r="D156">
        <v>0</v>
      </c>
      <c r="E156">
        <v>1012.21</v>
      </c>
      <c r="F156">
        <v>25592004</v>
      </c>
      <c r="G156">
        <v>214614146</v>
      </c>
    </row>
    <row r="157" spans="1:7">
      <c r="A157">
        <v>290</v>
      </c>
      <c r="B157">
        <v>7285530900</v>
      </c>
      <c r="C157">
        <v>29.14</v>
      </c>
      <c r="D157">
        <v>0</v>
      </c>
      <c r="E157">
        <v>1012.21</v>
      </c>
      <c r="F157">
        <v>25781022</v>
      </c>
      <c r="G157">
        <v>216210640</v>
      </c>
    </row>
    <row r="158" spans="1:7">
      <c r="A158">
        <v>292</v>
      </c>
      <c r="B158">
        <v>7099199180</v>
      </c>
      <c r="C158">
        <v>28.4</v>
      </c>
      <c r="D158">
        <v>0</v>
      </c>
      <c r="E158">
        <v>1012.21</v>
      </c>
      <c r="F158">
        <v>25970085</v>
      </c>
      <c r="G158">
        <v>217803850</v>
      </c>
    </row>
    <row r="159" spans="1:7">
      <c r="A159">
        <v>294</v>
      </c>
      <c r="B159">
        <v>7251884940</v>
      </c>
      <c r="C159">
        <v>29.01</v>
      </c>
      <c r="D159">
        <v>0</v>
      </c>
      <c r="E159">
        <v>1012.21</v>
      </c>
      <c r="F159">
        <v>26159226</v>
      </c>
      <c r="G159">
        <v>219399027</v>
      </c>
    </row>
    <row r="160" spans="1:7">
      <c r="A160">
        <v>296</v>
      </c>
      <c r="B160">
        <v>7696956060</v>
      </c>
      <c r="C160">
        <v>30.79</v>
      </c>
      <c r="D160">
        <v>0</v>
      </c>
      <c r="E160">
        <v>1012.21</v>
      </c>
      <c r="F160">
        <v>26348681</v>
      </c>
      <c r="G160">
        <v>220998304</v>
      </c>
    </row>
    <row r="161" spans="1:156">
      <c r="A161">
        <v>298</v>
      </c>
      <c r="B161">
        <v>7582540120</v>
      </c>
      <c r="C161">
        <v>30.33</v>
      </c>
      <c r="D161">
        <v>0</v>
      </c>
      <c r="E161">
        <v>1012.21</v>
      </c>
      <c r="F161">
        <v>26538400</v>
      </c>
      <c r="G161">
        <v>222599919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10449683</v>
      </c>
      <c r="D164">
        <v>0</v>
      </c>
      <c r="E164">
        <v>28.7088</v>
      </c>
      <c r="F164" s="4">
        <v>301998000</v>
      </c>
      <c r="G164">
        <v>27414.6</v>
      </c>
      <c r="H164">
        <v>224329922</v>
      </c>
      <c r="I164">
        <v>0</v>
      </c>
      <c r="J164">
        <v>0</v>
      </c>
      <c r="K164" t="s">
        <v>118</v>
      </c>
      <c r="L164">
        <v>0</v>
      </c>
      <c r="M164">
        <v>10449683</v>
      </c>
      <c r="N164">
        <v>1028039813540</v>
      </c>
      <c r="O164">
        <v>28.701699999999999</v>
      </c>
      <c r="P164">
        <v>299923367</v>
      </c>
      <c r="Q164">
        <v>27421.4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53</v>
      </c>
      <c r="AA164">
        <v>9983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26768553</v>
      </c>
      <c r="AQ164">
        <v>1766724464</v>
      </c>
      <c r="AR164">
        <v>0</v>
      </c>
      <c r="AS164">
        <v>0</v>
      </c>
      <c r="AT164">
        <v>224329926</v>
      </c>
      <c r="AU164">
        <v>2021731015796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50</v>
      </c>
      <c r="BE164">
        <v>8918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102</v>
      </c>
      <c r="CC164">
        <v>26768525</v>
      </c>
      <c r="CD164">
        <v>0</v>
      </c>
      <c r="CE164">
        <v>224329922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83826</v>
      </c>
      <c r="CL164">
        <v>3942722</v>
      </c>
      <c r="CM164">
        <v>0</v>
      </c>
      <c r="CN164">
        <v>0</v>
      </c>
      <c r="CO164">
        <v>753</v>
      </c>
      <c r="CP164">
        <v>293400</v>
      </c>
      <c r="CQ164">
        <v>0</v>
      </c>
      <c r="CR164">
        <v>0</v>
      </c>
      <c r="CS164" t="s">
        <v>209</v>
      </c>
      <c r="CT164" t="s">
        <v>47</v>
      </c>
      <c r="CU164">
        <v>224415084</v>
      </c>
      <c r="CV164">
        <v>2021736253242</v>
      </c>
      <c r="CW164">
        <v>0</v>
      </c>
      <c r="CX164">
        <v>0</v>
      </c>
      <c r="CY164">
        <v>26770521</v>
      </c>
      <c r="CZ164">
        <v>1767175902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35900682</v>
      </c>
      <c r="DP164">
        <v>2008792107806</v>
      </c>
      <c r="DQ164">
        <v>0</v>
      </c>
      <c r="DR164">
        <v>0</v>
      </c>
      <c r="DS164">
        <v>26769661</v>
      </c>
      <c r="DT164">
        <v>1766864532</v>
      </c>
      <c r="DU164">
        <v>0</v>
      </c>
      <c r="DV164">
        <v>0</v>
      </c>
      <c r="DW164" t="s">
        <v>211</v>
      </c>
      <c r="DX164" t="s">
        <v>47</v>
      </c>
      <c r="DY164">
        <v>11147</v>
      </c>
      <c r="DZ164">
        <v>1114700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35900212</v>
      </c>
      <c r="EI164">
        <v>6</v>
      </c>
      <c r="EJ164">
        <v>26769408</v>
      </c>
      <c r="EK164">
        <v>35</v>
      </c>
      <c r="EL164">
        <v>37</v>
      </c>
      <c r="EM164" t="s">
        <v>108</v>
      </c>
      <c r="EN164" t="s">
        <v>212</v>
      </c>
      <c r="EO164">
        <v>224415083</v>
      </c>
      <c r="EP164">
        <v>26770522</v>
      </c>
      <c r="EQ164">
        <v>224426558</v>
      </c>
      <c r="ER164">
        <v>26770522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45</v>
      </c>
      <c r="E166">
        <v>54</v>
      </c>
      <c r="F166">
        <v>0</v>
      </c>
      <c r="G166">
        <v>1</v>
      </c>
      <c r="H166">
        <v>14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81</v>
      </c>
      <c r="E167">
        <v>18</v>
      </c>
      <c r="F167">
        <v>0</v>
      </c>
      <c r="G167">
        <v>2</v>
      </c>
      <c r="H167">
        <v>18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60</v>
      </c>
      <c r="E168">
        <v>38</v>
      </c>
      <c r="F168">
        <v>0</v>
      </c>
      <c r="G168">
        <v>1</v>
      </c>
      <c r="H168">
        <v>3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18</v>
      </c>
      <c r="E169">
        <v>81</v>
      </c>
      <c r="F169">
        <v>0</v>
      </c>
      <c r="G169">
        <v>0</v>
      </c>
      <c r="H169">
        <v>17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20</v>
      </c>
      <c r="E170">
        <v>79</v>
      </c>
      <c r="F170">
        <v>0</v>
      </c>
      <c r="G170">
        <v>3</v>
      </c>
      <c r="H170">
        <v>17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3</v>
      </c>
      <c r="E172">
        <v>96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5</v>
      </c>
      <c r="C179">
        <v>0</v>
      </c>
      <c r="D179">
        <v>90</v>
      </c>
      <c r="E179">
        <v>4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91</v>
      </c>
      <c r="E180">
        <v>3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4</v>
      </c>
      <c r="E185">
        <v>95</v>
      </c>
      <c r="F185">
        <v>0</v>
      </c>
      <c r="G185">
        <v>0</v>
      </c>
      <c r="H185">
        <v>4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Z228"/>
  <sheetViews>
    <sheetView topLeftCell="A49" workbookViewId="0"/>
  </sheetViews>
  <sheetFormatPr defaultRowHeight="12.5"/>
  <cols>
    <col min="2" max="2" width="13.08984375" customWidth="1"/>
    <col min="9" max="9" width="14.6328125" customWidth="1"/>
  </cols>
  <sheetData>
    <row r="1" spans="1:7">
      <c r="A1" t="s">
        <v>246</v>
      </c>
      <c r="B1">
        <v>34</v>
      </c>
      <c r="C1" t="s">
        <v>196</v>
      </c>
      <c r="D1" t="s">
        <v>60</v>
      </c>
      <c r="E1" t="s">
        <v>254</v>
      </c>
    </row>
    <row r="2" spans="1:7">
      <c r="A2" t="s">
        <v>61</v>
      </c>
      <c r="B2" t="s">
        <v>248</v>
      </c>
      <c r="C2">
        <v>2</v>
      </c>
    </row>
    <row r="3" spans="1:7">
      <c r="A3" t="s">
        <v>249</v>
      </c>
    </row>
    <row r="4" spans="1:7">
      <c r="A4" t="s">
        <v>255</v>
      </c>
    </row>
    <row r="5" spans="1:7">
      <c r="A5" t="s">
        <v>62</v>
      </c>
      <c r="B5" t="s">
        <v>213</v>
      </c>
      <c r="C5" t="s">
        <v>63</v>
      </c>
      <c r="D5" t="s">
        <v>256</v>
      </c>
    </row>
    <row r="6" spans="1:7">
      <c r="A6" t="s">
        <v>214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193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22725780</v>
      </c>
      <c r="C13">
        <v>0.09</v>
      </c>
      <c r="D13">
        <v>0</v>
      </c>
      <c r="E13">
        <v>5.64</v>
      </c>
      <c r="F13">
        <v>661</v>
      </c>
      <c r="G13">
        <v>2760</v>
      </c>
    </row>
    <row r="14" spans="1:7">
      <c r="A14">
        <v>4</v>
      </c>
      <c r="B14">
        <v>200793580</v>
      </c>
      <c r="C14">
        <v>0.8</v>
      </c>
      <c r="D14">
        <v>0</v>
      </c>
      <c r="E14">
        <v>24.21</v>
      </c>
      <c r="F14">
        <v>5563</v>
      </c>
      <c r="G14">
        <v>32137</v>
      </c>
    </row>
    <row r="15" spans="1:7">
      <c r="A15">
        <v>6</v>
      </c>
      <c r="B15">
        <v>225486960</v>
      </c>
      <c r="C15">
        <v>0.9</v>
      </c>
      <c r="D15">
        <v>0</v>
      </c>
      <c r="E15">
        <v>35.28</v>
      </c>
      <c r="F15">
        <v>12717</v>
      </c>
      <c r="G15">
        <v>76356</v>
      </c>
    </row>
    <row r="16" spans="1:7">
      <c r="A16">
        <v>8</v>
      </c>
      <c r="B16">
        <v>371974780</v>
      </c>
      <c r="C16">
        <v>1.49</v>
      </c>
      <c r="D16">
        <v>0</v>
      </c>
      <c r="E16">
        <v>51.44</v>
      </c>
      <c r="F16">
        <v>23571</v>
      </c>
      <c r="G16">
        <v>140944</v>
      </c>
    </row>
    <row r="17" spans="1:7">
      <c r="A17">
        <v>10</v>
      </c>
      <c r="B17">
        <v>549353920</v>
      </c>
      <c r="C17">
        <v>2.2000000000000002</v>
      </c>
      <c r="D17">
        <v>0</v>
      </c>
      <c r="E17">
        <v>75.55</v>
      </c>
      <c r="F17">
        <v>40569</v>
      </c>
      <c r="G17">
        <v>237174</v>
      </c>
    </row>
    <row r="18" spans="1:7">
      <c r="A18">
        <v>12</v>
      </c>
      <c r="B18">
        <v>828851500</v>
      </c>
      <c r="C18">
        <v>3.32</v>
      </c>
      <c r="D18">
        <v>0</v>
      </c>
      <c r="E18">
        <v>110.14</v>
      </c>
      <c r="F18">
        <v>65155</v>
      </c>
      <c r="G18">
        <v>375354</v>
      </c>
    </row>
    <row r="19" spans="1:7">
      <c r="A19">
        <v>14</v>
      </c>
      <c r="B19">
        <v>1241162080</v>
      </c>
      <c r="C19">
        <v>4.96</v>
      </c>
      <c r="D19">
        <v>0</v>
      </c>
      <c r="E19">
        <v>160.61000000000001</v>
      </c>
      <c r="F19">
        <v>101181</v>
      </c>
      <c r="G19">
        <v>576933</v>
      </c>
    </row>
    <row r="20" spans="1:7">
      <c r="A20">
        <v>16</v>
      </c>
      <c r="B20">
        <v>1505312380</v>
      </c>
      <c r="C20">
        <v>6.02</v>
      </c>
      <c r="D20">
        <v>0</v>
      </c>
      <c r="E20">
        <v>234.2</v>
      </c>
      <c r="F20">
        <v>150365</v>
      </c>
      <c r="G20">
        <v>871066</v>
      </c>
    </row>
    <row r="21" spans="1:7">
      <c r="A21">
        <v>18</v>
      </c>
      <c r="B21">
        <v>2723847060</v>
      </c>
      <c r="C21">
        <v>10.9</v>
      </c>
      <c r="D21">
        <v>0</v>
      </c>
      <c r="E21">
        <v>343.63</v>
      </c>
      <c r="F21">
        <v>216332</v>
      </c>
      <c r="G21">
        <v>1308180</v>
      </c>
    </row>
    <row r="22" spans="1:7">
      <c r="A22">
        <v>20</v>
      </c>
      <c r="B22">
        <v>3168426280</v>
      </c>
      <c r="C22">
        <v>12.67</v>
      </c>
      <c r="D22">
        <v>0</v>
      </c>
      <c r="E22">
        <v>480.31</v>
      </c>
      <c r="F22">
        <v>309730</v>
      </c>
      <c r="G22">
        <v>1933932</v>
      </c>
    </row>
    <row r="23" spans="1:7">
      <c r="A23">
        <v>22</v>
      </c>
      <c r="B23">
        <v>4417163620</v>
      </c>
      <c r="C23">
        <v>17.670000000000002</v>
      </c>
      <c r="D23">
        <v>0</v>
      </c>
      <c r="E23">
        <v>646.02</v>
      </c>
      <c r="F23">
        <v>439952</v>
      </c>
      <c r="G23">
        <v>2785685</v>
      </c>
    </row>
    <row r="24" spans="1:7">
      <c r="A24">
        <v>24</v>
      </c>
      <c r="B24">
        <v>6250278160</v>
      </c>
      <c r="C24">
        <v>25</v>
      </c>
      <c r="D24">
        <v>0</v>
      </c>
      <c r="E24">
        <v>884.98</v>
      </c>
      <c r="F24">
        <v>599600</v>
      </c>
      <c r="G24">
        <v>3939838</v>
      </c>
    </row>
    <row r="25" spans="1:7">
      <c r="A25">
        <v>26</v>
      </c>
      <c r="B25">
        <v>6936872180</v>
      </c>
      <c r="C25">
        <v>27.75</v>
      </c>
      <c r="D25">
        <v>0</v>
      </c>
      <c r="E25">
        <v>949.45</v>
      </c>
      <c r="F25">
        <v>762892</v>
      </c>
      <c r="G25">
        <v>5398993</v>
      </c>
    </row>
    <row r="26" spans="1:7">
      <c r="A26">
        <v>28</v>
      </c>
      <c r="B26">
        <v>6632582840</v>
      </c>
      <c r="C26">
        <v>26.53</v>
      </c>
      <c r="D26">
        <v>0</v>
      </c>
      <c r="E26">
        <v>949.45</v>
      </c>
      <c r="F26">
        <v>944776</v>
      </c>
      <c r="G26">
        <v>6949429</v>
      </c>
    </row>
    <row r="27" spans="1:7">
      <c r="A27">
        <v>30</v>
      </c>
      <c r="B27">
        <v>7513870880</v>
      </c>
      <c r="C27">
        <v>30.06</v>
      </c>
      <c r="D27">
        <v>0</v>
      </c>
      <c r="E27">
        <v>949.45</v>
      </c>
      <c r="F27">
        <v>1131877</v>
      </c>
      <c r="G27">
        <v>8526350</v>
      </c>
    </row>
    <row r="28" spans="1:7">
      <c r="A28">
        <v>32</v>
      </c>
      <c r="B28">
        <v>6588902120</v>
      </c>
      <c r="C28">
        <v>26.36</v>
      </c>
      <c r="D28">
        <v>0</v>
      </c>
      <c r="E28">
        <v>949.45</v>
      </c>
      <c r="F28">
        <v>1320057</v>
      </c>
      <c r="G28">
        <v>10115283</v>
      </c>
    </row>
    <row r="29" spans="1:7">
      <c r="A29">
        <v>34</v>
      </c>
      <c r="B29">
        <v>6744834420</v>
      </c>
      <c r="C29">
        <v>26.98</v>
      </c>
      <c r="D29">
        <v>0</v>
      </c>
      <c r="E29">
        <v>949.45</v>
      </c>
      <c r="F29">
        <v>1509253</v>
      </c>
      <c r="G29">
        <v>11709256</v>
      </c>
    </row>
    <row r="30" spans="1:7">
      <c r="A30">
        <v>36</v>
      </c>
      <c r="B30">
        <v>7042827440</v>
      </c>
      <c r="C30">
        <v>28.17</v>
      </c>
      <c r="D30">
        <v>0</v>
      </c>
      <c r="E30">
        <v>949.45</v>
      </c>
      <c r="F30">
        <v>1698900</v>
      </c>
      <c r="G30">
        <v>13308969</v>
      </c>
    </row>
    <row r="31" spans="1:7">
      <c r="A31">
        <v>38</v>
      </c>
      <c r="B31">
        <v>7449530360</v>
      </c>
      <c r="C31">
        <v>29.8</v>
      </c>
      <c r="D31">
        <v>0</v>
      </c>
      <c r="E31">
        <v>949.45</v>
      </c>
      <c r="F31">
        <v>1888642</v>
      </c>
      <c r="G31">
        <v>14906958</v>
      </c>
    </row>
    <row r="32" spans="1:7">
      <c r="A32">
        <v>40</v>
      </c>
      <c r="B32">
        <v>6355446380</v>
      </c>
      <c r="C32">
        <v>25.42</v>
      </c>
      <c r="D32">
        <v>0</v>
      </c>
      <c r="E32">
        <v>949.45</v>
      </c>
      <c r="F32">
        <v>2078856</v>
      </c>
      <c r="G32">
        <v>16504079</v>
      </c>
    </row>
    <row r="33" spans="1:7">
      <c r="A33">
        <v>42</v>
      </c>
      <c r="B33">
        <v>6814093940</v>
      </c>
      <c r="C33">
        <v>27.26</v>
      </c>
      <c r="D33">
        <v>0</v>
      </c>
      <c r="E33">
        <v>949.45</v>
      </c>
      <c r="F33">
        <v>2268916</v>
      </c>
      <c r="G33">
        <v>18101852</v>
      </c>
    </row>
    <row r="34" spans="1:7">
      <c r="A34">
        <v>44</v>
      </c>
      <c r="B34">
        <v>7491833760</v>
      </c>
      <c r="C34">
        <v>29.97</v>
      </c>
      <c r="D34">
        <v>0</v>
      </c>
      <c r="E34">
        <v>949.45</v>
      </c>
      <c r="F34">
        <v>2458477</v>
      </c>
      <c r="G34">
        <v>19702402</v>
      </c>
    </row>
    <row r="35" spans="1:7">
      <c r="A35">
        <v>46</v>
      </c>
      <c r="B35">
        <v>6396372460</v>
      </c>
      <c r="C35">
        <v>25.59</v>
      </c>
      <c r="D35">
        <v>0</v>
      </c>
      <c r="E35">
        <v>949.45</v>
      </c>
      <c r="F35">
        <v>2648243</v>
      </c>
      <c r="G35">
        <v>21298231</v>
      </c>
    </row>
    <row r="36" spans="1:7">
      <c r="A36">
        <v>48</v>
      </c>
      <c r="B36">
        <v>7279037820</v>
      </c>
      <c r="C36">
        <v>29.12</v>
      </c>
      <c r="D36">
        <v>0</v>
      </c>
      <c r="E36">
        <v>949.45</v>
      </c>
      <c r="F36">
        <v>2837751</v>
      </c>
      <c r="G36">
        <v>22893651</v>
      </c>
    </row>
    <row r="37" spans="1:7">
      <c r="A37">
        <v>50</v>
      </c>
      <c r="B37">
        <v>6571685620</v>
      </c>
      <c r="C37">
        <v>26.29</v>
      </c>
      <c r="D37">
        <v>0</v>
      </c>
      <c r="E37">
        <v>949.45</v>
      </c>
      <c r="F37">
        <v>3027309</v>
      </c>
      <c r="G37">
        <v>24488643</v>
      </c>
    </row>
    <row r="38" spans="1:7">
      <c r="A38">
        <v>52</v>
      </c>
      <c r="B38">
        <v>7092509340</v>
      </c>
      <c r="C38">
        <v>28.37</v>
      </c>
      <c r="D38">
        <v>0</v>
      </c>
      <c r="E38">
        <v>949.45</v>
      </c>
      <c r="F38">
        <v>3216326</v>
      </c>
      <c r="G38">
        <v>26082426</v>
      </c>
    </row>
    <row r="39" spans="1:7">
      <c r="A39">
        <v>54</v>
      </c>
      <c r="B39">
        <v>6807797620</v>
      </c>
      <c r="C39">
        <v>27.23</v>
      </c>
      <c r="D39">
        <v>0</v>
      </c>
      <c r="E39">
        <v>949.45</v>
      </c>
      <c r="F39">
        <v>3405857</v>
      </c>
      <c r="G39">
        <v>27678000</v>
      </c>
    </row>
    <row r="40" spans="1:7">
      <c r="A40">
        <v>56</v>
      </c>
      <c r="B40">
        <v>6948481020</v>
      </c>
      <c r="C40">
        <v>27.79</v>
      </c>
      <c r="D40">
        <v>0</v>
      </c>
      <c r="E40">
        <v>949.45</v>
      </c>
      <c r="F40">
        <v>3594942</v>
      </c>
      <c r="G40">
        <v>29273953</v>
      </c>
    </row>
    <row r="41" spans="1:7">
      <c r="A41">
        <v>58</v>
      </c>
      <c r="B41">
        <v>7096346160</v>
      </c>
      <c r="C41">
        <v>28.39</v>
      </c>
      <c r="D41">
        <v>0</v>
      </c>
      <c r="E41">
        <v>949.45</v>
      </c>
      <c r="F41">
        <v>3784494</v>
      </c>
      <c r="G41">
        <v>30871369</v>
      </c>
    </row>
    <row r="42" spans="1:7">
      <c r="A42">
        <v>60</v>
      </c>
      <c r="B42">
        <v>6616546900</v>
      </c>
      <c r="C42">
        <v>26.47</v>
      </c>
      <c r="D42">
        <v>0</v>
      </c>
      <c r="E42">
        <v>949.45</v>
      </c>
      <c r="F42">
        <v>3973990</v>
      </c>
      <c r="G42">
        <v>32466501</v>
      </c>
    </row>
    <row r="43" spans="1:7">
      <c r="A43">
        <v>62</v>
      </c>
      <c r="B43">
        <v>7477371900</v>
      </c>
      <c r="C43">
        <v>29.91</v>
      </c>
      <c r="D43">
        <v>0</v>
      </c>
      <c r="E43">
        <v>949.45</v>
      </c>
      <c r="F43">
        <v>4163466</v>
      </c>
      <c r="G43">
        <v>34064181</v>
      </c>
    </row>
    <row r="44" spans="1:7">
      <c r="A44">
        <v>64</v>
      </c>
      <c r="B44">
        <v>6443693240</v>
      </c>
      <c r="C44">
        <v>25.78</v>
      </c>
      <c r="D44">
        <v>0</v>
      </c>
      <c r="E44">
        <v>949.45</v>
      </c>
      <c r="F44">
        <v>4352362</v>
      </c>
      <c r="G44">
        <v>35657092</v>
      </c>
    </row>
    <row r="45" spans="1:7">
      <c r="A45">
        <v>66</v>
      </c>
      <c r="B45">
        <v>6835442400</v>
      </c>
      <c r="C45">
        <v>27.34</v>
      </c>
      <c r="D45">
        <v>0</v>
      </c>
      <c r="E45">
        <v>949.45</v>
      </c>
      <c r="F45">
        <v>4541262</v>
      </c>
      <c r="G45">
        <v>37249791</v>
      </c>
    </row>
    <row r="46" spans="1:7">
      <c r="A46">
        <v>68</v>
      </c>
      <c r="B46">
        <v>7168753840</v>
      </c>
      <c r="C46">
        <v>28.67</v>
      </c>
      <c r="D46">
        <v>0</v>
      </c>
      <c r="E46">
        <v>949.45</v>
      </c>
      <c r="F46">
        <v>4730699</v>
      </c>
      <c r="G46">
        <v>38849014</v>
      </c>
    </row>
    <row r="47" spans="1:7">
      <c r="A47">
        <v>70</v>
      </c>
      <c r="B47">
        <v>7178690220</v>
      </c>
      <c r="C47">
        <v>28.71</v>
      </c>
      <c r="D47">
        <v>0</v>
      </c>
      <c r="E47">
        <v>949.45</v>
      </c>
      <c r="F47">
        <v>4920649</v>
      </c>
      <c r="G47">
        <v>40448409</v>
      </c>
    </row>
    <row r="48" spans="1:7">
      <c r="A48">
        <v>72</v>
      </c>
      <c r="B48">
        <v>6447431680</v>
      </c>
      <c r="C48">
        <v>25.79</v>
      </c>
      <c r="D48">
        <v>0</v>
      </c>
      <c r="E48">
        <v>949.45</v>
      </c>
      <c r="F48">
        <v>5109812</v>
      </c>
      <c r="G48">
        <v>42040626</v>
      </c>
    </row>
    <row r="49" spans="1:7">
      <c r="A49">
        <v>74</v>
      </c>
      <c r="B49">
        <v>7550369860</v>
      </c>
      <c r="C49">
        <v>30.2</v>
      </c>
      <c r="D49">
        <v>0</v>
      </c>
      <c r="E49">
        <v>949.45</v>
      </c>
      <c r="F49">
        <v>5299223</v>
      </c>
      <c r="G49">
        <v>43637227</v>
      </c>
    </row>
    <row r="50" spans="1:7">
      <c r="A50">
        <v>76</v>
      </c>
      <c r="B50">
        <v>6400996320</v>
      </c>
      <c r="C50">
        <v>25.6</v>
      </c>
      <c r="D50">
        <v>0</v>
      </c>
      <c r="E50">
        <v>949.45</v>
      </c>
      <c r="F50">
        <v>5489020</v>
      </c>
      <c r="G50">
        <v>45234684</v>
      </c>
    </row>
    <row r="51" spans="1:7">
      <c r="A51">
        <v>78</v>
      </c>
      <c r="B51">
        <v>6784579940</v>
      </c>
      <c r="C51">
        <v>27.14</v>
      </c>
      <c r="D51">
        <v>0</v>
      </c>
      <c r="E51">
        <v>949.45</v>
      </c>
      <c r="F51">
        <v>5678807</v>
      </c>
      <c r="G51">
        <v>46830941</v>
      </c>
    </row>
    <row r="52" spans="1:7">
      <c r="A52">
        <v>80</v>
      </c>
      <c r="B52">
        <v>7387059060</v>
      </c>
      <c r="C52">
        <v>29.55</v>
      </c>
      <c r="D52">
        <v>0</v>
      </c>
      <c r="E52">
        <v>949.45</v>
      </c>
      <c r="F52">
        <v>5867765</v>
      </c>
      <c r="G52">
        <v>48430255</v>
      </c>
    </row>
    <row r="53" spans="1:7">
      <c r="A53">
        <v>82</v>
      </c>
      <c r="B53">
        <v>6592640560</v>
      </c>
      <c r="C53">
        <v>26.37</v>
      </c>
      <c r="D53">
        <v>0</v>
      </c>
      <c r="E53">
        <v>949.45</v>
      </c>
      <c r="F53">
        <v>6057127</v>
      </c>
      <c r="G53">
        <v>50028537</v>
      </c>
    </row>
    <row r="54" spans="1:7">
      <c r="A54">
        <v>84</v>
      </c>
      <c r="B54">
        <v>6842919280</v>
      </c>
      <c r="C54">
        <v>27.37</v>
      </c>
      <c r="D54">
        <v>0</v>
      </c>
      <c r="E54">
        <v>949.45</v>
      </c>
      <c r="F54">
        <v>6246563</v>
      </c>
      <c r="G54">
        <v>51620674</v>
      </c>
    </row>
    <row r="55" spans="1:7">
      <c r="A55">
        <v>86</v>
      </c>
      <c r="B55">
        <v>7075391220</v>
      </c>
      <c r="C55">
        <v>28.3</v>
      </c>
      <c r="D55">
        <v>0</v>
      </c>
      <c r="E55">
        <v>949.45</v>
      </c>
      <c r="F55">
        <v>6435723</v>
      </c>
      <c r="G55">
        <v>53218157</v>
      </c>
    </row>
    <row r="56" spans="1:7">
      <c r="A56">
        <v>88</v>
      </c>
      <c r="B56">
        <v>7327047260</v>
      </c>
      <c r="C56">
        <v>29.31</v>
      </c>
      <c r="D56">
        <v>0</v>
      </c>
      <c r="E56">
        <v>949.45</v>
      </c>
      <c r="F56">
        <v>6625283</v>
      </c>
      <c r="G56">
        <v>54819992</v>
      </c>
    </row>
    <row r="57" spans="1:7">
      <c r="A57">
        <v>90</v>
      </c>
      <c r="B57">
        <v>6473600760</v>
      </c>
      <c r="C57">
        <v>25.89</v>
      </c>
      <c r="D57">
        <v>0</v>
      </c>
      <c r="E57">
        <v>949.45</v>
      </c>
      <c r="F57">
        <v>6814918</v>
      </c>
      <c r="G57">
        <v>56420513</v>
      </c>
    </row>
    <row r="58" spans="1:7">
      <c r="A58">
        <v>92</v>
      </c>
      <c r="B58">
        <v>6930575860</v>
      </c>
      <c r="C58">
        <v>27.72</v>
      </c>
      <c r="D58">
        <v>0</v>
      </c>
      <c r="E58">
        <v>949.45</v>
      </c>
      <c r="F58">
        <v>7003725</v>
      </c>
      <c r="G58">
        <v>58015495</v>
      </c>
    </row>
    <row r="59" spans="1:7">
      <c r="A59">
        <v>94</v>
      </c>
      <c r="B59">
        <v>7595427900</v>
      </c>
      <c r="C59">
        <v>30.38</v>
      </c>
      <c r="D59">
        <v>0</v>
      </c>
      <c r="E59">
        <v>949.45</v>
      </c>
      <c r="F59">
        <v>7193249</v>
      </c>
      <c r="G59">
        <v>59614836</v>
      </c>
    </row>
    <row r="60" spans="1:7">
      <c r="A60">
        <v>96</v>
      </c>
      <c r="B60">
        <v>6441528880</v>
      </c>
      <c r="C60">
        <v>25.77</v>
      </c>
      <c r="D60">
        <v>0</v>
      </c>
      <c r="E60">
        <v>949.45</v>
      </c>
      <c r="F60">
        <v>7382802</v>
      </c>
      <c r="G60">
        <v>61212218</v>
      </c>
    </row>
    <row r="61" spans="1:7">
      <c r="A61">
        <v>98</v>
      </c>
      <c r="B61">
        <v>6778382000</v>
      </c>
      <c r="C61">
        <v>27.11</v>
      </c>
      <c r="D61">
        <v>0</v>
      </c>
      <c r="E61">
        <v>949.45</v>
      </c>
      <c r="F61">
        <v>7572802</v>
      </c>
      <c r="G61">
        <v>62812352</v>
      </c>
    </row>
    <row r="62" spans="1:7">
      <c r="A62">
        <v>100</v>
      </c>
      <c r="B62">
        <v>7508361600</v>
      </c>
      <c r="C62">
        <v>30.03</v>
      </c>
      <c r="D62">
        <v>0</v>
      </c>
      <c r="E62">
        <v>949.45</v>
      </c>
      <c r="F62">
        <v>7762466</v>
      </c>
      <c r="G62">
        <v>64413925</v>
      </c>
    </row>
    <row r="63" spans="1:7">
      <c r="A63">
        <v>102</v>
      </c>
      <c r="B63">
        <v>6418704720</v>
      </c>
      <c r="C63">
        <v>25.68</v>
      </c>
      <c r="D63">
        <v>0</v>
      </c>
      <c r="E63">
        <v>949.45</v>
      </c>
      <c r="F63">
        <v>7951634</v>
      </c>
      <c r="G63">
        <v>66007103</v>
      </c>
    </row>
    <row r="64" spans="1:7">
      <c r="A64">
        <v>104</v>
      </c>
      <c r="B64">
        <v>7306682600</v>
      </c>
      <c r="C64">
        <v>29.23</v>
      </c>
      <c r="D64">
        <v>0</v>
      </c>
      <c r="E64">
        <v>949.45</v>
      </c>
      <c r="F64">
        <v>8140973</v>
      </c>
      <c r="G64">
        <v>67602660</v>
      </c>
    </row>
    <row r="65" spans="1:7">
      <c r="A65">
        <v>106</v>
      </c>
      <c r="B65">
        <v>6541286200</v>
      </c>
      <c r="C65">
        <v>26.17</v>
      </c>
      <c r="D65">
        <v>0</v>
      </c>
      <c r="E65">
        <v>949.45</v>
      </c>
      <c r="F65">
        <v>8330633</v>
      </c>
      <c r="G65">
        <v>69198819</v>
      </c>
    </row>
    <row r="66" spans="1:7">
      <c r="A66">
        <v>108</v>
      </c>
      <c r="B66">
        <v>7509345400</v>
      </c>
      <c r="C66">
        <v>30.04</v>
      </c>
      <c r="D66">
        <v>0</v>
      </c>
      <c r="E66">
        <v>949.45</v>
      </c>
      <c r="F66">
        <v>8520444</v>
      </c>
      <c r="G66">
        <v>70798158</v>
      </c>
    </row>
    <row r="67" spans="1:7">
      <c r="A67">
        <v>110</v>
      </c>
      <c r="B67">
        <v>6505180740</v>
      </c>
      <c r="C67">
        <v>26.02</v>
      </c>
      <c r="D67">
        <v>0</v>
      </c>
      <c r="E67">
        <v>949.45</v>
      </c>
      <c r="F67">
        <v>8709282</v>
      </c>
      <c r="G67">
        <v>72391466</v>
      </c>
    </row>
    <row r="68" spans="1:7">
      <c r="A68">
        <v>112</v>
      </c>
      <c r="B68">
        <v>6852363760</v>
      </c>
      <c r="C68">
        <v>27.41</v>
      </c>
      <c r="D68">
        <v>0</v>
      </c>
      <c r="E68">
        <v>949.45</v>
      </c>
      <c r="F68">
        <v>8898413</v>
      </c>
      <c r="G68">
        <v>73987054</v>
      </c>
    </row>
    <row r="69" spans="1:7">
      <c r="A69">
        <v>114</v>
      </c>
      <c r="B69">
        <v>6998753200</v>
      </c>
      <c r="C69">
        <v>27.99</v>
      </c>
      <c r="D69">
        <v>0</v>
      </c>
      <c r="E69">
        <v>949.45</v>
      </c>
      <c r="F69">
        <v>9088311</v>
      </c>
      <c r="G69">
        <v>75586459</v>
      </c>
    </row>
    <row r="70" spans="1:7">
      <c r="A70">
        <v>116</v>
      </c>
      <c r="B70">
        <v>7250015720</v>
      </c>
      <c r="C70">
        <v>29</v>
      </c>
      <c r="D70">
        <v>0</v>
      </c>
      <c r="E70">
        <v>949.45</v>
      </c>
      <c r="F70">
        <v>9277793</v>
      </c>
      <c r="G70">
        <v>77186267</v>
      </c>
    </row>
    <row r="71" spans="1:7">
      <c r="A71">
        <v>118</v>
      </c>
      <c r="B71">
        <v>6522102100</v>
      </c>
      <c r="C71">
        <v>26.09</v>
      </c>
      <c r="D71">
        <v>0</v>
      </c>
      <c r="E71">
        <v>949.45</v>
      </c>
      <c r="F71">
        <v>9467227</v>
      </c>
      <c r="G71">
        <v>78784628</v>
      </c>
    </row>
    <row r="72" spans="1:7">
      <c r="A72">
        <v>120</v>
      </c>
      <c r="B72">
        <v>7451104440</v>
      </c>
      <c r="C72">
        <v>29.8</v>
      </c>
      <c r="D72">
        <v>0</v>
      </c>
      <c r="E72">
        <v>949.45</v>
      </c>
      <c r="F72">
        <v>9656043</v>
      </c>
      <c r="G72">
        <v>80383793</v>
      </c>
    </row>
    <row r="73" spans="1:7">
      <c r="A73">
        <v>122</v>
      </c>
      <c r="B73">
        <v>6735685080</v>
      </c>
      <c r="C73">
        <v>26.94</v>
      </c>
      <c r="D73">
        <v>0</v>
      </c>
      <c r="E73">
        <v>949.45</v>
      </c>
      <c r="F73">
        <v>9845065</v>
      </c>
      <c r="G73">
        <v>81982233</v>
      </c>
    </row>
    <row r="74" spans="1:7">
      <c r="A74">
        <v>124</v>
      </c>
      <c r="B74">
        <v>6746605260</v>
      </c>
      <c r="C74">
        <v>26.99</v>
      </c>
      <c r="D74">
        <v>0</v>
      </c>
      <c r="E74">
        <v>949.45</v>
      </c>
      <c r="F74">
        <v>10034520</v>
      </c>
      <c r="G74">
        <v>83583219</v>
      </c>
    </row>
    <row r="75" spans="1:7">
      <c r="A75">
        <v>126</v>
      </c>
      <c r="B75">
        <v>7277168600</v>
      </c>
      <c r="C75">
        <v>29.11</v>
      </c>
      <c r="D75">
        <v>0</v>
      </c>
      <c r="E75">
        <v>949.45</v>
      </c>
      <c r="F75">
        <v>10223609</v>
      </c>
      <c r="G75">
        <v>85180715</v>
      </c>
    </row>
    <row r="76" spans="1:7">
      <c r="A76">
        <v>128</v>
      </c>
      <c r="B76">
        <v>6540007260</v>
      </c>
      <c r="C76">
        <v>26.16</v>
      </c>
      <c r="D76">
        <v>0</v>
      </c>
      <c r="E76">
        <v>949.45</v>
      </c>
      <c r="F76">
        <v>10412956</v>
      </c>
      <c r="G76">
        <v>86777902</v>
      </c>
    </row>
    <row r="77" spans="1:7">
      <c r="A77">
        <v>130</v>
      </c>
      <c r="B77">
        <v>7196103480</v>
      </c>
      <c r="C77">
        <v>28.78</v>
      </c>
      <c r="D77">
        <v>0</v>
      </c>
      <c r="E77">
        <v>949.45</v>
      </c>
      <c r="F77">
        <v>10602817</v>
      </c>
      <c r="G77">
        <v>88378221</v>
      </c>
    </row>
    <row r="78" spans="1:7">
      <c r="A78">
        <v>132</v>
      </c>
      <c r="B78">
        <v>7020101660</v>
      </c>
      <c r="C78">
        <v>28.08</v>
      </c>
      <c r="D78">
        <v>0</v>
      </c>
      <c r="E78">
        <v>949.45</v>
      </c>
      <c r="F78">
        <v>10791969</v>
      </c>
      <c r="G78">
        <v>89975378</v>
      </c>
    </row>
    <row r="79" spans="1:7">
      <c r="A79">
        <v>134</v>
      </c>
      <c r="B79">
        <v>6770118080</v>
      </c>
      <c r="C79">
        <v>27.08</v>
      </c>
      <c r="D79">
        <v>0</v>
      </c>
      <c r="E79">
        <v>949.45</v>
      </c>
      <c r="F79">
        <v>10981438</v>
      </c>
      <c r="G79">
        <v>91573637</v>
      </c>
    </row>
    <row r="80" spans="1:7">
      <c r="A80">
        <v>136</v>
      </c>
      <c r="B80">
        <v>7153013040</v>
      </c>
      <c r="C80">
        <v>28.61</v>
      </c>
      <c r="D80">
        <v>0</v>
      </c>
      <c r="E80">
        <v>949.45</v>
      </c>
      <c r="F80">
        <v>11170520</v>
      </c>
      <c r="G80">
        <v>93169972</v>
      </c>
    </row>
    <row r="81" spans="1:7">
      <c r="A81">
        <v>138</v>
      </c>
      <c r="B81">
        <v>6710794940</v>
      </c>
      <c r="C81">
        <v>26.84</v>
      </c>
      <c r="D81">
        <v>0</v>
      </c>
      <c r="E81">
        <v>949.45</v>
      </c>
      <c r="F81">
        <v>11359819</v>
      </c>
      <c r="G81">
        <v>94766547</v>
      </c>
    </row>
    <row r="82" spans="1:7">
      <c r="A82">
        <v>140</v>
      </c>
      <c r="B82">
        <v>7176525860</v>
      </c>
      <c r="C82">
        <v>28.71</v>
      </c>
      <c r="D82">
        <v>0</v>
      </c>
      <c r="E82">
        <v>949.45</v>
      </c>
      <c r="F82">
        <v>11549099</v>
      </c>
      <c r="G82">
        <v>96363639</v>
      </c>
    </row>
    <row r="83" spans="1:7">
      <c r="A83">
        <v>142</v>
      </c>
      <c r="B83">
        <v>6576309480</v>
      </c>
      <c r="C83">
        <v>26.31</v>
      </c>
      <c r="D83">
        <v>0</v>
      </c>
      <c r="E83">
        <v>949.45</v>
      </c>
      <c r="F83">
        <v>11738717</v>
      </c>
      <c r="G83">
        <v>97960699</v>
      </c>
    </row>
    <row r="84" spans="1:7">
      <c r="A84">
        <v>144</v>
      </c>
      <c r="B84">
        <v>7436347440</v>
      </c>
      <c r="C84">
        <v>29.75</v>
      </c>
      <c r="D84">
        <v>0</v>
      </c>
      <c r="E84">
        <v>949.45</v>
      </c>
      <c r="F84">
        <v>11928122</v>
      </c>
      <c r="G84">
        <v>99557891</v>
      </c>
    </row>
    <row r="85" spans="1:7">
      <c r="A85">
        <v>146</v>
      </c>
      <c r="B85">
        <v>6500950400</v>
      </c>
      <c r="C85">
        <v>26</v>
      </c>
      <c r="D85">
        <v>0</v>
      </c>
      <c r="E85">
        <v>949.45</v>
      </c>
      <c r="F85">
        <v>12118114</v>
      </c>
      <c r="G85">
        <v>101155151</v>
      </c>
    </row>
    <row r="86" spans="1:7">
      <c r="A86">
        <v>148</v>
      </c>
      <c r="B86">
        <v>7152619520</v>
      </c>
      <c r="C86">
        <v>28.61</v>
      </c>
      <c r="D86">
        <v>0</v>
      </c>
      <c r="E86">
        <v>949.45</v>
      </c>
      <c r="F86">
        <v>12307703</v>
      </c>
      <c r="G86">
        <v>102755135</v>
      </c>
    </row>
    <row r="87" spans="1:7">
      <c r="A87">
        <v>150</v>
      </c>
      <c r="B87">
        <v>6931559660</v>
      </c>
      <c r="C87">
        <v>27.73</v>
      </c>
      <c r="D87">
        <v>0</v>
      </c>
      <c r="E87">
        <v>949.45</v>
      </c>
      <c r="F87">
        <v>12497340</v>
      </c>
      <c r="G87">
        <v>104355452</v>
      </c>
    </row>
    <row r="88" spans="1:7">
      <c r="A88">
        <v>152</v>
      </c>
      <c r="B88">
        <v>7100478120</v>
      </c>
      <c r="C88">
        <v>28.4</v>
      </c>
      <c r="D88">
        <v>0</v>
      </c>
      <c r="E88">
        <v>949.45</v>
      </c>
      <c r="F88">
        <v>12687110</v>
      </c>
      <c r="G88">
        <v>105954964</v>
      </c>
    </row>
    <row r="89" spans="1:7">
      <c r="A89">
        <v>154</v>
      </c>
      <c r="B89">
        <v>6594017880</v>
      </c>
      <c r="C89">
        <v>26.38</v>
      </c>
      <c r="D89">
        <v>0</v>
      </c>
      <c r="E89">
        <v>949.45</v>
      </c>
      <c r="F89">
        <v>12876719</v>
      </c>
      <c r="G89">
        <v>107552906</v>
      </c>
    </row>
    <row r="90" spans="1:7">
      <c r="A90">
        <v>156</v>
      </c>
      <c r="B90">
        <v>6880303680</v>
      </c>
      <c r="C90">
        <v>27.52</v>
      </c>
      <c r="D90">
        <v>0</v>
      </c>
      <c r="E90">
        <v>949.45</v>
      </c>
      <c r="F90">
        <v>13066543</v>
      </c>
      <c r="G90">
        <v>109153555</v>
      </c>
    </row>
    <row r="91" spans="1:7">
      <c r="A91">
        <v>158</v>
      </c>
      <c r="B91">
        <v>7162457520</v>
      </c>
      <c r="C91">
        <v>28.65</v>
      </c>
      <c r="D91">
        <v>0</v>
      </c>
      <c r="E91">
        <v>949.45</v>
      </c>
      <c r="F91">
        <v>13256368</v>
      </c>
      <c r="G91">
        <v>110753242</v>
      </c>
    </row>
    <row r="92" spans="1:7">
      <c r="A92">
        <v>160</v>
      </c>
      <c r="B92">
        <v>6979273960</v>
      </c>
      <c r="C92">
        <v>27.92</v>
      </c>
      <c r="D92">
        <v>0</v>
      </c>
      <c r="E92">
        <v>949.45</v>
      </c>
      <c r="F92">
        <v>13445933</v>
      </c>
      <c r="G92">
        <v>112350902</v>
      </c>
    </row>
    <row r="93" spans="1:7">
      <c r="A93">
        <v>162</v>
      </c>
      <c r="B93">
        <v>7000622420</v>
      </c>
      <c r="C93">
        <v>28</v>
      </c>
      <c r="D93">
        <v>0</v>
      </c>
      <c r="E93">
        <v>949.45</v>
      </c>
      <c r="F93">
        <v>13635211</v>
      </c>
      <c r="G93">
        <v>113947573</v>
      </c>
    </row>
    <row r="94" spans="1:7">
      <c r="A94">
        <v>164</v>
      </c>
      <c r="B94">
        <v>6786842680</v>
      </c>
      <c r="C94">
        <v>27.15</v>
      </c>
      <c r="D94">
        <v>0</v>
      </c>
      <c r="E94">
        <v>949.45</v>
      </c>
      <c r="F94">
        <v>13824579</v>
      </c>
      <c r="G94">
        <v>115540469</v>
      </c>
    </row>
    <row r="95" spans="1:7">
      <c r="A95">
        <v>166</v>
      </c>
      <c r="B95">
        <v>6724273000</v>
      </c>
      <c r="C95">
        <v>26.9</v>
      </c>
      <c r="D95">
        <v>0</v>
      </c>
      <c r="E95">
        <v>949.45</v>
      </c>
      <c r="F95">
        <v>14014337</v>
      </c>
      <c r="G95">
        <v>117135731</v>
      </c>
    </row>
    <row r="96" spans="1:7">
      <c r="A96">
        <v>168</v>
      </c>
      <c r="B96">
        <v>7317307640</v>
      </c>
      <c r="C96">
        <v>29.27</v>
      </c>
      <c r="D96">
        <v>0</v>
      </c>
      <c r="E96">
        <v>949.45</v>
      </c>
      <c r="F96">
        <v>14204169</v>
      </c>
      <c r="G96">
        <v>118733482</v>
      </c>
    </row>
    <row r="97" spans="1:7">
      <c r="A97">
        <v>170</v>
      </c>
      <c r="B97">
        <v>6604052640</v>
      </c>
      <c r="C97">
        <v>26.42</v>
      </c>
      <c r="D97">
        <v>0</v>
      </c>
      <c r="E97">
        <v>949.45</v>
      </c>
      <c r="F97">
        <v>14394067</v>
      </c>
      <c r="G97">
        <v>120330711</v>
      </c>
    </row>
    <row r="98" spans="1:7">
      <c r="A98">
        <v>172</v>
      </c>
      <c r="B98">
        <v>7175148540</v>
      </c>
      <c r="C98">
        <v>28.7</v>
      </c>
      <c r="D98">
        <v>0</v>
      </c>
      <c r="E98">
        <v>949.45</v>
      </c>
      <c r="F98">
        <v>14583849</v>
      </c>
      <c r="G98">
        <v>121929897</v>
      </c>
    </row>
    <row r="99" spans="1:7">
      <c r="A99">
        <v>174</v>
      </c>
      <c r="B99">
        <v>6784088040</v>
      </c>
      <c r="C99">
        <v>27.14</v>
      </c>
      <c r="D99">
        <v>0</v>
      </c>
      <c r="E99">
        <v>949.45</v>
      </c>
      <c r="F99">
        <v>14773499</v>
      </c>
      <c r="G99">
        <v>123527963</v>
      </c>
    </row>
    <row r="100" spans="1:7">
      <c r="A100">
        <v>176</v>
      </c>
      <c r="B100">
        <v>7249818960</v>
      </c>
      <c r="C100">
        <v>29</v>
      </c>
      <c r="D100">
        <v>0</v>
      </c>
      <c r="E100">
        <v>949.45</v>
      </c>
      <c r="F100">
        <v>14963001</v>
      </c>
      <c r="G100">
        <v>125127316</v>
      </c>
    </row>
    <row r="101" spans="1:7">
      <c r="A101">
        <v>178</v>
      </c>
      <c r="B101">
        <v>6614480920</v>
      </c>
      <c r="C101">
        <v>26.46</v>
      </c>
      <c r="D101">
        <v>0</v>
      </c>
      <c r="E101">
        <v>949.45</v>
      </c>
      <c r="F101">
        <v>15153150</v>
      </c>
      <c r="G101">
        <v>126725498</v>
      </c>
    </row>
    <row r="102" spans="1:7">
      <c r="A102">
        <v>180</v>
      </c>
      <c r="B102">
        <v>7528529500</v>
      </c>
      <c r="C102">
        <v>30.12</v>
      </c>
      <c r="D102">
        <v>0</v>
      </c>
      <c r="E102">
        <v>949.45</v>
      </c>
      <c r="F102">
        <v>15342931</v>
      </c>
      <c r="G102">
        <v>128326220</v>
      </c>
    </row>
    <row r="103" spans="1:7">
      <c r="A103">
        <v>182</v>
      </c>
      <c r="B103">
        <v>6399520620</v>
      </c>
      <c r="C103">
        <v>25.6</v>
      </c>
      <c r="D103">
        <v>0</v>
      </c>
      <c r="E103">
        <v>949.45</v>
      </c>
      <c r="F103">
        <v>15533188</v>
      </c>
      <c r="G103">
        <v>129925843</v>
      </c>
    </row>
    <row r="104" spans="1:7">
      <c r="A104">
        <v>184</v>
      </c>
      <c r="B104">
        <v>6830129880</v>
      </c>
      <c r="C104">
        <v>27.32</v>
      </c>
      <c r="D104">
        <v>0</v>
      </c>
      <c r="E104">
        <v>949.45</v>
      </c>
      <c r="F104">
        <v>15723823</v>
      </c>
      <c r="G104">
        <v>131526004</v>
      </c>
    </row>
    <row r="105" spans="1:7">
      <c r="A105">
        <v>186</v>
      </c>
      <c r="B105">
        <v>7411752440</v>
      </c>
      <c r="C105">
        <v>29.65</v>
      </c>
      <c r="D105">
        <v>0</v>
      </c>
      <c r="E105">
        <v>949.45</v>
      </c>
      <c r="F105">
        <v>15914489</v>
      </c>
      <c r="G105">
        <v>133128321</v>
      </c>
    </row>
    <row r="106" spans="1:7">
      <c r="A106">
        <v>188</v>
      </c>
      <c r="B106">
        <v>6601396380</v>
      </c>
      <c r="C106">
        <v>26.41</v>
      </c>
      <c r="D106">
        <v>0</v>
      </c>
      <c r="E106">
        <v>949.45</v>
      </c>
      <c r="F106">
        <v>16105340</v>
      </c>
      <c r="G106">
        <v>134727740</v>
      </c>
    </row>
    <row r="107" spans="1:7">
      <c r="A107">
        <v>190</v>
      </c>
      <c r="B107">
        <v>7492915940</v>
      </c>
      <c r="C107">
        <v>29.97</v>
      </c>
      <c r="D107">
        <v>0</v>
      </c>
      <c r="E107">
        <v>949.45</v>
      </c>
      <c r="F107">
        <v>16295719</v>
      </c>
      <c r="G107">
        <v>136327174</v>
      </c>
    </row>
    <row r="108" spans="1:7">
      <c r="A108">
        <v>192</v>
      </c>
      <c r="B108">
        <v>6387715020</v>
      </c>
      <c r="C108">
        <v>25.55</v>
      </c>
      <c r="D108">
        <v>0</v>
      </c>
      <c r="E108">
        <v>949.45</v>
      </c>
      <c r="F108">
        <v>16486443</v>
      </c>
      <c r="G108">
        <v>137925985</v>
      </c>
    </row>
    <row r="109" spans="1:7">
      <c r="A109">
        <v>194</v>
      </c>
      <c r="B109">
        <v>6860824440</v>
      </c>
      <c r="C109">
        <v>27.44</v>
      </c>
      <c r="D109">
        <v>0</v>
      </c>
      <c r="E109">
        <v>949.45</v>
      </c>
      <c r="F109">
        <v>16677000</v>
      </c>
      <c r="G109">
        <v>139525448</v>
      </c>
    </row>
    <row r="110" spans="1:7">
      <c r="A110">
        <v>196</v>
      </c>
      <c r="B110">
        <v>7558437020</v>
      </c>
      <c r="C110">
        <v>30.23</v>
      </c>
      <c r="D110">
        <v>0</v>
      </c>
      <c r="E110">
        <v>949.45</v>
      </c>
      <c r="F110">
        <v>16867033</v>
      </c>
      <c r="G110">
        <v>141126578</v>
      </c>
    </row>
    <row r="111" spans="1:7">
      <c r="A111">
        <v>198</v>
      </c>
      <c r="B111">
        <v>6440938600</v>
      </c>
      <c r="C111">
        <v>25.76</v>
      </c>
      <c r="D111">
        <v>0</v>
      </c>
      <c r="E111">
        <v>949.45</v>
      </c>
      <c r="F111">
        <v>17057565</v>
      </c>
      <c r="G111">
        <v>142723949</v>
      </c>
    </row>
    <row r="112" spans="1:7">
      <c r="A112">
        <v>200</v>
      </c>
      <c r="B112">
        <v>7014002100</v>
      </c>
      <c r="C112">
        <v>28.06</v>
      </c>
      <c r="D112">
        <v>0</v>
      </c>
      <c r="E112">
        <v>949.45</v>
      </c>
      <c r="F112">
        <v>17247945</v>
      </c>
      <c r="G112">
        <v>144324914</v>
      </c>
    </row>
    <row r="113" spans="1:7">
      <c r="A113">
        <v>202</v>
      </c>
      <c r="B113">
        <v>7153504940</v>
      </c>
      <c r="C113">
        <v>28.61</v>
      </c>
      <c r="D113">
        <v>0</v>
      </c>
      <c r="E113">
        <v>949.45</v>
      </c>
      <c r="F113">
        <v>17438559</v>
      </c>
      <c r="G113">
        <v>145922736</v>
      </c>
    </row>
    <row r="114" spans="1:7">
      <c r="A114">
        <v>204</v>
      </c>
      <c r="B114">
        <v>6585557200</v>
      </c>
      <c r="C114">
        <v>26.34</v>
      </c>
      <c r="D114">
        <v>0</v>
      </c>
      <c r="E114">
        <v>949.45</v>
      </c>
      <c r="F114">
        <v>17628641</v>
      </c>
      <c r="G114">
        <v>147519499</v>
      </c>
    </row>
    <row r="115" spans="1:7">
      <c r="A115">
        <v>206</v>
      </c>
      <c r="B115">
        <v>7530989000</v>
      </c>
      <c r="C115">
        <v>30.12</v>
      </c>
      <c r="D115">
        <v>0</v>
      </c>
      <c r="E115">
        <v>949.45</v>
      </c>
      <c r="F115">
        <v>17818538</v>
      </c>
      <c r="G115">
        <v>149117544</v>
      </c>
    </row>
    <row r="116" spans="1:7">
      <c r="A116">
        <v>208</v>
      </c>
      <c r="B116">
        <v>6483340380</v>
      </c>
      <c r="C116">
        <v>25.93</v>
      </c>
      <c r="D116">
        <v>0</v>
      </c>
      <c r="E116">
        <v>949.45</v>
      </c>
      <c r="F116">
        <v>18008049</v>
      </c>
      <c r="G116">
        <v>150713219</v>
      </c>
    </row>
    <row r="117" spans="1:7">
      <c r="A117">
        <v>210</v>
      </c>
      <c r="B117">
        <v>6730175800</v>
      </c>
      <c r="C117">
        <v>26.92</v>
      </c>
      <c r="D117">
        <v>0</v>
      </c>
      <c r="E117">
        <v>949.45</v>
      </c>
      <c r="F117">
        <v>18198127</v>
      </c>
      <c r="G117">
        <v>152310352</v>
      </c>
    </row>
    <row r="118" spans="1:7">
      <c r="A118">
        <v>212</v>
      </c>
      <c r="B118">
        <v>7231717040</v>
      </c>
      <c r="C118">
        <v>28.93</v>
      </c>
      <c r="D118">
        <v>0</v>
      </c>
      <c r="E118">
        <v>949.45</v>
      </c>
      <c r="F118">
        <v>18387661</v>
      </c>
      <c r="G118">
        <v>153910835</v>
      </c>
    </row>
    <row r="119" spans="1:7">
      <c r="A119">
        <v>214</v>
      </c>
      <c r="B119">
        <v>7050501080</v>
      </c>
      <c r="C119">
        <v>28.2</v>
      </c>
      <c r="D119">
        <v>0</v>
      </c>
      <c r="E119">
        <v>949.45</v>
      </c>
      <c r="F119">
        <v>18578201</v>
      </c>
      <c r="G119">
        <v>155512243</v>
      </c>
    </row>
    <row r="120" spans="1:7">
      <c r="A120">
        <v>216</v>
      </c>
      <c r="B120">
        <v>6630615240</v>
      </c>
      <c r="C120">
        <v>26.52</v>
      </c>
      <c r="D120">
        <v>0</v>
      </c>
      <c r="E120">
        <v>949.45</v>
      </c>
      <c r="F120">
        <v>18768433</v>
      </c>
      <c r="G120">
        <v>157107595</v>
      </c>
    </row>
    <row r="121" spans="1:7">
      <c r="A121">
        <v>218</v>
      </c>
      <c r="B121">
        <v>7407522100</v>
      </c>
      <c r="C121">
        <v>29.63</v>
      </c>
      <c r="D121">
        <v>0</v>
      </c>
      <c r="E121">
        <v>949.45</v>
      </c>
      <c r="F121">
        <v>18958304</v>
      </c>
      <c r="G121">
        <v>158710575</v>
      </c>
    </row>
    <row r="122" spans="1:7">
      <c r="A122">
        <v>220</v>
      </c>
      <c r="B122">
        <v>6465041700</v>
      </c>
      <c r="C122">
        <v>25.86</v>
      </c>
      <c r="D122">
        <v>0</v>
      </c>
      <c r="E122">
        <v>949.45</v>
      </c>
      <c r="F122">
        <v>19148156</v>
      </c>
      <c r="G122">
        <v>160308348</v>
      </c>
    </row>
    <row r="123" spans="1:7">
      <c r="A123">
        <v>222</v>
      </c>
      <c r="B123">
        <v>7067520820</v>
      </c>
      <c r="C123">
        <v>28.27</v>
      </c>
      <c r="D123">
        <v>0</v>
      </c>
      <c r="E123">
        <v>949.45</v>
      </c>
      <c r="F123">
        <v>19338043</v>
      </c>
      <c r="G123">
        <v>161906850</v>
      </c>
    </row>
    <row r="124" spans="1:7">
      <c r="A124">
        <v>224</v>
      </c>
      <c r="B124">
        <v>7306780980</v>
      </c>
      <c r="C124">
        <v>29.23</v>
      </c>
      <c r="D124">
        <v>0</v>
      </c>
      <c r="E124">
        <v>949.45</v>
      </c>
      <c r="F124">
        <v>19527428</v>
      </c>
      <c r="G124">
        <v>163503231</v>
      </c>
    </row>
    <row r="125" spans="1:7">
      <c r="A125">
        <v>226</v>
      </c>
      <c r="B125">
        <v>6448513860</v>
      </c>
      <c r="C125">
        <v>25.79</v>
      </c>
      <c r="D125">
        <v>0</v>
      </c>
      <c r="E125">
        <v>949.45</v>
      </c>
      <c r="F125">
        <v>19717325</v>
      </c>
      <c r="G125">
        <v>165100976</v>
      </c>
    </row>
    <row r="126" spans="1:7">
      <c r="A126">
        <v>228</v>
      </c>
      <c r="B126">
        <v>7460745680</v>
      </c>
      <c r="C126">
        <v>29.84</v>
      </c>
      <c r="D126">
        <v>0</v>
      </c>
      <c r="E126">
        <v>949.45</v>
      </c>
      <c r="F126">
        <v>19907394</v>
      </c>
      <c r="G126">
        <v>166700920</v>
      </c>
    </row>
    <row r="127" spans="1:7">
      <c r="A127">
        <v>230</v>
      </c>
      <c r="B127">
        <v>6704695380</v>
      </c>
      <c r="C127">
        <v>26.82</v>
      </c>
      <c r="D127">
        <v>0</v>
      </c>
      <c r="E127">
        <v>949.45</v>
      </c>
      <c r="F127">
        <v>20096774</v>
      </c>
      <c r="G127">
        <v>168293810</v>
      </c>
    </row>
    <row r="128" spans="1:7">
      <c r="A128">
        <v>232</v>
      </c>
      <c r="B128">
        <v>6691118940</v>
      </c>
      <c r="C128">
        <v>26.76</v>
      </c>
      <c r="D128">
        <v>0</v>
      </c>
      <c r="E128">
        <v>949.45</v>
      </c>
      <c r="F128">
        <v>20287029</v>
      </c>
      <c r="G128">
        <v>169893874</v>
      </c>
    </row>
    <row r="129" spans="1:7">
      <c r="A129">
        <v>234</v>
      </c>
      <c r="B129">
        <v>7008000920</v>
      </c>
      <c r="C129">
        <v>28.03</v>
      </c>
      <c r="D129">
        <v>0</v>
      </c>
      <c r="E129">
        <v>949.45</v>
      </c>
      <c r="F129">
        <v>20476984</v>
      </c>
      <c r="G129">
        <v>171492241</v>
      </c>
    </row>
    <row r="130" spans="1:7">
      <c r="A130">
        <v>236</v>
      </c>
      <c r="B130">
        <v>7111299920</v>
      </c>
      <c r="C130">
        <v>28.45</v>
      </c>
      <c r="D130">
        <v>0</v>
      </c>
      <c r="E130">
        <v>949.45</v>
      </c>
      <c r="F130">
        <v>20666404</v>
      </c>
      <c r="G130">
        <v>173090089</v>
      </c>
    </row>
    <row r="131" spans="1:7">
      <c r="A131">
        <v>238</v>
      </c>
      <c r="B131">
        <v>7102150580</v>
      </c>
      <c r="C131">
        <v>28.41</v>
      </c>
      <c r="D131">
        <v>0</v>
      </c>
      <c r="E131">
        <v>949.45</v>
      </c>
      <c r="F131">
        <v>20856346</v>
      </c>
      <c r="G131">
        <v>174693017</v>
      </c>
    </row>
    <row r="132" spans="1:7">
      <c r="A132">
        <v>240</v>
      </c>
      <c r="B132">
        <v>7060043940</v>
      </c>
      <c r="C132">
        <v>28.24</v>
      </c>
      <c r="D132">
        <v>0</v>
      </c>
      <c r="E132">
        <v>949.45</v>
      </c>
      <c r="F132">
        <v>21045907</v>
      </c>
      <c r="G132">
        <v>176291825</v>
      </c>
    </row>
    <row r="133" spans="1:7">
      <c r="A133">
        <v>242</v>
      </c>
      <c r="B133">
        <v>6528595180</v>
      </c>
      <c r="C133">
        <v>26.11</v>
      </c>
      <c r="D133">
        <v>0</v>
      </c>
      <c r="E133">
        <v>949.45</v>
      </c>
      <c r="F133">
        <v>21235654</v>
      </c>
      <c r="G133">
        <v>177889777</v>
      </c>
    </row>
    <row r="134" spans="1:7">
      <c r="A134">
        <v>244</v>
      </c>
      <c r="B134">
        <v>7463401940</v>
      </c>
      <c r="C134">
        <v>29.85</v>
      </c>
      <c r="D134">
        <v>0</v>
      </c>
      <c r="E134">
        <v>949.45</v>
      </c>
      <c r="F134">
        <v>21425503</v>
      </c>
      <c r="G134">
        <v>179489842</v>
      </c>
    </row>
    <row r="135" spans="1:7">
      <c r="A135">
        <v>246</v>
      </c>
      <c r="B135">
        <v>6564405500</v>
      </c>
      <c r="C135">
        <v>26.26</v>
      </c>
      <c r="D135">
        <v>0</v>
      </c>
      <c r="E135">
        <v>949.45</v>
      </c>
      <c r="F135">
        <v>21614930</v>
      </c>
      <c r="G135">
        <v>181085383</v>
      </c>
    </row>
    <row r="136" spans="1:7">
      <c r="A136">
        <v>248</v>
      </c>
      <c r="B136">
        <v>6922115180</v>
      </c>
      <c r="C136">
        <v>27.69</v>
      </c>
      <c r="D136">
        <v>0</v>
      </c>
      <c r="E136">
        <v>949.45</v>
      </c>
      <c r="F136">
        <v>21804056</v>
      </c>
      <c r="G136">
        <v>182681353</v>
      </c>
    </row>
    <row r="137" spans="1:7">
      <c r="A137">
        <v>250</v>
      </c>
      <c r="B137">
        <v>6748474480</v>
      </c>
      <c r="C137">
        <v>26.99</v>
      </c>
      <c r="D137">
        <v>0</v>
      </c>
      <c r="E137">
        <v>949.45</v>
      </c>
      <c r="F137">
        <v>21993735</v>
      </c>
      <c r="G137">
        <v>184278145</v>
      </c>
    </row>
    <row r="138" spans="1:7">
      <c r="A138">
        <v>252</v>
      </c>
      <c r="B138">
        <v>7378598380</v>
      </c>
      <c r="C138">
        <v>29.52</v>
      </c>
      <c r="D138">
        <v>0</v>
      </c>
      <c r="E138">
        <v>949.45</v>
      </c>
      <c r="F138">
        <v>22182926</v>
      </c>
      <c r="G138">
        <v>185875510</v>
      </c>
    </row>
    <row r="139" spans="1:7">
      <c r="A139">
        <v>254</v>
      </c>
      <c r="B139">
        <v>6742374920</v>
      </c>
      <c r="C139">
        <v>26.97</v>
      </c>
      <c r="D139">
        <v>0</v>
      </c>
      <c r="E139">
        <v>949.45</v>
      </c>
      <c r="F139">
        <v>22371819</v>
      </c>
      <c r="G139">
        <v>187469319</v>
      </c>
    </row>
    <row r="140" spans="1:7">
      <c r="A140">
        <v>256</v>
      </c>
      <c r="B140">
        <v>6749163140</v>
      </c>
      <c r="C140">
        <v>27</v>
      </c>
      <c r="D140">
        <v>0</v>
      </c>
      <c r="E140">
        <v>949.45</v>
      </c>
      <c r="F140">
        <v>22559969</v>
      </c>
      <c r="G140">
        <v>189060103</v>
      </c>
    </row>
    <row r="141" spans="1:7">
      <c r="A141">
        <v>258</v>
      </c>
      <c r="B141">
        <v>6990981180</v>
      </c>
      <c r="C141">
        <v>27.96</v>
      </c>
      <c r="D141">
        <v>0</v>
      </c>
      <c r="E141">
        <v>949.45</v>
      </c>
      <c r="F141">
        <v>22749031</v>
      </c>
      <c r="G141">
        <v>190656475</v>
      </c>
    </row>
    <row r="142" spans="1:7">
      <c r="A142">
        <v>260</v>
      </c>
      <c r="B142">
        <v>7168557080</v>
      </c>
      <c r="C142">
        <v>28.67</v>
      </c>
      <c r="D142">
        <v>0</v>
      </c>
      <c r="E142">
        <v>949.45</v>
      </c>
      <c r="F142">
        <v>22938498</v>
      </c>
      <c r="G142">
        <v>192253744</v>
      </c>
    </row>
    <row r="143" spans="1:7">
      <c r="A143">
        <v>262</v>
      </c>
      <c r="B143">
        <v>6970419760</v>
      </c>
      <c r="C143">
        <v>27.88</v>
      </c>
      <c r="D143">
        <v>0</v>
      </c>
      <c r="E143">
        <v>949.45</v>
      </c>
      <c r="F143">
        <v>23127618</v>
      </c>
      <c r="G143">
        <v>193850044</v>
      </c>
    </row>
    <row r="144" spans="1:7">
      <c r="A144">
        <v>264</v>
      </c>
      <c r="B144">
        <v>6662195220</v>
      </c>
      <c r="C144">
        <v>26.65</v>
      </c>
      <c r="D144">
        <v>0</v>
      </c>
      <c r="E144">
        <v>949.45</v>
      </c>
      <c r="F144">
        <v>23317406</v>
      </c>
      <c r="G144">
        <v>195447274</v>
      </c>
    </row>
    <row r="145" spans="1:7">
      <c r="A145">
        <v>266</v>
      </c>
      <c r="B145">
        <v>6847739900</v>
      </c>
      <c r="C145">
        <v>27.39</v>
      </c>
      <c r="D145">
        <v>0</v>
      </c>
      <c r="E145">
        <v>949.45</v>
      </c>
      <c r="F145">
        <v>23506929</v>
      </c>
      <c r="G145">
        <v>197043735</v>
      </c>
    </row>
    <row r="146" spans="1:7">
      <c r="A146">
        <v>268</v>
      </c>
      <c r="B146">
        <v>7210663720</v>
      </c>
      <c r="C146">
        <v>28.84</v>
      </c>
      <c r="D146">
        <v>0</v>
      </c>
      <c r="E146">
        <v>949.45</v>
      </c>
      <c r="F146">
        <v>23696611</v>
      </c>
      <c r="G146">
        <v>198642020</v>
      </c>
    </row>
    <row r="147" spans="1:7">
      <c r="A147">
        <v>270</v>
      </c>
      <c r="B147">
        <v>7083851900</v>
      </c>
      <c r="C147">
        <v>28.34</v>
      </c>
      <c r="D147">
        <v>0</v>
      </c>
      <c r="E147">
        <v>949.45</v>
      </c>
      <c r="F147">
        <v>23886549</v>
      </c>
      <c r="G147">
        <v>200239247</v>
      </c>
    </row>
    <row r="148" spans="1:7">
      <c r="A148">
        <v>272</v>
      </c>
      <c r="B148">
        <v>6495736260</v>
      </c>
      <c r="C148">
        <v>25.98</v>
      </c>
      <c r="D148">
        <v>0</v>
      </c>
      <c r="E148">
        <v>949.45</v>
      </c>
      <c r="F148">
        <v>24076555</v>
      </c>
      <c r="G148">
        <v>201835529</v>
      </c>
    </row>
    <row r="149" spans="1:7">
      <c r="A149">
        <v>274</v>
      </c>
      <c r="B149">
        <v>7474125360</v>
      </c>
      <c r="C149">
        <v>29.9</v>
      </c>
      <c r="D149">
        <v>0</v>
      </c>
      <c r="E149">
        <v>949.45</v>
      </c>
      <c r="F149">
        <v>24266334</v>
      </c>
      <c r="G149">
        <v>203433917</v>
      </c>
    </row>
    <row r="150" spans="1:7">
      <c r="A150">
        <v>276</v>
      </c>
      <c r="B150">
        <v>6504787220</v>
      </c>
      <c r="C150">
        <v>26.02</v>
      </c>
      <c r="D150">
        <v>0</v>
      </c>
      <c r="E150">
        <v>949.45</v>
      </c>
      <c r="F150">
        <v>24455643</v>
      </c>
      <c r="G150">
        <v>205027917</v>
      </c>
    </row>
    <row r="151" spans="1:7">
      <c r="A151">
        <v>278</v>
      </c>
      <c r="B151">
        <v>6816159920</v>
      </c>
      <c r="C151">
        <v>27.26</v>
      </c>
      <c r="D151">
        <v>0</v>
      </c>
      <c r="E151">
        <v>949.45</v>
      </c>
      <c r="F151">
        <v>24644880</v>
      </c>
      <c r="G151">
        <v>206620672</v>
      </c>
    </row>
    <row r="152" spans="1:7">
      <c r="A152">
        <v>280</v>
      </c>
      <c r="B152">
        <v>7076079880</v>
      </c>
      <c r="C152">
        <v>28.3</v>
      </c>
      <c r="D152">
        <v>0</v>
      </c>
      <c r="E152">
        <v>949.45</v>
      </c>
      <c r="F152">
        <v>24834244</v>
      </c>
      <c r="G152">
        <v>208218318</v>
      </c>
    </row>
    <row r="153" spans="1:7">
      <c r="A153">
        <v>282</v>
      </c>
      <c r="B153">
        <v>7262313220</v>
      </c>
      <c r="C153">
        <v>29.05</v>
      </c>
      <c r="D153">
        <v>0</v>
      </c>
      <c r="E153">
        <v>949.45</v>
      </c>
      <c r="F153">
        <v>25024096</v>
      </c>
      <c r="G153">
        <v>209819463</v>
      </c>
    </row>
    <row r="154" spans="1:7">
      <c r="A154">
        <v>284</v>
      </c>
      <c r="B154">
        <v>6823144900</v>
      </c>
      <c r="C154">
        <v>27.29</v>
      </c>
      <c r="D154">
        <v>0</v>
      </c>
      <c r="E154">
        <v>949.45</v>
      </c>
      <c r="F154">
        <v>25213628</v>
      </c>
      <c r="G154">
        <v>211418481</v>
      </c>
    </row>
    <row r="155" spans="1:7">
      <c r="A155">
        <v>286</v>
      </c>
      <c r="B155">
        <v>6943857160</v>
      </c>
      <c r="C155">
        <v>27.78</v>
      </c>
      <c r="D155">
        <v>0</v>
      </c>
      <c r="E155">
        <v>949.45</v>
      </c>
      <c r="F155">
        <v>25402823</v>
      </c>
      <c r="G155">
        <v>213015545</v>
      </c>
    </row>
    <row r="156" spans="1:7">
      <c r="A156">
        <v>288</v>
      </c>
      <c r="B156">
        <v>6627958980</v>
      </c>
      <c r="C156">
        <v>26.51</v>
      </c>
      <c r="D156">
        <v>0</v>
      </c>
      <c r="E156">
        <v>949.45</v>
      </c>
      <c r="F156">
        <v>25592103</v>
      </c>
      <c r="G156">
        <v>214614573</v>
      </c>
    </row>
    <row r="157" spans="1:7">
      <c r="A157">
        <v>290</v>
      </c>
      <c r="B157">
        <v>7579490340</v>
      </c>
      <c r="C157">
        <v>30.32</v>
      </c>
      <c r="D157">
        <v>0</v>
      </c>
      <c r="E157">
        <v>949.45</v>
      </c>
      <c r="F157">
        <v>25781061</v>
      </c>
      <c r="G157">
        <v>216211032</v>
      </c>
    </row>
    <row r="158" spans="1:7">
      <c r="A158">
        <v>292</v>
      </c>
      <c r="B158">
        <v>6466025500</v>
      </c>
      <c r="C158">
        <v>25.86</v>
      </c>
      <c r="D158">
        <v>0</v>
      </c>
      <c r="E158">
        <v>949.45</v>
      </c>
      <c r="F158">
        <v>25970176</v>
      </c>
      <c r="G158">
        <v>217804256</v>
      </c>
    </row>
    <row r="159" spans="1:7">
      <c r="A159">
        <v>294</v>
      </c>
      <c r="B159">
        <v>6758312480</v>
      </c>
      <c r="C159">
        <v>27.03</v>
      </c>
      <c r="D159">
        <v>0</v>
      </c>
      <c r="E159">
        <v>949.45</v>
      </c>
      <c r="F159">
        <v>26159240</v>
      </c>
      <c r="G159">
        <v>219399405</v>
      </c>
    </row>
    <row r="160" spans="1:7">
      <c r="A160">
        <v>296</v>
      </c>
      <c r="B160">
        <v>7134419220</v>
      </c>
      <c r="C160">
        <v>28.54</v>
      </c>
      <c r="D160">
        <v>0</v>
      </c>
      <c r="E160">
        <v>949.45</v>
      </c>
      <c r="F160">
        <v>26348702</v>
      </c>
      <c r="G160">
        <v>220998542</v>
      </c>
    </row>
    <row r="161" spans="1:156">
      <c r="A161">
        <v>298</v>
      </c>
      <c r="B161">
        <v>7253852540</v>
      </c>
      <c r="C161">
        <v>29.02</v>
      </c>
      <c r="D161">
        <v>0</v>
      </c>
      <c r="E161">
        <v>949.45</v>
      </c>
      <c r="F161">
        <v>26538452</v>
      </c>
      <c r="G161">
        <v>222600325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9950045</v>
      </c>
      <c r="D164">
        <v>0</v>
      </c>
      <c r="E164">
        <v>30.150600000000001</v>
      </c>
      <c r="F164" s="4">
        <v>302000000</v>
      </c>
      <c r="G164">
        <v>26103.599999999999</v>
      </c>
      <c r="H164">
        <v>224329923</v>
      </c>
      <c r="I164">
        <v>0</v>
      </c>
      <c r="J164">
        <v>0</v>
      </c>
      <c r="K164" t="s">
        <v>118</v>
      </c>
      <c r="L164">
        <v>0</v>
      </c>
      <c r="M164">
        <v>9950045</v>
      </c>
      <c r="N164">
        <v>978885427100</v>
      </c>
      <c r="O164">
        <v>30.142299999999999</v>
      </c>
      <c r="P164">
        <v>299916767</v>
      </c>
      <c r="Q164">
        <v>26110.9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53</v>
      </c>
      <c r="AA164">
        <v>9983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26768553</v>
      </c>
      <c r="AQ164">
        <v>1766724464</v>
      </c>
      <c r="AR164">
        <v>0</v>
      </c>
      <c r="AS164">
        <v>0</v>
      </c>
      <c r="AT164">
        <v>224329926</v>
      </c>
      <c r="AU164">
        <v>2021731015796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50</v>
      </c>
      <c r="BE164">
        <v>8918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102</v>
      </c>
      <c r="CC164">
        <v>26768525</v>
      </c>
      <c r="CD164">
        <v>0</v>
      </c>
      <c r="CE164">
        <v>224329923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83826</v>
      </c>
      <c r="CL164">
        <v>3942722</v>
      </c>
      <c r="CM164">
        <v>0</v>
      </c>
      <c r="CN164">
        <v>0</v>
      </c>
      <c r="CO164">
        <v>753</v>
      </c>
      <c r="CP164">
        <v>293400</v>
      </c>
      <c r="CQ164">
        <v>0</v>
      </c>
      <c r="CR164">
        <v>0</v>
      </c>
      <c r="CS164" t="s">
        <v>209</v>
      </c>
      <c r="CT164" t="s">
        <v>47</v>
      </c>
      <c r="CU164">
        <v>224415084</v>
      </c>
      <c r="CV164">
        <v>2021736253386</v>
      </c>
      <c r="CW164">
        <v>0</v>
      </c>
      <c r="CX164">
        <v>0</v>
      </c>
      <c r="CY164">
        <v>26770522</v>
      </c>
      <c r="CZ164">
        <v>1767175968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35900682</v>
      </c>
      <c r="DP164">
        <v>2008792107950</v>
      </c>
      <c r="DQ164">
        <v>0</v>
      </c>
      <c r="DR164">
        <v>0</v>
      </c>
      <c r="DS164">
        <v>26769662</v>
      </c>
      <c r="DT164">
        <v>1766864598</v>
      </c>
      <c r="DU164">
        <v>0</v>
      </c>
      <c r="DV164">
        <v>0</v>
      </c>
      <c r="DW164" t="s">
        <v>211</v>
      </c>
      <c r="DX164" t="s">
        <v>47</v>
      </c>
      <c r="DY164">
        <v>11147</v>
      </c>
      <c r="DZ164">
        <v>1114700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35900211</v>
      </c>
      <c r="EI164">
        <v>6</v>
      </c>
      <c r="EJ164">
        <v>26769408</v>
      </c>
      <c r="EK164">
        <v>35</v>
      </c>
      <c r="EL164">
        <v>37</v>
      </c>
      <c r="EM164" t="s">
        <v>108</v>
      </c>
      <c r="EN164" t="s">
        <v>212</v>
      </c>
      <c r="EO164">
        <v>224415084</v>
      </c>
      <c r="EP164">
        <v>26770523</v>
      </c>
      <c r="EQ164">
        <v>224426558</v>
      </c>
      <c r="ER164">
        <v>26770523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45</v>
      </c>
      <c r="E166">
        <v>54</v>
      </c>
      <c r="F166">
        <v>0</v>
      </c>
      <c r="G166">
        <v>1</v>
      </c>
      <c r="H166">
        <v>14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81</v>
      </c>
      <c r="E167">
        <v>18</v>
      </c>
      <c r="F167">
        <v>0</v>
      </c>
      <c r="G167">
        <v>2</v>
      </c>
      <c r="H167">
        <v>18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60</v>
      </c>
      <c r="E168">
        <v>38</v>
      </c>
      <c r="F168">
        <v>0</v>
      </c>
      <c r="G168">
        <v>1</v>
      </c>
      <c r="H168">
        <v>3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18</v>
      </c>
      <c r="E169">
        <v>81</v>
      </c>
      <c r="F169">
        <v>0</v>
      </c>
      <c r="G169">
        <v>0</v>
      </c>
      <c r="H169">
        <v>17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20</v>
      </c>
      <c r="E170">
        <v>79</v>
      </c>
      <c r="F170">
        <v>0</v>
      </c>
      <c r="G170">
        <v>3</v>
      </c>
      <c r="H170">
        <v>17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3</v>
      </c>
      <c r="E172">
        <v>96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5</v>
      </c>
      <c r="C179">
        <v>0</v>
      </c>
      <c r="D179">
        <v>90</v>
      </c>
      <c r="E179">
        <v>4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91</v>
      </c>
      <c r="E180">
        <v>3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0</v>
      </c>
      <c r="C181">
        <v>0</v>
      </c>
      <c r="D181">
        <v>0</v>
      </c>
      <c r="E181">
        <v>99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4</v>
      </c>
      <c r="E185">
        <v>95</v>
      </c>
      <c r="F185">
        <v>0</v>
      </c>
      <c r="G185">
        <v>0</v>
      </c>
      <c r="H185">
        <v>4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FD31-EEAD-452B-B1C2-36A8DF371C02}">
  <sheetPr codeName="Sheet7"/>
  <dimension ref="A1:EZ228"/>
  <sheetViews>
    <sheetView topLeftCell="A309" workbookViewId="0"/>
  </sheetViews>
  <sheetFormatPr defaultRowHeight="12.5"/>
  <sheetData>
    <row r="1" spans="1:7">
      <c r="A1" t="s">
        <v>246</v>
      </c>
      <c r="B1">
        <v>59</v>
      </c>
      <c r="C1" t="s">
        <v>257</v>
      </c>
      <c r="D1" t="s">
        <v>60</v>
      </c>
      <c r="E1" t="s">
        <v>247</v>
      </c>
    </row>
    <row r="2" spans="1:7">
      <c r="A2" t="s">
        <v>61</v>
      </c>
      <c r="B2" t="s">
        <v>248</v>
      </c>
      <c r="C2">
        <v>1</v>
      </c>
    </row>
    <row r="3" spans="1:7">
      <c r="A3" t="s">
        <v>249</v>
      </c>
    </row>
    <row r="4" spans="1:7">
      <c r="A4" t="s">
        <v>258</v>
      </c>
    </row>
    <row r="5" spans="1:7">
      <c r="A5" t="s">
        <v>62</v>
      </c>
      <c r="B5" t="s">
        <v>213</v>
      </c>
      <c r="C5" t="s">
        <v>63</v>
      </c>
      <c r="D5" t="s">
        <v>259</v>
      </c>
    </row>
    <row r="6" spans="1:7">
      <c r="A6" t="s">
        <v>215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66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830</v>
      </c>
      <c r="G13">
        <v>3279</v>
      </c>
    </row>
    <row r="14" spans="1:7">
      <c r="A14">
        <v>4</v>
      </c>
      <c r="B14">
        <v>147274860</v>
      </c>
      <c r="C14">
        <v>0.59</v>
      </c>
      <c r="D14">
        <v>0</v>
      </c>
      <c r="E14">
        <v>17.93</v>
      </c>
      <c r="F14">
        <v>5360</v>
      </c>
      <c r="G14">
        <v>29805</v>
      </c>
    </row>
    <row r="15" spans="1:7">
      <c r="A15">
        <v>6</v>
      </c>
      <c r="B15">
        <v>166360580</v>
      </c>
      <c r="C15">
        <v>0.67</v>
      </c>
      <c r="D15">
        <v>0</v>
      </c>
      <c r="E15">
        <v>26.13</v>
      </c>
      <c r="F15">
        <v>11811</v>
      </c>
      <c r="G15">
        <v>68997</v>
      </c>
    </row>
    <row r="16" spans="1:7">
      <c r="A16">
        <v>8</v>
      </c>
      <c r="B16">
        <v>273299640</v>
      </c>
      <c r="C16">
        <v>1.0900000000000001</v>
      </c>
      <c r="D16">
        <v>0</v>
      </c>
      <c r="E16">
        <v>38.119999999999997</v>
      </c>
      <c r="F16">
        <v>21340</v>
      </c>
      <c r="G16">
        <v>126325</v>
      </c>
    </row>
    <row r="17" spans="1:7">
      <c r="A17">
        <v>10</v>
      </c>
      <c r="B17">
        <v>403456380</v>
      </c>
      <c r="C17">
        <v>1.61</v>
      </c>
      <c r="D17">
        <v>0</v>
      </c>
      <c r="E17">
        <v>55.94</v>
      </c>
      <c r="F17">
        <v>35753</v>
      </c>
      <c r="G17">
        <v>212029</v>
      </c>
    </row>
    <row r="18" spans="1:7">
      <c r="A18">
        <v>12</v>
      </c>
      <c r="B18">
        <v>603266160</v>
      </c>
      <c r="C18">
        <v>2.41</v>
      </c>
      <c r="D18">
        <v>0</v>
      </c>
      <c r="E18">
        <v>81.56</v>
      </c>
      <c r="F18">
        <v>57104</v>
      </c>
      <c r="G18">
        <v>335804</v>
      </c>
    </row>
    <row r="19" spans="1:7">
      <c r="A19">
        <v>14</v>
      </c>
      <c r="B19">
        <v>891322800</v>
      </c>
      <c r="C19">
        <v>3.57</v>
      </c>
      <c r="D19">
        <v>0</v>
      </c>
      <c r="E19">
        <v>118.91</v>
      </c>
      <c r="F19">
        <v>88467</v>
      </c>
      <c r="G19">
        <v>517021</v>
      </c>
    </row>
    <row r="20" spans="1:7">
      <c r="A20">
        <v>16</v>
      </c>
      <c r="B20">
        <v>1220502280</v>
      </c>
      <c r="C20">
        <v>4.88</v>
      </c>
      <c r="D20">
        <v>0</v>
      </c>
      <c r="E20">
        <v>173.46</v>
      </c>
      <c r="F20">
        <v>132677</v>
      </c>
      <c r="G20">
        <v>782090</v>
      </c>
    </row>
    <row r="21" spans="1:7">
      <c r="A21">
        <v>18</v>
      </c>
      <c r="B21">
        <v>1840788180</v>
      </c>
      <c r="C21">
        <v>7.36</v>
      </c>
      <c r="D21">
        <v>0</v>
      </c>
      <c r="E21">
        <v>254.5</v>
      </c>
      <c r="F21">
        <v>192453</v>
      </c>
      <c r="G21">
        <v>1176492</v>
      </c>
    </row>
    <row r="22" spans="1:7">
      <c r="A22">
        <v>20</v>
      </c>
      <c r="B22">
        <v>2822817340</v>
      </c>
      <c r="C22">
        <v>11.29</v>
      </c>
      <c r="D22">
        <v>0</v>
      </c>
      <c r="E22">
        <v>370.13</v>
      </c>
      <c r="F22">
        <v>276352</v>
      </c>
      <c r="G22">
        <v>1742337</v>
      </c>
    </row>
    <row r="23" spans="1:7">
      <c r="A23">
        <v>22</v>
      </c>
      <c r="B23">
        <v>3770511880</v>
      </c>
      <c r="C23">
        <v>15.08</v>
      </c>
      <c r="D23">
        <v>0</v>
      </c>
      <c r="E23">
        <v>507.33</v>
      </c>
      <c r="F23">
        <v>398468</v>
      </c>
      <c r="G23">
        <v>2544354</v>
      </c>
    </row>
    <row r="24" spans="1:7">
      <c r="A24">
        <v>24</v>
      </c>
      <c r="B24">
        <v>4472945080</v>
      </c>
      <c r="C24">
        <v>17.89</v>
      </c>
      <c r="D24">
        <v>0</v>
      </c>
      <c r="E24">
        <v>676.49</v>
      </c>
      <c r="F24">
        <v>569661</v>
      </c>
      <c r="G24">
        <v>3633407</v>
      </c>
    </row>
    <row r="25" spans="1:7">
      <c r="A25">
        <v>26</v>
      </c>
      <c r="B25">
        <v>6419885280</v>
      </c>
      <c r="C25">
        <v>25.68</v>
      </c>
      <c r="D25">
        <v>0</v>
      </c>
      <c r="E25">
        <v>888.87</v>
      </c>
      <c r="F25">
        <v>715729</v>
      </c>
      <c r="G25">
        <v>5126773</v>
      </c>
    </row>
    <row r="26" spans="1:7">
      <c r="A26">
        <v>28</v>
      </c>
      <c r="B26">
        <v>5806781120</v>
      </c>
      <c r="C26">
        <v>23.23</v>
      </c>
      <c r="D26">
        <v>0</v>
      </c>
      <c r="E26">
        <v>943.21</v>
      </c>
      <c r="F26">
        <v>835268</v>
      </c>
      <c r="G26">
        <v>6640398</v>
      </c>
    </row>
    <row r="27" spans="1:7">
      <c r="A27">
        <v>30</v>
      </c>
      <c r="B27">
        <v>5882238580</v>
      </c>
      <c r="C27">
        <v>23.53</v>
      </c>
      <c r="D27">
        <v>0</v>
      </c>
      <c r="E27">
        <v>943.21</v>
      </c>
      <c r="F27">
        <v>954044</v>
      </c>
      <c r="G27">
        <v>8137683</v>
      </c>
    </row>
    <row r="28" spans="1:7">
      <c r="A28">
        <v>32</v>
      </c>
      <c r="B28">
        <v>6025873380</v>
      </c>
      <c r="C28">
        <v>24.1</v>
      </c>
      <c r="D28">
        <v>0</v>
      </c>
      <c r="E28">
        <v>943.21</v>
      </c>
      <c r="F28">
        <v>1077527</v>
      </c>
      <c r="G28">
        <v>9677867</v>
      </c>
    </row>
    <row r="29" spans="1:7">
      <c r="A29">
        <v>34</v>
      </c>
      <c r="B29">
        <v>5749228820</v>
      </c>
      <c r="C29">
        <v>23</v>
      </c>
      <c r="D29">
        <v>0</v>
      </c>
      <c r="E29">
        <v>943.21</v>
      </c>
      <c r="F29">
        <v>1213926</v>
      </c>
      <c r="G29">
        <v>11292205</v>
      </c>
    </row>
    <row r="30" spans="1:7">
      <c r="A30">
        <v>36</v>
      </c>
      <c r="B30">
        <v>5338295560</v>
      </c>
      <c r="C30">
        <v>21.35</v>
      </c>
      <c r="D30">
        <v>0</v>
      </c>
      <c r="E30">
        <v>943.21</v>
      </c>
      <c r="F30">
        <v>1369239</v>
      </c>
      <c r="G30">
        <v>13023746</v>
      </c>
    </row>
    <row r="31" spans="1:7">
      <c r="A31">
        <v>38</v>
      </c>
      <c r="B31">
        <v>6123859860</v>
      </c>
      <c r="C31">
        <v>24.5</v>
      </c>
      <c r="D31">
        <v>0</v>
      </c>
      <c r="E31">
        <v>943.21</v>
      </c>
      <c r="F31">
        <v>1541569</v>
      </c>
      <c r="G31">
        <v>14901776</v>
      </c>
    </row>
    <row r="32" spans="1:7">
      <c r="A32">
        <v>40</v>
      </c>
      <c r="B32">
        <v>4822194080</v>
      </c>
      <c r="C32">
        <v>19.29</v>
      </c>
      <c r="D32">
        <v>0</v>
      </c>
      <c r="E32">
        <v>943.21</v>
      </c>
      <c r="F32">
        <v>1678907</v>
      </c>
      <c r="G32">
        <v>16902479</v>
      </c>
    </row>
    <row r="33" spans="1:7">
      <c r="A33">
        <v>42</v>
      </c>
      <c r="B33">
        <v>6312159180</v>
      </c>
      <c r="C33">
        <v>25.25</v>
      </c>
      <c r="D33">
        <v>0</v>
      </c>
      <c r="E33">
        <v>943.21</v>
      </c>
      <c r="F33">
        <v>1808144</v>
      </c>
      <c r="G33">
        <v>18827316</v>
      </c>
    </row>
    <row r="34" spans="1:7">
      <c r="A34">
        <v>44</v>
      </c>
      <c r="B34">
        <v>5142716120</v>
      </c>
      <c r="C34">
        <v>20.57</v>
      </c>
      <c r="D34">
        <v>0</v>
      </c>
      <c r="E34">
        <v>943.21</v>
      </c>
      <c r="F34">
        <v>1936290</v>
      </c>
      <c r="G34">
        <v>20731246</v>
      </c>
    </row>
    <row r="35" spans="1:7">
      <c r="A35">
        <v>46</v>
      </c>
      <c r="B35">
        <v>5829802040</v>
      </c>
      <c r="C35">
        <v>23.32</v>
      </c>
      <c r="D35">
        <v>0</v>
      </c>
      <c r="E35">
        <v>943.21</v>
      </c>
      <c r="F35">
        <v>2063644</v>
      </c>
      <c r="G35">
        <v>22625774</v>
      </c>
    </row>
    <row r="36" spans="1:7">
      <c r="A36">
        <v>48</v>
      </c>
      <c r="B36">
        <v>5079064260</v>
      </c>
      <c r="C36">
        <v>20.32</v>
      </c>
      <c r="D36">
        <v>0</v>
      </c>
      <c r="E36">
        <v>943.21</v>
      </c>
      <c r="F36">
        <v>2190753</v>
      </c>
      <c r="G36">
        <v>24516995</v>
      </c>
    </row>
    <row r="37" spans="1:7">
      <c r="A37">
        <v>50</v>
      </c>
      <c r="B37">
        <v>6097690780</v>
      </c>
      <c r="C37">
        <v>24.39</v>
      </c>
      <c r="D37">
        <v>0</v>
      </c>
      <c r="E37">
        <v>943.21</v>
      </c>
      <c r="F37">
        <v>2316506</v>
      </c>
      <c r="G37">
        <v>26405522</v>
      </c>
    </row>
    <row r="38" spans="1:7">
      <c r="A38">
        <v>52</v>
      </c>
      <c r="B38">
        <v>5484980140</v>
      </c>
      <c r="C38">
        <v>21.94</v>
      </c>
      <c r="D38">
        <v>0</v>
      </c>
      <c r="E38">
        <v>943.21</v>
      </c>
      <c r="F38">
        <v>2442469</v>
      </c>
      <c r="G38">
        <v>28294846</v>
      </c>
    </row>
    <row r="39" spans="1:7">
      <c r="A39">
        <v>54</v>
      </c>
      <c r="B39">
        <v>4961008260</v>
      </c>
      <c r="C39">
        <v>19.84</v>
      </c>
      <c r="D39">
        <v>0</v>
      </c>
      <c r="E39">
        <v>943.21</v>
      </c>
      <c r="F39">
        <v>2569188</v>
      </c>
      <c r="G39">
        <v>30183389</v>
      </c>
    </row>
    <row r="40" spans="1:7">
      <c r="A40">
        <v>56</v>
      </c>
      <c r="B40">
        <v>5931526960</v>
      </c>
      <c r="C40">
        <v>23.73</v>
      </c>
      <c r="D40">
        <v>0</v>
      </c>
      <c r="E40">
        <v>943.21</v>
      </c>
      <c r="F40">
        <v>2695702</v>
      </c>
      <c r="G40">
        <v>32071235</v>
      </c>
    </row>
    <row r="41" spans="1:7">
      <c r="A41">
        <v>58</v>
      </c>
      <c r="B41">
        <v>5361513240</v>
      </c>
      <c r="C41">
        <v>21.45</v>
      </c>
      <c r="D41">
        <v>0</v>
      </c>
      <c r="E41">
        <v>943.21</v>
      </c>
      <c r="F41">
        <v>2822287</v>
      </c>
      <c r="G41">
        <v>33958563</v>
      </c>
    </row>
    <row r="42" spans="1:7">
      <c r="A42">
        <v>60</v>
      </c>
      <c r="B42">
        <v>5835803220</v>
      </c>
      <c r="C42">
        <v>23.34</v>
      </c>
      <c r="D42">
        <v>0</v>
      </c>
      <c r="E42">
        <v>943.21</v>
      </c>
      <c r="F42">
        <v>2948715</v>
      </c>
      <c r="G42">
        <v>35847429</v>
      </c>
    </row>
    <row r="43" spans="1:7">
      <c r="A43">
        <v>62</v>
      </c>
      <c r="B43">
        <v>4884271860</v>
      </c>
      <c r="C43">
        <v>19.54</v>
      </c>
      <c r="D43">
        <v>0</v>
      </c>
      <c r="E43">
        <v>943.21</v>
      </c>
      <c r="F43">
        <v>3075039</v>
      </c>
      <c r="G43">
        <v>37735995</v>
      </c>
    </row>
    <row r="44" spans="1:7">
      <c r="A44">
        <v>64</v>
      </c>
      <c r="B44">
        <v>6156620400</v>
      </c>
      <c r="C44">
        <v>24.63</v>
      </c>
      <c r="D44">
        <v>0</v>
      </c>
      <c r="E44">
        <v>943.21</v>
      </c>
      <c r="F44">
        <v>3201277</v>
      </c>
      <c r="G44">
        <v>39624281</v>
      </c>
    </row>
    <row r="45" spans="1:7">
      <c r="A45">
        <v>66</v>
      </c>
      <c r="B45">
        <v>4876303080</v>
      </c>
      <c r="C45">
        <v>19.5</v>
      </c>
      <c r="D45">
        <v>0</v>
      </c>
      <c r="E45">
        <v>943.21</v>
      </c>
      <c r="F45">
        <v>3328132</v>
      </c>
      <c r="G45">
        <v>41511257</v>
      </c>
    </row>
    <row r="46" spans="1:7">
      <c r="A46">
        <v>68</v>
      </c>
      <c r="B46">
        <v>6099560000</v>
      </c>
      <c r="C46">
        <v>24.4</v>
      </c>
      <c r="D46">
        <v>0</v>
      </c>
      <c r="E46">
        <v>943.21</v>
      </c>
      <c r="F46">
        <v>3454421</v>
      </c>
      <c r="G46">
        <v>43396945</v>
      </c>
    </row>
    <row r="47" spans="1:7">
      <c r="A47">
        <v>70</v>
      </c>
      <c r="B47">
        <v>4901488360</v>
      </c>
      <c r="C47">
        <v>19.61</v>
      </c>
      <c r="D47">
        <v>0</v>
      </c>
      <c r="E47">
        <v>943.21</v>
      </c>
      <c r="F47">
        <v>3580758</v>
      </c>
      <c r="G47">
        <v>45283475</v>
      </c>
    </row>
    <row r="48" spans="1:7">
      <c r="A48">
        <v>72</v>
      </c>
      <c r="B48">
        <v>6048008880</v>
      </c>
      <c r="C48">
        <v>24.19</v>
      </c>
      <c r="D48">
        <v>0</v>
      </c>
      <c r="E48">
        <v>943.21</v>
      </c>
      <c r="F48">
        <v>3707341</v>
      </c>
      <c r="G48">
        <v>47170201</v>
      </c>
    </row>
    <row r="49" spans="1:7">
      <c r="A49">
        <v>74</v>
      </c>
      <c r="B49">
        <v>4962877480</v>
      </c>
      <c r="C49">
        <v>19.850000000000001</v>
      </c>
      <c r="D49">
        <v>0</v>
      </c>
      <c r="E49">
        <v>943.21</v>
      </c>
      <c r="F49">
        <v>3834185</v>
      </c>
      <c r="G49">
        <v>49056657</v>
      </c>
    </row>
    <row r="50" spans="1:7">
      <c r="A50">
        <v>76</v>
      </c>
      <c r="B50">
        <v>6152193300</v>
      </c>
      <c r="C50">
        <v>24.61</v>
      </c>
      <c r="D50">
        <v>0</v>
      </c>
      <c r="E50">
        <v>943.21</v>
      </c>
      <c r="F50">
        <v>3960599</v>
      </c>
      <c r="G50">
        <v>50943429</v>
      </c>
    </row>
    <row r="51" spans="1:7">
      <c r="A51">
        <v>78</v>
      </c>
      <c r="B51">
        <v>4810585240</v>
      </c>
      <c r="C51">
        <v>19.239999999999998</v>
      </c>
      <c r="D51">
        <v>0</v>
      </c>
      <c r="E51">
        <v>943.21</v>
      </c>
      <c r="F51">
        <v>4087351</v>
      </c>
      <c r="G51">
        <v>52829998</v>
      </c>
    </row>
    <row r="52" spans="1:7">
      <c r="A52">
        <v>80</v>
      </c>
      <c r="B52">
        <v>5854101900</v>
      </c>
      <c r="C52">
        <v>23.42</v>
      </c>
      <c r="D52">
        <v>0</v>
      </c>
      <c r="E52">
        <v>943.21</v>
      </c>
      <c r="F52">
        <v>4213676</v>
      </c>
      <c r="G52">
        <v>54716711</v>
      </c>
    </row>
    <row r="53" spans="1:7">
      <c r="A53">
        <v>82</v>
      </c>
      <c r="B53">
        <v>5658719220</v>
      </c>
      <c r="C53">
        <v>22.64</v>
      </c>
      <c r="D53">
        <v>0</v>
      </c>
      <c r="E53">
        <v>943.21</v>
      </c>
      <c r="F53">
        <v>4340086</v>
      </c>
      <c r="G53">
        <v>56603725</v>
      </c>
    </row>
    <row r="54" spans="1:7">
      <c r="A54">
        <v>84</v>
      </c>
      <c r="B54">
        <v>5206466360</v>
      </c>
      <c r="C54">
        <v>20.83</v>
      </c>
      <c r="D54">
        <v>0</v>
      </c>
      <c r="E54">
        <v>943.21</v>
      </c>
      <c r="F54">
        <v>4466408</v>
      </c>
      <c r="G54">
        <v>58491995</v>
      </c>
    </row>
    <row r="55" spans="1:7">
      <c r="A55">
        <v>86</v>
      </c>
      <c r="B55">
        <v>5938315180</v>
      </c>
      <c r="C55">
        <v>23.75</v>
      </c>
      <c r="D55">
        <v>0</v>
      </c>
      <c r="E55">
        <v>943.21</v>
      </c>
      <c r="F55">
        <v>4592550</v>
      </c>
      <c r="G55">
        <v>60380131</v>
      </c>
    </row>
    <row r="56" spans="1:7">
      <c r="A56">
        <v>88</v>
      </c>
      <c r="B56">
        <v>4866563460</v>
      </c>
      <c r="C56">
        <v>19.47</v>
      </c>
      <c r="D56">
        <v>0</v>
      </c>
      <c r="E56">
        <v>943.21</v>
      </c>
      <c r="F56">
        <v>4718730</v>
      </c>
      <c r="G56">
        <v>62268730</v>
      </c>
    </row>
    <row r="57" spans="1:7">
      <c r="A57">
        <v>90</v>
      </c>
      <c r="B57">
        <v>6083524060</v>
      </c>
      <c r="C57">
        <v>24.33</v>
      </c>
      <c r="D57">
        <v>0</v>
      </c>
      <c r="E57">
        <v>943.21</v>
      </c>
      <c r="F57">
        <v>4844751</v>
      </c>
      <c r="G57">
        <v>64156587</v>
      </c>
    </row>
    <row r="58" spans="1:7">
      <c r="A58">
        <v>92</v>
      </c>
      <c r="B58">
        <v>5060273680</v>
      </c>
      <c r="C58">
        <v>20.239999999999998</v>
      </c>
      <c r="D58">
        <v>0</v>
      </c>
      <c r="E58">
        <v>943.21</v>
      </c>
      <c r="F58">
        <v>4970931</v>
      </c>
      <c r="G58">
        <v>66043899</v>
      </c>
    </row>
    <row r="59" spans="1:7">
      <c r="A59">
        <v>94</v>
      </c>
      <c r="B59">
        <v>5950415920</v>
      </c>
      <c r="C59">
        <v>23.8</v>
      </c>
      <c r="D59">
        <v>0</v>
      </c>
      <c r="E59">
        <v>943.21</v>
      </c>
      <c r="F59">
        <v>5096836</v>
      </c>
      <c r="G59">
        <v>67932424</v>
      </c>
    </row>
    <row r="60" spans="1:7">
      <c r="A60">
        <v>96</v>
      </c>
      <c r="B60">
        <v>4979405320</v>
      </c>
      <c r="C60">
        <v>19.920000000000002</v>
      </c>
      <c r="D60">
        <v>0</v>
      </c>
      <c r="E60">
        <v>943.21</v>
      </c>
      <c r="F60">
        <v>5222990</v>
      </c>
      <c r="G60">
        <v>69819348</v>
      </c>
    </row>
    <row r="61" spans="1:7">
      <c r="A61">
        <v>98</v>
      </c>
      <c r="B61">
        <v>6075358520</v>
      </c>
      <c r="C61">
        <v>24.3</v>
      </c>
      <c r="D61">
        <v>0</v>
      </c>
      <c r="E61">
        <v>943.21</v>
      </c>
      <c r="F61">
        <v>5347832</v>
      </c>
      <c r="G61">
        <v>71705441</v>
      </c>
    </row>
    <row r="62" spans="1:7">
      <c r="A62">
        <v>100</v>
      </c>
      <c r="B62">
        <v>5017183240</v>
      </c>
      <c r="C62">
        <v>20.07</v>
      </c>
      <c r="D62">
        <v>0</v>
      </c>
      <c r="E62">
        <v>943.21</v>
      </c>
      <c r="F62">
        <v>5473610</v>
      </c>
      <c r="G62">
        <v>73595544</v>
      </c>
    </row>
    <row r="63" spans="1:7">
      <c r="A63">
        <v>102</v>
      </c>
      <c r="B63">
        <v>5926411200</v>
      </c>
      <c r="C63">
        <v>23.71</v>
      </c>
      <c r="D63">
        <v>0</v>
      </c>
      <c r="E63">
        <v>943.21</v>
      </c>
      <c r="F63">
        <v>5600253</v>
      </c>
      <c r="G63">
        <v>75485400</v>
      </c>
    </row>
    <row r="64" spans="1:7">
      <c r="A64">
        <v>104</v>
      </c>
      <c r="B64">
        <v>5058896360</v>
      </c>
      <c r="C64">
        <v>20.239999999999998</v>
      </c>
      <c r="D64">
        <v>0</v>
      </c>
      <c r="E64">
        <v>943.21</v>
      </c>
      <c r="F64">
        <v>5726853</v>
      </c>
      <c r="G64">
        <v>77374465</v>
      </c>
    </row>
    <row r="65" spans="1:7">
      <c r="A65">
        <v>106</v>
      </c>
      <c r="B65">
        <v>6019872200</v>
      </c>
      <c r="C65">
        <v>24.08</v>
      </c>
      <c r="D65">
        <v>0</v>
      </c>
      <c r="E65">
        <v>943.21</v>
      </c>
      <c r="F65">
        <v>5853045</v>
      </c>
      <c r="G65">
        <v>79263385</v>
      </c>
    </row>
    <row r="66" spans="1:7">
      <c r="A66">
        <v>108</v>
      </c>
      <c r="B66">
        <v>5023282800</v>
      </c>
      <c r="C66">
        <v>20.09</v>
      </c>
      <c r="D66">
        <v>0</v>
      </c>
      <c r="E66">
        <v>943.21</v>
      </c>
      <c r="F66">
        <v>5979321</v>
      </c>
      <c r="G66">
        <v>81151865</v>
      </c>
    </row>
    <row r="67" spans="1:7">
      <c r="A67">
        <v>110</v>
      </c>
      <c r="B67">
        <v>5878106620</v>
      </c>
      <c r="C67">
        <v>23.51</v>
      </c>
      <c r="D67">
        <v>0</v>
      </c>
      <c r="E67">
        <v>943.21</v>
      </c>
      <c r="F67">
        <v>6105187</v>
      </c>
      <c r="G67">
        <v>83039716</v>
      </c>
    </row>
    <row r="68" spans="1:7">
      <c r="A68">
        <v>112</v>
      </c>
      <c r="B68">
        <v>5084180020</v>
      </c>
      <c r="C68">
        <v>20.34</v>
      </c>
      <c r="D68">
        <v>0</v>
      </c>
      <c r="E68">
        <v>943.21</v>
      </c>
      <c r="F68">
        <v>6231291</v>
      </c>
      <c r="G68">
        <v>84927682</v>
      </c>
    </row>
    <row r="69" spans="1:7">
      <c r="A69">
        <v>114</v>
      </c>
      <c r="B69">
        <v>6155538220</v>
      </c>
      <c r="C69">
        <v>24.62</v>
      </c>
      <c r="D69">
        <v>0</v>
      </c>
      <c r="E69">
        <v>943.21</v>
      </c>
      <c r="F69">
        <v>6357467</v>
      </c>
      <c r="G69">
        <v>86815715</v>
      </c>
    </row>
    <row r="70" spans="1:7">
      <c r="A70">
        <v>116</v>
      </c>
      <c r="B70">
        <v>4847871260</v>
      </c>
      <c r="C70">
        <v>19.39</v>
      </c>
      <c r="D70">
        <v>0</v>
      </c>
      <c r="E70">
        <v>943.21</v>
      </c>
      <c r="F70">
        <v>6483232</v>
      </c>
      <c r="G70">
        <v>88703253</v>
      </c>
    </row>
    <row r="71" spans="1:7">
      <c r="A71">
        <v>118</v>
      </c>
      <c r="B71">
        <v>6039744960</v>
      </c>
      <c r="C71">
        <v>24.16</v>
      </c>
      <c r="D71">
        <v>0</v>
      </c>
      <c r="E71">
        <v>943.21</v>
      </c>
      <c r="F71">
        <v>6609581</v>
      </c>
      <c r="G71">
        <v>90590459</v>
      </c>
    </row>
    <row r="72" spans="1:7">
      <c r="A72">
        <v>120</v>
      </c>
      <c r="B72">
        <v>4963172620</v>
      </c>
      <c r="C72">
        <v>19.850000000000001</v>
      </c>
      <c r="D72">
        <v>0</v>
      </c>
      <c r="E72">
        <v>943.21</v>
      </c>
      <c r="F72">
        <v>6735483</v>
      </c>
      <c r="G72">
        <v>92478182</v>
      </c>
    </row>
    <row r="73" spans="1:7">
      <c r="A73">
        <v>122</v>
      </c>
      <c r="B73">
        <v>6138223340</v>
      </c>
      <c r="C73">
        <v>24.55</v>
      </c>
      <c r="D73">
        <v>0</v>
      </c>
      <c r="E73">
        <v>943.21</v>
      </c>
      <c r="F73">
        <v>6861404</v>
      </c>
      <c r="G73">
        <v>94365728</v>
      </c>
    </row>
    <row r="74" spans="1:7">
      <c r="A74">
        <v>124</v>
      </c>
      <c r="B74">
        <v>4925886600</v>
      </c>
      <c r="C74">
        <v>19.7</v>
      </c>
      <c r="D74">
        <v>0</v>
      </c>
      <c r="E74">
        <v>943.21</v>
      </c>
      <c r="F74">
        <v>6987577</v>
      </c>
      <c r="G74">
        <v>96253979</v>
      </c>
    </row>
    <row r="75" spans="1:7">
      <c r="A75">
        <v>126</v>
      </c>
      <c r="B75">
        <v>6079884000</v>
      </c>
      <c r="C75">
        <v>24.32</v>
      </c>
      <c r="D75">
        <v>0</v>
      </c>
      <c r="E75">
        <v>943.21</v>
      </c>
      <c r="F75">
        <v>7113209</v>
      </c>
      <c r="G75">
        <v>98142670</v>
      </c>
    </row>
    <row r="76" spans="1:7">
      <c r="A76">
        <v>128</v>
      </c>
      <c r="B76">
        <v>5416114140</v>
      </c>
      <c r="C76">
        <v>21.66</v>
      </c>
      <c r="D76">
        <v>0</v>
      </c>
      <c r="E76">
        <v>943.21</v>
      </c>
      <c r="F76">
        <v>7239600</v>
      </c>
      <c r="G76">
        <v>100028644</v>
      </c>
    </row>
    <row r="77" spans="1:7">
      <c r="A77">
        <v>130</v>
      </c>
      <c r="B77">
        <v>5167409500</v>
      </c>
      <c r="C77">
        <v>20.67</v>
      </c>
      <c r="D77">
        <v>0</v>
      </c>
      <c r="E77">
        <v>943.21</v>
      </c>
      <c r="F77">
        <v>7365329</v>
      </c>
      <c r="G77">
        <v>101915940</v>
      </c>
    </row>
    <row r="78" spans="1:7">
      <c r="A78">
        <v>132</v>
      </c>
      <c r="B78">
        <v>5947366140</v>
      </c>
      <c r="C78">
        <v>23.79</v>
      </c>
      <c r="D78">
        <v>0</v>
      </c>
      <c r="E78">
        <v>943.21</v>
      </c>
      <c r="F78">
        <v>7491124</v>
      </c>
      <c r="G78">
        <v>103803348</v>
      </c>
    </row>
    <row r="79" spans="1:7">
      <c r="A79">
        <v>134</v>
      </c>
      <c r="B79">
        <v>4849543720</v>
      </c>
      <c r="C79">
        <v>19.399999999999999</v>
      </c>
      <c r="D79">
        <v>0</v>
      </c>
      <c r="E79">
        <v>943.21</v>
      </c>
      <c r="F79">
        <v>7617383</v>
      </c>
      <c r="G79">
        <v>105690669</v>
      </c>
    </row>
    <row r="80" spans="1:7">
      <c r="A80">
        <v>136</v>
      </c>
      <c r="B80">
        <v>6165081080</v>
      </c>
      <c r="C80">
        <v>24.66</v>
      </c>
      <c r="D80">
        <v>0</v>
      </c>
      <c r="E80">
        <v>943.21</v>
      </c>
      <c r="F80">
        <v>7743514</v>
      </c>
      <c r="G80">
        <v>107579026</v>
      </c>
    </row>
    <row r="81" spans="1:7">
      <c r="A81">
        <v>138</v>
      </c>
      <c r="B81">
        <v>4891158460</v>
      </c>
      <c r="C81">
        <v>19.559999999999999</v>
      </c>
      <c r="D81">
        <v>0</v>
      </c>
      <c r="E81">
        <v>943.21</v>
      </c>
      <c r="F81">
        <v>7869626</v>
      </c>
      <c r="G81">
        <v>109467347</v>
      </c>
    </row>
    <row r="82" spans="1:7">
      <c r="A82">
        <v>140</v>
      </c>
      <c r="B82">
        <v>6006394140</v>
      </c>
      <c r="C82">
        <v>24.03</v>
      </c>
      <c r="D82">
        <v>0</v>
      </c>
      <c r="E82">
        <v>943.21</v>
      </c>
      <c r="F82">
        <v>7995829</v>
      </c>
      <c r="G82">
        <v>111354009</v>
      </c>
    </row>
    <row r="83" spans="1:7">
      <c r="A83">
        <v>142</v>
      </c>
      <c r="B83">
        <v>4936019740</v>
      </c>
      <c r="C83">
        <v>19.739999999999998</v>
      </c>
      <c r="D83">
        <v>0</v>
      </c>
      <c r="E83">
        <v>943.21</v>
      </c>
      <c r="F83">
        <v>8121620</v>
      </c>
      <c r="G83">
        <v>113240505</v>
      </c>
    </row>
    <row r="84" spans="1:7">
      <c r="A84">
        <v>144</v>
      </c>
      <c r="B84">
        <v>6217320860</v>
      </c>
      <c r="C84">
        <v>24.87</v>
      </c>
      <c r="D84">
        <v>0</v>
      </c>
      <c r="E84">
        <v>943.21</v>
      </c>
      <c r="F84">
        <v>8247494</v>
      </c>
      <c r="G84">
        <v>115129193</v>
      </c>
    </row>
    <row r="85" spans="1:7">
      <c r="A85">
        <v>146</v>
      </c>
      <c r="B85">
        <v>4975273360</v>
      </c>
      <c r="C85">
        <v>19.899999999999999</v>
      </c>
      <c r="D85">
        <v>0</v>
      </c>
      <c r="E85">
        <v>943.21</v>
      </c>
      <c r="F85">
        <v>8373721</v>
      </c>
      <c r="G85">
        <v>117017956</v>
      </c>
    </row>
    <row r="86" spans="1:7">
      <c r="A86">
        <v>148</v>
      </c>
      <c r="B86">
        <v>5938020040</v>
      </c>
      <c r="C86">
        <v>23.75</v>
      </c>
      <c r="D86">
        <v>0</v>
      </c>
      <c r="E86">
        <v>943.21</v>
      </c>
      <c r="F86">
        <v>8499591</v>
      </c>
      <c r="G86">
        <v>118905561</v>
      </c>
    </row>
    <row r="87" spans="1:7">
      <c r="A87">
        <v>150</v>
      </c>
      <c r="B87">
        <v>4987767620</v>
      </c>
      <c r="C87">
        <v>19.95</v>
      </c>
      <c r="D87">
        <v>0</v>
      </c>
      <c r="E87">
        <v>943.21</v>
      </c>
      <c r="F87">
        <v>8625980</v>
      </c>
      <c r="G87">
        <v>120793593</v>
      </c>
    </row>
    <row r="88" spans="1:7">
      <c r="A88">
        <v>152</v>
      </c>
      <c r="B88">
        <v>6025676620</v>
      </c>
      <c r="C88">
        <v>24.1</v>
      </c>
      <c r="D88">
        <v>0</v>
      </c>
      <c r="E88">
        <v>943.21</v>
      </c>
      <c r="F88">
        <v>8752192</v>
      </c>
      <c r="G88">
        <v>122681623</v>
      </c>
    </row>
    <row r="89" spans="1:7">
      <c r="A89">
        <v>154</v>
      </c>
      <c r="B89">
        <v>5180100520</v>
      </c>
      <c r="C89">
        <v>20.72</v>
      </c>
      <c r="D89">
        <v>0</v>
      </c>
      <c r="E89">
        <v>943.21</v>
      </c>
      <c r="F89">
        <v>8878194</v>
      </c>
      <c r="G89">
        <v>124570169</v>
      </c>
    </row>
    <row r="90" spans="1:7">
      <c r="A90">
        <v>156</v>
      </c>
      <c r="B90">
        <v>5928673940</v>
      </c>
      <c r="C90">
        <v>23.72</v>
      </c>
      <c r="D90">
        <v>0</v>
      </c>
      <c r="E90">
        <v>943.21</v>
      </c>
      <c r="F90">
        <v>9004159</v>
      </c>
      <c r="G90">
        <v>126457389</v>
      </c>
    </row>
    <row r="91" spans="1:7">
      <c r="A91">
        <v>158</v>
      </c>
      <c r="B91">
        <v>4848264780</v>
      </c>
      <c r="C91">
        <v>19.39</v>
      </c>
      <c r="D91">
        <v>0</v>
      </c>
      <c r="E91">
        <v>943.21</v>
      </c>
      <c r="F91">
        <v>9130020</v>
      </c>
      <c r="G91">
        <v>128344678</v>
      </c>
    </row>
    <row r="92" spans="1:7">
      <c r="A92">
        <v>160</v>
      </c>
      <c r="B92">
        <v>6181018640</v>
      </c>
      <c r="C92">
        <v>24.73</v>
      </c>
      <c r="D92">
        <v>0</v>
      </c>
      <c r="E92">
        <v>943.21</v>
      </c>
      <c r="F92">
        <v>9255994</v>
      </c>
      <c r="G92">
        <v>130232204</v>
      </c>
    </row>
    <row r="93" spans="1:7">
      <c r="A93">
        <v>162</v>
      </c>
      <c r="B93">
        <v>4845215000</v>
      </c>
      <c r="C93">
        <v>19.38</v>
      </c>
      <c r="D93">
        <v>0</v>
      </c>
      <c r="E93">
        <v>943.21</v>
      </c>
      <c r="F93">
        <v>9381878</v>
      </c>
      <c r="G93">
        <v>132119979</v>
      </c>
    </row>
    <row r="94" spans="1:7">
      <c r="A94">
        <v>164</v>
      </c>
      <c r="B94">
        <v>6038957920</v>
      </c>
      <c r="C94">
        <v>24.16</v>
      </c>
      <c r="D94">
        <v>0</v>
      </c>
      <c r="E94">
        <v>943.21</v>
      </c>
      <c r="F94">
        <v>9507405</v>
      </c>
      <c r="G94">
        <v>134008599</v>
      </c>
    </row>
    <row r="95" spans="1:7">
      <c r="A95">
        <v>166</v>
      </c>
      <c r="B95">
        <v>5018265420</v>
      </c>
      <c r="C95">
        <v>20.07</v>
      </c>
      <c r="D95">
        <v>0</v>
      </c>
      <c r="E95">
        <v>943.21</v>
      </c>
      <c r="F95">
        <v>9633584</v>
      </c>
      <c r="G95">
        <v>135895783</v>
      </c>
    </row>
    <row r="96" spans="1:7">
      <c r="A96">
        <v>168</v>
      </c>
      <c r="B96">
        <v>5865612360</v>
      </c>
      <c r="C96">
        <v>23.46</v>
      </c>
      <c r="D96">
        <v>0</v>
      </c>
      <c r="E96">
        <v>943.21</v>
      </c>
      <c r="F96">
        <v>9759875</v>
      </c>
      <c r="G96">
        <v>137782927</v>
      </c>
    </row>
    <row r="97" spans="1:7">
      <c r="A97">
        <v>170</v>
      </c>
      <c r="B97">
        <v>5164162960</v>
      </c>
      <c r="C97">
        <v>20.66</v>
      </c>
      <c r="D97">
        <v>0</v>
      </c>
      <c r="E97">
        <v>943.21</v>
      </c>
      <c r="F97">
        <v>9885909</v>
      </c>
      <c r="G97">
        <v>139670193</v>
      </c>
    </row>
    <row r="98" spans="1:7">
      <c r="A98">
        <v>172</v>
      </c>
      <c r="B98">
        <v>6100642180</v>
      </c>
      <c r="C98">
        <v>24.4</v>
      </c>
      <c r="D98">
        <v>0</v>
      </c>
      <c r="E98">
        <v>943.21</v>
      </c>
      <c r="F98">
        <v>10012231</v>
      </c>
      <c r="G98">
        <v>141557594</v>
      </c>
    </row>
    <row r="99" spans="1:7">
      <c r="A99">
        <v>174</v>
      </c>
      <c r="B99">
        <v>4916540500</v>
      </c>
      <c r="C99">
        <v>19.670000000000002</v>
      </c>
      <c r="D99">
        <v>0</v>
      </c>
      <c r="E99">
        <v>943.21</v>
      </c>
      <c r="F99">
        <v>10138574</v>
      </c>
      <c r="G99">
        <v>143445419</v>
      </c>
    </row>
    <row r="100" spans="1:7">
      <c r="A100">
        <v>176</v>
      </c>
      <c r="B100">
        <v>6066209180</v>
      </c>
      <c r="C100">
        <v>24.27</v>
      </c>
      <c r="D100">
        <v>0</v>
      </c>
      <c r="E100">
        <v>943.21</v>
      </c>
      <c r="F100">
        <v>10264849</v>
      </c>
      <c r="G100">
        <v>145332754</v>
      </c>
    </row>
    <row r="101" spans="1:7">
      <c r="A101">
        <v>178</v>
      </c>
      <c r="B101">
        <v>4947038300</v>
      </c>
      <c r="C101">
        <v>19.79</v>
      </c>
      <c r="D101">
        <v>0</v>
      </c>
      <c r="E101">
        <v>943.21</v>
      </c>
      <c r="F101">
        <v>10391155</v>
      </c>
      <c r="G101">
        <v>147220358</v>
      </c>
    </row>
    <row r="102" spans="1:7">
      <c r="A102">
        <v>180</v>
      </c>
      <c r="B102">
        <v>5995572340</v>
      </c>
      <c r="C102">
        <v>23.98</v>
      </c>
      <c r="D102">
        <v>0</v>
      </c>
      <c r="E102">
        <v>943.21</v>
      </c>
      <c r="F102">
        <v>10517228</v>
      </c>
      <c r="G102">
        <v>149108386</v>
      </c>
    </row>
    <row r="103" spans="1:7">
      <c r="A103">
        <v>182</v>
      </c>
      <c r="B103">
        <v>4957368200</v>
      </c>
      <c r="C103">
        <v>19.829999999999998</v>
      </c>
      <c r="D103">
        <v>0</v>
      </c>
      <c r="E103">
        <v>943.21</v>
      </c>
      <c r="F103">
        <v>10643618</v>
      </c>
      <c r="G103">
        <v>150996763</v>
      </c>
    </row>
    <row r="104" spans="1:7">
      <c r="A104">
        <v>184</v>
      </c>
      <c r="B104">
        <v>6143634240</v>
      </c>
      <c r="C104">
        <v>24.57</v>
      </c>
      <c r="D104">
        <v>0</v>
      </c>
      <c r="E104">
        <v>943.21</v>
      </c>
      <c r="F104">
        <v>10769879</v>
      </c>
      <c r="G104">
        <v>152884952</v>
      </c>
    </row>
    <row r="105" spans="1:7">
      <c r="A105">
        <v>186</v>
      </c>
      <c r="B105">
        <v>4814028540</v>
      </c>
      <c r="C105">
        <v>19.260000000000002</v>
      </c>
      <c r="D105">
        <v>0</v>
      </c>
      <c r="E105">
        <v>943.21</v>
      </c>
      <c r="F105">
        <v>10896182</v>
      </c>
      <c r="G105">
        <v>154772927</v>
      </c>
    </row>
    <row r="106" spans="1:7">
      <c r="A106">
        <v>188</v>
      </c>
      <c r="B106">
        <v>5924837120</v>
      </c>
      <c r="C106">
        <v>23.7</v>
      </c>
      <c r="D106">
        <v>0</v>
      </c>
      <c r="E106">
        <v>943.21</v>
      </c>
      <c r="F106">
        <v>11021633</v>
      </c>
      <c r="G106">
        <v>156660258</v>
      </c>
    </row>
    <row r="107" spans="1:7">
      <c r="A107">
        <v>190</v>
      </c>
      <c r="B107">
        <v>5377745940</v>
      </c>
      <c r="C107">
        <v>21.51</v>
      </c>
      <c r="D107">
        <v>0</v>
      </c>
      <c r="E107">
        <v>943.21</v>
      </c>
      <c r="F107">
        <v>11148149</v>
      </c>
      <c r="G107">
        <v>158547984</v>
      </c>
    </row>
    <row r="108" spans="1:7">
      <c r="A108">
        <v>192</v>
      </c>
      <c r="B108">
        <v>5882041820</v>
      </c>
      <c r="C108">
        <v>23.53</v>
      </c>
      <c r="D108">
        <v>0</v>
      </c>
      <c r="E108">
        <v>943.21</v>
      </c>
      <c r="F108">
        <v>11274751</v>
      </c>
      <c r="G108">
        <v>160435406</v>
      </c>
    </row>
    <row r="109" spans="1:7">
      <c r="A109">
        <v>194</v>
      </c>
      <c r="B109">
        <v>4843247400</v>
      </c>
      <c r="C109">
        <v>19.37</v>
      </c>
      <c r="D109">
        <v>0</v>
      </c>
      <c r="E109">
        <v>943.21</v>
      </c>
      <c r="F109">
        <v>11401170</v>
      </c>
      <c r="G109">
        <v>162322627</v>
      </c>
    </row>
    <row r="110" spans="1:7">
      <c r="A110">
        <v>196</v>
      </c>
      <c r="B110">
        <v>6189380940</v>
      </c>
      <c r="C110">
        <v>24.76</v>
      </c>
      <c r="D110">
        <v>0</v>
      </c>
      <c r="E110">
        <v>943.21</v>
      </c>
      <c r="F110">
        <v>11527462</v>
      </c>
      <c r="G110">
        <v>164209347</v>
      </c>
    </row>
    <row r="111" spans="1:7">
      <c r="A111">
        <v>198</v>
      </c>
      <c r="B111">
        <v>4907981440</v>
      </c>
      <c r="C111">
        <v>19.63</v>
      </c>
      <c r="D111">
        <v>0</v>
      </c>
      <c r="E111">
        <v>943.21</v>
      </c>
      <c r="F111">
        <v>11653898</v>
      </c>
      <c r="G111">
        <v>166096214</v>
      </c>
    </row>
    <row r="112" spans="1:7">
      <c r="A112">
        <v>200</v>
      </c>
      <c r="B112">
        <v>5949432120</v>
      </c>
      <c r="C112">
        <v>23.8</v>
      </c>
      <c r="D112">
        <v>0</v>
      </c>
      <c r="E112">
        <v>943.21</v>
      </c>
      <c r="F112">
        <v>11780194</v>
      </c>
      <c r="G112">
        <v>167982746</v>
      </c>
    </row>
    <row r="113" spans="1:7">
      <c r="A113">
        <v>202</v>
      </c>
      <c r="B113">
        <v>5007443620</v>
      </c>
      <c r="C113">
        <v>20.03</v>
      </c>
      <c r="D113">
        <v>0</v>
      </c>
      <c r="E113">
        <v>943.21</v>
      </c>
      <c r="F113">
        <v>11906820</v>
      </c>
      <c r="G113">
        <v>169868604</v>
      </c>
    </row>
    <row r="114" spans="1:7">
      <c r="A114">
        <v>204</v>
      </c>
      <c r="B114">
        <v>5990358200</v>
      </c>
      <c r="C114">
        <v>23.96</v>
      </c>
      <c r="D114">
        <v>0</v>
      </c>
      <c r="E114">
        <v>943.21</v>
      </c>
      <c r="F114">
        <v>12033105</v>
      </c>
      <c r="G114">
        <v>171756517</v>
      </c>
    </row>
    <row r="115" spans="1:7">
      <c r="A115">
        <v>206</v>
      </c>
      <c r="B115">
        <v>5111136140</v>
      </c>
      <c r="C115">
        <v>20.440000000000001</v>
      </c>
      <c r="D115">
        <v>0</v>
      </c>
      <c r="E115">
        <v>943.21</v>
      </c>
      <c r="F115">
        <v>12159749</v>
      </c>
      <c r="G115">
        <v>173644701</v>
      </c>
    </row>
    <row r="116" spans="1:7">
      <c r="A116">
        <v>208</v>
      </c>
      <c r="B116">
        <v>5903980560</v>
      </c>
      <c r="C116">
        <v>23.62</v>
      </c>
      <c r="D116">
        <v>0</v>
      </c>
      <c r="E116">
        <v>943.21</v>
      </c>
      <c r="F116">
        <v>12286091</v>
      </c>
      <c r="G116">
        <v>175532343</v>
      </c>
    </row>
    <row r="117" spans="1:7">
      <c r="A117">
        <v>210</v>
      </c>
      <c r="B117">
        <v>5004393840</v>
      </c>
      <c r="C117">
        <v>20.02</v>
      </c>
      <c r="D117">
        <v>0</v>
      </c>
      <c r="E117">
        <v>943.21</v>
      </c>
      <c r="F117">
        <v>12412405</v>
      </c>
      <c r="G117">
        <v>177419750</v>
      </c>
    </row>
    <row r="118" spans="1:7">
      <c r="A118">
        <v>212</v>
      </c>
      <c r="B118">
        <v>6140879600</v>
      </c>
      <c r="C118">
        <v>24.56</v>
      </c>
      <c r="D118">
        <v>0</v>
      </c>
      <c r="E118">
        <v>943.21</v>
      </c>
      <c r="F118">
        <v>12538496</v>
      </c>
      <c r="G118">
        <v>179307099</v>
      </c>
    </row>
    <row r="119" spans="1:7">
      <c r="A119">
        <v>214</v>
      </c>
      <c r="B119">
        <v>5004885740</v>
      </c>
      <c r="C119">
        <v>20.02</v>
      </c>
      <c r="D119">
        <v>0</v>
      </c>
      <c r="E119">
        <v>943.21</v>
      </c>
      <c r="F119">
        <v>12664511</v>
      </c>
      <c r="G119">
        <v>181194883</v>
      </c>
    </row>
    <row r="120" spans="1:7">
      <c r="A120">
        <v>216</v>
      </c>
      <c r="B120">
        <v>5855774360</v>
      </c>
      <c r="C120">
        <v>23.43</v>
      </c>
      <c r="D120">
        <v>0</v>
      </c>
      <c r="E120">
        <v>943.21</v>
      </c>
      <c r="F120">
        <v>12790923</v>
      </c>
      <c r="G120">
        <v>183083328</v>
      </c>
    </row>
    <row r="121" spans="1:7">
      <c r="A121">
        <v>218</v>
      </c>
      <c r="B121">
        <v>5024660120</v>
      </c>
      <c r="C121">
        <v>20.100000000000001</v>
      </c>
      <c r="D121">
        <v>0</v>
      </c>
      <c r="E121">
        <v>943.21</v>
      </c>
      <c r="F121">
        <v>12917279</v>
      </c>
      <c r="G121">
        <v>184969782</v>
      </c>
    </row>
    <row r="122" spans="1:7">
      <c r="A122">
        <v>220</v>
      </c>
      <c r="B122">
        <v>6128680480</v>
      </c>
      <c r="C122">
        <v>24.52</v>
      </c>
      <c r="D122">
        <v>0</v>
      </c>
      <c r="E122">
        <v>943.21</v>
      </c>
      <c r="F122">
        <v>13043341</v>
      </c>
      <c r="G122">
        <v>186855612</v>
      </c>
    </row>
    <row r="123" spans="1:7">
      <c r="A123">
        <v>222</v>
      </c>
      <c r="B123">
        <v>4963172620</v>
      </c>
      <c r="C123">
        <v>19.850000000000001</v>
      </c>
      <c r="D123">
        <v>0</v>
      </c>
      <c r="E123">
        <v>943.21</v>
      </c>
      <c r="F123">
        <v>13169643</v>
      </c>
      <c r="G123">
        <v>188741550</v>
      </c>
    </row>
    <row r="124" spans="1:7">
      <c r="A124">
        <v>224</v>
      </c>
      <c r="B124">
        <v>5770774040</v>
      </c>
      <c r="C124">
        <v>23.08</v>
      </c>
      <c r="D124">
        <v>0</v>
      </c>
      <c r="E124">
        <v>943.21</v>
      </c>
      <c r="F124">
        <v>13296208</v>
      </c>
      <c r="G124">
        <v>190627560</v>
      </c>
    </row>
    <row r="125" spans="1:7">
      <c r="A125">
        <v>226</v>
      </c>
      <c r="B125">
        <v>5335344160</v>
      </c>
      <c r="C125">
        <v>21.34</v>
      </c>
      <c r="D125">
        <v>0</v>
      </c>
      <c r="E125">
        <v>943.21</v>
      </c>
      <c r="F125">
        <v>13422250</v>
      </c>
      <c r="G125">
        <v>192513389</v>
      </c>
    </row>
    <row r="126" spans="1:7">
      <c r="A126">
        <v>228</v>
      </c>
      <c r="B126">
        <v>5795959320</v>
      </c>
      <c r="C126">
        <v>23.18</v>
      </c>
      <c r="D126">
        <v>0</v>
      </c>
      <c r="E126">
        <v>943.21</v>
      </c>
      <c r="F126">
        <v>13548680</v>
      </c>
      <c r="G126">
        <v>194400060</v>
      </c>
    </row>
    <row r="127" spans="1:7">
      <c r="A127">
        <v>230</v>
      </c>
      <c r="B127">
        <v>5356791000</v>
      </c>
      <c r="C127">
        <v>21.43</v>
      </c>
      <c r="D127">
        <v>0</v>
      </c>
      <c r="E127">
        <v>943.21</v>
      </c>
      <c r="F127">
        <v>13675099</v>
      </c>
      <c r="G127">
        <v>196287810</v>
      </c>
    </row>
    <row r="128" spans="1:7">
      <c r="A128">
        <v>232</v>
      </c>
      <c r="B128">
        <v>5722272700</v>
      </c>
      <c r="C128">
        <v>22.89</v>
      </c>
      <c r="D128">
        <v>0</v>
      </c>
      <c r="E128">
        <v>943.21</v>
      </c>
      <c r="F128">
        <v>13801434</v>
      </c>
      <c r="G128">
        <v>198174965</v>
      </c>
    </row>
    <row r="129" spans="1:7">
      <c r="A129">
        <v>234</v>
      </c>
      <c r="B129">
        <v>4943103100</v>
      </c>
      <c r="C129">
        <v>19.77</v>
      </c>
      <c r="D129">
        <v>0</v>
      </c>
      <c r="E129">
        <v>943.21</v>
      </c>
      <c r="F129">
        <v>13928054</v>
      </c>
      <c r="G129">
        <v>200061677</v>
      </c>
    </row>
    <row r="130" spans="1:7">
      <c r="A130">
        <v>236</v>
      </c>
      <c r="B130">
        <v>6093853960</v>
      </c>
      <c r="C130">
        <v>24.38</v>
      </c>
      <c r="D130">
        <v>0</v>
      </c>
      <c r="E130">
        <v>943.21</v>
      </c>
      <c r="F130">
        <v>14054436</v>
      </c>
      <c r="G130">
        <v>201949348</v>
      </c>
    </row>
    <row r="131" spans="1:7">
      <c r="A131">
        <v>238</v>
      </c>
      <c r="B131">
        <v>5021216820</v>
      </c>
      <c r="C131">
        <v>20.079999999999998</v>
      </c>
      <c r="D131">
        <v>0</v>
      </c>
      <c r="E131">
        <v>943.21</v>
      </c>
      <c r="F131">
        <v>14180727</v>
      </c>
      <c r="G131">
        <v>203836671</v>
      </c>
    </row>
    <row r="132" spans="1:7">
      <c r="A132">
        <v>240</v>
      </c>
      <c r="B132">
        <v>5879582320</v>
      </c>
      <c r="C132">
        <v>23.52</v>
      </c>
      <c r="D132">
        <v>0</v>
      </c>
      <c r="E132">
        <v>943.21</v>
      </c>
      <c r="F132">
        <v>14307171</v>
      </c>
      <c r="G132">
        <v>205724487</v>
      </c>
    </row>
    <row r="133" spans="1:7">
      <c r="A133">
        <v>242</v>
      </c>
      <c r="B133">
        <v>5047484280</v>
      </c>
      <c r="C133">
        <v>20.190000000000001</v>
      </c>
      <c r="D133">
        <v>0</v>
      </c>
      <c r="E133">
        <v>943.21</v>
      </c>
      <c r="F133">
        <v>14433558</v>
      </c>
      <c r="G133">
        <v>207612506</v>
      </c>
    </row>
    <row r="134" spans="1:7">
      <c r="A134">
        <v>244</v>
      </c>
      <c r="B134">
        <v>6097494020</v>
      </c>
      <c r="C134">
        <v>24.39</v>
      </c>
      <c r="D134">
        <v>0</v>
      </c>
      <c r="E134">
        <v>943.21</v>
      </c>
      <c r="F134">
        <v>14559777</v>
      </c>
      <c r="G134">
        <v>209500765</v>
      </c>
    </row>
    <row r="135" spans="1:7">
      <c r="A135">
        <v>246</v>
      </c>
      <c r="B135">
        <v>4992391480</v>
      </c>
      <c r="C135">
        <v>19.97</v>
      </c>
      <c r="D135">
        <v>0</v>
      </c>
      <c r="E135">
        <v>943.21</v>
      </c>
      <c r="F135">
        <v>14686019</v>
      </c>
      <c r="G135">
        <v>211388871</v>
      </c>
    </row>
    <row r="136" spans="1:7">
      <c r="A136">
        <v>248</v>
      </c>
      <c r="B136">
        <v>6051648940</v>
      </c>
      <c r="C136">
        <v>24.21</v>
      </c>
      <c r="D136">
        <v>0</v>
      </c>
      <c r="E136">
        <v>943.21</v>
      </c>
      <c r="F136">
        <v>14812499</v>
      </c>
      <c r="G136">
        <v>213273864</v>
      </c>
    </row>
    <row r="137" spans="1:7">
      <c r="A137">
        <v>250</v>
      </c>
      <c r="B137">
        <v>4901881880</v>
      </c>
      <c r="C137">
        <v>19.61</v>
      </c>
      <c r="D137">
        <v>0</v>
      </c>
      <c r="E137">
        <v>943.21</v>
      </c>
      <c r="F137">
        <v>14939019</v>
      </c>
      <c r="G137">
        <v>215159870</v>
      </c>
    </row>
    <row r="138" spans="1:7">
      <c r="A138">
        <v>252</v>
      </c>
      <c r="B138">
        <v>6103101680</v>
      </c>
      <c r="C138">
        <v>24.41</v>
      </c>
      <c r="D138">
        <v>0</v>
      </c>
      <c r="E138">
        <v>943.21</v>
      </c>
      <c r="F138">
        <v>15065411</v>
      </c>
      <c r="G138">
        <v>217046551</v>
      </c>
    </row>
    <row r="139" spans="1:7">
      <c r="A139">
        <v>254</v>
      </c>
      <c r="B139">
        <v>4859184960</v>
      </c>
      <c r="C139">
        <v>19.440000000000001</v>
      </c>
      <c r="D139">
        <v>0</v>
      </c>
      <c r="E139">
        <v>943.21</v>
      </c>
      <c r="F139">
        <v>15192191</v>
      </c>
      <c r="G139">
        <v>218933733</v>
      </c>
    </row>
    <row r="140" spans="1:7">
      <c r="A140">
        <v>256</v>
      </c>
      <c r="B140">
        <v>5997736700</v>
      </c>
      <c r="C140">
        <v>23.99</v>
      </c>
      <c r="D140">
        <v>0</v>
      </c>
      <c r="E140">
        <v>943.21</v>
      </c>
      <c r="F140">
        <v>15318489</v>
      </c>
      <c r="G140">
        <v>220819412</v>
      </c>
    </row>
    <row r="141" spans="1:7">
      <c r="A141">
        <v>258</v>
      </c>
      <c r="B141">
        <v>4978913420</v>
      </c>
      <c r="C141">
        <v>19.920000000000002</v>
      </c>
      <c r="D141">
        <v>0</v>
      </c>
      <c r="E141">
        <v>943.21</v>
      </c>
      <c r="F141">
        <v>15444819</v>
      </c>
      <c r="G141">
        <v>222704209</v>
      </c>
    </row>
    <row r="142" spans="1:7">
      <c r="A142">
        <v>260</v>
      </c>
      <c r="B142">
        <v>6181412160</v>
      </c>
      <c r="C142">
        <v>24.73</v>
      </c>
      <c r="D142">
        <v>0</v>
      </c>
      <c r="E142">
        <v>943.21</v>
      </c>
      <c r="F142">
        <v>15571091</v>
      </c>
      <c r="G142">
        <v>224587996</v>
      </c>
    </row>
    <row r="143" spans="1:7">
      <c r="A143">
        <v>262</v>
      </c>
      <c r="B143">
        <v>5064405640</v>
      </c>
      <c r="C143">
        <v>20.260000000000002</v>
      </c>
      <c r="D143">
        <v>0</v>
      </c>
      <c r="E143">
        <v>943.21</v>
      </c>
      <c r="F143">
        <v>15697905</v>
      </c>
      <c r="G143">
        <v>226473138</v>
      </c>
    </row>
    <row r="144" spans="1:7">
      <c r="A144">
        <v>264</v>
      </c>
      <c r="B144">
        <v>5449464960</v>
      </c>
      <c r="C144">
        <v>21.8</v>
      </c>
      <c r="D144">
        <v>0</v>
      </c>
      <c r="E144">
        <v>943.21</v>
      </c>
      <c r="F144">
        <v>15824356</v>
      </c>
      <c r="G144">
        <v>228359714</v>
      </c>
    </row>
    <row r="145" spans="1:7">
      <c r="A145">
        <v>266</v>
      </c>
      <c r="B145">
        <v>5936249200</v>
      </c>
      <c r="C145">
        <v>23.75</v>
      </c>
      <c r="D145">
        <v>0</v>
      </c>
      <c r="E145">
        <v>943.21</v>
      </c>
      <c r="F145">
        <v>15950717</v>
      </c>
      <c r="G145">
        <v>230246558</v>
      </c>
    </row>
    <row r="146" spans="1:7">
      <c r="A146">
        <v>268</v>
      </c>
      <c r="B146">
        <v>4896962880</v>
      </c>
      <c r="C146">
        <v>19.59</v>
      </c>
      <c r="D146">
        <v>0</v>
      </c>
      <c r="E146">
        <v>943.21</v>
      </c>
      <c r="F146">
        <v>16077129</v>
      </c>
      <c r="G146">
        <v>232132796</v>
      </c>
    </row>
    <row r="147" spans="1:7">
      <c r="A147">
        <v>270</v>
      </c>
      <c r="B147">
        <v>6153472240</v>
      </c>
      <c r="C147">
        <v>24.61</v>
      </c>
      <c r="D147">
        <v>0</v>
      </c>
      <c r="E147">
        <v>943.21</v>
      </c>
      <c r="F147">
        <v>16203457</v>
      </c>
      <c r="G147">
        <v>234019752</v>
      </c>
    </row>
    <row r="148" spans="1:7">
      <c r="A148">
        <v>272</v>
      </c>
      <c r="B148">
        <v>4853282160</v>
      </c>
      <c r="C148">
        <v>19.41</v>
      </c>
      <c r="D148">
        <v>0</v>
      </c>
      <c r="E148">
        <v>943.21</v>
      </c>
      <c r="F148">
        <v>16329838</v>
      </c>
      <c r="G148">
        <v>235906995</v>
      </c>
    </row>
    <row r="149" spans="1:7">
      <c r="A149">
        <v>274</v>
      </c>
      <c r="B149">
        <v>6040433620</v>
      </c>
      <c r="C149">
        <v>24.16</v>
      </c>
      <c r="D149">
        <v>0</v>
      </c>
      <c r="E149">
        <v>943.21</v>
      </c>
      <c r="F149">
        <v>16456461</v>
      </c>
      <c r="G149">
        <v>237792801</v>
      </c>
    </row>
    <row r="150" spans="1:7">
      <c r="A150">
        <v>276</v>
      </c>
      <c r="B150">
        <v>5039318740</v>
      </c>
      <c r="C150">
        <v>20.16</v>
      </c>
      <c r="D150">
        <v>0</v>
      </c>
      <c r="E150">
        <v>943.21</v>
      </c>
      <c r="F150">
        <v>16582658</v>
      </c>
      <c r="G150">
        <v>239679585</v>
      </c>
    </row>
    <row r="151" spans="1:7">
      <c r="A151">
        <v>278</v>
      </c>
      <c r="B151">
        <v>5833737240</v>
      </c>
      <c r="C151">
        <v>23.34</v>
      </c>
      <c r="D151">
        <v>0</v>
      </c>
      <c r="E151">
        <v>943.21</v>
      </c>
      <c r="F151">
        <v>16708802</v>
      </c>
      <c r="G151">
        <v>241564654</v>
      </c>
    </row>
    <row r="152" spans="1:7">
      <c r="A152">
        <v>280</v>
      </c>
      <c r="B152">
        <v>5249655180</v>
      </c>
      <c r="C152">
        <v>21</v>
      </c>
      <c r="D152">
        <v>0</v>
      </c>
      <c r="E152">
        <v>943.21</v>
      </c>
      <c r="F152">
        <v>16835117</v>
      </c>
      <c r="G152">
        <v>243450263</v>
      </c>
    </row>
    <row r="153" spans="1:7">
      <c r="A153">
        <v>282</v>
      </c>
      <c r="B153">
        <v>5881353160</v>
      </c>
      <c r="C153">
        <v>23.53</v>
      </c>
      <c r="D153">
        <v>0</v>
      </c>
      <c r="E153">
        <v>943.21</v>
      </c>
      <c r="F153">
        <v>16961528</v>
      </c>
      <c r="G153">
        <v>245336416</v>
      </c>
    </row>
    <row r="154" spans="1:7">
      <c r="A154">
        <v>284</v>
      </c>
      <c r="B154">
        <v>4920180560</v>
      </c>
      <c r="C154">
        <v>19.68</v>
      </c>
      <c r="D154">
        <v>0</v>
      </c>
      <c r="E154">
        <v>943.21</v>
      </c>
      <c r="F154">
        <v>17087899</v>
      </c>
      <c r="G154">
        <v>247222155</v>
      </c>
    </row>
    <row r="155" spans="1:7">
      <c r="A155">
        <v>286</v>
      </c>
      <c r="B155">
        <v>6011608280</v>
      </c>
      <c r="C155">
        <v>24.05</v>
      </c>
      <c r="D155">
        <v>0</v>
      </c>
      <c r="E155">
        <v>943.21</v>
      </c>
      <c r="F155">
        <v>17214271</v>
      </c>
      <c r="G155">
        <v>249107635</v>
      </c>
    </row>
    <row r="156" spans="1:7">
      <c r="A156">
        <v>288</v>
      </c>
      <c r="B156">
        <v>5006853340</v>
      </c>
      <c r="C156">
        <v>20.03</v>
      </c>
      <c r="D156">
        <v>0</v>
      </c>
      <c r="E156">
        <v>943.21</v>
      </c>
      <c r="F156">
        <v>17340605</v>
      </c>
      <c r="G156">
        <v>250993582</v>
      </c>
    </row>
    <row r="157" spans="1:7">
      <c r="A157">
        <v>290</v>
      </c>
      <c r="B157">
        <v>6008755260</v>
      </c>
      <c r="C157">
        <v>24.04</v>
      </c>
      <c r="D157">
        <v>0</v>
      </c>
      <c r="E157">
        <v>943.21</v>
      </c>
      <c r="F157">
        <v>17466744</v>
      </c>
      <c r="G157">
        <v>252880684</v>
      </c>
    </row>
    <row r="158" spans="1:7">
      <c r="A158">
        <v>292</v>
      </c>
      <c r="B158">
        <v>4970747880</v>
      </c>
      <c r="C158">
        <v>19.88</v>
      </c>
      <c r="D158">
        <v>0</v>
      </c>
      <c r="E158">
        <v>943.21</v>
      </c>
      <c r="F158">
        <v>17593249</v>
      </c>
      <c r="G158">
        <v>254766856</v>
      </c>
    </row>
    <row r="159" spans="1:7">
      <c r="A159">
        <v>294</v>
      </c>
      <c r="B159">
        <v>6133009200</v>
      </c>
      <c r="C159">
        <v>24.53</v>
      </c>
      <c r="D159">
        <v>0</v>
      </c>
      <c r="E159">
        <v>943.21</v>
      </c>
      <c r="F159">
        <v>17719612</v>
      </c>
      <c r="G159">
        <v>256653385</v>
      </c>
    </row>
    <row r="160" spans="1:7">
      <c r="A160">
        <v>296</v>
      </c>
      <c r="B160">
        <v>4880828560</v>
      </c>
      <c r="C160">
        <v>19.52</v>
      </c>
      <c r="D160">
        <v>0</v>
      </c>
      <c r="E160">
        <v>943.21</v>
      </c>
      <c r="F160">
        <v>17846029</v>
      </c>
      <c r="G160">
        <v>258539509</v>
      </c>
    </row>
    <row r="161" spans="1:156">
      <c r="A161">
        <v>298</v>
      </c>
      <c r="B161">
        <v>5996162620</v>
      </c>
      <c r="C161">
        <v>23.98</v>
      </c>
      <c r="D161">
        <v>0</v>
      </c>
      <c r="E161">
        <v>943.21</v>
      </c>
      <c r="F161">
        <v>17972218</v>
      </c>
      <c r="G161">
        <v>260426208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7916362</v>
      </c>
      <c r="D164">
        <v>0</v>
      </c>
      <c r="E164">
        <v>37.895800000000001</v>
      </c>
      <c r="F164" s="4">
        <v>301997000</v>
      </c>
      <c r="G164">
        <v>20768.599999999999</v>
      </c>
      <c r="H164">
        <v>262518236</v>
      </c>
      <c r="I164">
        <v>0</v>
      </c>
      <c r="J164">
        <v>0</v>
      </c>
      <c r="K164" t="s">
        <v>118</v>
      </c>
      <c r="L164">
        <v>0</v>
      </c>
      <c r="M164">
        <v>7916362</v>
      </c>
      <c r="N164">
        <v>778811693560</v>
      </c>
      <c r="O164">
        <v>37.915900000000001</v>
      </c>
      <c r="P164">
        <v>300156113</v>
      </c>
      <c r="Q164">
        <v>20757.5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102</v>
      </c>
      <c r="CC164">
        <v>18128677</v>
      </c>
      <c r="CD164">
        <v>0</v>
      </c>
      <c r="CE164">
        <v>262518236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209</v>
      </c>
      <c r="CT164" t="s">
        <v>47</v>
      </c>
      <c r="CU164">
        <v>262610538</v>
      </c>
      <c r="CV164">
        <v>2364207249228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39300990</v>
      </c>
      <c r="DP164">
        <v>2348919139958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211</v>
      </c>
      <c r="DX164" t="s">
        <v>47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39300446</v>
      </c>
      <c r="EI164">
        <v>9</v>
      </c>
      <c r="EJ164">
        <v>18129439</v>
      </c>
      <c r="EK164">
        <v>44</v>
      </c>
      <c r="EL164">
        <v>44</v>
      </c>
      <c r="EM164" t="s">
        <v>108</v>
      </c>
      <c r="EN164" t="s">
        <v>212</v>
      </c>
      <c r="EO164">
        <v>262610537</v>
      </c>
      <c r="EP164">
        <v>18130574</v>
      </c>
      <c r="EQ164">
        <v>262616891</v>
      </c>
      <c r="ER164">
        <v>18130575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D16E1-455E-421C-803A-54538ADA32F8}">
  <sheetPr codeName="Sheet8"/>
  <dimension ref="A1:EZ228"/>
  <sheetViews>
    <sheetView topLeftCell="A55" workbookViewId="0"/>
  </sheetViews>
  <sheetFormatPr defaultRowHeight="12.5"/>
  <sheetData>
    <row r="1" spans="1:7">
      <c r="A1" t="s">
        <v>246</v>
      </c>
      <c r="B1">
        <v>59</v>
      </c>
      <c r="C1" t="s">
        <v>257</v>
      </c>
      <c r="D1" t="s">
        <v>60</v>
      </c>
      <c r="E1" t="s">
        <v>254</v>
      </c>
    </row>
    <row r="2" spans="1:7">
      <c r="A2" t="s">
        <v>61</v>
      </c>
      <c r="B2" t="s">
        <v>248</v>
      </c>
      <c r="C2">
        <v>2</v>
      </c>
    </row>
    <row r="3" spans="1:7">
      <c r="A3" t="s">
        <v>249</v>
      </c>
    </row>
    <row r="4" spans="1:7">
      <c r="A4" t="s">
        <v>260</v>
      </c>
    </row>
    <row r="5" spans="1:7">
      <c r="A5" t="s">
        <v>62</v>
      </c>
      <c r="B5" t="s">
        <v>213</v>
      </c>
      <c r="C5" t="s">
        <v>63</v>
      </c>
      <c r="D5" t="s">
        <v>261</v>
      </c>
    </row>
    <row r="6" spans="1:7">
      <c r="A6" t="s">
        <v>214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193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26759360</v>
      </c>
      <c r="C13">
        <v>0.11</v>
      </c>
      <c r="D13">
        <v>0</v>
      </c>
      <c r="E13">
        <v>6.77</v>
      </c>
      <c r="F13">
        <v>830</v>
      </c>
      <c r="G13">
        <v>3279</v>
      </c>
    </row>
    <row r="14" spans="1:7">
      <c r="A14">
        <v>4</v>
      </c>
      <c r="B14">
        <v>147570000</v>
      </c>
      <c r="C14">
        <v>0.59</v>
      </c>
      <c r="D14">
        <v>0</v>
      </c>
      <c r="E14">
        <v>17.93</v>
      </c>
      <c r="F14">
        <v>5360</v>
      </c>
      <c r="G14">
        <v>29805</v>
      </c>
    </row>
    <row r="15" spans="1:7">
      <c r="A15">
        <v>6</v>
      </c>
      <c r="B15">
        <v>165770300</v>
      </c>
      <c r="C15">
        <v>0.66</v>
      </c>
      <c r="D15">
        <v>0</v>
      </c>
      <c r="E15">
        <v>26.13</v>
      </c>
      <c r="F15">
        <v>11811</v>
      </c>
      <c r="G15">
        <v>68997</v>
      </c>
    </row>
    <row r="16" spans="1:7">
      <c r="A16">
        <v>8</v>
      </c>
      <c r="B16">
        <v>273299640</v>
      </c>
      <c r="C16">
        <v>1.0900000000000001</v>
      </c>
      <c r="D16">
        <v>0</v>
      </c>
      <c r="E16">
        <v>38.11</v>
      </c>
      <c r="F16">
        <v>21338</v>
      </c>
      <c r="G16">
        <v>126311</v>
      </c>
    </row>
    <row r="17" spans="1:7">
      <c r="A17">
        <v>10</v>
      </c>
      <c r="B17">
        <v>402866100</v>
      </c>
      <c r="C17">
        <v>1.61</v>
      </c>
      <c r="D17">
        <v>0</v>
      </c>
      <c r="E17">
        <v>55.94</v>
      </c>
      <c r="F17">
        <v>35754</v>
      </c>
      <c r="G17">
        <v>212036</v>
      </c>
    </row>
    <row r="18" spans="1:7">
      <c r="A18">
        <v>12</v>
      </c>
      <c r="B18">
        <v>603462920</v>
      </c>
      <c r="C18">
        <v>2.41</v>
      </c>
      <c r="D18">
        <v>0</v>
      </c>
      <c r="E18">
        <v>81.55</v>
      </c>
      <c r="F18">
        <v>57102</v>
      </c>
      <c r="G18">
        <v>335790</v>
      </c>
    </row>
    <row r="19" spans="1:7">
      <c r="A19">
        <v>14</v>
      </c>
      <c r="B19">
        <v>890929280</v>
      </c>
      <c r="C19">
        <v>3.56</v>
      </c>
      <c r="D19">
        <v>0</v>
      </c>
      <c r="E19">
        <v>118.91</v>
      </c>
      <c r="F19">
        <v>88471</v>
      </c>
      <c r="G19">
        <v>517042</v>
      </c>
    </row>
    <row r="20" spans="1:7">
      <c r="A20">
        <v>16</v>
      </c>
      <c r="B20">
        <v>1221190940</v>
      </c>
      <c r="C20">
        <v>4.88</v>
      </c>
      <c r="D20">
        <v>0</v>
      </c>
      <c r="E20">
        <v>173.44</v>
      </c>
      <c r="F20">
        <v>132672</v>
      </c>
      <c r="G20">
        <v>782048</v>
      </c>
    </row>
    <row r="21" spans="1:7">
      <c r="A21">
        <v>18</v>
      </c>
      <c r="B21">
        <v>1785006720</v>
      </c>
      <c r="C21">
        <v>7.14</v>
      </c>
      <c r="D21">
        <v>0</v>
      </c>
      <c r="E21">
        <v>254.61</v>
      </c>
      <c r="F21">
        <v>192457</v>
      </c>
      <c r="G21">
        <v>1176527</v>
      </c>
    </row>
    <row r="22" spans="1:7">
      <c r="A22">
        <v>20</v>
      </c>
      <c r="B22">
        <v>2960549340</v>
      </c>
      <c r="C22">
        <v>11.84</v>
      </c>
      <c r="D22">
        <v>0</v>
      </c>
      <c r="E22">
        <v>368.65</v>
      </c>
      <c r="F22">
        <v>276340</v>
      </c>
      <c r="G22">
        <v>1742259</v>
      </c>
    </row>
    <row r="23" spans="1:7">
      <c r="A23">
        <v>22</v>
      </c>
      <c r="B23">
        <v>3682265020</v>
      </c>
      <c r="C23">
        <v>14.73</v>
      </c>
      <c r="D23">
        <v>0</v>
      </c>
      <c r="E23">
        <v>510.76</v>
      </c>
      <c r="F23">
        <v>398461</v>
      </c>
      <c r="G23">
        <v>2544270</v>
      </c>
    </row>
    <row r="24" spans="1:7">
      <c r="A24">
        <v>24</v>
      </c>
      <c r="B24">
        <v>4474814300</v>
      </c>
      <c r="C24">
        <v>17.899999999999999</v>
      </c>
      <c r="D24">
        <v>0</v>
      </c>
      <c r="E24">
        <v>697.11</v>
      </c>
      <c r="F24">
        <v>569653</v>
      </c>
      <c r="G24">
        <v>3633379</v>
      </c>
    </row>
    <row r="25" spans="1:7">
      <c r="A25">
        <v>26</v>
      </c>
      <c r="B25">
        <v>6188889040</v>
      </c>
      <c r="C25">
        <v>24.76</v>
      </c>
      <c r="D25">
        <v>0</v>
      </c>
      <c r="E25">
        <v>905.62</v>
      </c>
      <c r="F25">
        <v>715729</v>
      </c>
      <c r="G25">
        <v>5126829</v>
      </c>
    </row>
    <row r="26" spans="1:7">
      <c r="A26">
        <v>28</v>
      </c>
      <c r="B26">
        <v>6589492400</v>
      </c>
      <c r="C26">
        <v>26.36</v>
      </c>
      <c r="D26">
        <v>0</v>
      </c>
      <c r="E26">
        <v>915.62</v>
      </c>
      <c r="F26">
        <v>835255</v>
      </c>
      <c r="G26">
        <v>6640195</v>
      </c>
    </row>
    <row r="27" spans="1:7">
      <c r="A27">
        <v>30</v>
      </c>
      <c r="B27">
        <v>6894372020</v>
      </c>
      <c r="C27">
        <v>27.58</v>
      </c>
      <c r="D27">
        <v>0</v>
      </c>
      <c r="E27">
        <v>915.62</v>
      </c>
      <c r="F27">
        <v>954027</v>
      </c>
      <c r="G27">
        <v>8137505</v>
      </c>
    </row>
    <row r="28" spans="1:7">
      <c r="A28">
        <v>32</v>
      </c>
      <c r="B28">
        <v>5666884760</v>
      </c>
      <c r="C28">
        <v>22.67</v>
      </c>
      <c r="D28">
        <v>0</v>
      </c>
      <c r="E28">
        <v>915.62</v>
      </c>
      <c r="F28">
        <v>1077535</v>
      </c>
      <c r="G28">
        <v>9677972</v>
      </c>
    </row>
    <row r="29" spans="1:7">
      <c r="A29">
        <v>34</v>
      </c>
      <c r="B29">
        <v>6408571580</v>
      </c>
      <c r="C29">
        <v>25.63</v>
      </c>
      <c r="D29">
        <v>0</v>
      </c>
      <c r="E29">
        <v>915.62</v>
      </c>
      <c r="F29">
        <v>1213937</v>
      </c>
      <c r="G29">
        <v>11292331</v>
      </c>
    </row>
    <row r="30" spans="1:7">
      <c r="A30">
        <v>36</v>
      </c>
      <c r="B30">
        <v>6117858680</v>
      </c>
      <c r="C30">
        <v>24.47</v>
      </c>
      <c r="D30">
        <v>0</v>
      </c>
      <c r="E30">
        <v>915.62</v>
      </c>
      <c r="F30">
        <v>1369234</v>
      </c>
      <c r="G30">
        <v>13023669</v>
      </c>
    </row>
    <row r="31" spans="1:7">
      <c r="A31">
        <v>38</v>
      </c>
      <c r="B31">
        <v>6679018200</v>
      </c>
      <c r="C31">
        <v>26.72</v>
      </c>
      <c r="D31">
        <v>0</v>
      </c>
      <c r="E31">
        <v>915.62</v>
      </c>
      <c r="F31">
        <v>1541561</v>
      </c>
      <c r="G31">
        <v>14901692</v>
      </c>
    </row>
    <row r="32" spans="1:7">
      <c r="A32">
        <v>40</v>
      </c>
      <c r="B32">
        <v>5392109420</v>
      </c>
      <c r="C32">
        <v>21.57</v>
      </c>
      <c r="D32">
        <v>0</v>
      </c>
      <c r="E32">
        <v>915.62</v>
      </c>
      <c r="F32">
        <v>1678900</v>
      </c>
      <c r="G32">
        <v>16902345</v>
      </c>
    </row>
    <row r="33" spans="1:7">
      <c r="A33">
        <v>42</v>
      </c>
      <c r="B33">
        <v>6105364420</v>
      </c>
      <c r="C33">
        <v>24.42</v>
      </c>
      <c r="D33">
        <v>0</v>
      </c>
      <c r="E33">
        <v>915.62</v>
      </c>
      <c r="F33">
        <v>1808141</v>
      </c>
      <c r="G33">
        <v>18827274</v>
      </c>
    </row>
    <row r="34" spans="1:7">
      <c r="A34">
        <v>44</v>
      </c>
      <c r="B34">
        <v>5770872420</v>
      </c>
      <c r="C34">
        <v>23.08</v>
      </c>
      <c r="D34">
        <v>0</v>
      </c>
      <c r="E34">
        <v>915.62</v>
      </c>
      <c r="F34">
        <v>1936271</v>
      </c>
      <c r="G34">
        <v>20730966</v>
      </c>
    </row>
    <row r="35" spans="1:7">
      <c r="A35">
        <v>46</v>
      </c>
      <c r="B35">
        <v>6556141580</v>
      </c>
      <c r="C35">
        <v>26.22</v>
      </c>
      <c r="D35">
        <v>0</v>
      </c>
      <c r="E35">
        <v>915.62</v>
      </c>
      <c r="F35">
        <v>2063639</v>
      </c>
      <c r="G35">
        <v>22625669</v>
      </c>
    </row>
    <row r="36" spans="1:7">
      <c r="A36">
        <v>48</v>
      </c>
      <c r="B36">
        <v>5251229260</v>
      </c>
      <c r="C36">
        <v>21</v>
      </c>
      <c r="D36">
        <v>0</v>
      </c>
      <c r="E36">
        <v>915.62</v>
      </c>
      <c r="F36">
        <v>2190749</v>
      </c>
      <c r="G36">
        <v>24516939</v>
      </c>
    </row>
    <row r="37" spans="1:7">
      <c r="A37">
        <v>50</v>
      </c>
      <c r="B37">
        <v>6304387160</v>
      </c>
      <c r="C37">
        <v>25.22</v>
      </c>
      <c r="D37">
        <v>0</v>
      </c>
      <c r="E37">
        <v>915.62</v>
      </c>
      <c r="F37">
        <v>2316488</v>
      </c>
      <c r="G37">
        <v>26405270</v>
      </c>
    </row>
    <row r="38" spans="1:7">
      <c r="A38">
        <v>52</v>
      </c>
      <c r="B38">
        <v>5996752900</v>
      </c>
      <c r="C38">
        <v>23.99</v>
      </c>
      <c r="D38">
        <v>0</v>
      </c>
      <c r="E38">
        <v>915.62</v>
      </c>
      <c r="F38">
        <v>2442454</v>
      </c>
      <c r="G38">
        <v>28294734</v>
      </c>
    </row>
    <row r="39" spans="1:7">
      <c r="A39">
        <v>54</v>
      </c>
      <c r="B39">
        <v>5369875540</v>
      </c>
      <c r="C39">
        <v>21.48</v>
      </c>
      <c r="D39">
        <v>0</v>
      </c>
      <c r="E39">
        <v>915.62</v>
      </c>
      <c r="F39">
        <v>2569178</v>
      </c>
      <c r="G39">
        <v>30183179</v>
      </c>
    </row>
    <row r="40" spans="1:7">
      <c r="A40">
        <v>56</v>
      </c>
      <c r="B40">
        <v>6055485760</v>
      </c>
      <c r="C40">
        <v>24.22</v>
      </c>
      <c r="D40">
        <v>0</v>
      </c>
      <c r="E40">
        <v>915.62</v>
      </c>
      <c r="F40">
        <v>2695703</v>
      </c>
      <c r="G40">
        <v>32071256</v>
      </c>
    </row>
    <row r="41" spans="1:7">
      <c r="A41">
        <v>58</v>
      </c>
      <c r="B41">
        <v>5696989040</v>
      </c>
      <c r="C41">
        <v>22.79</v>
      </c>
      <c r="D41">
        <v>0</v>
      </c>
      <c r="E41">
        <v>915.62</v>
      </c>
      <c r="F41">
        <v>2822293</v>
      </c>
      <c r="G41">
        <v>33958668</v>
      </c>
    </row>
    <row r="42" spans="1:7">
      <c r="A42">
        <v>60</v>
      </c>
      <c r="B42">
        <v>6246539720</v>
      </c>
      <c r="C42">
        <v>24.99</v>
      </c>
      <c r="D42">
        <v>0</v>
      </c>
      <c r="E42">
        <v>915.62</v>
      </c>
      <c r="F42">
        <v>2948712</v>
      </c>
      <c r="G42">
        <v>35847352</v>
      </c>
    </row>
    <row r="43" spans="1:7">
      <c r="A43">
        <v>62</v>
      </c>
      <c r="B43">
        <v>5459598100</v>
      </c>
      <c r="C43">
        <v>21.84</v>
      </c>
      <c r="D43">
        <v>0</v>
      </c>
      <c r="E43">
        <v>915.62</v>
      </c>
      <c r="F43">
        <v>3075019</v>
      </c>
      <c r="G43">
        <v>37735694</v>
      </c>
    </row>
    <row r="44" spans="1:7">
      <c r="A44">
        <v>64</v>
      </c>
      <c r="B44">
        <v>6298779500</v>
      </c>
      <c r="C44">
        <v>25.2</v>
      </c>
      <c r="D44">
        <v>0</v>
      </c>
      <c r="E44">
        <v>915.62</v>
      </c>
      <c r="F44">
        <v>3201254</v>
      </c>
      <c r="G44">
        <v>39623944</v>
      </c>
    </row>
    <row r="45" spans="1:7">
      <c r="A45">
        <v>66</v>
      </c>
      <c r="B45">
        <v>5378237840</v>
      </c>
      <c r="C45">
        <v>21.51</v>
      </c>
      <c r="D45">
        <v>0</v>
      </c>
      <c r="E45">
        <v>915.62</v>
      </c>
      <c r="F45">
        <v>3328123</v>
      </c>
      <c r="G45">
        <v>41511117</v>
      </c>
    </row>
    <row r="46" spans="1:7">
      <c r="A46">
        <v>68</v>
      </c>
      <c r="B46">
        <v>6432379540</v>
      </c>
      <c r="C46">
        <v>25.73</v>
      </c>
      <c r="D46">
        <v>0</v>
      </c>
      <c r="E46">
        <v>915.62</v>
      </c>
      <c r="F46">
        <v>3454417</v>
      </c>
      <c r="G46">
        <v>43396889</v>
      </c>
    </row>
    <row r="47" spans="1:7">
      <c r="A47">
        <v>70</v>
      </c>
      <c r="B47">
        <v>5338787460</v>
      </c>
      <c r="C47">
        <v>21.36</v>
      </c>
      <c r="D47">
        <v>0</v>
      </c>
      <c r="E47">
        <v>915.62</v>
      </c>
      <c r="F47">
        <v>3580747</v>
      </c>
      <c r="G47">
        <v>45283342</v>
      </c>
    </row>
    <row r="48" spans="1:7">
      <c r="A48">
        <v>72</v>
      </c>
      <c r="B48">
        <v>6198727040</v>
      </c>
      <c r="C48">
        <v>24.79</v>
      </c>
      <c r="D48">
        <v>0</v>
      </c>
      <c r="E48">
        <v>915.62</v>
      </c>
      <c r="F48">
        <v>3707329</v>
      </c>
      <c r="G48">
        <v>47170054</v>
      </c>
    </row>
    <row r="49" spans="1:7">
      <c r="A49">
        <v>74</v>
      </c>
      <c r="B49">
        <v>5478388680</v>
      </c>
      <c r="C49">
        <v>21.91</v>
      </c>
      <c r="D49">
        <v>0</v>
      </c>
      <c r="E49">
        <v>915.62</v>
      </c>
      <c r="F49">
        <v>3834177</v>
      </c>
      <c r="G49">
        <v>49056580</v>
      </c>
    </row>
    <row r="50" spans="1:7">
      <c r="A50">
        <v>76</v>
      </c>
      <c r="B50">
        <v>6400504420</v>
      </c>
      <c r="C50">
        <v>25.6</v>
      </c>
      <c r="D50">
        <v>0</v>
      </c>
      <c r="E50">
        <v>915.62</v>
      </c>
      <c r="F50">
        <v>3960600</v>
      </c>
      <c r="G50">
        <v>50943443</v>
      </c>
    </row>
    <row r="51" spans="1:7">
      <c r="A51">
        <v>78</v>
      </c>
      <c r="B51">
        <v>5344296740</v>
      </c>
      <c r="C51">
        <v>21.38</v>
      </c>
      <c r="D51">
        <v>0</v>
      </c>
      <c r="E51">
        <v>915.62</v>
      </c>
      <c r="F51">
        <v>4087343</v>
      </c>
      <c r="G51">
        <v>52829823</v>
      </c>
    </row>
    <row r="52" spans="1:7">
      <c r="A52">
        <v>80</v>
      </c>
      <c r="B52">
        <v>6124745280</v>
      </c>
      <c r="C52">
        <v>24.5</v>
      </c>
      <c r="D52">
        <v>0</v>
      </c>
      <c r="E52">
        <v>915.62</v>
      </c>
      <c r="F52">
        <v>4213686</v>
      </c>
      <c r="G52">
        <v>54716817</v>
      </c>
    </row>
    <row r="53" spans="1:7">
      <c r="A53">
        <v>82</v>
      </c>
      <c r="B53">
        <v>5939298980</v>
      </c>
      <c r="C53">
        <v>23.76</v>
      </c>
      <c r="D53">
        <v>0</v>
      </c>
      <c r="E53">
        <v>915.62</v>
      </c>
      <c r="F53">
        <v>4340076</v>
      </c>
      <c r="G53">
        <v>56603641</v>
      </c>
    </row>
    <row r="54" spans="1:7">
      <c r="A54">
        <v>84</v>
      </c>
      <c r="B54">
        <v>5560437600</v>
      </c>
      <c r="C54">
        <v>22.24</v>
      </c>
      <c r="D54">
        <v>0</v>
      </c>
      <c r="E54">
        <v>915.62</v>
      </c>
      <c r="F54">
        <v>4466408</v>
      </c>
      <c r="G54">
        <v>58492016</v>
      </c>
    </row>
    <row r="55" spans="1:7">
      <c r="A55">
        <v>86</v>
      </c>
      <c r="B55">
        <v>6499966600</v>
      </c>
      <c r="C55">
        <v>26</v>
      </c>
      <c r="D55">
        <v>0</v>
      </c>
      <c r="E55">
        <v>915.62</v>
      </c>
      <c r="F55">
        <v>4592543</v>
      </c>
      <c r="G55">
        <v>60380047</v>
      </c>
    </row>
    <row r="56" spans="1:7">
      <c r="A56">
        <v>88</v>
      </c>
      <c r="B56">
        <v>5221124980</v>
      </c>
      <c r="C56">
        <v>20.88</v>
      </c>
      <c r="D56">
        <v>0</v>
      </c>
      <c r="E56">
        <v>915.62</v>
      </c>
      <c r="F56">
        <v>4718718</v>
      </c>
      <c r="G56">
        <v>62268520</v>
      </c>
    </row>
    <row r="57" spans="1:7">
      <c r="A57">
        <v>90</v>
      </c>
      <c r="B57">
        <v>6221256060</v>
      </c>
      <c r="C57">
        <v>24.89</v>
      </c>
      <c r="D57">
        <v>0</v>
      </c>
      <c r="E57">
        <v>915.62</v>
      </c>
      <c r="F57">
        <v>4844749</v>
      </c>
      <c r="G57">
        <v>64156538</v>
      </c>
    </row>
    <row r="58" spans="1:7">
      <c r="A58">
        <v>92</v>
      </c>
      <c r="B58">
        <v>5505148040</v>
      </c>
      <c r="C58">
        <v>22.02</v>
      </c>
      <c r="D58">
        <v>0</v>
      </c>
      <c r="E58">
        <v>915.62</v>
      </c>
      <c r="F58">
        <v>4970919</v>
      </c>
      <c r="G58">
        <v>66043710</v>
      </c>
    </row>
    <row r="59" spans="1:7">
      <c r="A59">
        <v>94</v>
      </c>
      <c r="B59">
        <v>6535678540</v>
      </c>
      <c r="C59">
        <v>26.14</v>
      </c>
      <c r="D59">
        <v>0</v>
      </c>
      <c r="E59">
        <v>915.62</v>
      </c>
      <c r="F59">
        <v>5096828</v>
      </c>
      <c r="G59">
        <v>67932347</v>
      </c>
    </row>
    <row r="60" spans="1:7">
      <c r="A60">
        <v>96</v>
      </c>
      <c r="B60">
        <v>5189840140</v>
      </c>
      <c r="C60">
        <v>20.76</v>
      </c>
      <c r="D60">
        <v>0</v>
      </c>
      <c r="E60">
        <v>915.62</v>
      </c>
      <c r="F60">
        <v>5222982</v>
      </c>
      <c r="G60">
        <v>69819236</v>
      </c>
    </row>
    <row r="61" spans="1:7">
      <c r="A61">
        <v>98</v>
      </c>
      <c r="B61">
        <v>6032464840</v>
      </c>
      <c r="C61">
        <v>24.13</v>
      </c>
      <c r="D61">
        <v>0</v>
      </c>
      <c r="E61">
        <v>915.62</v>
      </c>
      <c r="F61">
        <v>5347823</v>
      </c>
      <c r="G61">
        <v>71705371</v>
      </c>
    </row>
    <row r="62" spans="1:7">
      <c r="A62">
        <v>100</v>
      </c>
      <c r="B62">
        <v>5711844420</v>
      </c>
      <c r="C62">
        <v>22.85</v>
      </c>
      <c r="D62">
        <v>0</v>
      </c>
      <c r="E62">
        <v>915.62</v>
      </c>
      <c r="F62">
        <v>5473580</v>
      </c>
      <c r="G62">
        <v>73595080</v>
      </c>
    </row>
    <row r="63" spans="1:7">
      <c r="A63">
        <v>102</v>
      </c>
      <c r="B63">
        <v>6537941280</v>
      </c>
      <c r="C63">
        <v>26.15</v>
      </c>
      <c r="D63">
        <v>0</v>
      </c>
      <c r="E63">
        <v>915.62</v>
      </c>
      <c r="F63">
        <v>5600241</v>
      </c>
      <c r="G63">
        <v>75485267</v>
      </c>
    </row>
    <row r="64" spans="1:7">
      <c r="A64">
        <v>104</v>
      </c>
      <c r="B64">
        <v>5301206300</v>
      </c>
      <c r="C64">
        <v>21.2</v>
      </c>
      <c r="D64">
        <v>0</v>
      </c>
      <c r="E64">
        <v>915.62</v>
      </c>
      <c r="F64">
        <v>5726858</v>
      </c>
      <c r="G64">
        <v>77374535</v>
      </c>
    </row>
    <row r="65" spans="1:7">
      <c r="A65">
        <v>106</v>
      </c>
      <c r="B65">
        <v>6114513760</v>
      </c>
      <c r="C65">
        <v>24.46</v>
      </c>
      <c r="D65">
        <v>0</v>
      </c>
      <c r="E65">
        <v>915.62</v>
      </c>
      <c r="F65">
        <v>5853035</v>
      </c>
      <c r="G65">
        <v>79263231</v>
      </c>
    </row>
    <row r="66" spans="1:7">
      <c r="A66">
        <v>108</v>
      </c>
      <c r="B66">
        <v>5502491780</v>
      </c>
      <c r="C66">
        <v>22.01</v>
      </c>
      <c r="D66">
        <v>0</v>
      </c>
      <c r="E66">
        <v>915.62</v>
      </c>
      <c r="F66">
        <v>5979293</v>
      </c>
      <c r="G66">
        <v>81151444</v>
      </c>
    </row>
    <row r="67" spans="1:7">
      <c r="A67">
        <v>110</v>
      </c>
      <c r="B67">
        <v>6485504740</v>
      </c>
      <c r="C67">
        <v>25.94</v>
      </c>
      <c r="D67">
        <v>0</v>
      </c>
      <c r="E67">
        <v>915.62</v>
      </c>
      <c r="F67">
        <v>6105179</v>
      </c>
      <c r="G67">
        <v>83039583</v>
      </c>
    </row>
    <row r="68" spans="1:7">
      <c r="A68">
        <v>112</v>
      </c>
      <c r="B68">
        <v>5281530300</v>
      </c>
      <c r="C68">
        <v>21.13</v>
      </c>
      <c r="D68">
        <v>0</v>
      </c>
      <c r="E68">
        <v>915.62</v>
      </c>
      <c r="F68">
        <v>6231281</v>
      </c>
      <c r="G68">
        <v>84927604</v>
      </c>
    </row>
    <row r="69" spans="1:7">
      <c r="A69">
        <v>114</v>
      </c>
      <c r="B69">
        <v>6336065520</v>
      </c>
      <c r="C69">
        <v>25.34</v>
      </c>
      <c r="D69">
        <v>0</v>
      </c>
      <c r="E69">
        <v>915.62</v>
      </c>
      <c r="F69">
        <v>6357463</v>
      </c>
      <c r="G69">
        <v>86815673</v>
      </c>
    </row>
    <row r="70" spans="1:7">
      <c r="A70">
        <v>116</v>
      </c>
      <c r="B70">
        <v>5355708820</v>
      </c>
      <c r="C70">
        <v>21.42</v>
      </c>
      <c r="D70">
        <v>0</v>
      </c>
      <c r="E70">
        <v>915.62</v>
      </c>
      <c r="F70">
        <v>6483199</v>
      </c>
      <c r="G70">
        <v>88702945</v>
      </c>
    </row>
    <row r="71" spans="1:7">
      <c r="A71">
        <v>118</v>
      </c>
      <c r="B71">
        <v>6494457320</v>
      </c>
      <c r="C71">
        <v>25.98</v>
      </c>
      <c r="D71">
        <v>0</v>
      </c>
      <c r="E71">
        <v>915.62</v>
      </c>
      <c r="F71">
        <v>6609570</v>
      </c>
      <c r="G71">
        <v>90590312</v>
      </c>
    </row>
    <row r="72" spans="1:7">
      <c r="A72">
        <v>120</v>
      </c>
      <c r="B72">
        <v>5261362400</v>
      </c>
      <c r="C72">
        <v>21.05</v>
      </c>
      <c r="D72">
        <v>0</v>
      </c>
      <c r="E72">
        <v>915.62</v>
      </c>
      <c r="F72">
        <v>6735474</v>
      </c>
      <c r="G72">
        <v>92478077</v>
      </c>
    </row>
    <row r="73" spans="1:7">
      <c r="A73">
        <v>122</v>
      </c>
      <c r="B73">
        <v>6474978080</v>
      </c>
      <c r="C73">
        <v>25.9</v>
      </c>
      <c r="D73">
        <v>0</v>
      </c>
      <c r="E73">
        <v>915.62</v>
      </c>
      <c r="F73">
        <v>6861396</v>
      </c>
      <c r="G73">
        <v>94365588</v>
      </c>
    </row>
    <row r="74" spans="1:7">
      <c r="A74">
        <v>124</v>
      </c>
      <c r="B74">
        <v>5273955040</v>
      </c>
      <c r="C74">
        <v>21.1</v>
      </c>
      <c r="D74">
        <v>0</v>
      </c>
      <c r="E74">
        <v>915.62</v>
      </c>
      <c r="F74">
        <v>6987572</v>
      </c>
      <c r="G74">
        <v>96253859</v>
      </c>
    </row>
    <row r="75" spans="1:7">
      <c r="A75">
        <v>126</v>
      </c>
      <c r="B75">
        <v>6333015740</v>
      </c>
      <c r="C75">
        <v>25.33</v>
      </c>
      <c r="D75">
        <v>0</v>
      </c>
      <c r="E75">
        <v>915.62</v>
      </c>
      <c r="F75">
        <v>7113214</v>
      </c>
      <c r="G75">
        <v>98142733</v>
      </c>
    </row>
    <row r="76" spans="1:7">
      <c r="A76">
        <v>128</v>
      </c>
      <c r="B76">
        <v>5865513980</v>
      </c>
      <c r="C76">
        <v>23.46</v>
      </c>
      <c r="D76">
        <v>0</v>
      </c>
      <c r="E76">
        <v>915.62</v>
      </c>
      <c r="F76">
        <v>7239589</v>
      </c>
      <c r="G76">
        <v>100028553</v>
      </c>
    </row>
    <row r="77" spans="1:7">
      <c r="A77">
        <v>130</v>
      </c>
      <c r="B77">
        <v>5430576000</v>
      </c>
      <c r="C77">
        <v>21.72</v>
      </c>
      <c r="D77">
        <v>0</v>
      </c>
      <c r="E77">
        <v>915.62</v>
      </c>
      <c r="F77">
        <v>7365342</v>
      </c>
      <c r="G77">
        <v>101916066</v>
      </c>
    </row>
    <row r="78" spans="1:7">
      <c r="A78">
        <v>132</v>
      </c>
      <c r="B78">
        <v>6150225700</v>
      </c>
      <c r="C78">
        <v>24.6</v>
      </c>
      <c r="D78">
        <v>0</v>
      </c>
      <c r="E78">
        <v>915.62</v>
      </c>
      <c r="F78">
        <v>7491119</v>
      </c>
      <c r="G78">
        <v>103803299</v>
      </c>
    </row>
    <row r="79" spans="1:7">
      <c r="A79">
        <v>134</v>
      </c>
      <c r="B79">
        <v>5544795180</v>
      </c>
      <c r="C79">
        <v>22.18</v>
      </c>
      <c r="D79">
        <v>0</v>
      </c>
      <c r="E79">
        <v>915.62</v>
      </c>
      <c r="F79">
        <v>7617380</v>
      </c>
      <c r="G79">
        <v>105690599</v>
      </c>
    </row>
    <row r="80" spans="1:7">
      <c r="A80">
        <v>136</v>
      </c>
      <c r="B80">
        <v>6401291460</v>
      </c>
      <c r="C80">
        <v>25.61</v>
      </c>
      <c r="D80">
        <v>0</v>
      </c>
      <c r="E80">
        <v>915.62</v>
      </c>
      <c r="F80">
        <v>7743511</v>
      </c>
      <c r="G80">
        <v>107578914</v>
      </c>
    </row>
    <row r="81" spans="1:7">
      <c r="A81">
        <v>138</v>
      </c>
      <c r="B81">
        <v>5311044300</v>
      </c>
      <c r="C81">
        <v>21.24</v>
      </c>
      <c r="D81">
        <v>0</v>
      </c>
      <c r="E81">
        <v>915.62</v>
      </c>
      <c r="F81">
        <v>7869619</v>
      </c>
      <c r="G81">
        <v>109467241</v>
      </c>
    </row>
    <row r="82" spans="1:7">
      <c r="A82">
        <v>140</v>
      </c>
      <c r="B82">
        <v>6394109720</v>
      </c>
      <c r="C82">
        <v>25.58</v>
      </c>
      <c r="D82">
        <v>0</v>
      </c>
      <c r="E82">
        <v>915.62</v>
      </c>
      <c r="F82">
        <v>7995821</v>
      </c>
      <c r="G82">
        <v>111353918</v>
      </c>
    </row>
    <row r="83" spans="1:7">
      <c r="A83">
        <v>142</v>
      </c>
      <c r="B83">
        <v>5404800440</v>
      </c>
      <c r="C83">
        <v>21.62</v>
      </c>
      <c r="D83">
        <v>0</v>
      </c>
      <c r="E83">
        <v>915.62</v>
      </c>
      <c r="F83">
        <v>8121629</v>
      </c>
      <c r="G83">
        <v>113240618</v>
      </c>
    </row>
    <row r="84" spans="1:7">
      <c r="A84">
        <v>144</v>
      </c>
      <c r="B84">
        <v>6139207140</v>
      </c>
      <c r="C84">
        <v>24.56</v>
      </c>
      <c r="D84">
        <v>0</v>
      </c>
      <c r="E84">
        <v>915.62</v>
      </c>
      <c r="F84">
        <v>8247481</v>
      </c>
      <c r="G84">
        <v>115129004</v>
      </c>
    </row>
    <row r="85" spans="1:7">
      <c r="A85">
        <v>146</v>
      </c>
      <c r="B85">
        <v>5532989580</v>
      </c>
      <c r="C85">
        <v>22.13</v>
      </c>
      <c r="D85">
        <v>0</v>
      </c>
      <c r="E85">
        <v>915.62</v>
      </c>
      <c r="F85">
        <v>8373707</v>
      </c>
      <c r="G85">
        <v>117017732</v>
      </c>
    </row>
    <row r="86" spans="1:7">
      <c r="A86">
        <v>148</v>
      </c>
      <c r="B86">
        <v>6508033760</v>
      </c>
      <c r="C86">
        <v>26.03</v>
      </c>
      <c r="D86">
        <v>0</v>
      </c>
      <c r="E86">
        <v>915.62</v>
      </c>
      <c r="F86">
        <v>8499587</v>
      </c>
      <c r="G86">
        <v>118905470</v>
      </c>
    </row>
    <row r="87" spans="1:7">
      <c r="A87">
        <v>150</v>
      </c>
      <c r="B87">
        <v>5403324740</v>
      </c>
      <c r="C87">
        <v>21.61</v>
      </c>
      <c r="D87">
        <v>0</v>
      </c>
      <c r="E87">
        <v>915.62</v>
      </c>
      <c r="F87">
        <v>8625972</v>
      </c>
      <c r="G87">
        <v>120793467</v>
      </c>
    </row>
    <row r="88" spans="1:7">
      <c r="A88">
        <v>152</v>
      </c>
      <c r="B88">
        <v>5949235360</v>
      </c>
      <c r="C88">
        <v>23.8</v>
      </c>
      <c r="D88">
        <v>0</v>
      </c>
      <c r="E88">
        <v>915.62</v>
      </c>
      <c r="F88">
        <v>8752188</v>
      </c>
      <c r="G88">
        <v>122681597</v>
      </c>
    </row>
    <row r="89" spans="1:7">
      <c r="A89">
        <v>154</v>
      </c>
      <c r="B89">
        <v>5751294800</v>
      </c>
      <c r="C89">
        <v>23</v>
      </c>
      <c r="D89">
        <v>0</v>
      </c>
      <c r="E89">
        <v>915.62</v>
      </c>
      <c r="F89">
        <v>8878151</v>
      </c>
      <c r="G89">
        <v>124569595</v>
      </c>
    </row>
    <row r="90" spans="1:7">
      <c r="A90">
        <v>156</v>
      </c>
      <c r="B90">
        <v>6346297040</v>
      </c>
      <c r="C90">
        <v>25.39</v>
      </c>
      <c r="D90">
        <v>0</v>
      </c>
      <c r="E90">
        <v>915.62</v>
      </c>
      <c r="F90">
        <v>9004147</v>
      </c>
      <c r="G90">
        <v>126457270</v>
      </c>
    </row>
    <row r="91" spans="1:7">
      <c r="A91">
        <v>158</v>
      </c>
      <c r="B91">
        <v>5255853120</v>
      </c>
      <c r="C91">
        <v>21.02</v>
      </c>
      <c r="D91">
        <v>0</v>
      </c>
      <c r="E91">
        <v>915.62</v>
      </c>
      <c r="F91">
        <v>9130005</v>
      </c>
      <c r="G91">
        <v>128344433</v>
      </c>
    </row>
    <row r="92" spans="1:7">
      <c r="A92">
        <v>160</v>
      </c>
      <c r="B92">
        <v>6328195120</v>
      </c>
      <c r="C92">
        <v>25.31</v>
      </c>
      <c r="D92">
        <v>0</v>
      </c>
      <c r="E92">
        <v>915.62</v>
      </c>
      <c r="F92">
        <v>9255989</v>
      </c>
      <c r="G92">
        <v>130232092</v>
      </c>
    </row>
    <row r="93" spans="1:7">
      <c r="A93">
        <v>162</v>
      </c>
      <c r="B93">
        <v>5425558620</v>
      </c>
      <c r="C93">
        <v>21.7</v>
      </c>
      <c r="D93">
        <v>0</v>
      </c>
      <c r="E93">
        <v>915.62</v>
      </c>
      <c r="F93">
        <v>9381858</v>
      </c>
      <c r="G93">
        <v>132119636</v>
      </c>
    </row>
    <row r="94" spans="1:7">
      <c r="A94">
        <v>164</v>
      </c>
      <c r="B94">
        <v>6419983660</v>
      </c>
      <c r="C94">
        <v>25.68</v>
      </c>
      <c r="D94">
        <v>0</v>
      </c>
      <c r="E94">
        <v>915.62</v>
      </c>
      <c r="F94">
        <v>9507414</v>
      </c>
      <c r="G94">
        <v>134008732</v>
      </c>
    </row>
    <row r="95" spans="1:7">
      <c r="A95">
        <v>166</v>
      </c>
      <c r="B95">
        <v>5333376560</v>
      </c>
      <c r="C95">
        <v>21.33</v>
      </c>
      <c r="D95">
        <v>0</v>
      </c>
      <c r="E95">
        <v>915.62</v>
      </c>
      <c r="F95">
        <v>9633590</v>
      </c>
      <c r="G95">
        <v>135895897</v>
      </c>
    </row>
    <row r="96" spans="1:7">
      <c r="A96">
        <v>168</v>
      </c>
      <c r="B96">
        <v>6280972720</v>
      </c>
      <c r="C96">
        <v>25.12</v>
      </c>
      <c r="D96">
        <v>0</v>
      </c>
      <c r="E96">
        <v>915.62</v>
      </c>
      <c r="F96">
        <v>9759885</v>
      </c>
      <c r="G96">
        <v>137783067</v>
      </c>
    </row>
    <row r="97" spans="1:7">
      <c r="A97">
        <v>170</v>
      </c>
      <c r="B97">
        <v>5420246100</v>
      </c>
      <c r="C97">
        <v>21.68</v>
      </c>
      <c r="D97">
        <v>0</v>
      </c>
      <c r="E97">
        <v>915.62</v>
      </c>
      <c r="F97">
        <v>9885916</v>
      </c>
      <c r="G97">
        <v>139670347</v>
      </c>
    </row>
    <row r="98" spans="1:7">
      <c r="A98">
        <v>172</v>
      </c>
      <c r="B98">
        <v>6466320640</v>
      </c>
      <c r="C98">
        <v>25.87</v>
      </c>
      <c r="D98">
        <v>0</v>
      </c>
      <c r="E98">
        <v>915.62</v>
      </c>
      <c r="F98">
        <v>10012225</v>
      </c>
      <c r="G98">
        <v>141557461</v>
      </c>
    </row>
    <row r="99" spans="1:7">
      <c r="A99">
        <v>174</v>
      </c>
      <c r="B99">
        <v>5284481700</v>
      </c>
      <c r="C99">
        <v>21.14</v>
      </c>
      <c r="D99">
        <v>0</v>
      </c>
      <c r="E99">
        <v>915.62</v>
      </c>
      <c r="F99">
        <v>10138578</v>
      </c>
      <c r="G99">
        <v>143445489</v>
      </c>
    </row>
    <row r="100" spans="1:7">
      <c r="A100">
        <v>176</v>
      </c>
      <c r="B100">
        <v>6408374820</v>
      </c>
      <c r="C100">
        <v>25.63</v>
      </c>
      <c r="D100">
        <v>0</v>
      </c>
      <c r="E100">
        <v>915.62</v>
      </c>
      <c r="F100">
        <v>10264839</v>
      </c>
      <c r="G100">
        <v>145332656</v>
      </c>
    </row>
    <row r="101" spans="1:7">
      <c r="A101">
        <v>178</v>
      </c>
      <c r="B101">
        <v>5315766540</v>
      </c>
      <c r="C101">
        <v>21.26</v>
      </c>
      <c r="D101">
        <v>0</v>
      </c>
      <c r="E101">
        <v>915.62</v>
      </c>
      <c r="F101">
        <v>10391142</v>
      </c>
      <c r="G101">
        <v>147220204</v>
      </c>
    </row>
    <row r="102" spans="1:7">
      <c r="A102">
        <v>180</v>
      </c>
      <c r="B102">
        <v>6472518580</v>
      </c>
      <c r="C102">
        <v>25.89</v>
      </c>
      <c r="D102">
        <v>0</v>
      </c>
      <c r="E102">
        <v>915.62</v>
      </c>
      <c r="F102">
        <v>10517221</v>
      </c>
      <c r="G102">
        <v>149108316</v>
      </c>
    </row>
    <row r="103" spans="1:7">
      <c r="A103">
        <v>182</v>
      </c>
      <c r="B103">
        <v>5278480520</v>
      </c>
      <c r="C103">
        <v>21.11</v>
      </c>
      <c r="D103">
        <v>0</v>
      </c>
      <c r="E103">
        <v>915.62</v>
      </c>
      <c r="F103">
        <v>10643579</v>
      </c>
      <c r="G103">
        <v>150996251</v>
      </c>
    </row>
    <row r="104" spans="1:7">
      <c r="A104">
        <v>184</v>
      </c>
      <c r="B104">
        <v>6438282340</v>
      </c>
      <c r="C104">
        <v>25.75</v>
      </c>
      <c r="D104">
        <v>0</v>
      </c>
      <c r="E104">
        <v>915.62</v>
      </c>
      <c r="F104">
        <v>10769875</v>
      </c>
      <c r="G104">
        <v>152884896</v>
      </c>
    </row>
    <row r="105" spans="1:7">
      <c r="A105">
        <v>186</v>
      </c>
      <c r="B105">
        <v>5278874040</v>
      </c>
      <c r="C105">
        <v>21.12</v>
      </c>
      <c r="D105">
        <v>0</v>
      </c>
      <c r="E105">
        <v>915.62</v>
      </c>
      <c r="F105">
        <v>10896175</v>
      </c>
      <c r="G105">
        <v>154772822</v>
      </c>
    </row>
    <row r="106" spans="1:7">
      <c r="A106">
        <v>188</v>
      </c>
      <c r="B106">
        <v>6255098780</v>
      </c>
      <c r="C106">
        <v>25.02</v>
      </c>
      <c r="D106">
        <v>0</v>
      </c>
      <c r="E106">
        <v>915.62</v>
      </c>
      <c r="F106">
        <v>11021627</v>
      </c>
      <c r="G106">
        <v>156660118</v>
      </c>
    </row>
    <row r="107" spans="1:7">
      <c r="A107">
        <v>190</v>
      </c>
      <c r="B107">
        <v>5546172500</v>
      </c>
      <c r="C107">
        <v>22.18</v>
      </c>
      <c r="D107">
        <v>0</v>
      </c>
      <c r="E107">
        <v>915.62</v>
      </c>
      <c r="F107">
        <v>11148141</v>
      </c>
      <c r="G107">
        <v>158547879</v>
      </c>
    </row>
    <row r="108" spans="1:7">
      <c r="A108">
        <v>192</v>
      </c>
      <c r="B108">
        <v>6453924760</v>
      </c>
      <c r="C108">
        <v>25.82</v>
      </c>
      <c r="D108">
        <v>0</v>
      </c>
      <c r="E108">
        <v>915.62</v>
      </c>
      <c r="F108">
        <v>11274740</v>
      </c>
      <c r="G108">
        <v>160435154</v>
      </c>
    </row>
    <row r="109" spans="1:7">
      <c r="A109">
        <v>194</v>
      </c>
      <c r="B109">
        <v>5271003640</v>
      </c>
      <c r="C109">
        <v>21.08</v>
      </c>
      <c r="D109">
        <v>0</v>
      </c>
      <c r="E109">
        <v>915.62</v>
      </c>
      <c r="F109">
        <v>11401166</v>
      </c>
      <c r="G109">
        <v>162322549</v>
      </c>
    </row>
    <row r="110" spans="1:7">
      <c r="A110">
        <v>196</v>
      </c>
      <c r="B110">
        <v>6315504100</v>
      </c>
      <c r="C110">
        <v>25.26</v>
      </c>
      <c r="D110">
        <v>0</v>
      </c>
      <c r="E110">
        <v>915.62</v>
      </c>
      <c r="F110">
        <v>11527444</v>
      </c>
      <c r="G110">
        <v>164209102</v>
      </c>
    </row>
    <row r="111" spans="1:7">
      <c r="A111">
        <v>198</v>
      </c>
      <c r="B111">
        <v>5356791000</v>
      </c>
      <c r="C111">
        <v>21.43</v>
      </c>
      <c r="D111">
        <v>0</v>
      </c>
      <c r="E111">
        <v>915.62</v>
      </c>
      <c r="F111">
        <v>11653866</v>
      </c>
      <c r="G111">
        <v>166095793</v>
      </c>
    </row>
    <row r="112" spans="1:7">
      <c r="A112">
        <v>200</v>
      </c>
      <c r="B112">
        <v>6545418160</v>
      </c>
      <c r="C112">
        <v>26.18</v>
      </c>
      <c r="D112">
        <v>0</v>
      </c>
      <c r="E112">
        <v>915.62</v>
      </c>
      <c r="F112">
        <v>11780194</v>
      </c>
      <c r="G112">
        <v>167982753</v>
      </c>
    </row>
    <row r="113" spans="1:7">
      <c r="A113">
        <v>202</v>
      </c>
      <c r="B113">
        <v>5242178300</v>
      </c>
      <c r="C113">
        <v>20.97</v>
      </c>
      <c r="D113">
        <v>0</v>
      </c>
      <c r="E113">
        <v>915.62</v>
      </c>
      <c r="F113">
        <v>11906806</v>
      </c>
      <c r="G113">
        <v>169868455</v>
      </c>
    </row>
    <row r="114" spans="1:7">
      <c r="A114">
        <v>204</v>
      </c>
      <c r="B114">
        <v>6260411300</v>
      </c>
      <c r="C114">
        <v>25.04</v>
      </c>
      <c r="D114">
        <v>0</v>
      </c>
      <c r="E114">
        <v>915.62</v>
      </c>
      <c r="F114">
        <v>12033098</v>
      </c>
      <c r="G114">
        <v>171756356</v>
      </c>
    </row>
    <row r="115" spans="1:7">
      <c r="A115">
        <v>206</v>
      </c>
      <c r="B115">
        <v>5419557440</v>
      </c>
      <c r="C115">
        <v>21.68</v>
      </c>
      <c r="D115">
        <v>0</v>
      </c>
      <c r="E115">
        <v>915.62</v>
      </c>
      <c r="F115">
        <v>12159746</v>
      </c>
      <c r="G115">
        <v>173644638</v>
      </c>
    </row>
    <row r="116" spans="1:7">
      <c r="A116">
        <v>208</v>
      </c>
      <c r="B116">
        <v>6531251440</v>
      </c>
      <c r="C116">
        <v>26.13</v>
      </c>
      <c r="D116">
        <v>0</v>
      </c>
      <c r="E116">
        <v>915.62</v>
      </c>
      <c r="F116">
        <v>12286086</v>
      </c>
      <c r="G116">
        <v>175532252</v>
      </c>
    </row>
    <row r="117" spans="1:7">
      <c r="A117">
        <v>210</v>
      </c>
      <c r="B117">
        <v>5237652820</v>
      </c>
      <c r="C117">
        <v>20.95</v>
      </c>
      <c r="D117">
        <v>0</v>
      </c>
      <c r="E117">
        <v>915.62</v>
      </c>
      <c r="F117">
        <v>12412389</v>
      </c>
      <c r="G117">
        <v>177419533</v>
      </c>
    </row>
    <row r="118" spans="1:7">
      <c r="A118">
        <v>212</v>
      </c>
      <c r="B118">
        <v>6314815440</v>
      </c>
      <c r="C118">
        <v>25.26</v>
      </c>
      <c r="D118">
        <v>0</v>
      </c>
      <c r="E118">
        <v>915.62</v>
      </c>
      <c r="F118">
        <v>12538494</v>
      </c>
      <c r="G118">
        <v>179307050</v>
      </c>
    </row>
    <row r="119" spans="1:7">
      <c r="A119">
        <v>214</v>
      </c>
      <c r="B119">
        <v>5452711500</v>
      </c>
      <c r="C119">
        <v>21.81</v>
      </c>
      <c r="D119">
        <v>0</v>
      </c>
      <c r="E119">
        <v>915.62</v>
      </c>
      <c r="F119">
        <v>12664480</v>
      </c>
      <c r="G119">
        <v>181194371</v>
      </c>
    </row>
    <row r="120" spans="1:7">
      <c r="A120">
        <v>216</v>
      </c>
      <c r="B120">
        <v>6478913280</v>
      </c>
      <c r="C120">
        <v>25.92</v>
      </c>
      <c r="D120">
        <v>0</v>
      </c>
      <c r="E120">
        <v>915.62</v>
      </c>
      <c r="F120">
        <v>12790913</v>
      </c>
      <c r="G120">
        <v>183083167</v>
      </c>
    </row>
    <row r="121" spans="1:7">
      <c r="A121">
        <v>218</v>
      </c>
      <c r="B121">
        <v>5230864600</v>
      </c>
      <c r="C121">
        <v>20.92</v>
      </c>
      <c r="D121">
        <v>0</v>
      </c>
      <c r="E121">
        <v>915.62</v>
      </c>
      <c r="F121">
        <v>12917261</v>
      </c>
      <c r="G121">
        <v>184969579</v>
      </c>
    </row>
    <row r="122" spans="1:7">
      <c r="A122">
        <v>220</v>
      </c>
      <c r="B122">
        <v>6006197380</v>
      </c>
      <c r="C122">
        <v>24.02</v>
      </c>
      <c r="D122">
        <v>0</v>
      </c>
      <c r="E122">
        <v>915.62</v>
      </c>
      <c r="F122">
        <v>13043338</v>
      </c>
      <c r="G122">
        <v>186855570</v>
      </c>
    </row>
    <row r="123" spans="1:7">
      <c r="A123">
        <v>222</v>
      </c>
      <c r="B123">
        <v>5690004060</v>
      </c>
      <c r="C123">
        <v>22.76</v>
      </c>
      <c r="D123">
        <v>0</v>
      </c>
      <c r="E123">
        <v>915.62</v>
      </c>
      <c r="F123">
        <v>13169636</v>
      </c>
      <c r="G123">
        <v>188741452</v>
      </c>
    </row>
    <row r="124" spans="1:7">
      <c r="A124">
        <v>224</v>
      </c>
      <c r="B124">
        <v>6172853100</v>
      </c>
      <c r="C124">
        <v>24.69</v>
      </c>
      <c r="D124">
        <v>0</v>
      </c>
      <c r="E124">
        <v>915.62</v>
      </c>
      <c r="F124">
        <v>13296195</v>
      </c>
      <c r="G124">
        <v>190627385</v>
      </c>
    </row>
    <row r="125" spans="1:7">
      <c r="A125">
        <v>226</v>
      </c>
      <c r="B125">
        <v>5560535980</v>
      </c>
      <c r="C125">
        <v>22.24</v>
      </c>
      <c r="D125">
        <v>0</v>
      </c>
      <c r="E125">
        <v>915.62</v>
      </c>
      <c r="F125">
        <v>13422263</v>
      </c>
      <c r="G125">
        <v>192513634</v>
      </c>
    </row>
    <row r="126" spans="1:7">
      <c r="A126">
        <v>228</v>
      </c>
      <c r="B126">
        <v>6190758260</v>
      </c>
      <c r="C126">
        <v>24.76</v>
      </c>
      <c r="D126">
        <v>0</v>
      </c>
      <c r="E126">
        <v>915.62</v>
      </c>
      <c r="F126">
        <v>13548692</v>
      </c>
      <c r="G126">
        <v>194400193</v>
      </c>
    </row>
    <row r="127" spans="1:7">
      <c r="A127">
        <v>230</v>
      </c>
      <c r="B127">
        <v>5649865020</v>
      </c>
      <c r="C127">
        <v>22.6</v>
      </c>
      <c r="D127">
        <v>0</v>
      </c>
      <c r="E127">
        <v>915.62</v>
      </c>
      <c r="F127">
        <v>13675087</v>
      </c>
      <c r="G127">
        <v>196287649</v>
      </c>
    </row>
    <row r="128" spans="1:7">
      <c r="A128">
        <v>232</v>
      </c>
      <c r="B128">
        <v>6223912320</v>
      </c>
      <c r="C128">
        <v>24.9</v>
      </c>
      <c r="D128">
        <v>0</v>
      </c>
      <c r="E128">
        <v>915.62</v>
      </c>
      <c r="F128">
        <v>13801429</v>
      </c>
      <c r="G128">
        <v>198174902</v>
      </c>
    </row>
    <row r="129" spans="1:7">
      <c r="A129">
        <v>234</v>
      </c>
      <c r="B129">
        <v>5422115320</v>
      </c>
      <c r="C129">
        <v>21.69</v>
      </c>
      <c r="D129">
        <v>0</v>
      </c>
      <c r="E129">
        <v>915.62</v>
      </c>
      <c r="F129">
        <v>13928033</v>
      </c>
      <c r="G129">
        <v>200061355</v>
      </c>
    </row>
    <row r="130" spans="1:7">
      <c r="A130">
        <v>236</v>
      </c>
      <c r="B130">
        <v>6252836040</v>
      </c>
      <c r="C130">
        <v>25.01</v>
      </c>
      <c r="D130">
        <v>0</v>
      </c>
      <c r="E130">
        <v>915.62</v>
      </c>
      <c r="F130">
        <v>14054430</v>
      </c>
      <c r="G130">
        <v>201949222</v>
      </c>
    </row>
    <row r="131" spans="1:7">
      <c r="A131">
        <v>238</v>
      </c>
      <c r="B131">
        <v>5438544780</v>
      </c>
      <c r="C131">
        <v>21.75</v>
      </c>
      <c r="D131">
        <v>0</v>
      </c>
      <c r="E131">
        <v>915.62</v>
      </c>
      <c r="F131">
        <v>14180698</v>
      </c>
      <c r="G131">
        <v>203836236</v>
      </c>
    </row>
    <row r="132" spans="1:7">
      <c r="A132">
        <v>240</v>
      </c>
      <c r="B132">
        <v>6453137720</v>
      </c>
      <c r="C132">
        <v>25.81</v>
      </c>
      <c r="D132">
        <v>0</v>
      </c>
      <c r="E132">
        <v>915.62</v>
      </c>
      <c r="F132">
        <v>14307165</v>
      </c>
      <c r="G132">
        <v>205724375</v>
      </c>
    </row>
    <row r="133" spans="1:7">
      <c r="A133">
        <v>242</v>
      </c>
      <c r="B133">
        <v>5307994520</v>
      </c>
      <c r="C133">
        <v>21.23</v>
      </c>
      <c r="D133">
        <v>0</v>
      </c>
      <c r="E133">
        <v>915.62</v>
      </c>
      <c r="F133">
        <v>14433556</v>
      </c>
      <c r="G133">
        <v>207612436</v>
      </c>
    </row>
    <row r="134" spans="1:7">
      <c r="A134">
        <v>244</v>
      </c>
      <c r="B134">
        <v>6333310880</v>
      </c>
      <c r="C134">
        <v>25.33</v>
      </c>
      <c r="D134">
        <v>0</v>
      </c>
      <c r="E134">
        <v>915.62</v>
      </c>
      <c r="F134">
        <v>14559774</v>
      </c>
      <c r="G134">
        <v>209500688</v>
      </c>
    </row>
    <row r="135" spans="1:7">
      <c r="A135">
        <v>246</v>
      </c>
      <c r="B135">
        <v>5397126800</v>
      </c>
      <c r="C135">
        <v>21.59</v>
      </c>
      <c r="D135">
        <v>0</v>
      </c>
      <c r="E135">
        <v>915.62</v>
      </c>
      <c r="F135">
        <v>14685973</v>
      </c>
      <c r="G135">
        <v>211388226</v>
      </c>
    </row>
    <row r="136" spans="1:7">
      <c r="A136">
        <v>248</v>
      </c>
      <c r="B136">
        <v>6478224620</v>
      </c>
      <c r="C136">
        <v>25.91</v>
      </c>
      <c r="D136">
        <v>0</v>
      </c>
      <c r="E136">
        <v>915.62</v>
      </c>
      <c r="F136">
        <v>14812490</v>
      </c>
      <c r="G136">
        <v>213273752</v>
      </c>
    </row>
    <row r="137" spans="1:7">
      <c r="A137">
        <v>250</v>
      </c>
      <c r="B137">
        <v>5267953860</v>
      </c>
      <c r="C137">
        <v>21.07</v>
      </c>
      <c r="D137">
        <v>0</v>
      </c>
      <c r="E137">
        <v>915.62</v>
      </c>
      <c r="F137">
        <v>14938994</v>
      </c>
      <c r="G137">
        <v>215159589</v>
      </c>
    </row>
    <row r="138" spans="1:7">
      <c r="A138">
        <v>252</v>
      </c>
      <c r="B138">
        <v>6419786900</v>
      </c>
      <c r="C138">
        <v>25.68</v>
      </c>
      <c r="D138">
        <v>0</v>
      </c>
      <c r="E138">
        <v>915.62</v>
      </c>
      <c r="F138">
        <v>15065418</v>
      </c>
      <c r="G138">
        <v>217046696</v>
      </c>
    </row>
    <row r="139" spans="1:7">
      <c r="A139">
        <v>254</v>
      </c>
      <c r="B139">
        <v>5263231620</v>
      </c>
      <c r="C139">
        <v>21.05</v>
      </c>
      <c r="D139">
        <v>0</v>
      </c>
      <c r="E139">
        <v>915.62</v>
      </c>
      <c r="F139">
        <v>15192187</v>
      </c>
      <c r="G139">
        <v>218933614</v>
      </c>
    </row>
    <row r="140" spans="1:7">
      <c r="A140">
        <v>256</v>
      </c>
      <c r="B140">
        <v>6417032260</v>
      </c>
      <c r="C140">
        <v>25.67</v>
      </c>
      <c r="D140">
        <v>0</v>
      </c>
      <c r="E140">
        <v>915.62</v>
      </c>
      <c r="F140">
        <v>15318480</v>
      </c>
      <c r="G140">
        <v>220819363</v>
      </c>
    </row>
    <row r="141" spans="1:7">
      <c r="A141">
        <v>258</v>
      </c>
      <c r="B141">
        <v>5323538560</v>
      </c>
      <c r="C141">
        <v>21.29</v>
      </c>
      <c r="D141">
        <v>0</v>
      </c>
      <c r="E141">
        <v>915.62</v>
      </c>
      <c r="F141">
        <v>15444801</v>
      </c>
      <c r="G141">
        <v>222704026</v>
      </c>
    </row>
    <row r="142" spans="1:7">
      <c r="A142">
        <v>260</v>
      </c>
      <c r="B142">
        <v>6352986880</v>
      </c>
      <c r="C142">
        <v>25.41</v>
      </c>
      <c r="D142">
        <v>0</v>
      </c>
      <c r="E142">
        <v>915.62</v>
      </c>
      <c r="F142">
        <v>15571096</v>
      </c>
      <c r="G142">
        <v>224588122</v>
      </c>
    </row>
    <row r="143" spans="1:7">
      <c r="A143">
        <v>262</v>
      </c>
      <c r="B143">
        <v>5427132700</v>
      </c>
      <c r="C143">
        <v>21.71</v>
      </c>
      <c r="D143">
        <v>0</v>
      </c>
      <c r="E143">
        <v>915.62</v>
      </c>
      <c r="F143">
        <v>15697896</v>
      </c>
      <c r="G143">
        <v>226473051</v>
      </c>
    </row>
    <row r="144" spans="1:7">
      <c r="A144">
        <v>264</v>
      </c>
      <c r="B144">
        <v>6002754080</v>
      </c>
      <c r="C144">
        <v>24.01</v>
      </c>
      <c r="D144">
        <v>0</v>
      </c>
      <c r="E144">
        <v>915.62</v>
      </c>
      <c r="F144">
        <v>15824369</v>
      </c>
      <c r="G144">
        <v>228359826</v>
      </c>
    </row>
    <row r="145" spans="1:7">
      <c r="A145">
        <v>266</v>
      </c>
      <c r="B145">
        <v>6090017140</v>
      </c>
      <c r="C145">
        <v>24.36</v>
      </c>
      <c r="D145">
        <v>0</v>
      </c>
      <c r="E145">
        <v>915.62</v>
      </c>
      <c r="F145">
        <v>15950714</v>
      </c>
      <c r="G145">
        <v>230246495</v>
      </c>
    </row>
    <row r="146" spans="1:7">
      <c r="A146">
        <v>268</v>
      </c>
      <c r="B146">
        <v>5457335360</v>
      </c>
      <c r="C146">
        <v>21.83</v>
      </c>
      <c r="D146">
        <v>0</v>
      </c>
      <c r="E146">
        <v>915.62</v>
      </c>
      <c r="F146">
        <v>16077117</v>
      </c>
      <c r="G146">
        <v>232132670</v>
      </c>
    </row>
    <row r="147" spans="1:7">
      <c r="A147">
        <v>270</v>
      </c>
      <c r="B147">
        <v>6374335340</v>
      </c>
      <c r="C147">
        <v>25.5</v>
      </c>
      <c r="D147">
        <v>0</v>
      </c>
      <c r="E147">
        <v>915.62</v>
      </c>
      <c r="F147">
        <v>16203463</v>
      </c>
      <c r="G147">
        <v>234019857</v>
      </c>
    </row>
    <row r="148" spans="1:7">
      <c r="A148">
        <v>272</v>
      </c>
      <c r="B148">
        <v>5322849900</v>
      </c>
      <c r="C148">
        <v>21.29</v>
      </c>
      <c r="D148">
        <v>0</v>
      </c>
      <c r="E148">
        <v>915.62</v>
      </c>
      <c r="F148">
        <v>16329822</v>
      </c>
      <c r="G148">
        <v>235906771</v>
      </c>
    </row>
    <row r="149" spans="1:7">
      <c r="A149">
        <v>274</v>
      </c>
      <c r="B149">
        <v>6414572760</v>
      </c>
      <c r="C149">
        <v>25.66</v>
      </c>
      <c r="D149">
        <v>0</v>
      </c>
      <c r="E149">
        <v>915.62</v>
      </c>
      <c r="F149">
        <v>16456459</v>
      </c>
      <c r="G149">
        <v>237792766</v>
      </c>
    </row>
    <row r="150" spans="1:7">
      <c r="A150">
        <v>276</v>
      </c>
      <c r="B150">
        <v>5403816640</v>
      </c>
      <c r="C150">
        <v>21.62</v>
      </c>
      <c r="D150">
        <v>0</v>
      </c>
      <c r="E150">
        <v>915.62</v>
      </c>
      <c r="F150">
        <v>16582651</v>
      </c>
      <c r="G150">
        <v>239679487</v>
      </c>
    </row>
    <row r="151" spans="1:7">
      <c r="A151">
        <v>278</v>
      </c>
      <c r="B151">
        <v>6054600340</v>
      </c>
      <c r="C151">
        <v>24.22</v>
      </c>
      <c r="D151">
        <v>0</v>
      </c>
      <c r="E151">
        <v>915.62</v>
      </c>
      <c r="F151">
        <v>16708817</v>
      </c>
      <c r="G151">
        <v>241564794</v>
      </c>
    </row>
    <row r="152" spans="1:7">
      <c r="A152">
        <v>280</v>
      </c>
      <c r="B152">
        <v>5600183120</v>
      </c>
      <c r="C152">
        <v>22.4</v>
      </c>
      <c r="D152">
        <v>0</v>
      </c>
      <c r="E152">
        <v>915.62</v>
      </c>
      <c r="F152">
        <v>16835121</v>
      </c>
      <c r="G152">
        <v>243450326</v>
      </c>
    </row>
    <row r="153" spans="1:7">
      <c r="A153">
        <v>282</v>
      </c>
      <c r="B153">
        <v>6452744200</v>
      </c>
      <c r="C153">
        <v>25.81</v>
      </c>
      <c r="D153">
        <v>0</v>
      </c>
      <c r="E153">
        <v>915.62</v>
      </c>
      <c r="F153">
        <v>16961529</v>
      </c>
      <c r="G153">
        <v>245336479</v>
      </c>
    </row>
    <row r="154" spans="1:7">
      <c r="A154">
        <v>284</v>
      </c>
      <c r="B154">
        <v>5257525580</v>
      </c>
      <c r="C154">
        <v>21.03</v>
      </c>
      <c r="D154">
        <v>0</v>
      </c>
      <c r="E154">
        <v>915.62</v>
      </c>
      <c r="F154">
        <v>17087882</v>
      </c>
      <c r="G154">
        <v>247221944</v>
      </c>
    </row>
    <row r="155" spans="1:7">
      <c r="A155">
        <v>286</v>
      </c>
      <c r="B155">
        <v>6354856100</v>
      </c>
      <c r="C155">
        <v>25.42</v>
      </c>
      <c r="D155">
        <v>0</v>
      </c>
      <c r="E155">
        <v>915.62</v>
      </c>
      <c r="F155">
        <v>17214266</v>
      </c>
      <c r="G155">
        <v>249107544</v>
      </c>
    </row>
    <row r="156" spans="1:7">
      <c r="A156">
        <v>288</v>
      </c>
      <c r="B156">
        <v>5374007500</v>
      </c>
      <c r="C156">
        <v>21.5</v>
      </c>
      <c r="D156">
        <v>0</v>
      </c>
      <c r="E156">
        <v>915.62</v>
      </c>
      <c r="F156">
        <v>17340613</v>
      </c>
      <c r="G156">
        <v>250993645</v>
      </c>
    </row>
    <row r="157" spans="1:7">
      <c r="A157">
        <v>290</v>
      </c>
      <c r="B157">
        <v>6498392520</v>
      </c>
      <c r="C157">
        <v>25.99</v>
      </c>
      <c r="D157">
        <v>0</v>
      </c>
      <c r="E157">
        <v>915.62</v>
      </c>
      <c r="F157">
        <v>17466741</v>
      </c>
      <c r="G157">
        <v>252880607</v>
      </c>
    </row>
    <row r="158" spans="1:7">
      <c r="A158">
        <v>292</v>
      </c>
      <c r="B158">
        <v>5210303180</v>
      </c>
      <c r="C158">
        <v>20.84</v>
      </c>
      <c r="D158">
        <v>0</v>
      </c>
      <c r="E158">
        <v>915.62</v>
      </c>
      <c r="F158">
        <v>17593218</v>
      </c>
      <c r="G158">
        <v>254766408</v>
      </c>
    </row>
    <row r="159" spans="1:7">
      <c r="A159">
        <v>294</v>
      </c>
      <c r="B159">
        <v>6381517080</v>
      </c>
      <c r="C159">
        <v>25.53</v>
      </c>
      <c r="D159">
        <v>0</v>
      </c>
      <c r="E159">
        <v>915.62</v>
      </c>
      <c r="F159">
        <v>17719603</v>
      </c>
      <c r="G159">
        <v>256653287</v>
      </c>
    </row>
    <row r="160" spans="1:7">
      <c r="A160">
        <v>296</v>
      </c>
      <c r="B160">
        <v>5394273780</v>
      </c>
      <c r="C160">
        <v>21.58</v>
      </c>
      <c r="D160">
        <v>0</v>
      </c>
      <c r="E160">
        <v>915.62</v>
      </c>
      <c r="F160">
        <v>17846024</v>
      </c>
      <c r="G160">
        <v>258539404</v>
      </c>
    </row>
    <row r="161" spans="1:156">
      <c r="A161">
        <v>298</v>
      </c>
      <c r="B161">
        <v>6445660840</v>
      </c>
      <c r="C161">
        <v>25.78</v>
      </c>
      <c r="D161">
        <v>0</v>
      </c>
      <c r="E161">
        <v>915.62</v>
      </c>
      <c r="F161">
        <v>17972215</v>
      </c>
      <c r="G161">
        <v>260426138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8430907</v>
      </c>
      <c r="D164">
        <v>0</v>
      </c>
      <c r="E164">
        <v>35.583199999999998</v>
      </c>
      <c r="F164" s="4">
        <v>301999000</v>
      </c>
      <c r="G164">
        <v>22118.3</v>
      </c>
      <c r="H164">
        <v>262518235</v>
      </c>
      <c r="I164">
        <v>0</v>
      </c>
      <c r="J164">
        <v>0</v>
      </c>
      <c r="K164" t="s">
        <v>118</v>
      </c>
      <c r="L164">
        <v>0</v>
      </c>
      <c r="M164">
        <v>8430907</v>
      </c>
      <c r="N164">
        <v>829432630660</v>
      </c>
      <c r="O164">
        <v>35.593499999999999</v>
      </c>
      <c r="P164">
        <v>300085881</v>
      </c>
      <c r="Q164">
        <v>22111.9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102</v>
      </c>
      <c r="CC164">
        <v>18128677</v>
      </c>
      <c r="CD164">
        <v>0</v>
      </c>
      <c r="CE164">
        <v>262518235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209</v>
      </c>
      <c r="CT164" t="s">
        <v>47</v>
      </c>
      <c r="CU164">
        <v>262610540</v>
      </c>
      <c r="CV164">
        <v>2364207249360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39300992</v>
      </c>
      <c r="DP164">
        <v>2348919140062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211</v>
      </c>
      <c r="DX164" t="s">
        <v>47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39300448</v>
      </c>
      <c r="EI164">
        <v>9</v>
      </c>
      <c r="EJ164">
        <v>18129439</v>
      </c>
      <c r="EK164">
        <v>44</v>
      </c>
      <c r="EL164">
        <v>44</v>
      </c>
      <c r="EM164" t="s">
        <v>108</v>
      </c>
      <c r="EN164" t="s">
        <v>212</v>
      </c>
      <c r="EO164">
        <v>262610538</v>
      </c>
      <c r="EP164">
        <v>18130573</v>
      </c>
      <c r="EQ164">
        <v>262616892</v>
      </c>
      <c r="ER164">
        <v>18130573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E54C-F958-4E84-8214-384897E68C40}">
  <sheetPr codeName="Sheet9"/>
  <dimension ref="A1:EZ228"/>
  <sheetViews>
    <sheetView topLeftCell="A54" workbookViewId="0"/>
  </sheetViews>
  <sheetFormatPr defaultRowHeight="12.5"/>
  <sheetData>
    <row r="1" spans="1:7">
      <c r="A1" t="s">
        <v>246</v>
      </c>
      <c r="B1">
        <v>59</v>
      </c>
      <c r="C1" t="s">
        <v>257</v>
      </c>
      <c r="D1" t="s">
        <v>60</v>
      </c>
      <c r="E1" t="s">
        <v>262</v>
      </c>
    </row>
    <row r="2" spans="1:7">
      <c r="A2" t="s">
        <v>61</v>
      </c>
      <c r="B2" t="s">
        <v>248</v>
      </c>
      <c r="C2">
        <v>4</v>
      </c>
    </row>
    <row r="3" spans="1:7">
      <c r="A3" t="s">
        <v>249</v>
      </c>
    </row>
    <row r="4" spans="1:7">
      <c r="A4" t="s">
        <v>263</v>
      </c>
    </row>
    <row r="5" spans="1:7">
      <c r="A5" t="s">
        <v>62</v>
      </c>
      <c r="B5" t="s">
        <v>197</v>
      </c>
      <c r="C5" t="s">
        <v>63</v>
      </c>
      <c r="D5" t="s">
        <v>198</v>
      </c>
    </row>
    <row r="6" spans="1:7">
      <c r="A6" t="s">
        <v>199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194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3049780</v>
      </c>
      <c r="C13">
        <v>0.01</v>
      </c>
      <c r="D13">
        <v>0</v>
      </c>
      <c r="E13">
        <v>0.47</v>
      </c>
      <c r="F13">
        <v>830</v>
      </c>
      <c r="G13">
        <v>3279</v>
      </c>
    </row>
    <row r="14" spans="1:7">
      <c r="A14">
        <v>4</v>
      </c>
      <c r="B14">
        <v>5017380</v>
      </c>
      <c r="C14">
        <v>0.02</v>
      </c>
      <c r="D14">
        <v>0</v>
      </c>
      <c r="E14">
        <v>0.68</v>
      </c>
      <c r="F14">
        <v>5359</v>
      </c>
      <c r="G14">
        <v>29798</v>
      </c>
    </row>
    <row r="15" spans="1:7">
      <c r="A15">
        <v>6</v>
      </c>
      <c r="B15">
        <v>6689840</v>
      </c>
      <c r="C15">
        <v>0.03</v>
      </c>
      <c r="D15">
        <v>0</v>
      </c>
      <c r="E15">
        <v>0.98</v>
      </c>
      <c r="F15">
        <v>11810</v>
      </c>
      <c r="G15">
        <v>68990</v>
      </c>
    </row>
    <row r="16" spans="1:7">
      <c r="A16">
        <v>8</v>
      </c>
      <c r="B16">
        <v>12199120</v>
      </c>
      <c r="C16">
        <v>0.05</v>
      </c>
      <c r="D16">
        <v>0</v>
      </c>
      <c r="E16">
        <v>1.6</v>
      </c>
      <c r="F16">
        <v>21338</v>
      </c>
      <c r="G16">
        <v>126311</v>
      </c>
    </row>
    <row r="17" spans="1:7">
      <c r="A17">
        <v>10</v>
      </c>
      <c r="B17">
        <v>19676000</v>
      </c>
      <c r="C17">
        <v>0.08</v>
      </c>
      <c r="D17">
        <v>0</v>
      </c>
      <c r="E17">
        <v>2.97</v>
      </c>
      <c r="F17">
        <v>35750</v>
      </c>
      <c r="G17">
        <v>212015</v>
      </c>
    </row>
    <row r="18" spans="1:7">
      <c r="A18">
        <v>12</v>
      </c>
      <c r="B18">
        <v>36892500</v>
      </c>
      <c r="C18">
        <v>0.15</v>
      </c>
      <c r="D18">
        <v>0</v>
      </c>
      <c r="E18">
        <v>5.1100000000000003</v>
      </c>
      <c r="F18">
        <v>57101</v>
      </c>
      <c r="G18">
        <v>335776</v>
      </c>
    </row>
    <row r="19" spans="1:7">
      <c r="A19">
        <v>14</v>
      </c>
      <c r="B19">
        <v>60208560</v>
      </c>
      <c r="C19">
        <v>0.24</v>
      </c>
      <c r="D19">
        <v>0</v>
      </c>
      <c r="E19">
        <v>8.2100000000000009</v>
      </c>
      <c r="F19">
        <v>88463</v>
      </c>
      <c r="G19">
        <v>516993</v>
      </c>
    </row>
    <row r="20" spans="1:7">
      <c r="A20">
        <v>16</v>
      </c>
      <c r="B20">
        <v>92969100</v>
      </c>
      <c r="C20">
        <v>0.37</v>
      </c>
      <c r="D20">
        <v>0</v>
      </c>
      <c r="E20">
        <v>12.41</v>
      </c>
      <c r="F20">
        <v>132668</v>
      </c>
      <c r="G20">
        <v>782035</v>
      </c>
    </row>
    <row r="21" spans="1:7">
      <c r="A21">
        <v>18</v>
      </c>
      <c r="B21">
        <v>136256300</v>
      </c>
      <c r="C21">
        <v>0.55000000000000004</v>
      </c>
      <c r="D21">
        <v>0</v>
      </c>
      <c r="E21">
        <v>18.12</v>
      </c>
      <c r="F21">
        <v>192450</v>
      </c>
      <c r="G21">
        <v>1176478</v>
      </c>
    </row>
    <row r="22" spans="1:7">
      <c r="A22">
        <v>20</v>
      </c>
      <c r="B22">
        <v>197153520</v>
      </c>
      <c r="C22">
        <v>0.79</v>
      </c>
      <c r="D22">
        <v>0</v>
      </c>
      <c r="E22">
        <v>26.45</v>
      </c>
      <c r="F22">
        <v>276333</v>
      </c>
      <c r="G22">
        <v>1742210</v>
      </c>
    </row>
    <row r="23" spans="1:7">
      <c r="A23">
        <v>22</v>
      </c>
      <c r="B23">
        <v>281760320</v>
      </c>
      <c r="C23">
        <v>1.1299999999999999</v>
      </c>
      <c r="D23">
        <v>0</v>
      </c>
      <c r="E23">
        <v>38.69</v>
      </c>
      <c r="F23">
        <v>398455</v>
      </c>
      <c r="G23">
        <v>2544205</v>
      </c>
    </row>
    <row r="24" spans="1:7">
      <c r="A24">
        <v>24</v>
      </c>
      <c r="B24">
        <v>365678460</v>
      </c>
      <c r="C24">
        <v>1.46</v>
      </c>
      <c r="D24">
        <v>0</v>
      </c>
      <c r="E24">
        <v>56.45</v>
      </c>
      <c r="F24">
        <v>569641</v>
      </c>
      <c r="G24">
        <v>3633288</v>
      </c>
    </row>
    <row r="25" spans="1:7">
      <c r="A25">
        <v>26</v>
      </c>
      <c r="B25">
        <v>596379560</v>
      </c>
      <c r="C25">
        <v>2.39</v>
      </c>
      <c r="D25">
        <v>0</v>
      </c>
      <c r="E25">
        <v>82.38</v>
      </c>
      <c r="F25">
        <v>715729</v>
      </c>
      <c r="G25">
        <v>5126724</v>
      </c>
    </row>
    <row r="26" spans="1:7">
      <c r="A26">
        <v>28</v>
      </c>
      <c r="B26">
        <v>885026480</v>
      </c>
      <c r="C26">
        <v>3.54</v>
      </c>
      <c r="D26">
        <v>0</v>
      </c>
      <c r="E26">
        <v>120.33</v>
      </c>
      <c r="F26">
        <v>835250</v>
      </c>
      <c r="G26">
        <v>6640104</v>
      </c>
    </row>
    <row r="27" spans="1:7">
      <c r="A27">
        <v>30</v>
      </c>
      <c r="B27">
        <v>1336295540</v>
      </c>
      <c r="C27">
        <v>5.35</v>
      </c>
      <c r="D27">
        <v>0</v>
      </c>
      <c r="E27">
        <v>175.78</v>
      </c>
      <c r="F27">
        <v>954024</v>
      </c>
      <c r="G27">
        <v>8137365</v>
      </c>
    </row>
    <row r="28" spans="1:7">
      <c r="A28">
        <v>32</v>
      </c>
      <c r="B28">
        <v>1809601720</v>
      </c>
      <c r="C28">
        <v>7.24</v>
      </c>
      <c r="D28">
        <v>0</v>
      </c>
      <c r="E28">
        <v>256.93</v>
      </c>
      <c r="F28">
        <v>1077518</v>
      </c>
      <c r="G28">
        <v>9677741</v>
      </c>
    </row>
    <row r="29" spans="1:7">
      <c r="A29">
        <v>34</v>
      </c>
      <c r="B29">
        <v>2606479720</v>
      </c>
      <c r="C29">
        <v>10.43</v>
      </c>
      <c r="D29">
        <v>0</v>
      </c>
      <c r="E29">
        <v>374.9</v>
      </c>
      <c r="F29">
        <v>1213939</v>
      </c>
      <c r="G29">
        <v>11292352</v>
      </c>
    </row>
    <row r="30" spans="1:7">
      <c r="A30">
        <v>36</v>
      </c>
      <c r="B30">
        <v>4140519060</v>
      </c>
      <c r="C30">
        <v>16.559999999999999</v>
      </c>
      <c r="D30">
        <v>0</v>
      </c>
      <c r="E30">
        <v>540.39</v>
      </c>
      <c r="F30">
        <v>1369226</v>
      </c>
      <c r="G30">
        <v>13023634</v>
      </c>
    </row>
    <row r="31" spans="1:7">
      <c r="A31">
        <v>38</v>
      </c>
      <c r="B31">
        <v>5139174440</v>
      </c>
      <c r="C31">
        <v>20.56</v>
      </c>
      <c r="D31">
        <v>0</v>
      </c>
      <c r="E31">
        <v>759.56</v>
      </c>
      <c r="F31">
        <v>1541548</v>
      </c>
      <c r="G31">
        <v>14901566</v>
      </c>
    </row>
    <row r="32" spans="1:7">
      <c r="A32">
        <v>40</v>
      </c>
      <c r="B32">
        <v>5718435880</v>
      </c>
      <c r="C32">
        <v>22.87</v>
      </c>
      <c r="D32">
        <v>0</v>
      </c>
      <c r="E32">
        <v>950.92</v>
      </c>
      <c r="F32">
        <v>1678893</v>
      </c>
      <c r="G32">
        <v>16902226</v>
      </c>
    </row>
    <row r="33" spans="1:7">
      <c r="A33">
        <v>42</v>
      </c>
      <c r="B33">
        <v>6221157680</v>
      </c>
      <c r="C33">
        <v>24.88</v>
      </c>
      <c r="D33">
        <v>0</v>
      </c>
      <c r="E33">
        <v>950.92</v>
      </c>
      <c r="F33">
        <v>1808138</v>
      </c>
      <c r="G33">
        <v>18827211</v>
      </c>
    </row>
    <row r="34" spans="1:7">
      <c r="A34">
        <v>44</v>
      </c>
      <c r="B34">
        <v>5035580300</v>
      </c>
      <c r="C34">
        <v>20.14</v>
      </c>
      <c r="D34">
        <v>0</v>
      </c>
      <c r="E34">
        <v>950.92</v>
      </c>
      <c r="F34">
        <v>1936308</v>
      </c>
      <c r="G34">
        <v>20731456</v>
      </c>
    </row>
    <row r="35" spans="1:7">
      <c r="A35">
        <v>46</v>
      </c>
      <c r="B35">
        <v>6056961460</v>
      </c>
      <c r="C35">
        <v>24.23</v>
      </c>
      <c r="D35">
        <v>0</v>
      </c>
      <c r="E35">
        <v>950.92</v>
      </c>
      <c r="F35">
        <v>2063630</v>
      </c>
      <c r="G35">
        <v>22625522</v>
      </c>
    </row>
    <row r="36" spans="1:7">
      <c r="A36">
        <v>48</v>
      </c>
      <c r="B36">
        <v>4888305440</v>
      </c>
      <c r="C36">
        <v>19.55</v>
      </c>
      <c r="D36">
        <v>0</v>
      </c>
      <c r="E36">
        <v>950.92</v>
      </c>
      <c r="F36">
        <v>2190751</v>
      </c>
      <c r="G36">
        <v>24516967</v>
      </c>
    </row>
    <row r="37" spans="1:7">
      <c r="A37">
        <v>50</v>
      </c>
      <c r="B37">
        <v>6004721680</v>
      </c>
      <c r="C37">
        <v>24.02</v>
      </c>
      <c r="D37">
        <v>0</v>
      </c>
      <c r="E37">
        <v>950.92</v>
      </c>
      <c r="F37">
        <v>2316506</v>
      </c>
      <c r="G37">
        <v>26405522</v>
      </c>
    </row>
    <row r="38" spans="1:7">
      <c r="A38">
        <v>52</v>
      </c>
      <c r="B38">
        <v>5345378920</v>
      </c>
      <c r="C38">
        <v>21.38</v>
      </c>
      <c r="D38">
        <v>0</v>
      </c>
      <c r="E38">
        <v>950.92</v>
      </c>
      <c r="F38">
        <v>2442450</v>
      </c>
      <c r="G38">
        <v>28294636</v>
      </c>
    </row>
    <row r="39" spans="1:7">
      <c r="A39">
        <v>54</v>
      </c>
      <c r="B39">
        <v>5299041940</v>
      </c>
      <c r="C39">
        <v>21.2</v>
      </c>
      <c r="D39">
        <v>0</v>
      </c>
      <c r="E39">
        <v>950.92</v>
      </c>
      <c r="F39">
        <v>2569169</v>
      </c>
      <c r="G39">
        <v>30183067</v>
      </c>
    </row>
    <row r="40" spans="1:7">
      <c r="A40">
        <v>56</v>
      </c>
      <c r="B40">
        <v>5726503040</v>
      </c>
      <c r="C40">
        <v>22.91</v>
      </c>
      <c r="D40">
        <v>0</v>
      </c>
      <c r="E40">
        <v>950.92</v>
      </c>
      <c r="F40">
        <v>2695701</v>
      </c>
      <c r="G40">
        <v>32071221</v>
      </c>
    </row>
    <row r="41" spans="1:7">
      <c r="A41">
        <v>58</v>
      </c>
      <c r="B41">
        <v>5342230760</v>
      </c>
      <c r="C41">
        <v>21.37</v>
      </c>
      <c r="D41">
        <v>0</v>
      </c>
      <c r="E41">
        <v>950.92</v>
      </c>
      <c r="F41">
        <v>2822318</v>
      </c>
      <c r="G41">
        <v>33958917</v>
      </c>
    </row>
    <row r="42" spans="1:7">
      <c r="A42">
        <v>60</v>
      </c>
      <c r="B42">
        <v>5900438880</v>
      </c>
      <c r="C42">
        <v>23.61</v>
      </c>
      <c r="D42">
        <v>0</v>
      </c>
      <c r="E42">
        <v>950.92</v>
      </c>
      <c r="F42">
        <v>2948706</v>
      </c>
      <c r="G42">
        <v>35847268</v>
      </c>
    </row>
    <row r="43" spans="1:7">
      <c r="A43">
        <v>62</v>
      </c>
      <c r="B43">
        <v>4878369060</v>
      </c>
      <c r="C43">
        <v>19.510000000000002</v>
      </c>
      <c r="D43">
        <v>0</v>
      </c>
      <c r="E43">
        <v>950.92</v>
      </c>
      <c r="F43">
        <v>3075037</v>
      </c>
      <c r="G43">
        <v>37735974</v>
      </c>
    </row>
    <row r="44" spans="1:7">
      <c r="A44">
        <v>64</v>
      </c>
      <c r="B44">
        <v>6074571480</v>
      </c>
      <c r="C44">
        <v>24.3</v>
      </c>
      <c r="D44">
        <v>0</v>
      </c>
      <c r="E44">
        <v>950.92</v>
      </c>
      <c r="F44">
        <v>3201274</v>
      </c>
      <c r="G44">
        <v>39624203</v>
      </c>
    </row>
    <row r="45" spans="1:7">
      <c r="A45">
        <v>66</v>
      </c>
      <c r="B45">
        <v>4934937560</v>
      </c>
      <c r="C45">
        <v>19.739999999999998</v>
      </c>
      <c r="D45">
        <v>0</v>
      </c>
      <c r="E45">
        <v>950.92</v>
      </c>
      <c r="F45">
        <v>3328123</v>
      </c>
      <c r="G45">
        <v>41511110</v>
      </c>
    </row>
    <row r="46" spans="1:7">
      <c r="A46">
        <v>68</v>
      </c>
      <c r="B46">
        <v>6150028940</v>
      </c>
      <c r="C46">
        <v>24.6</v>
      </c>
      <c r="D46">
        <v>0</v>
      </c>
      <c r="E46">
        <v>950.92</v>
      </c>
      <c r="F46">
        <v>3454409</v>
      </c>
      <c r="G46">
        <v>43396763</v>
      </c>
    </row>
    <row r="47" spans="1:7">
      <c r="A47">
        <v>70</v>
      </c>
      <c r="B47">
        <v>4890371420</v>
      </c>
      <c r="C47">
        <v>19.559999999999999</v>
      </c>
      <c r="D47">
        <v>0</v>
      </c>
      <c r="E47">
        <v>950.92</v>
      </c>
      <c r="F47">
        <v>3580739</v>
      </c>
      <c r="G47">
        <v>45283258</v>
      </c>
    </row>
    <row r="48" spans="1:7">
      <c r="A48">
        <v>72</v>
      </c>
      <c r="B48">
        <v>5838557860</v>
      </c>
      <c r="C48">
        <v>23.35</v>
      </c>
      <c r="D48">
        <v>0</v>
      </c>
      <c r="E48">
        <v>950.92</v>
      </c>
      <c r="F48">
        <v>3707346</v>
      </c>
      <c r="G48">
        <v>47170249</v>
      </c>
    </row>
    <row r="49" spans="1:7">
      <c r="A49">
        <v>74</v>
      </c>
      <c r="B49">
        <v>5109070160</v>
      </c>
      <c r="C49">
        <v>20.440000000000001</v>
      </c>
      <c r="D49">
        <v>0</v>
      </c>
      <c r="E49">
        <v>950.92</v>
      </c>
      <c r="F49">
        <v>3834175</v>
      </c>
      <c r="G49">
        <v>49056538</v>
      </c>
    </row>
    <row r="50" spans="1:7">
      <c r="A50">
        <v>76</v>
      </c>
      <c r="B50">
        <v>6083917580</v>
      </c>
      <c r="C50">
        <v>24.34</v>
      </c>
      <c r="D50">
        <v>0</v>
      </c>
      <c r="E50">
        <v>950.92</v>
      </c>
      <c r="F50">
        <v>3960588</v>
      </c>
      <c r="G50">
        <v>50943345</v>
      </c>
    </row>
    <row r="51" spans="1:7">
      <c r="A51">
        <v>78</v>
      </c>
      <c r="B51">
        <v>4953924900</v>
      </c>
      <c r="C51">
        <v>19.82</v>
      </c>
      <c r="D51">
        <v>0</v>
      </c>
      <c r="E51">
        <v>950.92</v>
      </c>
      <c r="F51">
        <v>4087332</v>
      </c>
      <c r="G51">
        <v>52829690</v>
      </c>
    </row>
    <row r="52" spans="1:7">
      <c r="A52">
        <v>80</v>
      </c>
      <c r="B52">
        <v>5804813520</v>
      </c>
      <c r="C52">
        <v>23.22</v>
      </c>
      <c r="D52">
        <v>0</v>
      </c>
      <c r="E52">
        <v>950.92</v>
      </c>
      <c r="F52">
        <v>4213680</v>
      </c>
      <c r="G52">
        <v>54716788</v>
      </c>
    </row>
    <row r="53" spans="1:7">
      <c r="A53">
        <v>82</v>
      </c>
      <c r="B53">
        <v>5643568700</v>
      </c>
      <c r="C53">
        <v>22.57</v>
      </c>
      <c r="D53">
        <v>0</v>
      </c>
      <c r="E53">
        <v>950.92</v>
      </c>
      <c r="F53">
        <v>4340069</v>
      </c>
      <c r="G53">
        <v>56603550</v>
      </c>
    </row>
    <row r="54" spans="1:7">
      <c r="A54">
        <v>84</v>
      </c>
      <c r="B54">
        <v>5090869860</v>
      </c>
      <c r="C54">
        <v>20.36</v>
      </c>
      <c r="D54">
        <v>0</v>
      </c>
      <c r="E54">
        <v>950.92</v>
      </c>
      <c r="F54">
        <v>4466419</v>
      </c>
      <c r="G54">
        <v>58492170</v>
      </c>
    </row>
    <row r="55" spans="1:7">
      <c r="A55">
        <v>86</v>
      </c>
      <c r="B55">
        <v>6050074860</v>
      </c>
      <c r="C55">
        <v>24.2</v>
      </c>
      <c r="D55">
        <v>0</v>
      </c>
      <c r="E55">
        <v>950.92</v>
      </c>
      <c r="F55">
        <v>4592534</v>
      </c>
      <c r="G55">
        <v>60379858</v>
      </c>
    </row>
    <row r="56" spans="1:7">
      <c r="A56">
        <v>88</v>
      </c>
      <c r="B56">
        <v>4869022960</v>
      </c>
      <c r="C56">
        <v>19.48</v>
      </c>
      <c r="D56">
        <v>0</v>
      </c>
      <c r="E56">
        <v>950.92</v>
      </c>
      <c r="F56">
        <v>4718704</v>
      </c>
      <c r="G56">
        <v>62268429</v>
      </c>
    </row>
    <row r="57" spans="1:7">
      <c r="A57">
        <v>90</v>
      </c>
      <c r="B57">
        <v>5960155540</v>
      </c>
      <c r="C57">
        <v>23.84</v>
      </c>
      <c r="D57">
        <v>0</v>
      </c>
      <c r="E57">
        <v>950.92</v>
      </c>
      <c r="F57">
        <v>4844740</v>
      </c>
      <c r="G57">
        <v>64156440</v>
      </c>
    </row>
    <row r="58" spans="1:7">
      <c r="A58">
        <v>92</v>
      </c>
      <c r="B58">
        <v>5042663660</v>
      </c>
      <c r="C58">
        <v>20.170000000000002</v>
      </c>
      <c r="D58">
        <v>0</v>
      </c>
      <c r="E58">
        <v>950.92</v>
      </c>
      <c r="F58">
        <v>4970937</v>
      </c>
      <c r="G58">
        <v>66044018</v>
      </c>
    </row>
    <row r="59" spans="1:7">
      <c r="A59">
        <v>94</v>
      </c>
      <c r="B59">
        <v>6091787980</v>
      </c>
      <c r="C59">
        <v>24.37</v>
      </c>
      <c r="D59">
        <v>0</v>
      </c>
      <c r="E59">
        <v>950.92</v>
      </c>
      <c r="F59">
        <v>5096821</v>
      </c>
      <c r="G59">
        <v>67932249</v>
      </c>
    </row>
    <row r="60" spans="1:7">
      <c r="A60">
        <v>96</v>
      </c>
      <c r="B60">
        <v>4916442120</v>
      </c>
      <c r="C60">
        <v>19.670000000000002</v>
      </c>
      <c r="D60">
        <v>0</v>
      </c>
      <c r="E60">
        <v>950.92</v>
      </c>
      <c r="F60">
        <v>5223016</v>
      </c>
      <c r="G60">
        <v>69819635</v>
      </c>
    </row>
    <row r="61" spans="1:7">
      <c r="A61">
        <v>98</v>
      </c>
      <c r="B61">
        <v>6121793880</v>
      </c>
      <c r="C61">
        <v>24.49</v>
      </c>
      <c r="D61">
        <v>0</v>
      </c>
      <c r="E61">
        <v>950.92</v>
      </c>
      <c r="F61">
        <v>5347821</v>
      </c>
      <c r="G61">
        <v>71705329</v>
      </c>
    </row>
    <row r="62" spans="1:7">
      <c r="A62">
        <v>100</v>
      </c>
      <c r="B62">
        <v>4855053000</v>
      </c>
      <c r="C62">
        <v>19.420000000000002</v>
      </c>
      <c r="D62">
        <v>0</v>
      </c>
      <c r="E62">
        <v>950.92</v>
      </c>
      <c r="F62">
        <v>5473607</v>
      </c>
      <c r="G62">
        <v>73595460</v>
      </c>
    </row>
    <row r="63" spans="1:7">
      <c r="A63">
        <v>102</v>
      </c>
      <c r="B63">
        <v>6063651300</v>
      </c>
      <c r="C63">
        <v>24.25</v>
      </c>
      <c r="D63">
        <v>0</v>
      </c>
      <c r="E63">
        <v>950.92</v>
      </c>
      <c r="F63">
        <v>5600239</v>
      </c>
      <c r="G63">
        <v>75485253</v>
      </c>
    </row>
    <row r="64" spans="1:7">
      <c r="A64">
        <v>104</v>
      </c>
      <c r="B64">
        <v>5092050420</v>
      </c>
      <c r="C64">
        <v>20.37</v>
      </c>
      <c r="D64">
        <v>0</v>
      </c>
      <c r="E64">
        <v>950.92</v>
      </c>
      <c r="F64">
        <v>5726843</v>
      </c>
      <c r="G64">
        <v>77374304</v>
      </c>
    </row>
    <row r="65" spans="1:7">
      <c r="A65">
        <v>106</v>
      </c>
      <c r="B65">
        <v>5845542840</v>
      </c>
      <c r="C65">
        <v>23.38</v>
      </c>
      <c r="D65">
        <v>0</v>
      </c>
      <c r="E65">
        <v>950.92</v>
      </c>
      <c r="F65">
        <v>5853059</v>
      </c>
      <c r="G65">
        <v>79263630</v>
      </c>
    </row>
    <row r="66" spans="1:7">
      <c r="A66">
        <v>108</v>
      </c>
      <c r="B66">
        <v>5238341480</v>
      </c>
      <c r="C66">
        <v>20.95</v>
      </c>
      <c r="D66">
        <v>0</v>
      </c>
      <c r="E66">
        <v>950.92</v>
      </c>
      <c r="F66">
        <v>5979307</v>
      </c>
      <c r="G66">
        <v>81151641</v>
      </c>
    </row>
    <row r="67" spans="1:7">
      <c r="A67">
        <v>110</v>
      </c>
      <c r="B67">
        <v>5866891300</v>
      </c>
      <c r="C67">
        <v>23.47</v>
      </c>
      <c r="D67">
        <v>0</v>
      </c>
      <c r="E67">
        <v>950.92</v>
      </c>
      <c r="F67">
        <v>6105169</v>
      </c>
      <c r="G67">
        <v>83039436</v>
      </c>
    </row>
    <row r="68" spans="1:7">
      <c r="A68">
        <v>112</v>
      </c>
      <c r="B68">
        <v>4940348460</v>
      </c>
      <c r="C68">
        <v>19.760000000000002</v>
      </c>
      <c r="D68">
        <v>0</v>
      </c>
      <c r="E68">
        <v>950.92</v>
      </c>
      <c r="F68">
        <v>6231279</v>
      </c>
      <c r="G68">
        <v>84927555</v>
      </c>
    </row>
    <row r="69" spans="1:7">
      <c r="A69">
        <v>114</v>
      </c>
      <c r="B69">
        <v>6057846880</v>
      </c>
      <c r="C69">
        <v>24.23</v>
      </c>
      <c r="D69">
        <v>0</v>
      </c>
      <c r="E69">
        <v>950.92</v>
      </c>
      <c r="F69">
        <v>6357458</v>
      </c>
      <c r="G69">
        <v>86815617</v>
      </c>
    </row>
    <row r="70" spans="1:7">
      <c r="A70">
        <v>116</v>
      </c>
      <c r="B70">
        <v>4966025640</v>
      </c>
      <c r="C70">
        <v>19.86</v>
      </c>
      <c r="D70">
        <v>0</v>
      </c>
      <c r="E70">
        <v>950.92</v>
      </c>
      <c r="F70">
        <v>6483199</v>
      </c>
      <c r="G70">
        <v>88702945</v>
      </c>
    </row>
    <row r="71" spans="1:7">
      <c r="A71">
        <v>118</v>
      </c>
      <c r="B71">
        <v>6161539400</v>
      </c>
      <c r="C71">
        <v>24.65</v>
      </c>
      <c r="D71">
        <v>0</v>
      </c>
      <c r="E71">
        <v>950.92</v>
      </c>
      <c r="F71">
        <v>6609556</v>
      </c>
      <c r="G71">
        <v>90590130</v>
      </c>
    </row>
    <row r="72" spans="1:7">
      <c r="A72">
        <v>120</v>
      </c>
      <c r="B72">
        <v>4824161680</v>
      </c>
      <c r="C72">
        <v>19.3</v>
      </c>
      <c r="D72">
        <v>0</v>
      </c>
      <c r="E72">
        <v>950.92</v>
      </c>
      <c r="F72">
        <v>6735473</v>
      </c>
      <c r="G72">
        <v>92478035</v>
      </c>
    </row>
    <row r="73" spans="1:7">
      <c r="A73">
        <v>122</v>
      </c>
      <c r="B73">
        <v>6190167980</v>
      </c>
      <c r="C73">
        <v>24.76</v>
      </c>
      <c r="D73">
        <v>0</v>
      </c>
      <c r="E73">
        <v>950.92</v>
      </c>
      <c r="F73">
        <v>6861391</v>
      </c>
      <c r="G73">
        <v>94365532</v>
      </c>
    </row>
    <row r="74" spans="1:7">
      <c r="A74">
        <v>124</v>
      </c>
      <c r="B74">
        <v>4848166400</v>
      </c>
      <c r="C74">
        <v>19.39</v>
      </c>
      <c r="D74">
        <v>0</v>
      </c>
      <c r="E74">
        <v>950.92</v>
      </c>
      <c r="F74">
        <v>6987562</v>
      </c>
      <c r="G74">
        <v>96253754</v>
      </c>
    </row>
    <row r="75" spans="1:7">
      <c r="A75">
        <v>126</v>
      </c>
      <c r="B75">
        <v>5981012100</v>
      </c>
      <c r="C75">
        <v>23.92</v>
      </c>
      <c r="D75">
        <v>0</v>
      </c>
      <c r="E75">
        <v>950.92</v>
      </c>
      <c r="F75">
        <v>7113205</v>
      </c>
      <c r="G75">
        <v>98142586</v>
      </c>
    </row>
    <row r="76" spans="1:7">
      <c r="A76">
        <v>128</v>
      </c>
      <c r="B76">
        <v>5321374200</v>
      </c>
      <c r="C76">
        <v>21.29</v>
      </c>
      <c r="D76">
        <v>0</v>
      </c>
      <c r="E76">
        <v>950.92</v>
      </c>
      <c r="F76">
        <v>7239585</v>
      </c>
      <c r="G76">
        <v>100028483</v>
      </c>
    </row>
    <row r="77" spans="1:7">
      <c r="A77">
        <v>130</v>
      </c>
      <c r="B77">
        <v>5299730600</v>
      </c>
      <c r="C77">
        <v>21.2</v>
      </c>
      <c r="D77">
        <v>0</v>
      </c>
      <c r="E77">
        <v>950.92</v>
      </c>
      <c r="F77">
        <v>7365358</v>
      </c>
      <c r="G77">
        <v>101916304</v>
      </c>
    </row>
    <row r="78" spans="1:7">
      <c r="A78">
        <v>132</v>
      </c>
      <c r="B78">
        <v>6054895480</v>
      </c>
      <c r="C78">
        <v>24.22</v>
      </c>
      <c r="D78">
        <v>0</v>
      </c>
      <c r="E78">
        <v>950.92</v>
      </c>
      <c r="F78">
        <v>7491110</v>
      </c>
      <c r="G78">
        <v>103803187</v>
      </c>
    </row>
    <row r="79" spans="1:7">
      <c r="A79">
        <v>134</v>
      </c>
      <c r="B79">
        <v>4844821480</v>
      </c>
      <c r="C79">
        <v>19.38</v>
      </c>
      <c r="D79">
        <v>0</v>
      </c>
      <c r="E79">
        <v>950.92</v>
      </c>
      <c r="F79">
        <v>7617377</v>
      </c>
      <c r="G79">
        <v>105690522</v>
      </c>
    </row>
    <row r="80" spans="1:7">
      <c r="A80">
        <v>136</v>
      </c>
      <c r="B80">
        <v>6086573840</v>
      </c>
      <c r="C80">
        <v>24.35</v>
      </c>
      <c r="D80">
        <v>0</v>
      </c>
      <c r="E80">
        <v>950.92</v>
      </c>
      <c r="F80">
        <v>7743501</v>
      </c>
      <c r="G80">
        <v>107578816</v>
      </c>
    </row>
    <row r="81" spans="1:7">
      <c r="A81">
        <v>138</v>
      </c>
      <c r="B81">
        <v>4888600580</v>
      </c>
      <c r="C81">
        <v>19.55</v>
      </c>
      <c r="D81">
        <v>0</v>
      </c>
      <c r="E81">
        <v>950.92</v>
      </c>
      <c r="F81">
        <v>7869613</v>
      </c>
      <c r="G81">
        <v>109467108</v>
      </c>
    </row>
    <row r="82" spans="1:7">
      <c r="A82">
        <v>140</v>
      </c>
      <c r="B82">
        <v>6154357660</v>
      </c>
      <c r="C82">
        <v>24.62</v>
      </c>
      <c r="D82">
        <v>0</v>
      </c>
      <c r="E82">
        <v>950.92</v>
      </c>
      <c r="F82">
        <v>7995815</v>
      </c>
      <c r="G82">
        <v>111353855</v>
      </c>
    </row>
    <row r="83" spans="1:7">
      <c r="A83">
        <v>142</v>
      </c>
      <c r="B83">
        <v>4878270680</v>
      </c>
      <c r="C83">
        <v>19.510000000000002</v>
      </c>
      <c r="D83">
        <v>0</v>
      </c>
      <c r="E83">
        <v>950.92</v>
      </c>
      <c r="F83">
        <v>8121613</v>
      </c>
      <c r="G83">
        <v>113240379</v>
      </c>
    </row>
    <row r="84" spans="1:7">
      <c r="A84">
        <v>144</v>
      </c>
      <c r="B84">
        <v>6017314320</v>
      </c>
      <c r="C84">
        <v>24.07</v>
      </c>
      <c r="D84">
        <v>0</v>
      </c>
      <c r="E84">
        <v>950.92</v>
      </c>
      <c r="F84">
        <v>8247503</v>
      </c>
      <c r="G84">
        <v>115129360</v>
      </c>
    </row>
    <row r="85" spans="1:7">
      <c r="A85">
        <v>146</v>
      </c>
      <c r="B85">
        <v>5012461000</v>
      </c>
      <c r="C85">
        <v>20.05</v>
      </c>
      <c r="D85">
        <v>0</v>
      </c>
      <c r="E85">
        <v>950.92</v>
      </c>
      <c r="F85">
        <v>8373703</v>
      </c>
      <c r="G85">
        <v>117017676</v>
      </c>
    </row>
    <row r="86" spans="1:7">
      <c r="A86">
        <v>148</v>
      </c>
      <c r="B86">
        <v>6132615680</v>
      </c>
      <c r="C86">
        <v>24.53</v>
      </c>
      <c r="D86">
        <v>0</v>
      </c>
      <c r="E86">
        <v>950.92</v>
      </c>
      <c r="F86">
        <v>8499580</v>
      </c>
      <c r="G86">
        <v>118905428</v>
      </c>
    </row>
    <row r="87" spans="1:7">
      <c r="A87">
        <v>150</v>
      </c>
      <c r="B87">
        <v>4817176700</v>
      </c>
      <c r="C87">
        <v>19.27</v>
      </c>
      <c r="D87">
        <v>0</v>
      </c>
      <c r="E87">
        <v>950.92</v>
      </c>
      <c r="F87">
        <v>8625970</v>
      </c>
      <c r="G87">
        <v>120793432</v>
      </c>
    </row>
    <row r="88" spans="1:7">
      <c r="A88">
        <v>152</v>
      </c>
      <c r="B88">
        <v>6092968540</v>
      </c>
      <c r="C88">
        <v>24.37</v>
      </c>
      <c r="D88">
        <v>0</v>
      </c>
      <c r="E88">
        <v>950.92</v>
      </c>
      <c r="F88">
        <v>8752177</v>
      </c>
      <c r="G88">
        <v>122681415</v>
      </c>
    </row>
    <row r="89" spans="1:7">
      <c r="A89">
        <v>154</v>
      </c>
      <c r="B89">
        <v>5091361760</v>
      </c>
      <c r="C89">
        <v>20.37</v>
      </c>
      <c r="D89">
        <v>0</v>
      </c>
      <c r="E89">
        <v>950.92</v>
      </c>
      <c r="F89">
        <v>8878170</v>
      </c>
      <c r="G89">
        <v>124569861</v>
      </c>
    </row>
    <row r="90" spans="1:7">
      <c r="A90">
        <v>156</v>
      </c>
      <c r="B90">
        <v>5941660100</v>
      </c>
      <c r="C90">
        <v>23.77</v>
      </c>
      <c r="D90">
        <v>0</v>
      </c>
      <c r="E90">
        <v>950.92</v>
      </c>
      <c r="F90">
        <v>9004144</v>
      </c>
      <c r="G90">
        <v>126457228</v>
      </c>
    </row>
    <row r="91" spans="1:7">
      <c r="A91">
        <v>158</v>
      </c>
      <c r="B91">
        <v>4872663020</v>
      </c>
      <c r="C91">
        <v>19.489999999999998</v>
      </c>
      <c r="D91">
        <v>0</v>
      </c>
      <c r="E91">
        <v>950.92</v>
      </c>
      <c r="F91">
        <v>9130002</v>
      </c>
      <c r="G91">
        <v>128344398</v>
      </c>
    </row>
    <row r="92" spans="1:7">
      <c r="A92">
        <v>160</v>
      </c>
      <c r="B92">
        <v>6135173560</v>
      </c>
      <c r="C92">
        <v>24.54</v>
      </c>
      <c r="D92">
        <v>0</v>
      </c>
      <c r="E92">
        <v>950.92</v>
      </c>
      <c r="F92">
        <v>9255972</v>
      </c>
      <c r="G92">
        <v>130231903</v>
      </c>
    </row>
    <row r="93" spans="1:7">
      <c r="A93">
        <v>162</v>
      </c>
      <c r="B93">
        <v>4856331940</v>
      </c>
      <c r="C93">
        <v>19.420000000000002</v>
      </c>
      <c r="D93">
        <v>0</v>
      </c>
      <c r="E93">
        <v>950.92</v>
      </c>
      <c r="F93">
        <v>9381890</v>
      </c>
      <c r="G93">
        <v>132120140</v>
      </c>
    </row>
    <row r="94" spans="1:7">
      <c r="A94">
        <v>164</v>
      </c>
      <c r="B94">
        <v>6109102860</v>
      </c>
      <c r="C94">
        <v>24.44</v>
      </c>
      <c r="D94">
        <v>0</v>
      </c>
      <c r="E94">
        <v>950.92</v>
      </c>
      <c r="F94">
        <v>9507421</v>
      </c>
      <c r="G94">
        <v>134008836</v>
      </c>
    </row>
    <row r="95" spans="1:7">
      <c r="A95">
        <v>166</v>
      </c>
      <c r="B95">
        <v>4909358760</v>
      </c>
      <c r="C95">
        <v>19.64</v>
      </c>
      <c r="D95">
        <v>0</v>
      </c>
      <c r="E95">
        <v>950.92</v>
      </c>
      <c r="F95">
        <v>9633584</v>
      </c>
      <c r="G95">
        <v>135895762</v>
      </c>
    </row>
    <row r="96" spans="1:7">
      <c r="A96">
        <v>168</v>
      </c>
      <c r="B96">
        <v>6058633920</v>
      </c>
      <c r="C96">
        <v>24.23</v>
      </c>
      <c r="D96">
        <v>0</v>
      </c>
      <c r="E96">
        <v>950.92</v>
      </c>
      <c r="F96">
        <v>9759868</v>
      </c>
      <c r="G96">
        <v>137782794</v>
      </c>
    </row>
    <row r="97" spans="1:7">
      <c r="A97">
        <v>170</v>
      </c>
      <c r="B97">
        <v>4997212100</v>
      </c>
      <c r="C97">
        <v>19.989999999999998</v>
      </c>
      <c r="D97">
        <v>0</v>
      </c>
      <c r="E97">
        <v>950.92</v>
      </c>
      <c r="F97">
        <v>9885916</v>
      </c>
      <c r="G97">
        <v>139670326</v>
      </c>
    </row>
    <row r="98" spans="1:7">
      <c r="A98">
        <v>172</v>
      </c>
      <c r="B98">
        <v>6124155000</v>
      </c>
      <c r="C98">
        <v>24.5</v>
      </c>
      <c r="D98">
        <v>0</v>
      </c>
      <c r="E98">
        <v>950.92</v>
      </c>
      <c r="F98">
        <v>10012218</v>
      </c>
      <c r="G98">
        <v>141557377</v>
      </c>
    </row>
    <row r="99" spans="1:7">
      <c r="A99">
        <v>174</v>
      </c>
      <c r="B99">
        <v>4821603800</v>
      </c>
      <c r="C99">
        <v>19.29</v>
      </c>
      <c r="D99">
        <v>0</v>
      </c>
      <c r="E99">
        <v>950.92</v>
      </c>
      <c r="F99">
        <v>10138560</v>
      </c>
      <c r="G99">
        <v>143445216</v>
      </c>
    </row>
    <row r="100" spans="1:7">
      <c r="A100">
        <v>176</v>
      </c>
      <c r="B100">
        <v>6105364420</v>
      </c>
      <c r="C100">
        <v>24.42</v>
      </c>
      <c r="D100">
        <v>0</v>
      </c>
      <c r="E100">
        <v>950.92</v>
      </c>
      <c r="F100">
        <v>10264826</v>
      </c>
      <c r="G100">
        <v>145332446</v>
      </c>
    </row>
    <row r="101" spans="1:7">
      <c r="A101">
        <v>178</v>
      </c>
      <c r="B101">
        <v>4899422380</v>
      </c>
      <c r="C101">
        <v>19.600000000000001</v>
      </c>
      <c r="D101">
        <v>0</v>
      </c>
      <c r="E101">
        <v>950.92</v>
      </c>
      <c r="F101">
        <v>10391139</v>
      </c>
      <c r="G101">
        <v>147220148</v>
      </c>
    </row>
    <row r="102" spans="1:7">
      <c r="A102">
        <v>180</v>
      </c>
      <c r="B102">
        <v>6164884320</v>
      </c>
      <c r="C102">
        <v>24.66</v>
      </c>
      <c r="D102">
        <v>0</v>
      </c>
      <c r="E102">
        <v>950.92</v>
      </c>
      <c r="F102">
        <v>10517207</v>
      </c>
      <c r="G102">
        <v>149108113</v>
      </c>
    </row>
    <row r="103" spans="1:7">
      <c r="A103">
        <v>182</v>
      </c>
      <c r="B103">
        <v>4815110720</v>
      </c>
      <c r="C103">
        <v>19.260000000000002</v>
      </c>
      <c r="D103">
        <v>0</v>
      </c>
      <c r="E103">
        <v>950.92</v>
      </c>
      <c r="F103">
        <v>10643605</v>
      </c>
      <c r="G103">
        <v>150996588</v>
      </c>
    </row>
    <row r="104" spans="1:7">
      <c r="A104">
        <v>184</v>
      </c>
      <c r="B104">
        <v>6125237180</v>
      </c>
      <c r="C104">
        <v>24.5</v>
      </c>
      <c r="D104">
        <v>0</v>
      </c>
      <c r="E104">
        <v>950.92</v>
      </c>
      <c r="F104">
        <v>10769861</v>
      </c>
      <c r="G104">
        <v>152884721</v>
      </c>
    </row>
    <row r="105" spans="1:7">
      <c r="A105">
        <v>186</v>
      </c>
      <c r="B105">
        <v>4932281300</v>
      </c>
      <c r="C105">
        <v>19.73</v>
      </c>
      <c r="D105">
        <v>0</v>
      </c>
      <c r="E105">
        <v>950.92</v>
      </c>
      <c r="F105">
        <v>10896173</v>
      </c>
      <c r="G105">
        <v>154772808</v>
      </c>
    </row>
    <row r="106" spans="1:7">
      <c r="A106">
        <v>188</v>
      </c>
      <c r="B106">
        <v>5956318720</v>
      </c>
      <c r="C106">
        <v>23.82</v>
      </c>
      <c r="D106">
        <v>0</v>
      </c>
      <c r="E106">
        <v>950.92</v>
      </c>
      <c r="F106">
        <v>11021623</v>
      </c>
      <c r="G106">
        <v>156660020</v>
      </c>
    </row>
    <row r="107" spans="1:7">
      <c r="A107">
        <v>190</v>
      </c>
      <c r="B107">
        <v>5048271320</v>
      </c>
      <c r="C107">
        <v>20.190000000000001</v>
      </c>
      <c r="D107">
        <v>0</v>
      </c>
      <c r="E107">
        <v>950.92</v>
      </c>
      <c r="F107">
        <v>11148143</v>
      </c>
      <c r="G107">
        <v>158547893</v>
      </c>
    </row>
    <row r="108" spans="1:7">
      <c r="A108">
        <v>192</v>
      </c>
      <c r="B108">
        <v>6051550560</v>
      </c>
      <c r="C108">
        <v>24.21</v>
      </c>
      <c r="D108">
        <v>0</v>
      </c>
      <c r="E108">
        <v>950.92</v>
      </c>
      <c r="F108">
        <v>11274748</v>
      </c>
      <c r="G108">
        <v>160435308</v>
      </c>
    </row>
    <row r="109" spans="1:7">
      <c r="A109">
        <v>194</v>
      </c>
      <c r="B109">
        <v>4945759360</v>
      </c>
      <c r="C109">
        <v>19.78</v>
      </c>
      <c r="D109">
        <v>0</v>
      </c>
      <c r="E109">
        <v>950.92</v>
      </c>
      <c r="F109">
        <v>11401160</v>
      </c>
      <c r="G109">
        <v>162322458</v>
      </c>
    </row>
    <row r="110" spans="1:7">
      <c r="A110">
        <v>196</v>
      </c>
      <c r="B110">
        <v>6024692820</v>
      </c>
      <c r="C110">
        <v>24.1</v>
      </c>
      <c r="D110">
        <v>0</v>
      </c>
      <c r="E110">
        <v>950.92</v>
      </c>
      <c r="F110">
        <v>11527459</v>
      </c>
      <c r="G110">
        <v>164209305</v>
      </c>
    </row>
    <row r="111" spans="1:7">
      <c r="A111">
        <v>198</v>
      </c>
      <c r="B111">
        <v>4967698100</v>
      </c>
      <c r="C111">
        <v>19.87</v>
      </c>
      <c r="D111">
        <v>0</v>
      </c>
      <c r="E111">
        <v>950.92</v>
      </c>
      <c r="F111">
        <v>11653909</v>
      </c>
      <c r="G111">
        <v>166096340</v>
      </c>
    </row>
    <row r="112" spans="1:7">
      <c r="A112">
        <v>200</v>
      </c>
      <c r="B112">
        <v>6153177100</v>
      </c>
      <c r="C112">
        <v>24.62</v>
      </c>
      <c r="D112">
        <v>0</v>
      </c>
      <c r="E112">
        <v>950.92</v>
      </c>
      <c r="F112">
        <v>11780188</v>
      </c>
      <c r="G112">
        <v>167982697</v>
      </c>
    </row>
    <row r="113" spans="1:7">
      <c r="A113">
        <v>202</v>
      </c>
      <c r="B113">
        <v>4831540180</v>
      </c>
      <c r="C113">
        <v>19.329999999999998</v>
      </c>
      <c r="D113">
        <v>0</v>
      </c>
      <c r="E113">
        <v>950.92</v>
      </c>
      <c r="F113">
        <v>11906803</v>
      </c>
      <c r="G113">
        <v>169868385</v>
      </c>
    </row>
    <row r="114" spans="1:7">
      <c r="A114">
        <v>204</v>
      </c>
      <c r="B114">
        <v>5971370860</v>
      </c>
      <c r="C114">
        <v>23.89</v>
      </c>
      <c r="D114">
        <v>0</v>
      </c>
      <c r="E114">
        <v>950.92</v>
      </c>
      <c r="F114">
        <v>12033114</v>
      </c>
      <c r="G114">
        <v>171756662</v>
      </c>
    </row>
    <row r="115" spans="1:7">
      <c r="A115">
        <v>206</v>
      </c>
      <c r="B115">
        <v>5046500480</v>
      </c>
      <c r="C115">
        <v>20.190000000000001</v>
      </c>
      <c r="D115">
        <v>0</v>
      </c>
      <c r="E115">
        <v>950.92</v>
      </c>
      <c r="F115">
        <v>12159749</v>
      </c>
      <c r="G115">
        <v>173644715</v>
      </c>
    </row>
    <row r="116" spans="1:7">
      <c r="A116">
        <v>208</v>
      </c>
      <c r="B116">
        <v>6117563540</v>
      </c>
      <c r="C116">
        <v>24.47</v>
      </c>
      <c r="D116">
        <v>0</v>
      </c>
      <c r="E116">
        <v>950.92</v>
      </c>
      <c r="F116">
        <v>12286078</v>
      </c>
      <c r="G116">
        <v>175532112</v>
      </c>
    </row>
    <row r="117" spans="1:7">
      <c r="A117">
        <v>210</v>
      </c>
      <c r="B117">
        <v>4844919860</v>
      </c>
      <c r="C117">
        <v>19.38</v>
      </c>
      <c r="D117">
        <v>0</v>
      </c>
      <c r="E117">
        <v>950.92</v>
      </c>
      <c r="F117">
        <v>12412411</v>
      </c>
      <c r="G117">
        <v>177419885</v>
      </c>
    </row>
    <row r="118" spans="1:7">
      <c r="A118">
        <v>212</v>
      </c>
      <c r="B118">
        <v>6080277520</v>
      </c>
      <c r="C118">
        <v>24.32</v>
      </c>
      <c r="D118">
        <v>0</v>
      </c>
      <c r="E118">
        <v>950.92</v>
      </c>
      <c r="F118">
        <v>12538482</v>
      </c>
      <c r="G118">
        <v>179306924</v>
      </c>
    </row>
    <row r="119" spans="1:7">
      <c r="A119">
        <v>214</v>
      </c>
      <c r="B119">
        <v>4982750240</v>
      </c>
      <c r="C119">
        <v>19.93</v>
      </c>
      <c r="D119">
        <v>0</v>
      </c>
      <c r="E119">
        <v>950.92</v>
      </c>
      <c r="F119">
        <v>12664503</v>
      </c>
      <c r="G119">
        <v>181194736</v>
      </c>
    </row>
    <row r="120" spans="1:7">
      <c r="A120">
        <v>216</v>
      </c>
      <c r="B120">
        <v>6092378260</v>
      </c>
      <c r="C120">
        <v>24.37</v>
      </c>
      <c r="D120">
        <v>0</v>
      </c>
      <c r="E120">
        <v>950.92</v>
      </c>
      <c r="F120">
        <v>12790910</v>
      </c>
      <c r="G120">
        <v>183083139</v>
      </c>
    </row>
    <row r="121" spans="1:7">
      <c r="A121">
        <v>218</v>
      </c>
      <c r="B121">
        <v>4823866540</v>
      </c>
      <c r="C121">
        <v>19.3</v>
      </c>
      <c r="D121">
        <v>0</v>
      </c>
      <c r="E121">
        <v>950.92</v>
      </c>
      <c r="F121">
        <v>12917258</v>
      </c>
      <c r="G121">
        <v>184969516</v>
      </c>
    </row>
    <row r="122" spans="1:7">
      <c r="A122">
        <v>220</v>
      </c>
      <c r="B122">
        <v>6159866940</v>
      </c>
      <c r="C122">
        <v>24.64</v>
      </c>
      <c r="D122">
        <v>0</v>
      </c>
      <c r="E122">
        <v>950.92</v>
      </c>
      <c r="F122">
        <v>13043335</v>
      </c>
      <c r="G122">
        <v>186855514</v>
      </c>
    </row>
    <row r="123" spans="1:7">
      <c r="A123">
        <v>222</v>
      </c>
      <c r="B123">
        <v>4898733720</v>
      </c>
      <c r="C123">
        <v>19.59</v>
      </c>
      <c r="D123">
        <v>0</v>
      </c>
      <c r="E123">
        <v>950.92</v>
      </c>
      <c r="F123">
        <v>13169628</v>
      </c>
      <c r="G123">
        <v>188741340</v>
      </c>
    </row>
    <row r="124" spans="1:7">
      <c r="A124">
        <v>224</v>
      </c>
      <c r="B124">
        <v>5833737240</v>
      </c>
      <c r="C124">
        <v>23.33</v>
      </c>
      <c r="D124">
        <v>0</v>
      </c>
      <c r="E124">
        <v>950.92</v>
      </c>
      <c r="F124">
        <v>13296224</v>
      </c>
      <c r="G124">
        <v>190627763</v>
      </c>
    </row>
    <row r="125" spans="1:7">
      <c r="A125">
        <v>226</v>
      </c>
      <c r="B125">
        <v>5175870180</v>
      </c>
      <c r="C125">
        <v>20.7</v>
      </c>
      <c r="D125">
        <v>0</v>
      </c>
      <c r="E125">
        <v>950.92</v>
      </c>
      <c r="F125">
        <v>13422254</v>
      </c>
      <c r="G125">
        <v>192513473</v>
      </c>
    </row>
    <row r="126" spans="1:7">
      <c r="A126">
        <v>228</v>
      </c>
      <c r="B126">
        <v>5841017360</v>
      </c>
      <c r="C126">
        <v>23.36</v>
      </c>
      <c r="D126">
        <v>0</v>
      </c>
      <c r="E126">
        <v>950.92</v>
      </c>
      <c r="F126">
        <v>13548700</v>
      </c>
      <c r="G126">
        <v>194400355</v>
      </c>
    </row>
    <row r="127" spans="1:7">
      <c r="A127">
        <v>230</v>
      </c>
      <c r="B127">
        <v>5317340620</v>
      </c>
      <c r="C127">
        <v>21.27</v>
      </c>
      <c r="D127">
        <v>0</v>
      </c>
      <c r="E127">
        <v>950.92</v>
      </c>
      <c r="F127">
        <v>13675090</v>
      </c>
      <c r="G127">
        <v>196287705</v>
      </c>
    </row>
    <row r="128" spans="1:7">
      <c r="A128">
        <v>232</v>
      </c>
      <c r="B128">
        <v>5898963180</v>
      </c>
      <c r="C128">
        <v>23.6</v>
      </c>
      <c r="D128">
        <v>0</v>
      </c>
      <c r="E128">
        <v>950.92</v>
      </c>
      <c r="F128">
        <v>13801423</v>
      </c>
      <c r="G128">
        <v>198174811</v>
      </c>
    </row>
    <row r="129" spans="1:7">
      <c r="A129">
        <v>234</v>
      </c>
      <c r="B129">
        <v>4874040340</v>
      </c>
      <c r="C129">
        <v>19.5</v>
      </c>
      <c r="D129">
        <v>0</v>
      </c>
      <c r="E129">
        <v>950.92</v>
      </c>
      <c r="F129">
        <v>13928040</v>
      </c>
      <c r="G129">
        <v>200061446</v>
      </c>
    </row>
    <row r="130" spans="1:7">
      <c r="A130">
        <v>236</v>
      </c>
      <c r="B130">
        <v>6025479860</v>
      </c>
      <c r="C130">
        <v>24.1</v>
      </c>
      <c r="D130">
        <v>0</v>
      </c>
      <c r="E130">
        <v>950.92</v>
      </c>
      <c r="F130">
        <v>14054423</v>
      </c>
      <c r="G130">
        <v>201949117</v>
      </c>
    </row>
    <row r="131" spans="1:7">
      <c r="A131">
        <v>238</v>
      </c>
      <c r="B131">
        <v>5016494580</v>
      </c>
      <c r="C131">
        <v>20.07</v>
      </c>
      <c r="D131">
        <v>0</v>
      </c>
      <c r="E131">
        <v>950.92</v>
      </c>
      <c r="F131">
        <v>14180736</v>
      </c>
      <c r="G131">
        <v>203836839</v>
      </c>
    </row>
    <row r="132" spans="1:7">
      <c r="A132">
        <v>240</v>
      </c>
      <c r="B132">
        <v>6090804180</v>
      </c>
      <c r="C132">
        <v>24.36</v>
      </c>
      <c r="D132">
        <v>0</v>
      </c>
      <c r="E132">
        <v>950.92</v>
      </c>
      <c r="F132">
        <v>14307164</v>
      </c>
      <c r="G132">
        <v>205724347</v>
      </c>
    </row>
    <row r="133" spans="1:7">
      <c r="A133">
        <v>242</v>
      </c>
      <c r="B133">
        <v>4885649180</v>
      </c>
      <c r="C133">
        <v>19.54</v>
      </c>
      <c r="D133">
        <v>0</v>
      </c>
      <c r="E133">
        <v>950.92</v>
      </c>
      <c r="F133">
        <v>14433551</v>
      </c>
      <c r="G133">
        <v>207612338</v>
      </c>
    </row>
    <row r="134" spans="1:7">
      <c r="A134">
        <v>244</v>
      </c>
      <c r="B134">
        <v>5999310780</v>
      </c>
      <c r="C134">
        <v>24</v>
      </c>
      <c r="D134">
        <v>0</v>
      </c>
      <c r="E134">
        <v>950.92</v>
      </c>
      <c r="F134">
        <v>14559760</v>
      </c>
      <c r="G134">
        <v>209500534</v>
      </c>
    </row>
    <row r="135" spans="1:7">
      <c r="A135">
        <v>246</v>
      </c>
      <c r="B135">
        <v>5003114900</v>
      </c>
      <c r="C135">
        <v>20.010000000000002</v>
      </c>
      <c r="D135">
        <v>0</v>
      </c>
      <c r="E135">
        <v>950.92</v>
      </c>
      <c r="F135">
        <v>14685996</v>
      </c>
      <c r="G135">
        <v>211388528</v>
      </c>
    </row>
    <row r="136" spans="1:7">
      <c r="A136">
        <v>248</v>
      </c>
      <c r="B136">
        <v>6172164440</v>
      </c>
      <c r="C136">
        <v>24.69</v>
      </c>
      <c r="D136">
        <v>0</v>
      </c>
      <c r="E136">
        <v>950.92</v>
      </c>
      <c r="F136">
        <v>14812483</v>
      </c>
      <c r="G136">
        <v>213273577</v>
      </c>
    </row>
    <row r="137" spans="1:7">
      <c r="A137">
        <v>250</v>
      </c>
      <c r="B137">
        <v>4805075960</v>
      </c>
      <c r="C137">
        <v>19.22</v>
      </c>
      <c r="D137">
        <v>0</v>
      </c>
      <c r="E137">
        <v>950.92</v>
      </c>
      <c r="F137">
        <v>14939024</v>
      </c>
      <c r="G137">
        <v>215159954</v>
      </c>
    </row>
    <row r="138" spans="1:7">
      <c r="A138">
        <v>252</v>
      </c>
      <c r="B138">
        <v>6085098140</v>
      </c>
      <c r="C138">
        <v>24.34</v>
      </c>
      <c r="D138">
        <v>0</v>
      </c>
      <c r="E138">
        <v>950.92</v>
      </c>
      <c r="F138">
        <v>15065418</v>
      </c>
      <c r="G138">
        <v>217046684</v>
      </c>
    </row>
    <row r="139" spans="1:7">
      <c r="A139">
        <v>254</v>
      </c>
      <c r="B139">
        <v>4939266280</v>
      </c>
      <c r="C139">
        <v>19.760000000000002</v>
      </c>
      <c r="D139">
        <v>0</v>
      </c>
      <c r="E139">
        <v>950.92</v>
      </c>
      <c r="F139">
        <v>15192188</v>
      </c>
      <c r="G139">
        <v>218933656</v>
      </c>
    </row>
    <row r="140" spans="1:7">
      <c r="A140">
        <v>256</v>
      </c>
      <c r="B140">
        <v>6116678120</v>
      </c>
      <c r="C140">
        <v>24.47</v>
      </c>
      <c r="D140">
        <v>0</v>
      </c>
      <c r="E140">
        <v>950.92</v>
      </c>
      <c r="F140">
        <v>15318473</v>
      </c>
      <c r="G140">
        <v>220819279</v>
      </c>
    </row>
    <row r="141" spans="1:7">
      <c r="A141">
        <v>258</v>
      </c>
      <c r="B141">
        <v>4870301900</v>
      </c>
      <c r="C141">
        <v>19.48</v>
      </c>
      <c r="D141">
        <v>0</v>
      </c>
      <c r="E141">
        <v>950.92</v>
      </c>
      <c r="F141">
        <v>15444795</v>
      </c>
      <c r="G141">
        <v>222703956</v>
      </c>
    </row>
    <row r="142" spans="1:7">
      <c r="A142">
        <v>260</v>
      </c>
      <c r="B142">
        <v>6109299620</v>
      </c>
      <c r="C142">
        <v>24.44</v>
      </c>
      <c r="D142">
        <v>0</v>
      </c>
      <c r="E142">
        <v>950.92</v>
      </c>
      <c r="F142">
        <v>15571077</v>
      </c>
      <c r="G142">
        <v>224587828</v>
      </c>
    </row>
    <row r="143" spans="1:7">
      <c r="A143">
        <v>262</v>
      </c>
      <c r="B143">
        <v>4929133140</v>
      </c>
      <c r="C143">
        <v>19.72</v>
      </c>
      <c r="D143">
        <v>0</v>
      </c>
      <c r="E143">
        <v>950.92</v>
      </c>
      <c r="F143">
        <v>15697889</v>
      </c>
      <c r="G143">
        <v>226472946</v>
      </c>
    </row>
    <row r="144" spans="1:7">
      <c r="A144">
        <v>264</v>
      </c>
      <c r="B144">
        <v>5703186980</v>
      </c>
      <c r="C144">
        <v>22.81</v>
      </c>
      <c r="D144">
        <v>0</v>
      </c>
      <c r="E144">
        <v>950.92</v>
      </c>
      <c r="F144">
        <v>15824344</v>
      </c>
      <c r="G144">
        <v>228359539</v>
      </c>
    </row>
    <row r="145" spans="1:7">
      <c r="A145">
        <v>266</v>
      </c>
      <c r="B145">
        <v>5739784340</v>
      </c>
      <c r="C145">
        <v>22.96</v>
      </c>
      <c r="D145">
        <v>0</v>
      </c>
      <c r="E145">
        <v>950.92</v>
      </c>
      <c r="F145">
        <v>15950701</v>
      </c>
      <c r="G145">
        <v>230246348</v>
      </c>
    </row>
    <row r="146" spans="1:7">
      <c r="A146">
        <v>268</v>
      </c>
      <c r="B146">
        <v>5007738760</v>
      </c>
      <c r="C146">
        <v>20.03</v>
      </c>
      <c r="D146">
        <v>0</v>
      </c>
      <c r="E146">
        <v>950.92</v>
      </c>
      <c r="F146">
        <v>16077114</v>
      </c>
      <c r="G146">
        <v>232132642</v>
      </c>
    </row>
    <row r="147" spans="1:7">
      <c r="A147">
        <v>270</v>
      </c>
      <c r="B147">
        <v>6091099320</v>
      </c>
      <c r="C147">
        <v>24.36</v>
      </c>
      <c r="D147">
        <v>0</v>
      </c>
      <c r="E147">
        <v>950.92</v>
      </c>
      <c r="F147">
        <v>16203443</v>
      </c>
      <c r="G147">
        <v>234019605</v>
      </c>
    </row>
    <row r="148" spans="1:7">
      <c r="A148">
        <v>272</v>
      </c>
      <c r="B148">
        <v>4879648000</v>
      </c>
      <c r="C148">
        <v>19.52</v>
      </c>
      <c r="D148">
        <v>0</v>
      </c>
      <c r="E148">
        <v>950.92</v>
      </c>
      <c r="F148">
        <v>16329821</v>
      </c>
      <c r="G148">
        <v>235906771</v>
      </c>
    </row>
    <row r="149" spans="1:7">
      <c r="A149">
        <v>274</v>
      </c>
      <c r="B149">
        <v>6150225700</v>
      </c>
      <c r="C149">
        <v>24.6</v>
      </c>
      <c r="D149">
        <v>0</v>
      </c>
      <c r="E149">
        <v>950.92</v>
      </c>
      <c r="F149">
        <v>16456450</v>
      </c>
      <c r="G149">
        <v>237792612</v>
      </c>
    </row>
    <row r="150" spans="1:7">
      <c r="A150">
        <v>276</v>
      </c>
      <c r="B150">
        <v>4881812360</v>
      </c>
      <c r="C150">
        <v>19.53</v>
      </c>
      <c r="D150">
        <v>0</v>
      </c>
      <c r="E150">
        <v>950.92</v>
      </c>
      <c r="F150">
        <v>16582641</v>
      </c>
      <c r="G150">
        <v>239679340</v>
      </c>
    </row>
    <row r="151" spans="1:7">
      <c r="A151">
        <v>278</v>
      </c>
      <c r="B151">
        <v>5833540480</v>
      </c>
      <c r="C151">
        <v>23.33</v>
      </c>
      <c r="D151">
        <v>0</v>
      </c>
      <c r="E151">
        <v>950.92</v>
      </c>
      <c r="F151">
        <v>16708802</v>
      </c>
      <c r="G151">
        <v>241564654</v>
      </c>
    </row>
    <row r="152" spans="1:7">
      <c r="A152">
        <v>280</v>
      </c>
      <c r="B152">
        <v>5204105240</v>
      </c>
      <c r="C152">
        <v>20.82</v>
      </c>
      <c r="D152">
        <v>0</v>
      </c>
      <c r="E152">
        <v>950.92</v>
      </c>
      <c r="F152">
        <v>16835117</v>
      </c>
      <c r="G152">
        <v>243450270</v>
      </c>
    </row>
    <row r="153" spans="1:7">
      <c r="A153">
        <v>282</v>
      </c>
      <c r="B153">
        <v>6109496380</v>
      </c>
      <c r="C153">
        <v>24.44</v>
      </c>
      <c r="D153">
        <v>0</v>
      </c>
      <c r="E153">
        <v>950.92</v>
      </c>
      <c r="F153">
        <v>16961521</v>
      </c>
      <c r="G153">
        <v>245336318</v>
      </c>
    </row>
    <row r="154" spans="1:7">
      <c r="A154">
        <v>284</v>
      </c>
      <c r="B154">
        <v>4805075960</v>
      </c>
      <c r="C154">
        <v>19.22</v>
      </c>
      <c r="D154">
        <v>0</v>
      </c>
      <c r="E154">
        <v>950.92</v>
      </c>
      <c r="F154">
        <v>17087872</v>
      </c>
      <c r="G154">
        <v>247221839</v>
      </c>
    </row>
    <row r="155" spans="1:7">
      <c r="A155">
        <v>286</v>
      </c>
      <c r="B155">
        <v>6102314640</v>
      </c>
      <c r="C155">
        <v>24.41</v>
      </c>
      <c r="D155">
        <v>0</v>
      </c>
      <c r="E155">
        <v>950.92</v>
      </c>
      <c r="F155">
        <v>17214260</v>
      </c>
      <c r="G155">
        <v>249107432</v>
      </c>
    </row>
    <row r="156" spans="1:7">
      <c r="A156">
        <v>288</v>
      </c>
      <c r="B156">
        <v>4894306620</v>
      </c>
      <c r="C156">
        <v>19.579999999999998</v>
      </c>
      <c r="D156">
        <v>0</v>
      </c>
      <c r="E156">
        <v>950.92</v>
      </c>
      <c r="F156">
        <v>17340604</v>
      </c>
      <c r="G156">
        <v>250993533</v>
      </c>
    </row>
    <row r="157" spans="1:7">
      <c r="A157">
        <v>290</v>
      </c>
      <c r="B157">
        <v>6149930560</v>
      </c>
      <c r="C157">
        <v>24.6</v>
      </c>
      <c r="D157">
        <v>0</v>
      </c>
      <c r="E157">
        <v>950.92</v>
      </c>
      <c r="F157">
        <v>17466732</v>
      </c>
      <c r="G157">
        <v>252880439</v>
      </c>
    </row>
    <row r="158" spans="1:7">
      <c r="A158">
        <v>292</v>
      </c>
      <c r="B158">
        <v>4862333120</v>
      </c>
      <c r="C158">
        <v>19.45</v>
      </c>
      <c r="D158">
        <v>0</v>
      </c>
      <c r="E158">
        <v>950.92</v>
      </c>
      <c r="F158">
        <v>17593243</v>
      </c>
      <c r="G158">
        <v>254766786</v>
      </c>
    </row>
    <row r="159" spans="1:7">
      <c r="A159">
        <v>294</v>
      </c>
      <c r="B159">
        <v>6066110800</v>
      </c>
      <c r="C159">
        <v>24.26</v>
      </c>
      <c r="D159">
        <v>0</v>
      </c>
      <c r="E159">
        <v>950.92</v>
      </c>
      <c r="F159">
        <v>17719596</v>
      </c>
      <c r="G159">
        <v>256653210</v>
      </c>
    </row>
    <row r="160" spans="1:7">
      <c r="A160">
        <v>296</v>
      </c>
      <c r="B160">
        <v>4894503380</v>
      </c>
      <c r="C160">
        <v>19.579999999999998</v>
      </c>
      <c r="D160">
        <v>0</v>
      </c>
      <c r="E160">
        <v>950.92</v>
      </c>
      <c r="F160">
        <v>17846022</v>
      </c>
      <c r="G160">
        <v>258539390</v>
      </c>
    </row>
    <row r="161" spans="1:156">
      <c r="A161">
        <v>298</v>
      </c>
      <c r="B161">
        <v>6132418920</v>
      </c>
      <c r="C161">
        <v>24.53</v>
      </c>
      <c r="D161">
        <v>0</v>
      </c>
      <c r="E161">
        <v>950.92</v>
      </c>
      <c r="F161">
        <v>17972210</v>
      </c>
      <c r="G161">
        <v>260426068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7507940</v>
      </c>
      <c r="D164">
        <v>0</v>
      </c>
      <c r="E164">
        <v>39.957799999999999</v>
      </c>
      <c r="F164" s="4">
        <v>302001000</v>
      </c>
      <c r="G164">
        <v>19696.8</v>
      </c>
      <c r="H164">
        <v>262518237</v>
      </c>
      <c r="I164">
        <v>0</v>
      </c>
      <c r="J164">
        <v>0</v>
      </c>
      <c r="K164" t="s">
        <v>118</v>
      </c>
      <c r="L164">
        <v>0</v>
      </c>
      <c r="M164">
        <v>7507940</v>
      </c>
      <c r="N164">
        <v>738631137200</v>
      </c>
      <c r="O164">
        <v>39.978700000000003</v>
      </c>
      <c r="P164">
        <v>300157851</v>
      </c>
      <c r="Q164">
        <v>19686.5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50</v>
      </c>
      <c r="AA164">
        <v>8918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18128719</v>
      </c>
      <c r="AQ164">
        <v>1196495369</v>
      </c>
      <c r="AR164">
        <v>0</v>
      </c>
      <c r="AS164">
        <v>0</v>
      </c>
      <c r="AT164">
        <v>262518237</v>
      </c>
      <c r="AU164">
        <v>2364201665102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51</v>
      </c>
      <c r="BE164">
        <v>9273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 t="s">
        <v>102</v>
      </c>
      <c r="CC164">
        <v>18128677</v>
      </c>
      <c r="CD164">
        <v>0</v>
      </c>
      <c r="CE164">
        <v>262518237</v>
      </c>
      <c r="CF164">
        <v>0</v>
      </c>
      <c r="CG164">
        <v>0</v>
      </c>
      <c r="CH164" t="s">
        <v>121</v>
      </c>
      <c r="CI164" t="s">
        <v>208</v>
      </c>
      <c r="CJ164" t="s">
        <v>47</v>
      </c>
      <c r="CK164">
        <v>90997</v>
      </c>
      <c r="CL164">
        <v>4195500</v>
      </c>
      <c r="CM164">
        <v>0</v>
      </c>
      <c r="CN164">
        <v>0</v>
      </c>
      <c r="CO164">
        <v>660</v>
      </c>
      <c r="CP164">
        <v>274394</v>
      </c>
      <c r="CQ164">
        <v>0</v>
      </c>
      <c r="CR164">
        <v>0</v>
      </c>
      <c r="CS164" t="s">
        <v>209</v>
      </c>
      <c r="CT164" t="s">
        <v>47</v>
      </c>
      <c r="CU164">
        <v>262610539</v>
      </c>
      <c r="CV164">
        <v>2364207249294</v>
      </c>
      <c r="CW164">
        <v>0</v>
      </c>
      <c r="CX164">
        <v>0</v>
      </c>
      <c r="CY164">
        <v>18130573</v>
      </c>
      <c r="CZ164">
        <v>1196906575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39300991</v>
      </c>
      <c r="DP164">
        <v>2348919140010</v>
      </c>
      <c r="DQ164">
        <v>0</v>
      </c>
      <c r="DR164">
        <v>0</v>
      </c>
      <c r="DS164">
        <v>18129814</v>
      </c>
      <c r="DT164">
        <v>1196615965</v>
      </c>
      <c r="DU164">
        <v>0</v>
      </c>
      <c r="DV164">
        <v>0</v>
      </c>
      <c r="DW164" t="s">
        <v>211</v>
      </c>
      <c r="DX164" t="s">
        <v>47</v>
      </c>
      <c r="DY164">
        <v>9547</v>
      </c>
      <c r="DZ164">
        <v>954700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39300447</v>
      </c>
      <c r="EI164">
        <v>9</v>
      </c>
      <c r="EJ164">
        <v>18129439</v>
      </c>
      <c r="EK164">
        <v>44</v>
      </c>
      <c r="EL164">
        <v>44</v>
      </c>
      <c r="EM164" t="s">
        <v>108</v>
      </c>
      <c r="EN164" t="s">
        <v>212</v>
      </c>
      <c r="EO164">
        <v>262610538</v>
      </c>
      <c r="EP164">
        <v>18130574</v>
      </c>
      <c r="EQ164">
        <v>262616892</v>
      </c>
      <c r="ER164">
        <v>18130574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51</v>
      </c>
      <c r="E166">
        <v>47</v>
      </c>
      <c r="F166">
        <v>0</v>
      </c>
      <c r="G166">
        <v>2</v>
      </c>
      <c r="H166">
        <v>15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63</v>
      </c>
      <c r="E167">
        <v>36</v>
      </c>
      <c r="F167">
        <v>0</v>
      </c>
      <c r="G167">
        <v>2</v>
      </c>
      <c r="H167">
        <v>17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58</v>
      </c>
      <c r="E168">
        <v>40</v>
      </c>
      <c r="F168">
        <v>0</v>
      </c>
      <c r="G168">
        <v>2</v>
      </c>
      <c r="H168">
        <v>7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62</v>
      </c>
      <c r="E169">
        <v>36</v>
      </c>
      <c r="F169">
        <v>0</v>
      </c>
      <c r="G169">
        <v>2</v>
      </c>
      <c r="H169">
        <v>17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21</v>
      </c>
      <c r="E170">
        <v>78</v>
      </c>
      <c r="F170">
        <v>0</v>
      </c>
      <c r="G170">
        <v>2</v>
      </c>
      <c r="H170">
        <v>19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5</v>
      </c>
      <c r="E172">
        <v>94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3</v>
      </c>
      <c r="C179">
        <v>0</v>
      </c>
      <c r="D179">
        <v>92</v>
      </c>
      <c r="E179">
        <v>4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3</v>
      </c>
      <c r="C180">
        <v>0</v>
      </c>
      <c r="D180">
        <v>91</v>
      </c>
      <c r="E180">
        <v>4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8</v>
      </c>
      <c r="F181">
        <v>0</v>
      </c>
      <c r="G181">
        <v>0</v>
      </c>
      <c r="H181">
        <v>0</v>
      </c>
      <c r="I181" t="s">
        <v>47</v>
      </c>
    </row>
    <row r="182" spans="1:9">
      <c r="A182" t="s">
        <v>146</v>
      </c>
      <c r="B182">
        <v>0</v>
      </c>
      <c r="C182">
        <v>0</v>
      </c>
      <c r="D182">
        <v>0</v>
      </c>
      <c r="E182">
        <v>99</v>
      </c>
      <c r="F182">
        <v>0</v>
      </c>
      <c r="G182">
        <v>0</v>
      </c>
      <c r="H182">
        <v>0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2</v>
      </c>
      <c r="E193">
        <v>97</v>
      </c>
      <c r="F193">
        <v>0</v>
      </c>
      <c r="G193">
        <v>0</v>
      </c>
      <c r="H193">
        <v>2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0</v>
      </c>
      <c r="E197">
        <v>99</v>
      </c>
      <c r="F197">
        <v>0</v>
      </c>
      <c r="G197">
        <v>0</v>
      </c>
      <c r="H197">
        <v>0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7</v>
      </c>
      <c r="E211">
        <v>92</v>
      </c>
      <c r="F211">
        <v>0</v>
      </c>
      <c r="G211">
        <v>0</v>
      </c>
      <c r="H211">
        <v>7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2</v>
      </c>
      <c r="E225">
        <v>97</v>
      </c>
      <c r="F225">
        <v>0</v>
      </c>
      <c r="G225">
        <v>0</v>
      </c>
      <c r="H225">
        <v>2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100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9F3DE-D6C4-4910-AF93-0FF76DFA079C}">
  <sheetPr codeName="Sheet10"/>
  <dimension ref="A1:EZ228"/>
  <sheetViews>
    <sheetView topLeftCell="A150" workbookViewId="0">
      <selection activeCell="N159" sqref="N159"/>
    </sheetView>
  </sheetViews>
  <sheetFormatPr defaultRowHeight="12.5"/>
  <cols>
    <col min="1" max="1" width="17.6328125" customWidth="1"/>
    <col min="10" max="10" width="11.81640625" bestFit="1" customWidth="1"/>
    <col min="12" max="12" width="11.81640625" bestFit="1" customWidth="1"/>
    <col min="14" max="14" width="12.08984375" bestFit="1" customWidth="1"/>
  </cols>
  <sheetData>
    <row r="1" spans="1:7">
      <c r="A1" t="s">
        <v>264</v>
      </c>
      <c r="B1">
        <v>24</v>
      </c>
      <c r="C1" t="s">
        <v>257</v>
      </c>
      <c r="D1" t="s">
        <v>60</v>
      </c>
      <c r="E1" t="s">
        <v>247</v>
      </c>
    </row>
    <row r="2" spans="1:7">
      <c r="A2" t="s">
        <v>61</v>
      </c>
      <c r="B2" t="s">
        <v>248</v>
      </c>
      <c r="C2">
        <v>1</v>
      </c>
    </row>
    <row r="3" spans="1:7">
      <c r="A3" t="s">
        <v>249</v>
      </c>
    </row>
    <row r="4" spans="1:7">
      <c r="A4" t="s">
        <v>265</v>
      </c>
    </row>
    <row r="5" spans="1:7">
      <c r="A5" t="s">
        <v>62</v>
      </c>
      <c r="B5" t="s">
        <v>213</v>
      </c>
      <c r="C5" t="s">
        <v>63</v>
      </c>
      <c r="D5" t="s">
        <v>266</v>
      </c>
    </row>
    <row r="6" spans="1:7">
      <c r="A6" t="s">
        <v>267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66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3738440</v>
      </c>
      <c r="C13">
        <v>0.01</v>
      </c>
      <c r="D13">
        <v>0</v>
      </c>
      <c r="E13">
        <v>0.49</v>
      </c>
      <c r="F13">
        <v>812</v>
      </c>
      <c r="G13">
        <v>3045</v>
      </c>
    </row>
    <row r="14" spans="1:7">
      <c r="A14">
        <v>4</v>
      </c>
      <c r="B14">
        <v>4722240</v>
      </c>
      <c r="C14">
        <v>0.02</v>
      </c>
      <c r="D14">
        <v>0</v>
      </c>
      <c r="E14">
        <v>0.71</v>
      </c>
      <c r="F14">
        <v>6508</v>
      </c>
      <c r="G14">
        <v>38030</v>
      </c>
    </row>
    <row r="15" spans="1:7">
      <c r="A15">
        <v>6</v>
      </c>
      <c r="B15">
        <v>6984980</v>
      </c>
      <c r="C15">
        <v>0.03</v>
      </c>
      <c r="D15">
        <v>0</v>
      </c>
      <c r="E15">
        <v>1.03</v>
      </c>
      <c r="F15">
        <v>15127</v>
      </c>
      <c r="G15">
        <v>91648</v>
      </c>
    </row>
    <row r="16" spans="1:7">
      <c r="A16">
        <v>8</v>
      </c>
      <c r="B16">
        <v>12494260</v>
      </c>
      <c r="C16">
        <v>0.05</v>
      </c>
      <c r="D16">
        <v>0</v>
      </c>
      <c r="E16">
        <v>1.62</v>
      </c>
      <c r="F16">
        <v>27918</v>
      </c>
      <c r="G16">
        <v>169914</v>
      </c>
    </row>
    <row r="17" spans="1:7">
      <c r="A17">
        <v>10</v>
      </c>
      <c r="B17">
        <v>19971140</v>
      </c>
      <c r="C17">
        <v>0.08</v>
      </c>
      <c r="D17">
        <v>0</v>
      </c>
      <c r="E17">
        <v>2.99</v>
      </c>
      <c r="F17">
        <v>47608</v>
      </c>
      <c r="G17">
        <v>287525</v>
      </c>
    </row>
    <row r="18" spans="1:7">
      <c r="A18">
        <v>12</v>
      </c>
      <c r="B18">
        <v>36695740</v>
      </c>
      <c r="C18">
        <v>0.15</v>
      </c>
      <c r="D18">
        <v>0</v>
      </c>
      <c r="E18">
        <v>5.14</v>
      </c>
      <c r="F18">
        <v>77452</v>
      </c>
      <c r="G18">
        <v>457633</v>
      </c>
    </row>
    <row r="19" spans="1:7">
      <c r="A19">
        <v>14</v>
      </c>
      <c r="B19">
        <v>60602080</v>
      </c>
      <c r="C19">
        <v>0.24</v>
      </c>
      <c r="D19">
        <v>0</v>
      </c>
      <c r="E19">
        <v>8.2200000000000006</v>
      </c>
      <c r="F19">
        <v>120329</v>
      </c>
      <c r="G19">
        <v>707045</v>
      </c>
    </row>
    <row r="20" spans="1:7">
      <c r="A20">
        <v>16</v>
      </c>
      <c r="B20">
        <v>93165860</v>
      </c>
      <c r="C20">
        <v>0.37</v>
      </c>
      <c r="D20">
        <v>0</v>
      </c>
      <c r="E20">
        <v>12.43</v>
      </c>
      <c r="F20">
        <v>177815</v>
      </c>
      <c r="G20">
        <v>1071723</v>
      </c>
    </row>
    <row r="21" spans="1:7">
      <c r="A21">
        <v>18</v>
      </c>
      <c r="B21">
        <v>135961160</v>
      </c>
      <c r="C21">
        <v>0.54</v>
      </c>
      <c r="D21">
        <v>0</v>
      </c>
      <c r="E21">
        <v>18.16</v>
      </c>
      <c r="F21">
        <v>259151</v>
      </c>
      <c r="G21">
        <v>1612423</v>
      </c>
    </row>
    <row r="22" spans="1:7">
      <c r="A22">
        <v>20</v>
      </c>
      <c r="B22">
        <v>197153520</v>
      </c>
      <c r="C22">
        <v>0.79</v>
      </c>
      <c r="D22">
        <v>0</v>
      </c>
      <c r="E22">
        <v>26.5</v>
      </c>
      <c r="F22">
        <v>378095</v>
      </c>
      <c r="G22">
        <v>2390572</v>
      </c>
    </row>
    <row r="23" spans="1:7">
      <c r="A23">
        <v>22</v>
      </c>
      <c r="B23">
        <v>287859880</v>
      </c>
      <c r="C23">
        <v>1.1499999999999999</v>
      </c>
      <c r="D23">
        <v>0</v>
      </c>
      <c r="E23">
        <v>38.69</v>
      </c>
      <c r="F23">
        <v>548658</v>
      </c>
      <c r="G23">
        <v>3471169</v>
      </c>
    </row>
    <row r="24" spans="1:7">
      <c r="A24">
        <v>24</v>
      </c>
      <c r="B24">
        <v>384075520</v>
      </c>
      <c r="C24">
        <v>1.54</v>
      </c>
      <c r="D24">
        <v>0</v>
      </c>
      <c r="E24">
        <v>56.52</v>
      </c>
      <c r="F24">
        <v>692532</v>
      </c>
      <c r="G24">
        <v>4892890</v>
      </c>
    </row>
    <row r="25" spans="1:7">
      <c r="A25">
        <v>26</v>
      </c>
      <c r="B25">
        <v>564209300</v>
      </c>
      <c r="C25">
        <v>2.2599999999999998</v>
      </c>
      <c r="D25">
        <v>0</v>
      </c>
      <c r="E25">
        <v>82.55</v>
      </c>
      <c r="F25">
        <v>818334</v>
      </c>
      <c r="G25">
        <v>6461034</v>
      </c>
    </row>
    <row r="26" spans="1:7">
      <c r="A26">
        <v>28</v>
      </c>
      <c r="B26">
        <v>888174640</v>
      </c>
      <c r="C26">
        <v>3.55</v>
      </c>
      <c r="D26">
        <v>0</v>
      </c>
      <c r="E26">
        <v>120.63</v>
      </c>
      <c r="F26">
        <v>952433</v>
      </c>
      <c r="G26">
        <v>8008241</v>
      </c>
    </row>
    <row r="27" spans="1:7">
      <c r="A27">
        <v>30</v>
      </c>
      <c r="B27">
        <v>1311602160</v>
      </c>
      <c r="C27">
        <v>5.25</v>
      </c>
      <c r="D27">
        <v>0</v>
      </c>
      <c r="E27">
        <v>175.87</v>
      </c>
      <c r="F27">
        <v>1095135</v>
      </c>
      <c r="G27">
        <v>9617620</v>
      </c>
    </row>
    <row r="28" spans="1:7">
      <c r="A28">
        <v>32</v>
      </c>
      <c r="B28">
        <v>1940742260</v>
      </c>
      <c r="C28">
        <v>7.76</v>
      </c>
      <c r="D28">
        <v>0</v>
      </c>
      <c r="E28">
        <v>255.59</v>
      </c>
      <c r="F28">
        <v>1248510</v>
      </c>
      <c r="G28">
        <v>11338285</v>
      </c>
    </row>
    <row r="29" spans="1:7">
      <c r="A29">
        <v>34</v>
      </c>
      <c r="B29">
        <v>2588279420</v>
      </c>
      <c r="C29">
        <v>10.35</v>
      </c>
      <c r="D29">
        <v>0</v>
      </c>
      <c r="E29">
        <v>365.2</v>
      </c>
      <c r="F29">
        <v>1428884</v>
      </c>
      <c r="G29">
        <v>13218730</v>
      </c>
    </row>
    <row r="30" spans="1:7">
      <c r="A30">
        <v>36</v>
      </c>
      <c r="B30">
        <v>3412408680</v>
      </c>
      <c r="C30">
        <v>13.65</v>
      </c>
      <c r="D30">
        <v>0</v>
      </c>
      <c r="E30">
        <v>506.16</v>
      </c>
      <c r="F30">
        <v>1650648</v>
      </c>
      <c r="G30">
        <v>15312230</v>
      </c>
    </row>
    <row r="31" spans="1:7">
      <c r="A31">
        <v>38</v>
      </c>
      <c r="B31">
        <v>5004000320</v>
      </c>
      <c r="C31">
        <v>20.02</v>
      </c>
      <c r="D31">
        <v>0</v>
      </c>
      <c r="E31">
        <v>668.36</v>
      </c>
      <c r="F31">
        <v>1913027</v>
      </c>
      <c r="G31">
        <v>17670240</v>
      </c>
    </row>
    <row r="32" spans="1:7">
      <c r="A32">
        <v>40</v>
      </c>
      <c r="B32">
        <v>5456056420</v>
      </c>
      <c r="C32">
        <v>21.82</v>
      </c>
      <c r="D32">
        <v>0</v>
      </c>
      <c r="E32">
        <v>887.08</v>
      </c>
      <c r="F32">
        <v>2209335</v>
      </c>
      <c r="G32">
        <v>20262789</v>
      </c>
    </row>
    <row r="33" spans="1:7">
      <c r="A33">
        <v>42</v>
      </c>
      <c r="B33">
        <v>7175443680</v>
      </c>
      <c r="C33">
        <v>28.7</v>
      </c>
      <c r="D33">
        <v>0</v>
      </c>
      <c r="E33">
        <v>999.89</v>
      </c>
      <c r="F33">
        <v>2515262</v>
      </c>
      <c r="G33">
        <v>22880847</v>
      </c>
    </row>
    <row r="34" spans="1:7">
      <c r="A34">
        <v>44</v>
      </c>
      <c r="B34">
        <v>4887026500</v>
      </c>
      <c r="C34">
        <v>19.55</v>
      </c>
      <c r="D34">
        <v>36</v>
      </c>
      <c r="E34">
        <v>732.34</v>
      </c>
      <c r="F34">
        <v>2810933</v>
      </c>
      <c r="G34">
        <v>24836436</v>
      </c>
    </row>
    <row r="35" spans="1:7">
      <c r="A35">
        <v>46</v>
      </c>
      <c r="B35">
        <v>6297598940</v>
      </c>
      <c r="C35">
        <v>25.19</v>
      </c>
      <c r="D35">
        <v>0</v>
      </c>
      <c r="E35">
        <v>770.4</v>
      </c>
      <c r="F35">
        <v>3174179</v>
      </c>
      <c r="G35">
        <v>27197886</v>
      </c>
    </row>
    <row r="36" spans="1:7">
      <c r="A36">
        <v>48</v>
      </c>
      <c r="B36">
        <v>5757591120</v>
      </c>
      <c r="C36">
        <v>23.03</v>
      </c>
      <c r="D36">
        <v>0</v>
      </c>
      <c r="E36">
        <v>804.66</v>
      </c>
      <c r="F36">
        <v>3548445</v>
      </c>
      <c r="G36">
        <v>29656132</v>
      </c>
    </row>
    <row r="37" spans="1:7">
      <c r="A37">
        <v>50</v>
      </c>
      <c r="B37">
        <v>6582704180</v>
      </c>
      <c r="C37">
        <v>26.33</v>
      </c>
      <c r="D37">
        <v>0</v>
      </c>
      <c r="E37">
        <v>834.04</v>
      </c>
      <c r="F37">
        <v>3927158</v>
      </c>
      <c r="G37">
        <v>32210558</v>
      </c>
    </row>
    <row r="38" spans="1:7">
      <c r="A38">
        <v>52</v>
      </c>
      <c r="B38">
        <v>5986029480</v>
      </c>
      <c r="C38">
        <v>23.94</v>
      </c>
      <c r="D38">
        <v>0</v>
      </c>
      <c r="E38">
        <v>862.18</v>
      </c>
      <c r="F38">
        <v>4295059</v>
      </c>
      <c r="G38">
        <v>34788882</v>
      </c>
    </row>
    <row r="39" spans="1:7">
      <c r="A39">
        <v>54</v>
      </c>
      <c r="B39">
        <v>6947202080</v>
      </c>
      <c r="C39">
        <v>27.79</v>
      </c>
      <c r="D39">
        <v>0</v>
      </c>
      <c r="E39">
        <v>887.71</v>
      </c>
      <c r="F39">
        <v>4665736</v>
      </c>
      <c r="G39">
        <v>37383278</v>
      </c>
    </row>
    <row r="40" spans="1:7">
      <c r="A40">
        <v>56</v>
      </c>
      <c r="B40">
        <v>6226765340</v>
      </c>
      <c r="C40">
        <v>24.91</v>
      </c>
      <c r="D40">
        <v>0</v>
      </c>
      <c r="E40">
        <v>909.75</v>
      </c>
      <c r="F40">
        <v>5030545</v>
      </c>
      <c r="G40">
        <v>39979410</v>
      </c>
    </row>
    <row r="41" spans="1:7">
      <c r="A41">
        <v>58</v>
      </c>
      <c r="B41">
        <v>7137764140</v>
      </c>
      <c r="C41">
        <v>28.55</v>
      </c>
      <c r="D41">
        <v>0</v>
      </c>
      <c r="E41">
        <v>929.13</v>
      </c>
      <c r="F41">
        <v>5396545</v>
      </c>
      <c r="G41">
        <v>42579287</v>
      </c>
    </row>
    <row r="42" spans="1:7">
      <c r="A42">
        <v>60</v>
      </c>
      <c r="B42">
        <v>7071751160</v>
      </c>
      <c r="C42">
        <v>28.29</v>
      </c>
      <c r="D42">
        <v>0</v>
      </c>
      <c r="E42">
        <v>945.8</v>
      </c>
      <c r="F42">
        <v>5757804</v>
      </c>
      <c r="G42">
        <v>45182678</v>
      </c>
    </row>
    <row r="43" spans="1:7">
      <c r="A43">
        <v>62</v>
      </c>
      <c r="B43">
        <v>6571587240</v>
      </c>
      <c r="C43">
        <v>26.29</v>
      </c>
      <c r="D43">
        <v>0</v>
      </c>
      <c r="E43">
        <v>959.91</v>
      </c>
      <c r="F43">
        <v>6120075</v>
      </c>
      <c r="G43">
        <v>47790836</v>
      </c>
    </row>
    <row r="44" spans="1:7">
      <c r="A44">
        <v>64</v>
      </c>
      <c r="B44">
        <v>6000294580</v>
      </c>
      <c r="C44">
        <v>24</v>
      </c>
      <c r="D44">
        <v>218</v>
      </c>
      <c r="E44">
        <v>678.64</v>
      </c>
      <c r="F44">
        <v>6449395</v>
      </c>
      <c r="G44">
        <v>49979111</v>
      </c>
    </row>
    <row r="45" spans="1:7">
      <c r="A45">
        <v>66</v>
      </c>
      <c r="B45">
        <v>5551681780</v>
      </c>
      <c r="C45">
        <v>22.21</v>
      </c>
      <c r="D45">
        <v>0</v>
      </c>
      <c r="E45">
        <v>700.64</v>
      </c>
      <c r="F45">
        <v>6755032</v>
      </c>
      <c r="G45">
        <v>52033912</v>
      </c>
    </row>
    <row r="46" spans="1:7">
      <c r="A46">
        <v>68</v>
      </c>
      <c r="B46">
        <v>5341542100</v>
      </c>
      <c r="C46">
        <v>21.37</v>
      </c>
      <c r="D46">
        <v>0</v>
      </c>
      <c r="E46">
        <v>722.18</v>
      </c>
      <c r="F46">
        <v>7104004</v>
      </c>
      <c r="G46">
        <v>54209113</v>
      </c>
    </row>
    <row r="47" spans="1:7">
      <c r="A47">
        <v>70</v>
      </c>
      <c r="B47">
        <v>5785727800</v>
      </c>
      <c r="C47">
        <v>23.14</v>
      </c>
      <c r="D47">
        <v>0</v>
      </c>
      <c r="E47">
        <v>740.93</v>
      </c>
      <c r="F47">
        <v>7452129</v>
      </c>
      <c r="G47">
        <v>56419272</v>
      </c>
    </row>
    <row r="48" spans="1:7">
      <c r="A48">
        <v>72</v>
      </c>
      <c r="B48">
        <v>5384927680</v>
      </c>
      <c r="C48">
        <v>21.54</v>
      </c>
      <c r="D48">
        <v>0</v>
      </c>
      <c r="E48">
        <v>757.21</v>
      </c>
      <c r="F48">
        <v>7798485</v>
      </c>
      <c r="G48">
        <v>58684913</v>
      </c>
    </row>
    <row r="49" spans="1:7">
      <c r="A49">
        <v>74</v>
      </c>
      <c r="B49">
        <v>6033940540</v>
      </c>
      <c r="C49">
        <v>24.14</v>
      </c>
      <c r="D49">
        <v>0</v>
      </c>
      <c r="E49">
        <v>771.16</v>
      </c>
      <c r="F49">
        <v>8144482</v>
      </c>
      <c r="G49">
        <v>61003670</v>
      </c>
    </row>
    <row r="50" spans="1:7">
      <c r="A50">
        <v>76</v>
      </c>
      <c r="B50">
        <v>6384960380</v>
      </c>
      <c r="C50">
        <v>25.54</v>
      </c>
      <c r="D50">
        <v>0</v>
      </c>
      <c r="E50">
        <v>783.03</v>
      </c>
      <c r="F50">
        <v>8497750</v>
      </c>
      <c r="G50">
        <v>63371406</v>
      </c>
    </row>
    <row r="51" spans="1:7">
      <c r="A51">
        <v>78</v>
      </c>
      <c r="B51">
        <v>5786613220</v>
      </c>
      <c r="C51">
        <v>23.15</v>
      </c>
      <c r="D51">
        <v>0</v>
      </c>
      <c r="E51">
        <v>793.02</v>
      </c>
      <c r="F51">
        <v>8850585</v>
      </c>
      <c r="G51">
        <v>65756838</v>
      </c>
    </row>
    <row r="52" spans="1:7">
      <c r="A52">
        <v>80</v>
      </c>
      <c r="B52">
        <v>6275955340</v>
      </c>
      <c r="C52">
        <v>25.1</v>
      </c>
      <c r="D52">
        <v>0</v>
      </c>
      <c r="E52">
        <v>801.21</v>
      </c>
      <c r="F52">
        <v>9204068</v>
      </c>
      <c r="G52">
        <v>68169528</v>
      </c>
    </row>
    <row r="53" spans="1:7">
      <c r="A53">
        <v>82</v>
      </c>
      <c r="B53">
        <v>6430411940</v>
      </c>
      <c r="C53">
        <v>25.72</v>
      </c>
      <c r="D53">
        <v>0</v>
      </c>
      <c r="E53">
        <v>807.81</v>
      </c>
      <c r="F53">
        <v>9562140</v>
      </c>
      <c r="G53">
        <v>70609623</v>
      </c>
    </row>
    <row r="54" spans="1:7">
      <c r="A54">
        <v>84</v>
      </c>
      <c r="B54">
        <v>6451957160</v>
      </c>
      <c r="C54">
        <v>25.81</v>
      </c>
      <c r="D54">
        <v>0</v>
      </c>
      <c r="E54">
        <v>812.98</v>
      </c>
      <c r="F54">
        <v>9923027</v>
      </c>
      <c r="G54">
        <v>73063669</v>
      </c>
    </row>
    <row r="55" spans="1:7">
      <c r="A55">
        <v>86</v>
      </c>
      <c r="B55">
        <v>5622712140</v>
      </c>
      <c r="C55">
        <v>22.49</v>
      </c>
      <c r="D55">
        <v>0</v>
      </c>
      <c r="E55">
        <v>816.9</v>
      </c>
      <c r="F55">
        <v>10283928</v>
      </c>
      <c r="G55">
        <v>75521089</v>
      </c>
    </row>
    <row r="56" spans="1:7">
      <c r="A56">
        <v>88</v>
      </c>
      <c r="B56">
        <v>6355643140</v>
      </c>
      <c r="C56">
        <v>25.42</v>
      </c>
      <c r="D56">
        <v>0</v>
      </c>
      <c r="E56">
        <v>819.76</v>
      </c>
      <c r="F56">
        <v>10652160</v>
      </c>
      <c r="G56">
        <v>77985131</v>
      </c>
    </row>
    <row r="57" spans="1:7">
      <c r="A57">
        <v>90</v>
      </c>
      <c r="B57">
        <v>6356823700</v>
      </c>
      <c r="C57">
        <v>25.43</v>
      </c>
      <c r="D57">
        <v>0</v>
      </c>
      <c r="E57">
        <v>821.72</v>
      </c>
      <c r="F57">
        <v>11026933</v>
      </c>
      <c r="G57">
        <v>80464860</v>
      </c>
    </row>
    <row r="58" spans="1:7">
      <c r="A58">
        <v>92</v>
      </c>
      <c r="B58">
        <v>6191545300</v>
      </c>
      <c r="C58">
        <v>24.77</v>
      </c>
      <c r="D58">
        <v>0</v>
      </c>
      <c r="E58">
        <v>822.94</v>
      </c>
      <c r="F58">
        <v>11400131</v>
      </c>
      <c r="G58">
        <v>82947123</v>
      </c>
    </row>
    <row r="59" spans="1:7">
      <c r="A59">
        <v>94</v>
      </c>
      <c r="B59">
        <v>7051681640</v>
      </c>
      <c r="C59">
        <v>28.21</v>
      </c>
      <c r="D59">
        <v>0</v>
      </c>
      <c r="E59">
        <v>823.61</v>
      </c>
      <c r="F59">
        <v>11772726</v>
      </c>
      <c r="G59">
        <v>85433026</v>
      </c>
    </row>
    <row r="60" spans="1:7">
      <c r="A60">
        <v>96</v>
      </c>
      <c r="B60">
        <v>6020560860</v>
      </c>
      <c r="C60">
        <v>24.08</v>
      </c>
      <c r="D60">
        <v>0</v>
      </c>
      <c r="E60">
        <v>823.88</v>
      </c>
      <c r="F60">
        <v>12146456</v>
      </c>
      <c r="G60">
        <v>87911761</v>
      </c>
    </row>
    <row r="61" spans="1:7">
      <c r="A61">
        <v>98</v>
      </c>
      <c r="B61">
        <v>6446546260</v>
      </c>
      <c r="C61">
        <v>25.79</v>
      </c>
      <c r="D61">
        <v>0</v>
      </c>
      <c r="E61">
        <v>823.93</v>
      </c>
      <c r="F61">
        <v>12524389</v>
      </c>
      <c r="G61">
        <v>90398882</v>
      </c>
    </row>
    <row r="62" spans="1:7">
      <c r="A62">
        <v>100</v>
      </c>
      <c r="B62">
        <v>6105266040</v>
      </c>
      <c r="C62">
        <v>24.42</v>
      </c>
      <c r="D62">
        <v>0</v>
      </c>
      <c r="E62">
        <v>823.95</v>
      </c>
      <c r="F62">
        <v>12898252</v>
      </c>
      <c r="G62">
        <v>92886136</v>
      </c>
    </row>
    <row r="63" spans="1:7">
      <c r="A63">
        <v>102</v>
      </c>
      <c r="B63">
        <v>6582704180</v>
      </c>
      <c r="C63">
        <v>26.33</v>
      </c>
      <c r="D63">
        <v>0</v>
      </c>
      <c r="E63">
        <v>824.08</v>
      </c>
      <c r="F63">
        <v>13271715</v>
      </c>
      <c r="G63">
        <v>95376589</v>
      </c>
    </row>
    <row r="64" spans="1:7">
      <c r="A64">
        <v>104</v>
      </c>
      <c r="B64">
        <v>6629139540</v>
      </c>
      <c r="C64">
        <v>26.52</v>
      </c>
      <c r="D64">
        <v>0</v>
      </c>
      <c r="E64">
        <v>824.52</v>
      </c>
      <c r="F64">
        <v>13640536</v>
      </c>
      <c r="G64">
        <v>97865852</v>
      </c>
    </row>
    <row r="65" spans="1:7">
      <c r="A65">
        <v>106</v>
      </c>
      <c r="B65">
        <v>6008263360</v>
      </c>
      <c r="C65">
        <v>24.03</v>
      </c>
      <c r="D65">
        <v>0</v>
      </c>
      <c r="E65">
        <v>825.44</v>
      </c>
      <c r="F65">
        <v>14007953</v>
      </c>
      <c r="G65">
        <v>100361667</v>
      </c>
    </row>
    <row r="66" spans="1:7">
      <c r="A66">
        <v>108</v>
      </c>
      <c r="B66">
        <v>6370498520</v>
      </c>
      <c r="C66">
        <v>25.48</v>
      </c>
      <c r="D66">
        <v>0</v>
      </c>
      <c r="E66">
        <v>826.99</v>
      </c>
      <c r="F66">
        <v>14377520</v>
      </c>
      <c r="G66">
        <v>102862354</v>
      </c>
    </row>
    <row r="67" spans="1:7">
      <c r="A67">
        <v>110</v>
      </c>
      <c r="B67">
        <v>6442807820</v>
      </c>
      <c r="C67">
        <v>25.77</v>
      </c>
      <c r="D67">
        <v>0</v>
      </c>
      <c r="E67">
        <v>829.37</v>
      </c>
      <c r="F67">
        <v>14747081</v>
      </c>
      <c r="G67">
        <v>105371812</v>
      </c>
    </row>
    <row r="68" spans="1:7">
      <c r="A68">
        <v>112</v>
      </c>
      <c r="B68">
        <v>6202170340</v>
      </c>
      <c r="C68">
        <v>24.81</v>
      </c>
      <c r="D68">
        <v>0</v>
      </c>
      <c r="E68">
        <v>832.74</v>
      </c>
      <c r="F68">
        <v>15115653</v>
      </c>
      <c r="G68">
        <v>107892358</v>
      </c>
    </row>
    <row r="69" spans="1:7">
      <c r="A69">
        <v>114</v>
      </c>
      <c r="B69">
        <v>6939036540</v>
      </c>
      <c r="C69">
        <v>27.76</v>
      </c>
      <c r="D69">
        <v>0</v>
      </c>
      <c r="E69">
        <v>837.14</v>
      </c>
      <c r="F69">
        <v>15485867</v>
      </c>
      <c r="G69">
        <v>110427016</v>
      </c>
    </row>
    <row r="70" spans="1:7">
      <c r="A70">
        <v>116</v>
      </c>
      <c r="B70">
        <v>6596182240</v>
      </c>
      <c r="C70">
        <v>26.38</v>
      </c>
      <c r="D70">
        <v>0</v>
      </c>
      <c r="E70">
        <v>843.11</v>
      </c>
      <c r="F70">
        <v>15861117</v>
      </c>
      <c r="G70">
        <v>112976325</v>
      </c>
    </row>
    <row r="71" spans="1:7">
      <c r="A71">
        <v>118</v>
      </c>
      <c r="B71">
        <v>5654784020</v>
      </c>
      <c r="C71">
        <v>22.62</v>
      </c>
      <c r="D71">
        <v>0</v>
      </c>
      <c r="E71">
        <v>850.1</v>
      </c>
      <c r="F71">
        <v>16239637</v>
      </c>
      <c r="G71">
        <v>115540362</v>
      </c>
    </row>
    <row r="72" spans="1:7">
      <c r="A72">
        <v>120</v>
      </c>
      <c r="B72">
        <v>6829834740</v>
      </c>
      <c r="C72">
        <v>27.32</v>
      </c>
      <c r="D72">
        <v>0</v>
      </c>
      <c r="E72">
        <v>859.49</v>
      </c>
      <c r="F72">
        <v>16613994</v>
      </c>
      <c r="G72">
        <v>118119064</v>
      </c>
    </row>
    <row r="73" spans="1:7">
      <c r="A73">
        <v>122</v>
      </c>
      <c r="B73">
        <v>6934117540</v>
      </c>
      <c r="C73">
        <v>27.74</v>
      </c>
      <c r="D73">
        <v>0</v>
      </c>
      <c r="E73">
        <v>870.32</v>
      </c>
      <c r="F73">
        <v>16986609</v>
      </c>
      <c r="G73">
        <v>120704465</v>
      </c>
    </row>
    <row r="74" spans="1:7">
      <c r="A74">
        <v>124</v>
      </c>
      <c r="B74">
        <v>6556239960</v>
      </c>
      <c r="C74">
        <v>26.23</v>
      </c>
      <c r="D74">
        <v>0</v>
      </c>
      <c r="E74">
        <v>882.49</v>
      </c>
      <c r="F74">
        <v>17354769</v>
      </c>
      <c r="G74">
        <v>123293702</v>
      </c>
    </row>
    <row r="75" spans="1:7">
      <c r="A75">
        <v>126</v>
      </c>
      <c r="B75">
        <v>6341771560</v>
      </c>
      <c r="C75">
        <v>25.37</v>
      </c>
      <c r="D75">
        <v>0</v>
      </c>
      <c r="E75">
        <v>898.32</v>
      </c>
      <c r="F75">
        <v>17717413</v>
      </c>
      <c r="G75">
        <v>125887307</v>
      </c>
    </row>
    <row r="76" spans="1:7">
      <c r="A76">
        <v>128</v>
      </c>
      <c r="B76">
        <v>6802288340</v>
      </c>
      <c r="C76">
        <v>27.21</v>
      </c>
      <c r="D76">
        <v>0</v>
      </c>
      <c r="E76">
        <v>915.43</v>
      </c>
      <c r="F76">
        <v>18070028</v>
      </c>
      <c r="G76">
        <v>128496095</v>
      </c>
    </row>
    <row r="77" spans="1:7">
      <c r="A77">
        <v>130</v>
      </c>
      <c r="B77">
        <v>6783005860</v>
      </c>
      <c r="C77">
        <v>27.13</v>
      </c>
      <c r="D77">
        <v>0</v>
      </c>
      <c r="E77">
        <v>935.63</v>
      </c>
      <c r="F77">
        <v>18427487</v>
      </c>
      <c r="G77">
        <v>131103980</v>
      </c>
    </row>
    <row r="78" spans="1:7">
      <c r="A78">
        <v>132</v>
      </c>
      <c r="B78">
        <v>4817668600</v>
      </c>
      <c r="C78">
        <v>19.27</v>
      </c>
      <c r="D78">
        <v>482</v>
      </c>
      <c r="E78">
        <v>673.22</v>
      </c>
      <c r="F78">
        <v>18699358</v>
      </c>
      <c r="G78">
        <v>132843346</v>
      </c>
    </row>
    <row r="79" spans="1:7">
      <c r="A79">
        <v>134</v>
      </c>
      <c r="B79">
        <v>5252016300</v>
      </c>
      <c r="C79">
        <v>21.01</v>
      </c>
      <c r="D79">
        <v>0</v>
      </c>
      <c r="E79">
        <v>710.01</v>
      </c>
      <c r="F79">
        <v>19047256</v>
      </c>
      <c r="G79">
        <v>134997991</v>
      </c>
    </row>
    <row r="80" spans="1:7">
      <c r="A80">
        <v>136</v>
      </c>
      <c r="B80">
        <v>5367022520</v>
      </c>
      <c r="C80">
        <v>21.47</v>
      </c>
      <c r="D80">
        <v>0</v>
      </c>
      <c r="E80">
        <v>742.63</v>
      </c>
      <c r="F80">
        <v>19395981</v>
      </c>
      <c r="G80">
        <v>137252240</v>
      </c>
    </row>
    <row r="81" spans="1:7">
      <c r="A81">
        <v>138</v>
      </c>
      <c r="B81">
        <v>6025479860</v>
      </c>
      <c r="C81">
        <v>24.1</v>
      </c>
      <c r="D81">
        <v>0</v>
      </c>
      <c r="E81">
        <v>772.33</v>
      </c>
      <c r="F81">
        <v>19747782</v>
      </c>
      <c r="G81">
        <v>139591787</v>
      </c>
    </row>
    <row r="82" spans="1:7">
      <c r="A82">
        <v>140</v>
      </c>
      <c r="B82">
        <v>6084212720</v>
      </c>
      <c r="C82">
        <v>24.34</v>
      </c>
      <c r="D82">
        <v>0</v>
      </c>
      <c r="E82">
        <v>798.53</v>
      </c>
      <c r="F82">
        <v>20107666</v>
      </c>
      <c r="G82">
        <v>142020493</v>
      </c>
    </row>
    <row r="83" spans="1:7">
      <c r="A83">
        <v>142</v>
      </c>
      <c r="B83">
        <v>6227454000</v>
      </c>
      <c r="C83">
        <v>24.91</v>
      </c>
      <c r="D83">
        <v>0</v>
      </c>
      <c r="E83">
        <v>822.07</v>
      </c>
      <c r="F83">
        <v>20479532</v>
      </c>
      <c r="G83">
        <v>144532562</v>
      </c>
    </row>
    <row r="84" spans="1:7">
      <c r="A84">
        <v>144</v>
      </c>
      <c r="B84">
        <v>6655407000</v>
      </c>
      <c r="C84">
        <v>26.62</v>
      </c>
      <c r="D84">
        <v>0</v>
      </c>
      <c r="E84">
        <v>842.82</v>
      </c>
      <c r="F84">
        <v>20853001</v>
      </c>
      <c r="G84">
        <v>147087947</v>
      </c>
    </row>
    <row r="85" spans="1:7">
      <c r="A85">
        <v>146</v>
      </c>
      <c r="B85">
        <v>6434150380</v>
      </c>
      <c r="C85">
        <v>25.74</v>
      </c>
      <c r="D85">
        <v>0</v>
      </c>
      <c r="E85">
        <v>860.97</v>
      </c>
      <c r="F85">
        <v>21223328</v>
      </c>
      <c r="G85">
        <v>149664423</v>
      </c>
    </row>
    <row r="86" spans="1:7">
      <c r="A86">
        <v>148</v>
      </c>
      <c r="B86">
        <v>6564700640</v>
      </c>
      <c r="C86">
        <v>26.26</v>
      </c>
      <c r="D86">
        <v>0</v>
      </c>
      <c r="E86">
        <v>876.76</v>
      </c>
      <c r="F86">
        <v>21595059</v>
      </c>
      <c r="G86">
        <v>152255270</v>
      </c>
    </row>
    <row r="87" spans="1:7">
      <c r="A87">
        <v>150</v>
      </c>
      <c r="B87">
        <v>6215746780</v>
      </c>
      <c r="C87">
        <v>24.86</v>
      </c>
      <c r="D87">
        <v>0</v>
      </c>
      <c r="E87">
        <v>888.21</v>
      </c>
      <c r="F87">
        <v>21956373</v>
      </c>
      <c r="G87">
        <v>154849932</v>
      </c>
    </row>
    <row r="88" spans="1:7">
      <c r="A88">
        <v>152</v>
      </c>
      <c r="B88">
        <v>6803272140</v>
      </c>
      <c r="C88">
        <v>27.21</v>
      </c>
      <c r="D88">
        <v>0</v>
      </c>
      <c r="E88">
        <v>901.49</v>
      </c>
      <c r="F88">
        <v>22315230</v>
      </c>
      <c r="G88">
        <v>157457761</v>
      </c>
    </row>
    <row r="89" spans="1:7">
      <c r="A89">
        <v>154</v>
      </c>
      <c r="B89">
        <v>7030726700</v>
      </c>
      <c r="C89">
        <v>28.12</v>
      </c>
      <c r="D89">
        <v>0</v>
      </c>
      <c r="E89">
        <v>911.12</v>
      </c>
      <c r="F89">
        <v>22675606</v>
      </c>
      <c r="G89">
        <v>160059395</v>
      </c>
    </row>
    <row r="90" spans="1:7">
      <c r="A90">
        <v>156</v>
      </c>
      <c r="B90">
        <v>6885616200</v>
      </c>
      <c r="C90">
        <v>27.54</v>
      </c>
      <c r="D90">
        <v>0</v>
      </c>
      <c r="E90">
        <v>918.93</v>
      </c>
      <c r="F90">
        <v>23035431</v>
      </c>
      <c r="G90">
        <v>162658509</v>
      </c>
    </row>
    <row r="91" spans="1:7">
      <c r="A91">
        <v>158</v>
      </c>
      <c r="B91">
        <v>6976224180</v>
      </c>
      <c r="C91">
        <v>27.91</v>
      </c>
      <c r="D91">
        <v>0</v>
      </c>
      <c r="E91">
        <v>925.2</v>
      </c>
      <c r="F91">
        <v>23396039</v>
      </c>
      <c r="G91">
        <v>165258372</v>
      </c>
    </row>
    <row r="92" spans="1:7">
      <c r="A92">
        <v>160</v>
      </c>
      <c r="B92">
        <v>6354954480</v>
      </c>
      <c r="C92">
        <v>25.42</v>
      </c>
      <c r="D92">
        <v>0</v>
      </c>
      <c r="E92">
        <v>930.06</v>
      </c>
      <c r="F92">
        <v>23754904</v>
      </c>
      <c r="G92">
        <v>167861637</v>
      </c>
    </row>
    <row r="93" spans="1:7">
      <c r="A93">
        <v>162</v>
      </c>
      <c r="B93">
        <v>6724666520</v>
      </c>
      <c r="C93">
        <v>26.9</v>
      </c>
      <c r="D93">
        <v>0</v>
      </c>
      <c r="E93">
        <v>933.72</v>
      </c>
      <c r="F93">
        <v>24111549</v>
      </c>
      <c r="G93">
        <v>170461991</v>
      </c>
    </row>
    <row r="94" spans="1:7">
      <c r="A94">
        <v>164</v>
      </c>
      <c r="B94">
        <v>7039777660</v>
      </c>
      <c r="C94">
        <v>28.16</v>
      </c>
      <c r="D94">
        <v>0</v>
      </c>
      <c r="E94">
        <v>936.36</v>
      </c>
      <c r="F94">
        <v>24468754</v>
      </c>
      <c r="G94">
        <v>173065913</v>
      </c>
    </row>
    <row r="95" spans="1:7">
      <c r="A95">
        <v>166</v>
      </c>
      <c r="B95">
        <v>4675411120</v>
      </c>
      <c r="C95">
        <v>18.7</v>
      </c>
      <c r="D95">
        <v>9196</v>
      </c>
      <c r="E95">
        <v>658.89</v>
      </c>
      <c r="F95">
        <v>24716419</v>
      </c>
      <c r="G95">
        <v>174767265</v>
      </c>
    </row>
    <row r="96" spans="1:7">
      <c r="A96">
        <v>168</v>
      </c>
      <c r="B96">
        <v>5300812780</v>
      </c>
      <c r="C96">
        <v>21.2</v>
      </c>
      <c r="D96">
        <v>0</v>
      </c>
      <c r="E96">
        <v>681.84</v>
      </c>
      <c r="F96">
        <v>25051932</v>
      </c>
      <c r="G96">
        <v>176799589</v>
      </c>
    </row>
    <row r="97" spans="1:7">
      <c r="A97">
        <v>170</v>
      </c>
      <c r="B97">
        <v>5421328280</v>
      </c>
      <c r="C97">
        <v>21.69</v>
      </c>
      <c r="D97">
        <v>0</v>
      </c>
      <c r="E97">
        <v>702.14</v>
      </c>
      <c r="F97">
        <v>25391920</v>
      </c>
      <c r="G97">
        <v>178913575</v>
      </c>
    </row>
    <row r="98" spans="1:7">
      <c r="A98">
        <v>172</v>
      </c>
      <c r="B98">
        <v>5452416360</v>
      </c>
      <c r="C98">
        <v>21.81</v>
      </c>
      <c r="D98">
        <v>0</v>
      </c>
      <c r="E98">
        <v>720.13</v>
      </c>
      <c r="F98">
        <v>25738487</v>
      </c>
      <c r="G98">
        <v>181087173</v>
      </c>
    </row>
    <row r="99" spans="1:7">
      <c r="A99">
        <v>174</v>
      </c>
      <c r="B99">
        <v>5790646800</v>
      </c>
      <c r="C99">
        <v>23.16</v>
      </c>
      <c r="D99">
        <v>0</v>
      </c>
      <c r="E99">
        <v>735.46</v>
      </c>
      <c r="F99">
        <v>26078752</v>
      </c>
      <c r="G99">
        <v>183316337</v>
      </c>
    </row>
    <row r="100" spans="1:7">
      <c r="A100">
        <v>176</v>
      </c>
      <c r="B100">
        <v>5587393720</v>
      </c>
      <c r="C100">
        <v>22.35</v>
      </c>
      <c r="D100">
        <v>0</v>
      </c>
      <c r="E100">
        <v>748.65</v>
      </c>
      <c r="F100">
        <v>26410437</v>
      </c>
      <c r="G100">
        <v>185579199</v>
      </c>
    </row>
    <row r="101" spans="1:7">
      <c r="A101">
        <v>178</v>
      </c>
      <c r="B101">
        <v>5812487160</v>
      </c>
      <c r="C101">
        <v>23.25</v>
      </c>
      <c r="D101">
        <v>0</v>
      </c>
      <c r="E101">
        <v>759.78</v>
      </c>
      <c r="F101">
        <v>26747189</v>
      </c>
      <c r="G101">
        <v>187875948</v>
      </c>
    </row>
    <row r="102" spans="1:7">
      <c r="A102">
        <v>180</v>
      </c>
      <c r="B102">
        <v>5997638320</v>
      </c>
      <c r="C102">
        <v>23.99</v>
      </c>
      <c r="D102">
        <v>0</v>
      </c>
      <c r="E102">
        <v>769.06</v>
      </c>
      <c r="F102">
        <v>27086498</v>
      </c>
      <c r="G102">
        <v>190204099</v>
      </c>
    </row>
    <row r="103" spans="1:7">
      <c r="A103">
        <v>182</v>
      </c>
      <c r="B103">
        <v>5810421180</v>
      </c>
      <c r="C103">
        <v>23.24</v>
      </c>
      <c r="D103">
        <v>0</v>
      </c>
      <c r="E103">
        <v>776.63</v>
      </c>
      <c r="F103">
        <v>27424728</v>
      </c>
      <c r="G103">
        <v>192567334</v>
      </c>
    </row>
    <row r="104" spans="1:7">
      <c r="A104">
        <v>184</v>
      </c>
      <c r="B104">
        <v>5809339000</v>
      </c>
      <c r="C104">
        <v>23.24</v>
      </c>
      <c r="D104">
        <v>0</v>
      </c>
      <c r="E104">
        <v>782.66</v>
      </c>
      <c r="F104">
        <v>27762270</v>
      </c>
      <c r="G104">
        <v>194932004</v>
      </c>
    </row>
    <row r="105" spans="1:7">
      <c r="A105">
        <v>186</v>
      </c>
      <c r="B105">
        <v>6577588420</v>
      </c>
      <c r="C105">
        <v>26.31</v>
      </c>
      <c r="D105">
        <v>0</v>
      </c>
      <c r="E105">
        <v>787.35</v>
      </c>
      <c r="F105">
        <v>28100675</v>
      </c>
      <c r="G105">
        <v>197309715</v>
      </c>
    </row>
    <row r="106" spans="1:7">
      <c r="A106">
        <v>188</v>
      </c>
      <c r="B106">
        <v>5460975420</v>
      </c>
      <c r="C106">
        <v>21.84</v>
      </c>
      <c r="D106">
        <v>0</v>
      </c>
      <c r="E106">
        <v>790.89</v>
      </c>
      <c r="F106">
        <v>28440759</v>
      </c>
      <c r="G106">
        <v>199688098</v>
      </c>
    </row>
    <row r="107" spans="1:7">
      <c r="A107">
        <v>190</v>
      </c>
      <c r="B107">
        <v>6409752140</v>
      </c>
      <c r="C107">
        <v>25.64</v>
      </c>
      <c r="D107">
        <v>0</v>
      </c>
      <c r="E107">
        <v>793.36</v>
      </c>
      <c r="F107">
        <v>28782316</v>
      </c>
      <c r="G107">
        <v>202076878</v>
      </c>
    </row>
    <row r="108" spans="1:7">
      <c r="A108">
        <v>192</v>
      </c>
      <c r="B108">
        <v>5703777260</v>
      </c>
      <c r="C108">
        <v>22.82</v>
      </c>
      <c r="D108">
        <v>0</v>
      </c>
      <c r="E108">
        <v>795.03</v>
      </c>
      <c r="F108">
        <v>29128647</v>
      </c>
      <c r="G108">
        <v>204460761</v>
      </c>
    </row>
    <row r="109" spans="1:7">
      <c r="A109">
        <v>194</v>
      </c>
      <c r="B109">
        <v>6260116160</v>
      </c>
      <c r="C109">
        <v>25.04</v>
      </c>
      <c r="D109">
        <v>0</v>
      </c>
      <c r="E109">
        <v>796.01</v>
      </c>
      <c r="F109">
        <v>29475998</v>
      </c>
      <c r="G109">
        <v>206860130</v>
      </c>
    </row>
    <row r="110" spans="1:7">
      <c r="A110">
        <v>196</v>
      </c>
      <c r="B110">
        <v>6269560640</v>
      </c>
      <c r="C110">
        <v>25.08</v>
      </c>
      <c r="D110">
        <v>0</v>
      </c>
      <c r="E110">
        <v>796.52</v>
      </c>
      <c r="F110">
        <v>29823877</v>
      </c>
      <c r="G110">
        <v>209258204</v>
      </c>
    </row>
    <row r="111" spans="1:7">
      <c r="A111">
        <v>198</v>
      </c>
      <c r="B111">
        <v>5873482760</v>
      </c>
      <c r="C111">
        <v>23.49</v>
      </c>
      <c r="D111">
        <v>0</v>
      </c>
      <c r="E111">
        <v>796.69</v>
      </c>
      <c r="F111">
        <v>30172516</v>
      </c>
      <c r="G111">
        <v>211660030</v>
      </c>
    </row>
    <row r="112" spans="1:7">
      <c r="A112">
        <v>200</v>
      </c>
      <c r="B112">
        <v>6560076780</v>
      </c>
      <c r="C112">
        <v>26.24</v>
      </c>
      <c r="D112">
        <v>0</v>
      </c>
      <c r="E112">
        <v>796.7</v>
      </c>
      <c r="F112">
        <v>30521285</v>
      </c>
      <c r="G112">
        <v>214060176</v>
      </c>
    </row>
    <row r="113" spans="1:7">
      <c r="A113">
        <v>202</v>
      </c>
      <c r="B113">
        <v>5815438560</v>
      </c>
      <c r="C113">
        <v>23.26</v>
      </c>
      <c r="D113">
        <v>0</v>
      </c>
      <c r="E113">
        <v>796.75</v>
      </c>
      <c r="F113">
        <v>30871039</v>
      </c>
      <c r="G113">
        <v>216466055</v>
      </c>
    </row>
    <row r="114" spans="1:7">
      <c r="A114">
        <v>204</v>
      </c>
      <c r="B114">
        <v>6377483500</v>
      </c>
      <c r="C114">
        <v>25.51</v>
      </c>
      <c r="D114">
        <v>0</v>
      </c>
      <c r="E114">
        <v>796.98</v>
      </c>
      <c r="F114">
        <v>31219094</v>
      </c>
      <c r="G114">
        <v>218878661</v>
      </c>
    </row>
    <row r="115" spans="1:7">
      <c r="A115">
        <v>206</v>
      </c>
      <c r="B115">
        <v>5687052660</v>
      </c>
      <c r="C115">
        <v>22.75</v>
      </c>
      <c r="D115">
        <v>0</v>
      </c>
      <c r="E115">
        <v>797.57</v>
      </c>
      <c r="F115">
        <v>31565101</v>
      </c>
      <c r="G115">
        <v>221303006</v>
      </c>
    </row>
    <row r="116" spans="1:7">
      <c r="A116">
        <v>208</v>
      </c>
      <c r="B116">
        <v>6032464840</v>
      </c>
      <c r="C116">
        <v>24.13</v>
      </c>
      <c r="D116">
        <v>0</v>
      </c>
      <c r="E116">
        <v>798.71</v>
      </c>
      <c r="F116">
        <v>31912954</v>
      </c>
      <c r="G116">
        <v>223719441</v>
      </c>
    </row>
    <row r="117" spans="1:7">
      <c r="A117">
        <v>210</v>
      </c>
      <c r="B117">
        <v>6707253260</v>
      </c>
      <c r="C117">
        <v>26.83</v>
      </c>
      <c r="D117">
        <v>0</v>
      </c>
      <c r="E117">
        <v>800.55</v>
      </c>
      <c r="F117">
        <v>32261658</v>
      </c>
      <c r="G117">
        <v>226146768</v>
      </c>
    </row>
    <row r="118" spans="1:7">
      <c r="A118">
        <v>212</v>
      </c>
      <c r="B118">
        <v>5677411420</v>
      </c>
      <c r="C118">
        <v>22.71</v>
      </c>
      <c r="D118">
        <v>0</v>
      </c>
      <c r="E118">
        <v>803.27</v>
      </c>
      <c r="F118">
        <v>32611640</v>
      </c>
      <c r="G118">
        <v>228561439</v>
      </c>
    </row>
    <row r="119" spans="1:7">
      <c r="A119">
        <v>214</v>
      </c>
      <c r="B119">
        <v>6156128500</v>
      </c>
      <c r="C119">
        <v>24.62</v>
      </c>
      <c r="D119">
        <v>0</v>
      </c>
      <c r="E119">
        <v>807.05</v>
      </c>
      <c r="F119">
        <v>32965767</v>
      </c>
      <c r="G119">
        <v>230998552</v>
      </c>
    </row>
    <row r="120" spans="1:7">
      <c r="A120">
        <v>216</v>
      </c>
      <c r="B120">
        <v>5932117240</v>
      </c>
      <c r="C120">
        <v>23.73</v>
      </c>
      <c r="D120">
        <v>0</v>
      </c>
      <c r="E120">
        <v>812.04</v>
      </c>
      <c r="F120">
        <v>33317201</v>
      </c>
      <c r="G120">
        <v>233444702</v>
      </c>
    </row>
    <row r="121" spans="1:7">
      <c r="A121">
        <v>218</v>
      </c>
      <c r="B121">
        <v>5978159080</v>
      </c>
      <c r="C121">
        <v>23.91</v>
      </c>
      <c r="D121">
        <v>0</v>
      </c>
      <c r="E121">
        <v>818.4</v>
      </c>
      <c r="F121">
        <v>33670063</v>
      </c>
      <c r="G121">
        <v>235903872</v>
      </c>
    </row>
    <row r="122" spans="1:7">
      <c r="A122">
        <v>220</v>
      </c>
      <c r="B122">
        <v>6520429640</v>
      </c>
      <c r="C122">
        <v>26.08</v>
      </c>
      <c r="D122">
        <v>0</v>
      </c>
      <c r="E122">
        <v>826.37</v>
      </c>
      <c r="F122">
        <v>34024051</v>
      </c>
      <c r="G122">
        <v>238363413</v>
      </c>
    </row>
    <row r="123" spans="1:7">
      <c r="A123">
        <v>222</v>
      </c>
      <c r="B123">
        <v>5927886900</v>
      </c>
      <c r="C123">
        <v>23.71</v>
      </c>
      <c r="D123">
        <v>0</v>
      </c>
      <c r="E123">
        <v>836.13</v>
      </c>
      <c r="F123">
        <v>34377256</v>
      </c>
      <c r="G123">
        <v>240863554</v>
      </c>
    </row>
    <row r="124" spans="1:7">
      <c r="A124">
        <v>224</v>
      </c>
      <c r="B124">
        <v>6305075820</v>
      </c>
      <c r="C124">
        <v>25.22</v>
      </c>
      <c r="D124">
        <v>0</v>
      </c>
      <c r="E124">
        <v>847.7</v>
      </c>
      <c r="F124">
        <v>34735458</v>
      </c>
      <c r="G124">
        <v>243386186</v>
      </c>
    </row>
    <row r="125" spans="1:7">
      <c r="A125">
        <v>226</v>
      </c>
      <c r="B125">
        <v>6667409360</v>
      </c>
      <c r="C125">
        <v>26.67</v>
      </c>
      <c r="D125">
        <v>0</v>
      </c>
      <c r="E125">
        <v>861.36</v>
      </c>
      <c r="F125">
        <v>35097003</v>
      </c>
      <c r="G125">
        <v>245938862</v>
      </c>
    </row>
    <row r="126" spans="1:7">
      <c r="A126">
        <v>228</v>
      </c>
      <c r="B126">
        <v>6491997820</v>
      </c>
      <c r="C126">
        <v>25.97</v>
      </c>
      <c r="D126">
        <v>0</v>
      </c>
      <c r="E126">
        <v>877.34</v>
      </c>
      <c r="F126">
        <v>35455044</v>
      </c>
      <c r="G126">
        <v>248512475</v>
      </c>
    </row>
    <row r="127" spans="1:7">
      <c r="A127">
        <v>230</v>
      </c>
      <c r="B127">
        <v>6233651940</v>
      </c>
      <c r="C127">
        <v>24.93</v>
      </c>
      <c r="D127">
        <v>0</v>
      </c>
      <c r="E127">
        <v>895.68</v>
      </c>
      <c r="F127">
        <v>35806947</v>
      </c>
      <c r="G127">
        <v>251094467</v>
      </c>
    </row>
    <row r="128" spans="1:7">
      <c r="A128">
        <v>232</v>
      </c>
      <c r="B128">
        <v>6716107460</v>
      </c>
      <c r="C128">
        <v>26.87</v>
      </c>
      <c r="D128">
        <v>0</v>
      </c>
      <c r="E128">
        <v>916.65</v>
      </c>
      <c r="F128">
        <v>36157163</v>
      </c>
      <c r="G128">
        <v>253688457</v>
      </c>
    </row>
    <row r="129" spans="1:7">
      <c r="A129">
        <v>234</v>
      </c>
      <c r="B129">
        <v>6258345320</v>
      </c>
      <c r="C129">
        <v>25.03</v>
      </c>
      <c r="D129">
        <v>0</v>
      </c>
      <c r="E129">
        <v>940.27</v>
      </c>
      <c r="F129">
        <v>36510505</v>
      </c>
      <c r="G129">
        <v>256291647</v>
      </c>
    </row>
    <row r="130" spans="1:7">
      <c r="A130">
        <v>236</v>
      </c>
      <c r="B130">
        <v>7126843960</v>
      </c>
      <c r="C130">
        <v>28.51</v>
      </c>
      <c r="D130">
        <v>0</v>
      </c>
      <c r="E130">
        <v>966.7</v>
      </c>
      <c r="F130">
        <v>36865324</v>
      </c>
      <c r="G130">
        <v>258896117</v>
      </c>
    </row>
    <row r="131" spans="1:7">
      <c r="A131">
        <v>238</v>
      </c>
      <c r="B131">
        <v>6862103380</v>
      </c>
      <c r="C131">
        <v>27.45</v>
      </c>
      <c r="D131">
        <v>0</v>
      </c>
      <c r="E131">
        <v>996.26</v>
      </c>
      <c r="F131">
        <v>37218221</v>
      </c>
      <c r="G131">
        <v>261508505</v>
      </c>
    </row>
    <row r="132" spans="1:7">
      <c r="A132">
        <v>240</v>
      </c>
      <c r="B132">
        <v>7039187380</v>
      </c>
      <c r="C132">
        <v>28.16</v>
      </c>
      <c r="D132">
        <v>0</v>
      </c>
      <c r="E132">
        <v>1029.45</v>
      </c>
      <c r="F132">
        <v>37576777</v>
      </c>
      <c r="G132">
        <v>264127901</v>
      </c>
    </row>
    <row r="133" spans="1:7">
      <c r="A133">
        <v>242</v>
      </c>
      <c r="B133">
        <v>6707941920</v>
      </c>
      <c r="C133">
        <v>26.83</v>
      </c>
      <c r="D133">
        <v>0</v>
      </c>
      <c r="E133">
        <v>1047.47</v>
      </c>
      <c r="F133">
        <v>37933705</v>
      </c>
      <c r="G133">
        <v>266751651</v>
      </c>
    </row>
    <row r="134" spans="1:7">
      <c r="A134">
        <v>244</v>
      </c>
      <c r="B134">
        <v>6392437260</v>
      </c>
      <c r="C134">
        <v>25.57</v>
      </c>
      <c r="D134">
        <v>531</v>
      </c>
      <c r="E134">
        <v>733.43</v>
      </c>
      <c r="F134">
        <v>38242469</v>
      </c>
      <c r="G134">
        <v>268818497</v>
      </c>
    </row>
    <row r="135" spans="1:7">
      <c r="A135">
        <v>246</v>
      </c>
      <c r="B135">
        <v>5249360040</v>
      </c>
      <c r="C135">
        <v>21</v>
      </c>
      <c r="D135">
        <v>0</v>
      </c>
      <c r="E135">
        <v>770.79</v>
      </c>
      <c r="F135">
        <v>38571738</v>
      </c>
      <c r="G135">
        <v>271074265</v>
      </c>
    </row>
    <row r="136" spans="1:7">
      <c r="A136">
        <v>248</v>
      </c>
      <c r="B136">
        <v>6631697420</v>
      </c>
      <c r="C136">
        <v>26.53</v>
      </c>
      <c r="D136">
        <v>0</v>
      </c>
      <c r="E136">
        <v>807.96</v>
      </c>
      <c r="F136">
        <v>38927844</v>
      </c>
      <c r="G136">
        <v>273472528</v>
      </c>
    </row>
    <row r="137" spans="1:7">
      <c r="A137">
        <v>250</v>
      </c>
      <c r="B137">
        <v>6105167660</v>
      </c>
      <c r="C137">
        <v>24.42</v>
      </c>
      <c r="D137">
        <v>0</v>
      </c>
      <c r="E137">
        <v>841.82</v>
      </c>
      <c r="F137">
        <v>39281972</v>
      </c>
      <c r="G137">
        <v>275943990</v>
      </c>
    </row>
    <row r="138" spans="1:7">
      <c r="A138">
        <v>252</v>
      </c>
      <c r="B138">
        <v>5836688640</v>
      </c>
      <c r="C138">
        <v>23.35</v>
      </c>
      <c r="D138">
        <v>0</v>
      </c>
      <c r="E138">
        <v>872.01</v>
      </c>
      <c r="F138">
        <v>39635163</v>
      </c>
      <c r="G138">
        <v>278461400</v>
      </c>
    </row>
    <row r="139" spans="1:7">
      <c r="A139">
        <v>254</v>
      </c>
      <c r="B139">
        <v>6952022700</v>
      </c>
      <c r="C139">
        <v>27.81</v>
      </c>
      <c r="D139">
        <v>0</v>
      </c>
      <c r="E139">
        <v>899.33</v>
      </c>
      <c r="F139">
        <v>39995292</v>
      </c>
      <c r="G139">
        <v>281008567</v>
      </c>
    </row>
    <row r="140" spans="1:7">
      <c r="A140">
        <v>256</v>
      </c>
      <c r="B140">
        <v>6459630800</v>
      </c>
      <c r="C140">
        <v>25.84</v>
      </c>
      <c r="D140">
        <v>0</v>
      </c>
      <c r="E140">
        <v>922.85</v>
      </c>
      <c r="F140">
        <v>40371252</v>
      </c>
      <c r="G140">
        <v>283600751</v>
      </c>
    </row>
    <row r="141" spans="1:7">
      <c r="A141">
        <v>258</v>
      </c>
      <c r="B141">
        <v>6955367620</v>
      </c>
      <c r="C141">
        <v>27.82</v>
      </c>
      <c r="D141">
        <v>0</v>
      </c>
      <c r="E141">
        <v>944.96</v>
      </c>
      <c r="F141">
        <v>40747930</v>
      </c>
      <c r="G141">
        <v>286196918</v>
      </c>
    </row>
    <row r="142" spans="1:7">
      <c r="A142">
        <v>260</v>
      </c>
      <c r="B142">
        <v>6869678640</v>
      </c>
      <c r="C142">
        <v>27.48</v>
      </c>
      <c r="D142">
        <v>0</v>
      </c>
      <c r="E142">
        <v>963.78</v>
      </c>
      <c r="F142">
        <v>41117581</v>
      </c>
      <c r="G142">
        <v>288794709</v>
      </c>
    </row>
    <row r="143" spans="1:7">
      <c r="A143">
        <v>262</v>
      </c>
      <c r="B143">
        <v>6847936660</v>
      </c>
      <c r="C143">
        <v>27.39</v>
      </c>
      <c r="D143">
        <v>0</v>
      </c>
      <c r="E143">
        <v>980.1</v>
      </c>
      <c r="F143">
        <v>41484830</v>
      </c>
      <c r="G143">
        <v>291400277</v>
      </c>
    </row>
    <row r="144" spans="1:7">
      <c r="A144">
        <v>264</v>
      </c>
      <c r="B144">
        <v>7080015080</v>
      </c>
      <c r="C144">
        <v>28.32</v>
      </c>
      <c r="D144">
        <v>0</v>
      </c>
      <c r="E144">
        <v>994.12</v>
      </c>
      <c r="F144">
        <v>41852733</v>
      </c>
      <c r="G144">
        <v>294007882</v>
      </c>
    </row>
    <row r="145" spans="1:14">
      <c r="A145">
        <v>266</v>
      </c>
      <c r="B145">
        <v>4511706800</v>
      </c>
      <c r="C145">
        <v>18.05</v>
      </c>
      <c r="D145">
        <v>216</v>
      </c>
      <c r="E145">
        <v>703.29</v>
      </c>
      <c r="F145">
        <v>42141608</v>
      </c>
      <c r="G145">
        <v>295874443</v>
      </c>
    </row>
    <row r="146" spans="1:14">
      <c r="A146">
        <v>268</v>
      </c>
      <c r="B146">
        <v>5843968760</v>
      </c>
      <c r="C146">
        <v>23.38</v>
      </c>
      <c r="D146">
        <v>0</v>
      </c>
      <c r="E146">
        <v>727.4</v>
      </c>
      <c r="F146">
        <v>42488857</v>
      </c>
      <c r="G146">
        <v>297988352</v>
      </c>
    </row>
    <row r="147" spans="1:14">
      <c r="A147">
        <v>270</v>
      </c>
      <c r="B147">
        <v>5653603460</v>
      </c>
      <c r="C147">
        <v>22.61</v>
      </c>
      <c r="D147">
        <v>0</v>
      </c>
      <c r="E147">
        <v>748.61</v>
      </c>
      <c r="F147">
        <v>42842232</v>
      </c>
      <c r="G147">
        <v>300176867</v>
      </c>
    </row>
    <row r="148" spans="1:14">
      <c r="A148">
        <v>272</v>
      </c>
      <c r="B148">
        <v>5787597020</v>
      </c>
      <c r="C148">
        <v>23.15</v>
      </c>
      <c r="D148">
        <v>0</v>
      </c>
      <c r="E148">
        <v>767.09</v>
      </c>
      <c r="F148">
        <v>43201651</v>
      </c>
      <c r="G148">
        <v>302412688</v>
      </c>
    </row>
    <row r="149" spans="1:14">
      <c r="A149">
        <v>274</v>
      </c>
      <c r="B149">
        <v>5716074760</v>
      </c>
      <c r="C149">
        <v>22.86</v>
      </c>
      <c r="D149">
        <v>0</v>
      </c>
      <c r="E149">
        <v>783.32</v>
      </c>
      <c r="F149">
        <v>43567329</v>
      </c>
      <c r="G149">
        <v>304702199</v>
      </c>
    </row>
    <row r="150" spans="1:14">
      <c r="A150">
        <v>276</v>
      </c>
      <c r="B150">
        <v>6263165940</v>
      </c>
      <c r="C150">
        <v>25.05</v>
      </c>
      <c r="D150">
        <v>0</v>
      </c>
      <c r="E150">
        <v>797.2</v>
      </c>
      <c r="F150">
        <v>43930561</v>
      </c>
      <c r="G150">
        <v>307039723</v>
      </c>
    </row>
    <row r="151" spans="1:14">
      <c r="A151">
        <v>278</v>
      </c>
      <c r="B151">
        <v>6514821980</v>
      </c>
      <c r="C151">
        <v>26.06</v>
      </c>
      <c r="D151">
        <v>0</v>
      </c>
      <c r="E151">
        <v>808.92</v>
      </c>
      <c r="F151">
        <v>44290935</v>
      </c>
      <c r="G151">
        <v>309414305</v>
      </c>
    </row>
    <row r="152" spans="1:14">
      <c r="A152">
        <v>280</v>
      </c>
      <c r="B152">
        <v>5849084520</v>
      </c>
      <c r="C152">
        <v>23.4</v>
      </c>
      <c r="D152">
        <v>0</v>
      </c>
      <c r="E152">
        <v>818.76</v>
      </c>
      <c r="F152">
        <v>44652305</v>
      </c>
      <c r="G152">
        <v>311809257</v>
      </c>
    </row>
    <row r="153" spans="1:14">
      <c r="A153">
        <v>282</v>
      </c>
      <c r="B153">
        <v>6061388560</v>
      </c>
      <c r="C153">
        <v>24.25</v>
      </c>
      <c r="D153">
        <v>0</v>
      </c>
      <c r="E153">
        <v>826.84</v>
      </c>
      <c r="F153">
        <v>45014609</v>
      </c>
      <c r="G153">
        <v>314219728</v>
      </c>
    </row>
    <row r="154" spans="1:14">
      <c r="A154">
        <v>284</v>
      </c>
      <c r="B154">
        <v>6677739260</v>
      </c>
      <c r="C154">
        <v>26.71</v>
      </c>
      <c r="D154">
        <v>0</v>
      </c>
      <c r="E154">
        <v>833.36</v>
      </c>
      <c r="F154">
        <v>45388552</v>
      </c>
      <c r="G154">
        <v>316659641</v>
      </c>
    </row>
    <row r="155" spans="1:14">
      <c r="A155">
        <v>286</v>
      </c>
      <c r="B155">
        <v>6157210680</v>
      </c>
      <c r="C155">
        <v>24.37</v>
      </c>
      <c r="D155">
        <v>0</v>
      </c>
      <c r="E155">
        <v>838.53</v>
      </c>
      <c r="F155">
        <v>45764854</v>
      </c>
      <c r="G155">
        <v>319128065</v>
      </c>
    </row>
    <row r="156" spans="1:14">
      <c r="A156">
        <v>288</v>
      </c>
      <c r="B156">
        <v>6941299280</v>
      </c>
      <c r="C156">
        <v>28.06</v>
      </c>
      <c r="D156">
        <v>0</v>
      </c>
      <c r="E156">
        <v>842.32</v>
      </c>
      <c r="F156">
        <v>46135098</v>
      </c>
      <c r="G156">
        <v>321562483</v>
      </c>
    </row>
    <row r="157" spans="1:14">
      <c r="A157">
        <v>290</v>
      </c>
      <c r="B157">
        <v>6251458720</v>
      </c>
      <c r="C157">
        <v>25.01</v>
      </c>
      <c r="D157">
        <v>0</v>
      </c>
      <c r="E157">
        <v>845.12</v>
      </c>
      <c r="F157">
        <v>46512648</v>
      </c>
      <c r="G157">
        <v>324030067</v>
      </c>
    </row>
    <row r="158" spans="1:14">
      <c r="A158">
        <v>292</v>
      </c>
      <c r="B158">
        <v>6684724240</v>
      </c>
      <c r="C158">
        <v>26.74</v>
      </c>
      <c r="D158">
        <v>0</v>
      </c>
      <c r="E158">
        <v>847.03</v>
      </c>
      <c r="F158">
        <v>46890472</v>
      </c>
      <c r="G158">
        <v>326503839</v>
      </c>
      <c r="I158" s="1" t="s">
        <v>278</v>
      </c>
      <c r="J158">
        <v>22261</v>
      </c>
      <c r="N158" s="1" t="s">
        <v>279</v>
      </c>
    </row>
    <row r="159" spans="1:14">
      <c r="A159">
        <v>294</v>
      </c>
      <c r="B159">
        <v>6413982480</v>
      </c>
      <c r="C159">
        <v>25.66</v>
      </c>
      <c r="D159">
        <v>0</v>
      </c>
      <c r="E159">
        <v>848.21</v>
      </c>
      <c r="F159">
        <v>47272613</v>
      </c>
      <c r="G159">
        <v>328980369</v>
      </c>
    </row>
    <row r="160" spans="1:14">
      <c r="A160">
        <v>296</v>
      </c>
      <c r="B160">
        <v>6236111440</v>
      </c>
      <c r="C160">
        <v>24.94</v>
      </c>
      <c r="D160">
        <v>0</v>
      </c>
      <c r="E160">
        <v>848.84</v>
      </c>
      <c r="F160">
        <v>47654406</v>
      </c>
      <c r="G160">
        <v>331457816</v>
      </c>
      <c r="I160" s="1" t="s">
        <v>277</v>
      </c>
      <c r="J160">
        <f>SUM(G13:G161)</f>
        <v>23131545184</v>
      </c>
      <c r="K160">
        <v>4</v>
      </c>
      <c r="L160">
        <f>J160*K160</f>
        <v>92526180736</v>
      </c>
      <c r="N160">
        <f>100*J158/L160</f>
        <v>2.4059136368673987E-5</v>
      </c>
    </row>
    <row r="161" spans="1:156">
      <c r="A161">
        <v>298</v>
      </c>
      <c r="B161">
        <v>7097723480</v>
      </c>
      <c r="C161">
        <v>28.39</v>
      </c>
      <c r="D161">
        <v>0</v>
      </c>
      <c r="E161">
        <v>849.1</v>
      </c>
      <c r="F161">
        <v>48033351</v>
      </c>
      <c r="G161">
        <v>333926716</v>
      </c>
    </row>
    <row r="162" spans="1:156">
      <c r="A162" t="s">
        <v>74</v>
      </c>
      <c r="B162" t="s">
        <v>47</v>
      </c>
      <c r="EM162" t="s">
        <v>108</v>
      </c>
      <c r="EN162" t="s">
        <v>93</v>
      </c>
      <c r="EO162" t="s">
        <v>109</v>
      </c>
      <c r="EP162" t="s">
        <v>110</v>
      </c>
      <c r="EQ162" t="s">
        <v>111</v>
      </c>
      <c r="ER162" t="s">
        <v>112</v>
      </c>
      <c r="ES162" t="s">
        <v>113</v>
      </c>
      <c r="ET162" t="s">
        <v>114</v>
      </c>
      <c r="EU162" t="s">
        <v>115</v>
      </c>
      <c r="EV162" t="s">
        <v>116</v>
      </c>
      <c r="EW162" t="s">
        <v>117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8478938</v>
      </c>
      <c r="D164">
        <v>0</v>
      </c>
      <c r="E164">
        <v>35.381599999999999</v>
      </c>
      <c r="F164" s="4">
        <v>301998000</v>
      </c>
      <c r="G164">
        <v>22244.400000000001</v>
      </c>
      <c r="H164">
        <v>336793110</v>
      </c>
      <c r="I164">
        <v>10679</v>
      </c>
      <c r="J164">
        <v>3.1707900000000002E-3</v>
      </c>
      <c r="K164" t="s">
        <v>118</v>
      </c>
      <c r="L164">
        <v>0</v>
      </c>
      <c r="M164">
        <v>8478938</v>
      </c>
      <c r="N164">
        <v>834157920440</v>
      </c>
      <c r="O164">
        <v>35.383299999999998</v>
      </c>
      <c r="P164">
        <v>300012548</v>
      </c>
      <c r="Q164">
        <v>22243.3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102</v>
      </c>
      <c r="CC164">
        <v>48520124</v>
      </c>
      <c r="CD164">
        <v>0</v>
      </c>
      <c r="CE164">
        <v>336793110</v>
      </c>
      <c r="CF164">
        <v>0</v>
      </c>
      <c r="CG164">
        <v>22261</v>
      </c>
      <c r="CH164" t="s">
        <v>121</v>
      </c>
      <c r="CI164" t="s">
        <v>208</v>
      </c>
      <c r="CJ164" t="s">
        <v>47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209</v>
      </c>
      <c r="CT164" t="s">
        <v>47</v>
      </c>
      <c r="CU164">
        <v>336889784</v>
      </c>
      <c r="CV164">
        <v>3035920513996</v>
      </c>
      <c r="CW164">
        <v>0</v>
      </c>
      <c r="CX164">
        <v>0</v>
      </c>
      <c r="CY164">
        <v>48599212</v>
      </c>
      <c r="CZ164">
        <v>3218478415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56270896</v>
      </c>
      <c r="DP164">
        <v>3016612358738</v>
      </c>
      <c r="DQ164">
        <v>0</v>
      </c>
      <c r="DR164">
        <v>0</v>
      </c>
      <c r="DS164">
        <v>48598555</v>
      </c>
      <c r="DT164">
        <v>3218201692</v>
      </c>
      <c r="DU164">
        <v>0</v>
      </c>
      <c r="DV164">
        <v>0</v>
      </c>
      <c r="DW164" t="s">
        <v>211</v>
      </c>
      <c r="DX164" t="s">
        <v>47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56270343</v>
      </c>
      <c r="EI164">
        <v>0</v>
      </c>
      <c r="EJ164">
        <v>48598207</v>
      </c>
      <c r="EK164">
        <v>24</v>
      </c>
      <c r="EL164">
        <v>0</v>
      </c>
      <c r="EM164" t="s">
        <v>108</v>
      </c>
      <c r="EN164" t="s">
        <v>212</v>
      </c>
      <c r="EO164">
        <v>336889783</v>
      </c>
      <c r="EP164">
        <v>48599214</v>
      </c>
      <c r="EQ164">
        <v>336896306</v>
      </c>
      <c r="ER164">
        <v>48599214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47</v>
      </c>
    </row>
    <row r="182" spans="1:9">
      <c r="A182" t="s">
        <v>146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1FE4-7366-4A64-B904-358794D7E1AC}">
  <sheetPr codeName="Sheet11"/>
  <dimension ref="A1:EZ228"/>
  <sheetViews>
    <sheetView topLeftCell="A148" workbookViewId="0">
      <selection activeCell="EM162" sqref="EM162:EX162"/>
    </sheetView>
  </sheetViews>
  <sheetFormatPr defaultRowHeight="12.5"/>
  <sheetData>
    <row r="1" spans="1:7">
      <c r="A1" t="s">
        <v>264</v>
      </c>
      <c r="B1">
        <v>24</v>
      </c>
      <c r="C1" t="s">
        <v>257</v>
      </c>
      <c r="D1" t="s">
        <v>60</v>
      </c>
      <c r="E1" t="s">
        <v>254</v>
      </c>
    </row>
    <row r="2" spans="1:7">
      <c r="A2" t="s">
        <v>61</v>
      </c>
      <c r="B2" t="s">
        <v>248</v>
      </c>
      <c r="C2">
        <v>2</v>
      </c>
    </row>
    <row r="3" spans="1:7">
      <c r="A3" t="s">
        <v>249</v>
      </c>
    </row>
    <row r="4" spans="1:7">
      <c r="A4" t="s">
        <v>268</v>
      </c>
    </row>
    <row r="5" spans="1:7">
      <c r="A5" t="s">
        <v>62</v>
      </c>
      <c r="B5" t="s">
        <v>197</v>
      </c>
      <c r="C5" t="s">
        <v>63</v>
      </c>
      <c r="D5" t="s">
        <v>269</v>
      </c>
    </row>
    <row r="6" spans="1:7">
      <c r="A6" t="s">
        <v>267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193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22725780</v>
      </c>
      <c r="C13">
        <v>0.09</v>
      </c>
      <c r="D13">
        <v>0</v>
      </c>
      <c r="E13">
        <v>5.64</v>
      </c>
      <c r="F13">
        <v>812</v>
      </c>
      <c r="G13">
        <v>3056</v>
      </c>
    </row>
    <row r="14" spans="1:7">
      <c r="A14">
        <v>4</v>
      </c>
      <c r="B14">
        <v>201187100</v>
      </c>
      <c r="C14">
        <v>0.8</v>
      </c>
      <c r="D14">
        <v>0</v>
      </c>
      <c r="E14">
        <v>24.21</v>
      </c>
      <c r="F14">
        <v>6491</v>
      </c>
      <c r="G14">
        <v>37920</v>
      </c>
    </row>
    <row r="15" spans="1:7">
      <c r="A15">
        <v>6</v>
      </c>
      <c r="B15">
        <v>225093440</v>
      </c>
      <c r="C15">
        <v>0.9</v>
      </c>
      <c r="D15">
        <v>0</v>
      </c>
      <c r="E15">
        <v>35.28</v>
      </c>
      <c r="F15">
        <v>15090</v>
      </c>
      <c r="G15">
        <v>91489</v>
      </c>
    </row>
    <row r="16" spans="1:7">
      <c r="A16">
        <v>8</v>
      </c>
      <c r="B16">
        <v>373450480</v>
      </c>
      <c r="C16">
        <v>1.49</v>
      </c>
      <c r="D16">
        <v>0</v>
      </c>
      <c r="E16">
        <v>51.43</v>
      </c>
      <c r="F16">
        <v>27875</v>
      </c>
      <c r="G16">
        <v>169675</v>
      </c>
    </row>
    <row r="17" spans="1:7">
      <c r="A17">
        <v>10</v>
      </c>
      <c r="B17">
        <v>548763640</v>
      </c>
      <c r="C17">
        <v>2.2000000000000002</v>
      </c>
      <c r="D17">
        <v>0</v>
      </c>
      <c r="E17">
        <v>75.56</v>
      </c>
      <c r="F17">
        <v>47545</v>
      </c>
      <c r="G17">
        <v>287162</v>
      </c>
    </row>
    <row r="18" spans="1:7">
      <c r="A18">
        <v>12</v>
      </c>
      <c r="B18">
        <v>832688320</v>
      </c>
      <c r="C18">
        <v>3.33</v>
      </c>
      <c r="D18">
        <v>0</v>
      </c>
      <c r="E18">
        <v>110.15</v>
      </c>
      <c r="F18">
        <v>77363</v>
      </c>
      <c r="G18">
        <v>457099</v>
      </c>
    </row>
    <row r="19" spans="1:7">
      <c r="A19">
        <v>14</v>
      </c>
      <c r="B19">
        <v>1062602380</v>
      </c>
      <c r="C19">
        <v>4.25</v>
      </c>
      <c r="D19">
        <v>0</v>
      </c>
      <c r="E19">
        <v>160.6</v>
      </c>
      <c r="F19">
        <v>120196</v>
      </c>
      <c r="G19">
        <v>706241</v>
      </c>
    </row>
    <row r="20" spans="1:7">
      <c r="A20">
        <v>16</v>
      </c>
      <c r="B20">
        <v>1739653540</v>
      </c>
      <c r="C20">
        <v>6.96</v>
      </c>
      <c r="D20">
        <v>0</v>
      </c>
      <c r="E20">
        <v>234.19</v>
      </c>
      <c r="F20">
        <v>177638</v>
      </c>
      <c r="G20">
        <v>1070608</v>
      </c>
    </row>
    <row r="21" spans="1:7">
      <c r="A21">
        <v>18</v>
      </c>
      <c r="B21">
        <v>2377352700</v>
      </c>
      <c r="C21">
        <v>9.51</v>
      </c>
      <c r="D21">
        <v>0</v>
      </c>
      <c r="E21">
        <v>343.45</v>
      </c>
      <c r="F21">
        <v>259140</v>
      </c>
      <c r="G21">
        <v>1612368</v>
      </c>
    </row>
    <row r="22" spans="1:7">
      <c r="A22">
        <v>20</v>
      </c>
      <c r="B22">
        <v>4021577640</v>
      </c>
      <c r="C22">
        <v>16.09</v>
      </c>
      <c r="D22">
        <v>0</v>
      </c>
      <c r="E22">
        <v>495.41</v>
      </c>
      <c r="F22">
        <v>377719</v>
      </c>
      <c r="G22">
        <v>2388127</v>
      </c>
    </row>
    <row r="23" spans="1:7">
      <c r="A23">
        <v>22</v>
      </c>
      <c r="B23">
        <v>4196497280</v>
      </c>
      <c r="C23">
        <v>16.78</v>
      </c>
      <c r="D23">
        <v>0</v>
      </c>
      <c r="E23">
        <v>665.04</v>
      </c>
      <c r="F23">
        <v>548236</v>
      </c>
      <c r="G23">
        <v>3468388</v>
      </c>
    </row>
    <row r="24" spans="1:7">
      <c r="A24">
        <v>24</v>
      </c>
      <c r="B24">
        <v>5698464740</v>
      </c>
      <c r="C24">
        <v>22.8</v>
      </c>
      <c r="D24">
        <v>0</v>
      </c>
      <c r="E24">
        <v>851.44</v>
      </c>
      <c r="F24">
        <v>692232</v>
      </c>
      <c r="G24">
        <v>4888989</v>
      </c>
    </row>
    <row r="25" spans="1:7">
      <c r="A25">
        <v>26</v>
      </c>
      <c r="B25">
        <v>6643798160</v>
      </c>
      <c r="C25">
        <v>26.58</v>
      </c>
      <c r="D25">
        <v>0</v>
      </c>
      <c r="E25">
        <v>952.26</v>
      </c>
      <c r="F25">
        <v>818229</v>
      </c>
      <c r="G25">
        <v>6459988</v>
      </c>
    </row>
    <row r="26" spans="1:7">
      <c r="A26">
        <v>28</v>
      </c>
      <c r="B26">
        <v>6635435860</v>
      </c>
      <c r="C26">
        <v>26.54</v>
      </c>
      <c r="D26">
        <v>0</v>
      </c>
      <c r="E26">
        <v>952.26</v>
      </c>
      <c r="F26">
        <v>952111</v>
      </c>
      <c r="G26">
        <v>8004632</v>
      </c>
    </row>
    <row r="27" spans="1:7">
      <c r="A27">
        <v>30</v>
      </c>
      <c r="B27">
        <v>6552796660</v>
      </c>
      <c r="C27">
        <v>26.21</v>
      </c>
      <c r="D27">
        <v>0</v>
      </c>
      <c r="E27">
        <v>952.26</v>
      </c>
      <c r="F27">
        <v>1094795</v>
      </c>
      <c r="G27">
        <v>9613902</v>
      </c>
    </row>
    <row r="28" spans="1:7">
      <c r="A28">
        <v>32</v>
      </c>
      <c r="B28">
        <v>6090902560</v>
      </c>
      <c r="C28">
        <v>24.36</v>
      </c>
      <c r="D28">
        <v>0</v>
      </c>
      <c r="E28">
        <v>952.26</v>
      </c>
      <c r="F28">
        <v>1248105</v>
      </c>
      <c r="G28">
        <v>11333997</v>
      </c>
    </row>
    <row r="29" spans="1:7">
      <c r="A29">
        <v>34</v>
      </c>
      <c r="B29">
        <v>6458647000</v>
      </c>
      <c r="C29">
        <v>25.83</v>
      </c>
      <c r="D29">
        <v>0</v>
      </c>
      <c r="E29">
        <v>952.26</v>
      </c>
      <c r="F29">
        <v>1428396</v>
      </c>
      <c r="G29">
        <v>13214075</v>
      </c>
    </row>
    <row r="30" spans="1:7">
      <c r="A30">
        <v>36</v>
      </c>
      <c r="B30">
        <v>5920311640</v>
      </c>
      <c r="C30">
        <v>23.68</v>
      </c>
      <c r="D30">
        <v>0</v>
      </c>
      <c r="E30">
        <v>952.26</v>
      </c>
      <c r="F30">
        <v>1650062</v>
      </c>
      <c r="G30">
        <v>15307157</v>
      </c>
    </row>
    <row r="31" spans="1:7">
      <c r="A31">
        <v>38</v>
      </c>
      <c r="B31">
        <v>6601199620</v>
      </c>
      <c r="C31">
        <v>26.41</v>
      </c>
      <c r="D31">
        <v>0</v>
      </c>
      <c r="E31">
        <v>952.26</v>
      </c>
      <c r="F31">
        <v>1912636</v>
      </c>
      <c r="G31">
        <v>17665939</v>
      </c>
    </row>
    <row r="32" spans="1:7">
      <c r="A32">
        <v>40</v>
      </c>
      <c r="B32">
        <v>6090705800</v>
      </c>
      <c r="C32">
        <v>24.36</v>
      </c>
      <c r="D32">
        <v>0</v>
      </c>
      <c r="E32">
        <v>952.26</v>
      </c>
      <c r="F32">
        <v>2208608</v>
      </c>
      <c r="G32">
        <v>20256473</v>
      </c>
    </row>
    <row r="33" spans="1:7">
      <c r="A33">
        <v>42</v>
      </c>
      <c r="B33">
        <v>5569291800</v>
      </c>
      <c r="C33">
        <v>22.28</v>
      </c>
      <c r="D33">
        <v>0</v>
      </c>
      <c r="E33">
        <v>952.26</v>
      </c>
      <c r="F33">
        <v>2514466</v>
      </c>
      <c r="G33">
        <v>22875132</v>
      </c>
    </row>
    <row r="34" spans="1:7">
      <c r="A34">
        <v>44</v>
      </c>
      <c r="B34">
        <v>5066078100</v>
      </c>
      <c r="C34">
        <v>20.27</v>
      </c>
      <c r="D34">
        <v>28</v>
      </c>
      <c r="E34">
        <v>686.99</v>
      </c>
      <c r="F34">
        <v>2810029</v>
      </c>
      <c r="G34">
        <v>24830708</v>
      </c>
    </row>
    <row r="35" spans="1:7">
      <c r="A35">
        <v>46</v>
      </c>
      <c r="B35">
        <v>5223879620</v>
      </c>
      <c r="C35">
        <v>20.9</v>
      </c>
      <c r="D35">
        <v>0</v>
      </c>
      <c r="E35">
        <v>723.22</v>
      </c>
      <c r="F35">
        <v>3173247</v>
      </c>
      <c r="G35">
        <v>27192039</v>
      </c>
    </row>
    <row r="36" spans="1:7">
      <c r="A36">
        <v>48</v>
      </c>
      <c r="B36">
        <v>6125237180</v>
      </c>
      <c r="C36">
        <v>24.5</v>
      </c>
      <c r="D36">
        <v>0</v>
      </c>
      <c r="E36">
        <v>756.04</v>
      </c>
      <c r="F36">
        <v>3547467</v>
      </c>
      <c r="G36">
        <v>29649648</v>
      </c>
    </row>
    <row r="37" spans="1:7">
      <c r="A37">
        <v>50</v>
      </c>
      <c r="B37">
        <v>5565848500</v>
      </c>
      <c r="C37">
        <v>22.26</v>
      </c>
      <c r="D37">
        <v>0</v>
      </c>
      <c r="E37">
        <v>785.4</v>
      </c>
      <c r="F37">
        <v>3926211</v>
      </c>
      <c r="G37">
        <v>32204571</v>
      </c>
    </row>
    <row r="38" spans="1:7">
      <c r="A38">
        <v>52</v>
      </c>
      <c r="B38">
        <v>6505771020</v>
      </c>
      <c r="C38">
        <v>26.02</v>
      </c>
      <c r="D38">
        <v>0</v>
      </c>
      <c r="E38">
        <v>811.71</v>
      </c>
      <c r="F38">
        <v>4294238</v>
      </c>
      <c r="G38">
        <v>34782853</v>
      </c>
    </row>
    <row r="39" spans="1:7">
      <c r="A39">
        <v>54</v>
      </c>
      <c r="B39">
        <v>5778152540</v>
      </c>
      <c r="C39">
        <v>23.11</v>
      </c>
      <c r="D39">
        <v>0</v>
      </c>
      <c r="E39">
        <v>834.96</v>
      </c>
      <c r="F39">
        <v>4664734</v>
      </c>
      <c r="G39">
        <v>37377165</v>
      </c>
    </row>
    <row r="40" spans="1:7">
      <c r="A40">
        <v>56</v>
      </c>
      <c r="B40">
        <v>6777496580</v>
      </c>
      <c r="C40">
        <v>27.11</v>
      </c>
      <c r="D40">
        <v>0</v>
      </c>
      <c r="E40">
        <v>855.59</v>
      </c>
      <c r="F40">
        <v>5029698</v>
      </c>
      <c r="G40">
        <v>39973290</v>
      </c>
    </row>
    <row r="41" spans="1:7">
      <c r="A41">
        <v>58</v>
      </c>
      <c r="B41">
        <v>6236800100</v>
      </c>
      <c r="C41">
        <v>24.95</v>
      </c>
      <c r="D41">
        <v>0</v>
      </c>
      <c r="E41">
        <v>873.61</v>
      </c>
      <c r="F41">
        <v>5395641</v>
      </c>
      <c r="G41">
        <v>42573293</v>
      </c>
    </row>
    <row r="42" spans="1:7">
      <c r="A42">
        <v>60</v>
      </c>
      <c r="B42">
        <v>6346198660</v>
      </c>
      <c r="C42">
        <v>25.38</v>
      </c>
      <c r="D42">
        <v>0</v>
      </c>
      <c r="E42">
        <v>889.32</v>
      </c>
      <c r="F42">
        <v>5757017</v>
      </c>
      <c r="G42">
        <v>45176740</v>
      </c>
    </row>
    <row r="43" spans="1:7">
      <c r="A43">
        <v>62</v>
      </c>
      <c r="B43">
        <v>6918573500</v>
      </c>
      <c r="C43">
        <v>27.67</v>
      </c>
      <c r="D43">
        <v>0</v>
      </c>
      <c r="E43">
        <v>902.72</v>
      </c>
      <c r="F43">
        <v>6119239</v>
      </c>
      <c r="G43">
        <v>47784688</v>
      </c>
    </row>
    <row r="44" spans="1:7">
      <c r="A44">
        <v>64</v>
      </c>
      <c r="B44">
        <v>4898143440</v>
      </c>
      <c r="C44">
        <v>19.03</v>
      </c>
      <c r="D44">
        <v>247</v>
      </c>
      <c r="E44">
        <v>638.32000000000005</v>
      </c>
      <c r="F44">
        <v>6449985</v>
      </c>
      <c r="G44">
        <v>50026114</v>
      </c>
    </row>
    <row r="45" spans="1:7">
      <c r="A45">
        <v>66</v>
      </c>
      <c r="B45">
        <v>5389945060</v>
      </c>
      <c r="C45">
        <v>22.21</v>
      </c>
      <c r="D45">
        <v>0</v>
      </c>
      <c r="E45">
        <v>656.27</v>
      </c>
      <c r="F45">
        <v>6754148</v>
      </c>
      <c r="G45">
        <v>52028576</v>
      </c>
    </row>
    <row r="46" spans="1:7">
      <c r="A46">
        <v>68</v>
      </c>
      <c r="B46">
        <v>5322259620</v>
      </c>
      <c r="C46">
        <v>21.29</v>
      </c>
      <c r="D46">
        <v>0</v>
      </c>
      <c r="E46">
        <v>677.65</v>
      </c>
      <c r="F46">
        <v>7103276</v>
      </c>
      <c r="G46">
        <v>54203910</v>
      </c>
    </row>
    <row r="47" spans="1:7">
      <c r="A47">
        <v>70</v>
      </c>
      <c r="B47">
        <v>5119006540</v>
      </c>
      <c r="C47">
        <v>20.48</v>
      </c>
      <c r="D47">
        <v>0</v>
      </c>
      <c r="E47">
        <v>695.73</v>
      </c>
      <c r="F47">
        <v>7451135</v>
      </c>
      <c r="G47">
        <v>56413341</v>
      </c>
    </row>
    <row r="48" spans="1:7">
      <c r="A48">
        <v>72</v>
      </c>
      <c r="B48">
        <v>4981176160</v>
      </c>
      <c r="C48">
        <v>19.920000000000002</v>
      </c>
      <c r="D48">
        <v>0</v>
      </c>
      <c r="E48">
        <v>711.35</v>
      </c>
      <c r="F48">
        <v>7797657</v>
      </c>
      <c r="G48">
        <v>58679476</v>
      </c>
    </row>
    <row r="49" spans="1:7">
      <c r="A49">
        <v>74</v>
      </c>
      <c r="B49">
        <v>6227945900</v>
      </c>
      <c r="C49">
        <v>24.91</v>
      </c>
      <c r="D49">
        <v>0</v>
      </c>
      <c r="E49">
        <v>725.07</v>
      </c>
      <c r="F49">
        <v>8143605</v>
      </c>
      <c r="G49">
        <v>60998124</v>
      </c>
    </row>
    <row r="50" spans="1:7">
      <c r="A50">
        <v>76</v>
      </c>
      <c r="B50">
        <v>5464418720</v>
      </c>
      <c r="C50">
        <v>21.86</v>
      </c>
      <c r="D50">
        <v>0</v>
      </c>
      <c r="E50">
        <v>736.41</v>
      </c>
      <c r="F50">
        <v>8496936</v>
      </c>
      <c r="G50">
        <v>63365580</v>
      </c>
    </row>
    <row r="51" spans="1:7">
      <c r="A51">
        <v>78</v>
      </c>
      <c r="B51">
        <v>5327277000</v>
      </c>
      <c r="C51">
        <v>21.31</v>
      </c>
      <c r="D51">
        <v>0</v>
      </c>
      <c r="E51">
        <v>746.04</v>
      </c>
      <c r="F51">
        <v>8849683</v>
      </c>
      <c r="G51">
        <v>65750613</v>
      </c>
    </row>
    <row r="52" spans="1:7">
      <c r="A52">
        <v>80</v>
      </c>
      <c r="B52">
        <v>6392634020</v>
      </c>
      <c r="C52">
        <v>25.57</v>
      </c>
      <c r="D52">
        <v>0</v>
      </c>
      <c r="E52">
        <v>753.84</v>
      </c>
      <c r="F52">
        <v>9203130</v>
      </c>
      <c r="G52">
        <v>68163737</v>
      </c>
    </row>
    <row r="53" spans="1:7">
      <c r="A53">
        <v>82</v>
      </c>
      <c r="B53">
        <v>5576276780</v>
      </c>
      <c r="C53">
        <v>22.31</v>
      </c>
      <c r="D53">
        <v>0</v>
      </c>
      <c r="E53">
        <v>760.14</v>
      </c>
      <c r="F53">
        <v>9561375</v>
      </c>
      <c r="G53">
        <v>70604938</v>
      </c>
    </row>
    <row r="54" spans="1:7">
      <c r="A54">
        <v>84</v>
      </c>
      <c r="B54">
        <v>6166950300</v>
      </c>
      <c r="C54">
        <v>24.67</v>
      </c>
      <c r="D54">
        <v>0</v>
      </c>
      <c r="E54">
        <v>765.03</v>
      </c>
      <c r="F54">
        <v>9922308</v>
      </c>
      <c r="G54">
        <v>73058326</v>
      </c>
    </row>
    <row r="55" spans="1:7">
      <c r="A55">
        <v>86</v>
      </c>
      <c r="B55">
        <v>5733192880</v>
      </c>
      <c r="C55">
        <v>22.93</v>
      </c>
      <c r="D55">
        <v>0</v>
      </c>
      <c r="E55">
        <v>768.69</v>
      </c>
      <c r="F55">
        <v>10283056</v>
      </c>
      <c r="G55">
        <v>75515179</v>
      </c>
    </row>
    <row r="56" spans="1:7">
      <c r="A56">
        <v>88</v>
      </c>
      <c r="B56">
        <v>5920114880</v>
      </c>
      <c r="C56">
        <v>23.68</v>
      </c>
      <c r="D56">
        <v>0</v>
      </c>
      <c r="E56">
        <v>771.33</v>
      </c>
      <c r="F56">
        <v>10651313</v>
      </c>
      <c r="G56">
        <v>77979249</v>
      </c>
    </row>
    <row r="57" spans="1:7">
      <c r="A57">
        <v>90</v>
      </c>
      <c r="B57">
        <v>6198235140</v>
      </c>
      <c r="C57">
        <v>24.79</v>
      </c>
      <c r="D57">
        <v>0</v>
      </c>
      <c r="E57">
        <v>773.11</v>
      </c>
      <c r="F57">
        <v>11026048</v>
      </c>
      <c r="G57">
        <v>80459475</v>
      </c>
    </row>
    <row r="58" spans="1:7">
      <c r="A58">
        <v>92</v>
      </c>
      <c r="B58">
        <v>5643863840</v>
      </c>
      <c r="C58">
        <v>22.58</v>
      </c>
      <c r="D58">
        <v>0</v>
      </c>
      <c r="E58">
        <v>774.18</v>
      </c>
      <c r="F58">
        <v>11399243</v>
      </c>
      <c r="G58">
        <v>82941311</v>
      </c>
    </row>
    <row r="59" spans="1:7">
      <c r="A59">
        <v>94</v>
      </c>
      <c r="B59">
        <v>6345214860</v>
      </c>
      <c r="C59">
        <v>25.38</v>
      </c>
      <c r="D59">
        <v>0</v>
      </c>
      <c r="E59">
        <v>774.74</v>
      </c>
      <c r="F59">
        <v>11771925</v>
      </c>
      <c r="G59">
        <v>85427060</v>
      </c>
    </row>
    <row r="60" spans="1:7">
      <c r="A60">
        <v>96</v>
      </c>
      <c r="B60">
        <v>5867776720</v>
      </c>
      <c r="C60">
        <v>23.47</v>
      </c>
      <c r="D60">
        <v>0</v>
      </c>
      <c r="E60">
        <v>774.96</v>
      </c>
      <c r="F60">
        <v>12145671</v>
      </c>
      <c r="G60">
        <v>87905949</v>
      </c>
    </row>
    <row r="61" spans="1:7">
      <c r="A61">
        <v>98</v>
      </c>
      <c r="B61">
        <v>6232668140</v>
      </c>
      <c r="C61">
        <v>24.93</v>
      </c>
      <c r="D61">
        <v>0</v>
      </c>
      <c r="E61">
        <v>774.99</v>
      </c>
      <c r="F61">
        <v>12523469</v>
      </c>
      <c r="G61">
        <v>90392888</v>
      </c>
    </row>
    <row r="62" spans="1:7">
      <c r="A62">
        <v>100</v>
      </c>
      <c r="B62">
        <v>5787793780</v>
      </c>
      <c r="C62">
        <v>23.15</v>
      </c>
      <c r="D62">
        <v>0</v>
      </c>
      <c r="E62">
        <v>775.01</v>
      </c>
      <c r="F62">
        <v>12897364</v>
      </c>
      <c r="G62">
        <v>92880646</v>
      </c>
    </row>
    <row r="63" spans="1:7">
      <c r="A63">
        <v>102</v>
      </c>
      <c r="B63">
        <v>6164097280</v>
      </c>
      <c r="C63">
        <v>24.66</v>
      </c>
      <c r="D63">
        <v>0</v>
      </c>
      <c r="E63">
        <v>775.21</v>
      </c>
      <c r="F63">
        <v>13270898</v>
      </c>
      <c r="G63">
        <v>95370658</v>
      </c>
    </row>
    <row r="64" spans="1:7">
      <c r="A64">
        <v>104</v>
      </c>
      <c r="B64">
        <v>5881746680</v>
      </c>
      <c r="C64">
        <v>23.53</v>
      </c>
      <c r="D64">
        <v>0</v>
      </c>
      <c r="E64">
        <v>775.73</v>
      </c>
      <c r="F64">
        <v>13639671</v>
      </c>
      <c r="G64">
        <v>97859718</v>
      </c>
    </row>
    <row r="65" spans="1:7">
      <c r="A65">
        <v>106</v>
      </c>
      <c r="B65">
        <v>5633042040</v>
      </c>
      <c r="C65">
        <v>22.53</v>
      </c>
      <c r="D65">
        <v>0</v>
      </c>
      <c r="E65">
        <v>776.78</v>
      </c>
      <c r="F65">
        <v>14007075</v>
      </c>
      <c r="G65">
        <v>100356009</v>
      </c>
    </row>
    <row r="66" spans="1:7">
      <c r="A66">
        <v>108</v>
      </c>
      <c r="B66">
        <v>6390764800</v>
      </c>
      <c r="C66">
        <v>25.56</v>
      </c>
      <c r="D66">
        <v>0</v>
      </c>
      <c r="E66">
        <v>778.5</v>
      </c>
      <c r="F66">
        <v>14376708</v>
      </c>
      <c r="G66">
        <v>102856318</v>
      </c>
    </row>
    <row r="67" spans="1:7">
      <c r="A67">
        <v>110</v>
      </c>
      <c r="B67">
        <v>6097690780</v>
      </c>
      <c r="C67">
        <v>24.39</v>
      </c>
      <c r="D67">
        <v>0</v>
      </c>
      <c r="E67">
        <v>781.08</v>
      </c>
      <c r="F67">
        <v>14746146</v>
      </c>
      <c r="G67">
        <v>105365405</v>
      </c>
    </row>
    <row r="68" spans="1:7">
      <c r="A68">
        <v>112</v>
      </c>
      <c r="B68">
        <v>5648684460</v>
      </c>
      <c r="C68">
        <v>22.59</v>
      </c>
      <c r="D68">
        <v>0</v>
      </c>
      <c r="E68">
        <v>784.68</v>
      </c>
      <c r="F68">
        <v>15114712</v>
      </c>
      <c r="G68">
        <v>107886679</v>
      </c>
    </row>
    <row r="69" spans="1:7">
      <c r="A69">
        <v>114</v>
      </c>
      <c r="B69">
        <v>6675870040</v>
      </c>
      <c r="C69">
        <v>26.7</v>
      </c>
      <c r="D69">
        <v>0</v>
      </c>
      <c r="E69">
        <v>789.5</v>
      </c>
      <c r="F69">
        <v>15484968</v>
      </c>
      <c r="G69">
        <v>110420952</v>
      </c>
    </row>
    <row r="70" spans="1:7">
      <c r="A70">
        <v>116</v>
      </c>
      <c r="B70">
        <v>6090607420</v>
      </c>
      <c r="C70">
        <v>24.36</v>
      </c>
      <c r="D70">
        <v>0</v>
      </c>
      <c r="E70">
        <v>795.67</v>
      </c>
      <c r="F70">
        <v>15860144</v>
      </c>
      <c r="G70">
        <v>112970191</v>
      </c>
    </row>
    <row r="71" spans="1:7">
      <c r="A71">
        <v>118</v>
      </c>
      <c r="B71">
        <v>5526398120</v>
      </c>
      <c r="C71">
        <v>22.11</v>
      </c>
      <c r="D71">
        <v>0</v>
      </c>
      <c r="E71">
        <v>803.38</v>
      </c>
      <c r="F71">
        <v>16238888</v>
      </c>
      <c r="G71">
        <v>115534620</v>
      </c>
    </row>
    <row r="72" spans="1:7">
      <c r="A72">
        <v>120</v>
      </c>
      <c r="B72">
        <v>6761657400</v>
      </c>
      <c r="C72">
        <v>27.05</v>
      </c>
      <c r="D72">
        <v>0</v>
      </c>
      <c r="E72">
        <v>812.82</v>
      </c>
      <c r="F72">
        <v>16613021</v>
      </c>
      <c r="G72">
        <v>118112902</v>
      </c>
    </row>
    <row r="73" spans="1:7">
      <c r="A73">
        <v>122</v>
      </c>
      <c r="B73">
        <v>5811700120</v>
      </c>
      <c r="C73">
        <v>23.25</v>
      </c>
      <c r="D73">
        <v>0</v>
      </c>
      <c r="E73">
        <v>824.15</v>
      </c>
      <c r="F73">
        <v>16985823</v>
      </c>
      <c r="G73">
        <v>120698443</v>
      </c>
    </row>
    <row r="74" spans="1:7">
      <c r="A74">
        <v>124</v>
      </c>
      <c r="B74">
        <v>6673804060</v>
      </c>
      <c r="C74">
        <v>26.7</v>
      </c>
      <c r="D74">
        <v>0</v>
      </c>
      <c r="E74">
        <v>837.38</v>
      </c>
      <c r="F74">
        <v>17354096</v>
      </c>
      <c r="G74">
        <v>123287645</v>
      </c>
    </row>
    <row r="75" spans="1:7">
      <c r="A75">
        <v>126</v>
      </c>
      <c r="B75">
        <v>6424509140</v>
      </c>
      <c r="C75">
        <v>25.7</v>
      </c>
      <c r="D75">
        <v>0</v>
      </c>
      <c r="E75">
        <v>853.09</v>
      </c>
      <c r="F75">
        <v>17716544</v>
      </c>
      <c r="G75">
        <v>125880984</v>
      </c>
    </row>
    <row r="76" spans="1:7">
      <c r="A76">
        <v>128</v>
      </c>
      <c r="B76">
        <v>6429723280</v>
      </c>
      <c r="C76">
        <v>25.72</v>
      </c>
      <c r="D76">
        <v>0</v>
      </c>
      <c r="E76">
        <v>871.02</v>
      </c>
      <c r="F76">
        <v>18069042</v>
      </c>
      <c r="G76">
        <v>128489786</v>
      </c>
    </row>
    <row r="77" spans="1:7">
      <c r="A77">
        <v>130</v>
      </c>
      <c r="B77">
        <v>6602970460</v>
      </c>
      <c r="C77">
        <v>26.41</v>
      </c>
      <c r="D77">
        <v>0</v>
      </c>
      <c r="E77">
        <v>891.64</v>
      </c>
      <c r="F77">
        <v>18426631</v>
      </c>
      <c r="G77">
        <v>131097699</v>
      </c>
    </row>
    <row r="78" spans="1:7">
      <c r="A78">
        <v>132</v>
      </c>
      <c r="B78">
        <v>4061913440</v>
      </c>
      <c r="C78">
        <v>16.25</v>
      </c>
      <c r="D78">
        <v>179</v>
      </c>
      <c r="E78">
        <v>641.15</v>
      </c>
      <c r="F78">
        <v>18698476</v>
      </c>
      <c r="G78">
        <v>132838073</v>
      </c>
    </row>
    <row r="79" spans="1:7">
      <c r="A79">
        <v>134</v>
      </c>
      <c r="B79">
        <v>5561716540</v>
      </c>
      <c r="C79">
        <v>22.25</v>
      </c>
      <c r="D79">
        <v>0</v>
      </c>
      <c r="E79">
        <v>676.98</v>
      </c>
      <c r="F79">
        <v>19046756</v>
      </c>
      <c r="G79">
        <v>134994633</v>
      </c>
    </row>
    <row r="80" spans="1:7">
      <c r="A80">
        <v>136</v>
      </c>
      <c r="B80">
        <v>5293631040</v>
      </c>
      <c r="C80">
        <v>21.17</v>
      </c>
      <c r="D80">
        <v>0</v>
      </c>
      <c r="E80">
        <v>708.84</v>
      </c>
      <c r="F80">
        <v>19395220</v>
      </c>
      <c r="G80">
        <v>137246554</v>
      </c>
    </row>
    <row r="81" spans="1:7">
      <c r="A81">
        <v>138</v>
      </c>
      <c r="B81">
        <v>5311339440</v>
      </c>
      <c r="C81">
        <v>21.24</v>
      </c>
      <c r="D81">
        <v>0</v>
      </c>
      <c r="E81">
        <v>737.29</v>
      </c>
      <c r="F81">
        <v>19746845</v>
      </c>
      <c r="G81">
        <v>139585961</v>
      </c>
    </row>
    <row r="82" spans="1:7">
      <c r="A82">
        <v>140</v>
      </c>
      <c r="B82">
        <v>6303993640</v>
      </c>
      <c r="C82">
        <v>25.22</v>
      </c>
      <c r="D82">
        <v>0</v>
      </c>
      <c r="E82">
        <v>762.84</v>
      </c>
      <c r="F82">
        <v>20106744</v>
      </c>
      <c r="G82">
        <v>142014492</v>
      </c>
    </row>
    <row r="83" spans="1:7">
      <c r="A83">
        <v>142</v>
      </c>
      <c r="B83">
        <v>5840427080</v>
      </c>
      <c r="C83">
        <v>23.36</v>
      </c>
      <c r="D83">
        <v>0</v>
      </c>
      <c r="E83">
        <v>785.41</v>
      </c>
      <c r="F83">
        <v>20478653</v>
      </c>
      <c r="G83">
        <v>144526470</v>
      </c>
    </row>
    <row r="84" spans="1:7">
      <c r="A84">
        <v>144</v>
      </c>
      <c r="B84">
        <v>6076342320</v>
      </c>
      <c r="C84">
        <v>24.31</v>
      </c>
      <c r="D84">
        <v>0</v>
      </c>
      <c r="E84">
        <v>805.19</v>
      </c>
      <c r="F84">
        <v>20852185</v>
      </c>
      <c r="G84">
        <v>147082058</v>
      </c>
    </row>
    <row r="85" spans="1:7">
      <c r="A85">
        <v>146</v>
      </c>
      <c r="B85">
        <v>6293762120</v>
      </c>
      <c r="C85">
        <v>25.18</v>
      </c>
      <c r="D85">
        <v>0</v>
      </c>
      <c r="E85">
        <v>822.45</v>
      </c>
      <c r="F85">
        <v>21222379</v>
      </c>
      <c r="G85">
        <v>149658359</v>
      </c>
    </row>
    <row r="86" spans="1:7">
      <c r="A86">
        <v>148</v>
      </c>
      <c r="B86">
        <v>5930838300</v>
      </c>
      <c r="C86">
        <v>23.72</v>
      </c>
      <c r="D86">
        <v>0</v>
      </c>
      <c r="E86">
        <v>837.45</v>
      </c>
      <c r="F86">
        <v>21594259</v>
      </c>
      <c r="G86">
        <v>152249108</v>
      </c>
    </row>
    <row r="87" spans="1:7">
      <c r="A87">
        <v>150</v>
      </c>
      <c r="B87">
        <v>7003672200</v>
      </c>
      <c r="C87">
        <v>28.02</v>
      </c>
      <c r="D87">
        <v>0</v>
      </c>
      <c r="E87">
        <v>850.22</v>
      </c>
      <c r="F87">
        <v>21955658</v>
      </c>
      <c r="G87">
        <v>154843728</v>
      </c>
    </row>
    <row r="88" spans="1:7">
      <c r="A88">
        <v>152</v>
      </c>
      <c r="B88">
        <v>6503114760</v>
      </c>
      <c r="C88">
        <v>26.01</v>
      </c>
      <c r="D88">
        <v>0</v>
      </c>
      <c r="E88">
        <v>860.99</v>
      </c>
      <c r="F88">
        <v>22314372</v>
      </c>
      <c r="G88">
        <v>157451452</v>
      </c>
    </row>
    <row r="89" spans="1:7">
      <c r="A89">
        <v>154</v>
      </c>
      <c r="B89">
        <v>5971272480</v>
      </c>
      <c r="C89">
        <v>23.88</v>
      </c>
      <c r="D89">
        <v>0</v>
      </c>
      <c r="E89">
        <v>869.92</v>
      </c>
      <c r="F89">
        <v>22674859</v>
      </c>
      <c r="G89">
        <v>160053793</v>
      </c>
    </row>
    <row r="90" spans="1:7">
      <c r="A90">
        <v>156</v>
      </c>
      <c r="B90">
        <v>7006230080</v>
      </c>
      <c r="C90">
        <v>28.02</v>
      </c>
      <c r="D90">
        <v>0</v>
      </c>
      <c r="E90">
        <v>877.18</v>
      </c>
      <c r="F90">
        <v>23034652</v>
      </c>
      <c r="G90">
        <v>162652571</v>
      </c>
    </row>
    <row r="91" spans="1:7">
      <c r="A91">
        <v>158</v>
      </c>
      <c r="B91">
        <v>6466025500</v>
      </c>
      <c r="C91">
        <v>25.86</v>
      </c>
      <c r="D91">
        <v>0</v>
      </c>
      <c r="E91">
        <v>882.94</v>
      </c>
      <c r="F91">
        <v>23395070</v>
      </c>
      <c r="G91">
        <v>165252112</v>
      </c>
    </row>
    <row r="92" spans="1:7">
      <c r="A92">
        <v>160</v>
      </c>
      <c r="B92">
        <v>6357610740</v>
      </c>
      <c r="C92">
        <v>25.43</v>
      </c>
      <c r="D92">
        <v>0</v>
      </c>
      <c r="E92">
        <v>887.4</v>
      </c>
      <c r="F92">
        <v>23754146</v>
      </c>
      <c r="G92">
        <v>167855958</v>
      </c>
    </row>
    <row r="93" spans="1:7">
      <c r="A93">
        <v>162</v>
      </c>
      <c r="B93">
        <v>6537941280</v>
      </c>
      <c r="C93">
        <v>26.15</v>
      </c>
      <c r="D93">
        <v>0</v>
      </c>
      <c r="E93">
        <v>890.71</v>
      </c>
      <c r="F93">
        <v>24110806</v>
      </c>
      <c r="G93">
        <v>170456290</v>
      </c>
    </row>
    <row r="94" spans="1:7">
      <c r="A94">
        <v>164</v>
      </c>
      <c r="B94">
        <v>6988423300</v>
      </c>
      <c r="C94">
        <v>27.95</v>
      </c>
      <c r="D94">
        <v>0</v>
      </c>
      <c r="E94">
        <v>893.03</v>
      </c>
      <c r="F94">
        <v>24467920</v>
      </c>
      <c r="G94">
        <v>173059730</v>
      </c>
    </row>
    <row r="95" spans="1:7">
      <c r="A95">
        <v>166</v>
      </c>
      <c r="B95">
        <v>4021676020</v>
      </c>
      <c r="C95">
        <v>16.09</v>
      </c>
      <c r="D95">
        <v>774</v>
      </c>
      <c r="E95">
        <v>630.13</v>
      </c>
      <c r="F95">
        <v>24715192</v>
      </c>
      <c r="G95">
        <v>174760018</v>
      </c>
    </row>
    <row r="96" spans="1:7">
      <c r="A96">
        <v>168</v>
      </c>
      <c r="B96">
        <v>4943595000</v>
      </c>
      <c r="C96">
        <v>19.78</v>
      </c>
      <c r="D96">
        <v>0</v>
      </c>
      <c r="E96">
        <v>652.66999999999996</v>
      </c>
      <c r="F96">
        <v>25051072</v>
      </c>
      <c r="G96">
        <v>176794225</v>
      </c>
    </row>
    <row r="97" spans="1:7">
      <c r="A97">
        <v>170</v>
      </c>
      <c r="B97">
        <v>5501409600</v>
      </c>
      <c r="C97">
        <v>22.01</v>
      </c>
      <c r="D97">
        <v>0</v>
      </c>
      <c r="E97">
        <v>672.08</v>
      </c>
      <c r="F97">
        <v>25390982</v>
      </c>
      <c r="G97">
        <v>178907588</v>
      </c>
    </row>
    <row r="98" spans="1:7">
      <c r="A98">
        <v>172</v>
      </c>
      <c r="B98">
        <v>5374105880</v>
      </c>
      <c r="C98">
        <v>21.5</v>
      </c>
      <c r="D98">
        <v>0</v>
      </c>
      <c r="E98">
        <v>688.88</v>
      </c>
      <c r="F98">
        <v>25737579</v>
      </c>
      <c r="G98">
        <v>181081781</v>
      </c>
    </row>
    <row r="99" spans="1:7">
      <c r="A99">
        <v>174</v>
      </c>
      <c r="B99">
        <v>5489800760</v>
      </c>
      <c r="C99">
        <v>21.96</v>
      </c>
      <c r="D99">
        <v>0</v>
      </c>
      <c r="E99">
        <v>703.61</v>
      </c>
      <c r="F99">
        <v>26077936</v>
      </c>
      <c r="G99">
        <v>183310217</v>
      </c>
    </row>
    <row r="100" spans="1:7">
      <c r="A100">
        <v>176</v>
      </c>
      <c r="B100">
        <v>5471698840</v>
      </c>
      <c r="C100">
        <v>21.89</v>
      </c>
      <c r="D100">
        <v>0</v>
      </c>
      <c r="E100">
        <v>715.8</v>
      </c>
      <c r="F100">
        <v>26409518</v>
      </c>
      <c r="G100">
        <v>185573408</v>
      </c>
    </row>
    <row r="101" spans="1:7">
      <c r="A101">
        <v>178</v>
      </c>
      <c r="B101">
        <v>4946152880</v>
      </c>
      <c r="C101">
        <v>19.78</v>
      </c>
      <c r="D101">
        <v>0</v>
      </c>
      <c r="E101">
        <v>726.45</v>
      </c>
      <c r="F101">
        <v>26746386</v>
      </c>
      <c r="G101">
        <v>187870983</v>
      </c>
    </row>
    <row r="102" spans="1:7">
      <c r="A102">
        <v>180</v>
      </c>
      <c r="B102">
        <v>6237193620</v>
      </c>
      <c r="C102">
        <v>24.95</v>
      </c>
      <c r="D102">
        <v>0</v>
      </c>
      <c r="E102">
        <v>735.05</v>
      </c>
      <c r="F102">
        <v>27085507</v>
      </c>
      <c r="G102">
        <v>190197993</v>
      </c>
    </row>
    <row r="103" spans="1:7">
      <c r="A103">
        <v>182</v>
      </c>
      <c r="B103">
        <v>5149110820</v>
      </c>
      <c r="C103">
        <v>20.6</v>
      </c>
      <c r="D103">
        <v>0</v>
      </c>
      <c r="E103">
        <v>742.14</v>
      </c>
      <c r="F103">
        <v>27423870</v>
      </c>
      <c r="G103">
        <v>192560934</v>
      </c>
    </row>
    <row r="104" spans="1:7">
      <c r="A104">
        <v>184</v>
      </c>
      <c r="B104">
        <v>6401881740</v>
      </c>
      <c r="C104">
        <v>25.61</v>
      </c>
      <c r="D104">
        <v>0</v>
      </c>
      <c r="E104">
        <v>747.64</v>
      </c>
      <c r="F104">
        <v>27761411</v>
      </c>
      <c r="G104">
        <v>194925772</v>
      </c>
    </row>
    <row r="105" spans="1:7">
      <c r="A105">
        <v>186</v>
      </c>
      <c r="B105">
        <v>5227027780</v>
      </c>
      <c r="C105">
        <v>20.91</v>
      </c>
      <c r="D105">
        <v>0</v>
      </c>
      <c r="E105">
        <v>751.85</v>
      </c>
      <c r="F105">
        <v>28099871</v>
      </c>
      <c r="G105">
        <v>197303700</v>
      </c>
    </row>
    <row r="106" spans="1:7">
      <c r="A106">
        <v>188</v>
      </c>
      <c r="B106">
        <v>6182002440</v>
      </c>
      <c r="C106">
        <v>24.73</v>
      </c>
      <c r="D106">
        <v>0</v>
      </c>
      <c r="E106">
        <v>754.96</v>
      </c>
      <c r="F106">
        <v>28439793</v>
      </c>
      <c r="G106">
        <v>199682118</v>
      </c>
    </row>
    <row r="107" spans="1:7">
      <c r="A107">
        <v>190</v>
      </c>
      <c r="B107">
        <v>5866301020</v>
      </c>
      <c r="C107">
        <v>23.47</v>
      </c>
      <c r="D107">
        <v>0</v>
      </c>
      <c r="E107">
        <v>757.16</v>
      </c>
      <c r="F107">
        <v>28781596</v>
      </c>
      <c r="G107">
        <v>202071771</v>
      </c>
    </row>
    <row r="108" spans="1:7">
      <c r="A108">
        <v>192</v>
      </c>
      <c r="B108">
        <v>5850658600</v>
      </c>
      <c r="C108">
        <v>23.4</v>
      </c>
      <c r="D108">
        <v>0</v>
      </c>
      <c r="E108">
        <v>758.54</v>
      </c>
      <c r="F108">
        <v>29127818</v>
      </c>
      <c r="G108">
        <v>204454746</v>
      </c>
    </row>
    <row r="109" spans="1:7">
      <c r="A109">
        <v>194</v>
      </c>
      <c r="B109">
        <v>5876532540</v>
      </c>
      <c r="C109">
        <v>23.51</v>
      </c>
      <c r="D109">
        <v>0</v>
      </c>
      <c r="E109">
        <v>759.33</v>
      </c>
      <c r="F109">
        <v>29475137</v>
      </c>
      <c r="G109">
        <v>206854682</v>
      </c>
    </row>
    <row r="110" spans="1:7">
      <c r="A110">
        <v>196</v>
      </c>
      <c r="B110">
        <v>5579916840</v>
      </c>
      <c r="C110">
        <v>22.32</v>
      </c>
      <c r="D110">
        <v>0</v>
      </c>
      <c r="E110">
        <v>759.69</v>
      </c>
      <c r="F110">
        <v>29823056</v>
      </c>
      <c r="G110">
        <v>209252826</v>
      </c>
    </row>
    <row r="111" spans="1:7">
      <c r="A111">
        <v>198</v>
      </c>
      <c r="B111">
        <v>6560076780</v>
      </c>
      <c r="C111">
        <v>26.24</v>
      </c>
      <c r="D111">
        <v>0</v>
      </c>
      <c r="E111">
        <v>759.78</v>
      </c>
      <c r="F111">
        <v>30171723</v>
      </c>
      <c r="G111">
        <v>211654680</v>
      </c>
    </row>
    <row r="112" spans="1:7">
      <c r="A112">
        <v>200</v>
      </c>
      <c r="B112">
        <v>5323932080</v>
      </c>
      <c r="C112">
        <v>21.3</v>
      </c>
      <c r="D112">
        <v>0</v>
      </c>
      <c r="E112">
        <v>759.78</v>
      </c>
      <c r="F112">
        <v>30520501</v>
      </c>
      <c r="G112">
        <v>214054938</v>
      </c>
    </row>
    <row r="113" spans="1:7">
      <c r="A113">
        <v>202</v>
      </c>
      <c r="B113">
        <v>5855675980</v>
      </c>
      <c r="C113">
        <v>23.42</v>
      </c>
      <c r="D113">
        <v>0</v>
      </c>
      <c r="E113">
        <v>759.88</v>
      </c>
      <c r="F113">
        <v>30870115</v>
      </c>
      <c r="G113">
        <v>216460201</v>
      </c>
    </row>
    <row r="114" spans="1:7">
      <c r="A114">
        <v>204</v>
      </c>
      <c r="B114">
        <v>6261198340</v>
      </c>
      <c r="C114">
        <v>25.04</v>
      </c>
      <c r="D114">
        <v>0</v>
      </c>
      <c r="E114">
        <v>760.22</v>
      </c>
      <c r="F114">
        <v>31218297</v>
      </c>
      <c r="G114">
        <v>218872716</v>
      </c>
    </row>
    <row r="115" spans="1:7">
      <c r="A115">
        <v>206</v>
      </c>
      <c r="B115">
        <v>6072308740</v>
      </c>
      <c r="C115">
        <v>24.29</v>
      </c>
      <c r="D115">
        <v>0</v>
      </c>
      <c r="E115">
        <v>761</v>
      </c>
      <c r="F115">
        <v>31564313</v>
      </c>
      <c r="G115">
        <v>221297901</v>
      </c>
    </row>
    <row r="116" spans="1:7">
      <c r="A116">
        <v>208</v>
      </c>
      <c r="B116">
        <v>5623400800</v>
      </c>
      <c r="C116">
        <v>22.49</v>
      </c>
      <c r="D116">
        <v>0</v>
      </c>
      <c r="E116">
        <v>762.38</v>
      </c>
      <c r="F116">
        <v>31912055</v>
      </c>
      <c r="G116">
        <v>223713482</v>
      </c>
    </row>
    <row r="117" spans="1:7">
      <c r="A117">
        <v>210</v>
      </c>
      <c r="B117">
        <v>6100543800</v>
      </c>
      <c r="C117">
        <v>24.4</v>
      </c>
      <c r="D117">
        <v>0</v>
      </c>
      <c r="E117">
        <v>764.52</v>
      </c>
      <c r="F117">
        <v>32260809</v>
      </c>
      <c r="G117">
        <v>226140543</v>
      </c>
    </row>
    <row r="118" spans="1:7">
      <c r="A118">
        <v>212</v>
      </c>
      <c r="B118">
        <v>5562798720</v>
      </c>
      <c r="C118">
        <v>22.25</v>
      </c>
      <c r="D118">
        <v>0</v>
      </c>
      <c r="E118">
        <v>767.6</v>
      </c>
      <c r="F118">
        <v>32610804</v>
      </c>
      <c r="G118">
        <v>228556306</v>
      </c>
    </row>
    <row r="119" spans="1:7">
      <c r="A119">
        <v>214</v>
      </c>
      <c r="B119">
        <v>6228339420</v>
      </c>
      <c r="C119">
        <v>24.91</v>
      </c>
      <c r="D119">
        <v>0</v>
      </c>
      <c r="E119">
        <v>771.84</v>
      </c>
      <c r="F119">
        <v>32964930</v>
      </c>
      <c r="G119">
        <v>230993643</v>
      </c>
    </row>
    <row r="120" spans="1:7">
      <c r="A120">
        <v>216</v>
      </c>
      <c r="B120">
        <v>5514690900</v>
      </c>
      <c r="C120">
        <v>22.06</v>
      </c>
      <c r="D120">
        <v>0</v>
      </c>
      <c r="E120">
        <v>777.34</v>
      </c>
      <c r="F120">
        <v>33316439</v>
      </c>
      <c r="G120">
        <v>233439072</v>
      </c>
    </row>
    <row r="121" spans="1:7">
      <c r="A121">
        <v>218</v>
      </c>
      <c r="B121">
        <v>6529775740</v>
      </c>
      <c r="C121">
        <v>26.12</v>
      </c>
      <c r="D121">
        <v>0</v>
      </c>
      <c r="E121">
        <v>784.27</v>
      </c>
      <c r="F121">
        <v>33669239</v>
      </c>
      <c r="G121">
        <v>235897857</v>
      </c>
    </row>
    <row r="122" spans="1:7">
      <c r="A122">
        <v>220</v>
      </c>
      <c r="B122">
        <v>6344329440</v>
      </c>
      <c r="C122">
        <v>25.38</v>
      </c>
      <c r="D122">
        <v>0</v>
      </c>
      <c r="E122">
        <v>792.84</v>
      </c>
      <c r="F122">
        <v>34023088</v>
      </c>
      <c r="G122">
        <v>238357433</v>
      </c>
    </row>
    <row r="123" spans="1:7">
      <c r="A123">
        <v>222</v>
      </c>
      <c r="B123">
        <v>5711254140</v>
      </c>
      <c r="C123">
        <v>22.84</v>
      </c>
      <c r="D123">
        <v>0</v>
      </c>
      <c r="E123">
        <v>803.29</v>
      </c>
      <c r="F123">
        <v>34376516</v>
      </c>
      <c r="G123">
        <v>240858820</v>
      </c>
    </row>
    <row r="124" spans="1:7">
      <c r="A124">
        <v>224</v>
      </c>
      <c r="B124">
        <v>6503409900</v>
      </c>
      <c r="C124">
        <v>26.01</v>
      </c>
      <c r="D124">
        <v>0</v>
      </c>
      <c r="E124">
        <v>815.63</v>
      </c>
      <c r="F124">
        <v>34734650</v>
      </c>
      <c r="G124">
        <v>243380346</v>
      </c>
    </row>
    <row r="125" spans="1:7">
      <c r="A125">
        <v>226</v>
      </c>
      <c r="B125">
        <v>6359971860</v>
      </c>
      <c r="C125">
        <v>25.44</v>
      </c>
      <c r="D125">
        <v>0</v>
      </c>
      <c r="E125">
        <v>830.13</v>
      </c>
      <c r="F125">
        <v>35096154</v>
      </c>
      <c r="G125">
        <v>245932714</v>
      </c>
    </row>
    <row r="126" spans="1:7">
      <c r="A126">
        <v>228</v>
      </c>
      <c r="B126">
        <v>6637501840</v>
      </c>
      <c r="C126">
        <v>26.55</v>
      </c>
      <c r="D126">
        <v>0</v>
      </c>
      <c r="E126">
        <v>846.96</v>
      </c>
      <c r="F126">
        <v>35454207</v>
      </c>
      <c r="G126">
        <v>248506180</v>
      </c>
    </row>
    <row r="127" spans="1:7">
      <c r="A127">
        <v>230</v>
      </c>
      <c r="B127">
        <v>6555256160</v>
      </c>
      <c r="C127">
        <v>26.22</v>
      </c>
      <c r="D127">
        <v>0</v>
      </c>
      <c r="E127">
        <v>866.29</v>
      </c>
      <c r="F127">
        <v>35806130</v>
      </c>
      <c r="G127">
        <v>251088508</v>
      </c>
    </row>
    <row r="128" spans="1:7">
      <c r="A128">
        <v>232</v>
      </c>
      <c r="B128">
        <v>6439659660</v>
      </c>
      <c r="C128">
        <v>25.76</v>
      </c>
      <c r="D128">
        <v>0</v>
      </c>
      <c r="E128">
        <v>888.25</v>
      </c>
      <c r="F128">
        <v>36156341</v>
      </c>
      <c r="G128">
        <v>253682358</v>
      </c>
    </row>
    <row r="129" spans="1:7">
      <c r="A129">
        <v>234</v>
      </c>
      <c r="B129">
        <v>7045975600</v>
      </c>
      <c r="C129">
        <v>28.18</v>
      </c>
      <c r="D129">
        <v>0</v>
      </c>
      <c r="E129">
        <v>907.18</v>
      </c>
      <c r="F129">
        <v>36509651</v>
      </c>
      <c r="G129">
        <v>256285394</v>
      </c>
    </row>
    <row r="130" spans="1:7">
      <c r="A130">
        <v>236</v>
      </c>
      <c r="B130">
        <v>6052927880</v>
      </c>
      <c r="C130">
        <v>24.21</v>
      </c>
      <c r="D130">
        <v>0</v>
      </c>
      <c r="E130">
        <v>907.18</v>
      </c>
      <c r="F130">
        <v>36864507</v>
      </c>
      <c r="G130">
        <v>258890185</v>
      </c>
    </row>
    <row r="131" spans="1:7">
      <c r="A131">
        <v>238</v>
      </c>
      <c r="B131">
        <v>7028660720</v>
      </c>
      <c r="C131">
        <v>28.11</v>
      </c>
      <c r="D131">
        <v>0</v>
      </c>
      <c r="E131">
        <v>907.18</v>
      </c>
      <c r="F131">
        <v>37217385</v>
      </c>
      <c r="G131">
        <v>261502399</v>
      </c>
    </row>
    <row r="132" spans="1:7">
      <c r="A132">
        <v>240</v>
      </c>
      <c r="B132">
        <v>6553485320</v>
      </c>
      <c r="C132">
        <v>26.21</v>
      </c>
      <c r="D132">
        <v>0</v>
      </c>
      <c r="E132">
        <v>907.18</v>
      </c>
      <c r="F132">
        <v>37575921</v>
      </c>
      <c r="G132">
        <v>264121669</v>
      </c>
    </row>
    <row r="133" spans="1:7">
      <c r="A133">
        <v>242</v>
      </c>
      <c r="B133">
        <v>6049681340</v>
      </c>
      <c r="C133">
        <v>24.2</v>
      </c>
      <c r="D133">
        <v>0</v>
      </c>
      <c r="E133">
        <v>924.53</v>
      </c>
      <c r="F133">
        <v>37932790</v>
      </c>
      <c r="G133">
        <v>266744669</v>
      </c>
    </row>
    <row r="134" spans="1:7">
      <c r="A134">
        <v>244</v>
      </c>
      <c r="B134">
        <v>5989177640</v>
      </c>
      <c r="C134">
        <v>23.96</v>
      </c>
      <c r="D134">
        <v>196</v>
      </c>
      <c r="E134">
        <v>647.35</v>
      </c>
      <c r="F134">
        <v>38242463</v>
      </c>
      <c r="G134">
        <v>268813791</v>
      </c>
    </row>
    <row r="135" spans="1:7">
      <c r="A135">
        <v>246</v>
      </c>
      <c r="B135">
        <v>4988751420</v>
      </c>
      <c r="C135">
        <v>19.96</v>
      </c>
      <c r="D135">
        <v>0</v>
      </c>
      <c r="E135">
        <v>681.64</v>
      </c>
      <c r="F135">
        <v>38570851</v>
      </c>
      <c r="G135">
        <v>271068677</v>
      </c>
    </row>
    <row r="136" spans="1:7">
      <c r="A136">
        <v>248</v>
      </c>
      <c r="B136">
        <v>5093329360</v>
      </c>
      <c r="C136">
        <v>20.37</v>
      </c>
      <c r="D136">
        <v>0</v>
      </c>
      <c r="E136">
        <v>716.31</v>
      </c>
      <c r="F136">
        <v>38927168</v>
      </c>
      <c r="G136">
        <v>273468116</v>
      </c>
    </row>
    <row r="137" spans="1:7">
      <c r="A137">
        <v>250</v>
      </c>
      <c r="B137">
        <v>5619563980</v>
      </c>
      <c r="C137">
        <v>22.48</v>
      </c>
      <c r="D137">
        <v>0</v>
      </c>
      <c r="E137">
        <v>747.27</v>
      </c>
      <c r="F137">
        <v>39281192</v>
      </c>
      <c r="G137">
        <v>275938507</v>
      </c>
    </row>
    <row r="138" spans="1:7">
      <c r="A138">
        <v>252</v>
      </c>
      <c r="B138">
        <v>5640322160</v>
      </c>
      <c r="C138">
        <v>22.56</v>
      </c>
      <c r="D138">
        <v>0</v>
      </c>
      <c r="E138">
        <v>773.84</v>
      </c>
      <c r="F138">
        <v>39634378</v>
      </c>
      <c r="G138">
        <v>278455623</v>
      </c>
    </row>
    <row r="139" spans="1:7">
      <c r="A139">
        <v>254</v>
      </c>
      <c r="B139">
        <v>6794811460</v>
      </c>
      <c r="C139">
        <v>27.18</v>
      </c>
      <c r="D139">
        <v>0</v>
      </c>
      <c r="E139">
        <v>799.06</v>
      </c>
      <c r="F139">
        <v>39994424</v>
      </c>
      <c r="G139">
        <v>281002643</v>
      </c>
    </row>
    <row r="140" spans="1:7">
      <c r="A140">
        <v>256</v>
      </c>
      <c r="B140">
        <v>5679575780</v>
      </c>
      <c r="C140">
        <v>22.72</v>
      </c>
      <c r="D140">
        <v>0</v>
      </c>
      <c r="E140">
        <v>820.67</v>
      </c>
      <c r="F140">
        <v>40370420</v>
      </c>
      <c r="G140">
        <v>283594757</v>
      </c>
    </row>
    <row r="141" spans="1:7">
      <c r="A141">
        <v>258</v>
      </c>
      <c r="B141">
        <v>6541482960</v>
      </c>
      <c r="C141">
        <v>26.17</v>
      </c>
      <c r="D141">
        <v>0</v>
      </c>
      <c r="E141">
        <v>839.68</v>
      </c>
      <c r="F141">
        <v>40747044</v>
      </c>
      <c r="G141">
        <v>286190672</v>
      </c>
    </row>
    <row r="142" spans="1:7">
      <c r="A142">
        <v>260</v>
      </c>
      <c r="B142">
        <v>6353478780</v>
      </c>
      <c r="C142">
        <v>25.41</v>
      </c>
      <c r="D142">
        <v>0</v>
      </c>
      <c r="E142">
        <v>856.23</v>
      </c>
      <c r="F142">
        <v>41116817</v>
      </c>
      <c r="G142">
        <v>288788904</v>
      </c>
    </row>
    <row r="143" spans="1:7">
      <c r="A143">
        <v>262</v>
      </c>
      <c r="B143">
        <v>6672918640</v>
      </c>
      <c r="C143">
        <v>26.69</v>
      </c>
      <c r="D143">
        <v>0</v>
      </c>
      <c r="E143">
        <v>870.42</v>
      </c>
      <c r="F143">
        <v>41483984</v>
      </c>
      <c r="G143">
        <v>291394185</v>
      </c>
    </row>
    <row r="144" spans="1:7">
      <c r="A144">
        <v>264</v>
      </c>
      <c r="B144">
        <v>6438577480</v>
      </c>
      <c r="C144">
        <v>25.75</v>
      </c>
      <c r="D144">
        <v>0</v>
      </c>
      <c r="E144">
        <v>882.51</v>
      </c>
      <c r="F144">
        <v>41851792</v>
      </c>
      <c r="G144">
        <v>294001587</v>
      </c>
    </row>
    <row r="145" spans="1:7">
      <c r="A145">
        <v>266</v>
      </c>
      <c r="B145">
        <v>5050534060</v>
      </c>
      <c r="C145">
        <v>20.2</v>
      </c>
      <c r="D145">
        <v>153</v>
      </c>
      <c r="E145">
        <v>627.74</v>
      </c>
      <c r="F145">
        <v>42140850</v>
      </c>
      <c r="G145">
        <v>295869702</v>
      </c>
    </row>
    <row r="146" spans="1:7">
      <c r="A146">
        <v>268</v>
      </c>
      <c r="B146">
        <v>5110250720</v>
      </c>
      <c r="C146">
        <v>20.440000000000001</v>
      </c>
      <c r="D146">
        <v>0</v>
      </c>
      <c r="E146">
        <v>649.39</v>
      </c>
      <c r="F146">
        <v>42487986</v>
      </c>
      <c r="G146">
        <v>297983415</v>
      </c>
    </row>
    <row r="147" spans="1:7">
      <c r="A147">
        <v>270</v>
      </c>
      <c r="B147">
        <v>4571718600</v>
      </c>
      <c r="C147">
        <v>18.29</v>
      </c>
      <c r="D147">
        <v>0</v>
      </c>
      <c r="E147">
        <v>668.51</v>
      </c>
      <c r="F147">
        <v>42841462</v>
      </c>
      <c r="G147">
        <v>300171629</v>
      </c>
    </row>
    <row r="148" spans="1:7">
      <c r="A148">
        <v>272</v>
      </c>
      <c r="B148">
        <v>5566143640</v>
      </c>
      <c r="C148">
        <v>22.26</v>
      </c>
      <c r="D148">
        <v>0</v>
      </c>
      <c r="E148">
        <v>685.01</v>
      </c>
      <c r="F148">
        <v>43200764</v>
      </c>
      <c r="G148">
        <v>302407121</v>
      </c>
    </row>
    <row r="149" spans="1:7">
      <c r="A149">
        <v>274</v>
      </c>
      <c r="B149">
        <v>5336229580</v>
      </c>
      <c r="C149">
        <v>21.34</v>
      </c>
      <c r="D149">
        <v>0</v>
      </c>
      <c r="E149">
        <v>699.21</v>
      </c>
      <c r="F149">
        <v>43566390</v>
      </c>
      <c r="G149">
        <v>304696163</v>
      </c>
    </row>
    <row r="150" spans="1:7">
      <c r="A150">
        <v>276</v>
      </c>
      <c r="B150">
        <v>5645634680</v>
      </c>
      <c r="C150">
        <v>22.58</v>
      </c>
      <c r="D150">
        <v>0</v>
      </c>
      <c r="E150">
        <v>711.38</v>
      </c>
      <c r="F150">
        <v>43929711</v>
      </c>
      <c r="G150">
        <v>307034226</v>
      </c>
    </row>
    <row r="151" spans="1:7">
      <c r="A151">
        <v>278</v>
      </c>
      <c r="B151">
        <v>5565061460</v>
      </c>
      <c r="C151">
        <v>22.26</v>
      </c>
      <c r="D151">
        <v>0</v>
      </c>
      <c r="E151">
        <v>721.6</v>
      </c>
      <c r="F151">
        <v>44290062</v>
      </c>
      <c r="G151">
        <v>309408031</v>
      </c>
    </row>
    <row r="152" spans="1:7">
      <c r="A152">
        <v>280</v>
      </c>
      <c r="B152">
        <v>5452416360</v>
      </c>
      <c r="C152">
        <v>21.81</v>
      </c>
      <c r="D152">
        <v>0</v>
      </c>
      <c r="E152">
        <v>729.97</v>
      </c>
      <c r="F152">
        <v>44651490</v>
      </c>
      <c r="G152">
        <v>311803410</v>
      </c>
    </row>
    <row r="153" spans="1:7">
      <c r="A153">
        <v>282</v>
      </c>
      <c r="B153">
        <v>5882336960</v>
      </c>
      <c r="C153">
        <v>23.53</v>
      </c>
      <c r="D153">
        <v>0</v>
      </c>
      <c r="E153">
        <v>736.73</v>
      </c>
      <c r="F153">
        <v>45013717</v>
      </c>
      <c r="G153">
        <v>314214217</v>
      </c>
    </row>
    <row r="154" spans="1:7">
      <c r="A154">
        <v>284</v>
      </c>
      <c r="B154">
        <v>5717845600</v>
      </c>
      <c r="C154">
        <v>22.87</v>
      </c>
      <c r="D154">
        <v>0</v>
      </c>
      <c r="E154">
        <v>742.08</v>
      </c>
      <c r="F154">
        <v>45387535</v>
      </c>
      <c r="G154">
        <v>316653570</v>
      </c>
    </row>
    <row r="155" spans="1:7">
      <c r="A155">
        <v>286</v>
      </c>
      <c r="B155">
        <v>5229585660</v>
      </c>
      <c r="C155">
        <v>20.92</v>
      </c>
      <c r="D155">
        <v>0</v>
      </c>
      <c r="E155">
        <v>746.17</v>
      </c>
      <c r="F155">
        <v>45760050</v>
      </c>
      <c r="G155">
        <v>319097333</v>
      </c>
    </row>
    <row r="156" spans="1:7">
      <c r="A156">
        <v>288</v>
      </c>
      <c r="B156">
        <v>6220075500</v>
      </c>
      <c r="C156">
        <v>24.88</v>
      </c>
      <c r="D156">
        <v>0</v>
      </c>
      <c r="E156">
        <v>749.14</v>
      </c>
      <c r="F156">
        <v>46134234</v>
      </c>
      <c r="G156">
        <v>321556706</v>
      </c>
    </row>
    <row r="157" spans="1:7">
      <c r="A157">
        <v>290</v>
      </c>
      <c r="B157">
        <v>5745293620</v>
      </c>
      <c r="C157">
        <v>22.98</v>
      </c>
      <c r="D157">
        <v>0</v>
      </c>
      <c r="E157">
        <v>751.18</v>
      </c>
      <c r="F157">
        <v>46511792</v>
      </c>
      <c r="G157">
        <v>324024521</v>
      </c>
    </row>
    <row r="158" spans="1:7">
      <c r="A158">
        <v>292</v>
      </c>
      <c r="B158">
        <v>5723256500</v>
      </c>
      <c r="C158">
        <v>22.89</v>
      </c>
      <c r="D158">
        <v>0</v>
      </c>
      <c r="E158">
        <v>752.48</v>
      </c>
      <c r="F158">
        <v>46889492</v>
      </c>
      <c r="G158">
        <v>326497747</v>
      </c>
    </row>
    <row r="159" spans="1:7">
      <c r="A159">
        <v>294</v>
      </c>
      <c r="B159">
        <v>5614940120</v>
      </c>
      <c r="C159">
        <v>22.46</v>
      </c>
      <c r="D159">
        <v>0</v>
      </c>
      <c r="E159">
        <v>753.21</v>
      </c>
      <c r="F159">
        <v>47271726</v>
      </c>
      <c r="G159">
        <v>328974242</v>
      </c>
    </row>
    <row r="160" spans="1:7">
      <c r="A160">
        <v>296</v>
      </c>
      <c r="B160">
        <v>6345313240</v>
      </c>
      <c r="C160">
        <v>25.38</v>
      </c>
      <c r="D160">
        <v>0</v>
      </c>
      <c r="E160">
        <v>753.52</v>
      </c>
      <c r="F160">
        <v>47653527</v>
      </c>
      <c r="G160">
        <v>331452613</v>
      </c>
    </row>
    <row r="161" spans="1:156">
      <c r="A161">
        <v>298</v>
      </c>
      <c r="B161">
        <v>5911654200</v>
      </c>
      <c r="C161">
        <v>23.65</v>
      </c>
      <c r="D161">
        <v>0</v>
      </c>
      <c r="E161">
        <v>753.59</v>
      </c>
      <c r="F161">
        <v>48032400</v>
      </c>
      <c r="G161">
        <v>333921093</v>
      </c>
    </row>
    <row r="162" spans="1:156">
      <c r="A162" t="s">
        <v>74</v>
      </c>
      <c r="B162" t="s">
        <v>47</v>
      </c>
      <c r="EM162" t="s">
        <v>108</v>
      </c>
      <c r="EN162" t="s">
        <v>93</v>
      </c>
      <c r="EO162" t="s">
        <v>109</v>
      </c>
      <c r="EP162" t="s">
        <v>110</v>
      </c>
      <c r="EQ162" t="s">
        <v>111</v>
      </c>
      <c r="ER162" t="s">
        <v>112</v>
      </c>
      <c r="ES162" t="s">
        <v>113</v>
      </c>
      <c r="ET162" t="s">
        <v>114</v>
      </c>
      <c r="EU162" t="s">
        <v>115</v>
      </c>
      <c r="EV162" t="s">
        <v>116</v>
      </c>
      <c r="EW162" t="s">
        <v>117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8539298</v>
      </c>
      <c r="D164">
        <v>0</v>
      </c>
      <c r="E164">
        <v>35.131500000000003</v>
      </c>
      <c r="F164" s="4">
        <v>301998000</v>
      </c>
      <c r="G164">
        <v>22402.7</v>
      </c>
      <c r="H164">
        <v>336793119</v>
      </c>
      <c r="I164">
        <v>1577</v>
      </c>
      <c r="J164">
        <v>4.6823999999999998E-4</v>
      </c>
      <c r="K164" t="s">
        <v>118</v>
      </c>
      <c r="L164">
        <v>0</v>
      </c>
      <c r="M164">
        <v>8539298</v>
      </c>
      <c r="N164">
        <v>840096137240</v>
      </c>
      <c r="O164">
        <v>35.122500000000002</v>
      </c>
      <c r="P164">
        <v>299921223</v>
      </c>
      <c r="Q164">
        <v>22408.400000000001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102</v>
      </c>
      <c r="CC164">
        <v>48520124</v>
      </c>
      <c r="CD164">
        <v>0</v>
      </c>
      <c r="CE164">
        <v>336793119</v>
      </c>
      <c r="CF164">
        <v>0</v>
      </c>
      <c r="CG164">
        <v>22261</v>
      </c>
      <c r="CH164" t="s">
        <v>121</v>
      </c>
      <c r="CI164" t="s">
        <v>208</v>
      </c>
      <c r="CJ164" t="s">
        <v>47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209</v>
      </c>
      <c r="CT164" t="s">
        <v>47</v>
      </c>
      <c r="CU164">
        <v>336889783</v>
      </c>
      <c r="CV164">
        <v>3035920513498</v>
      </c>
      <c r="CW164">
        <v>0</v>
      </c>
      <c r="CX164">
        <v>0</v>
      </c>
      <c r="CY164">
        <v>48599208</v>
      </c>
      <c r="CZ164">
        <v>3218478007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56270895</v>
      </c>
      <c r="DP164">
        <v>3016612358254</v>
      </c>
      <c r="DQ164">
        <v>0</v>
      </c>
      <c r="DR164">
        <v>0</v>
      </c>
      <c r="DS164">
        <v>48598551</v>
      </c>
      <c r="DT164">
        <v>3218201284</v>
      </c>
      <c r="DU164">
        <v>0</v>
      </c>
      <c r="DV164">
        <v>0</v>
      </c>
      <c r="DW164" t="s">
        <v>211</v>
      </c>
      <c r="DX164" t="s">
        <v>47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56270343</v>
      </c>
      <c r="EI164">
        <v>0</v>
      </c>
      <c r="EJ164">
        <v>48598203</v>
      </c>
      <c r="EK164">
        <v>24</v>
      </c>
      <c r="EL164">
        <v>0</v>
      </c>
      <c r="EM164" t="s">
        <v>108</v>
      </c>
      <c r="EN164" t="s">
        <v>212</v>
      </c>
      <c r="EO164">
        <v>336889785</v>
      </c>
      <c r="EP164">
        <v>48599210</v>
      </c>
      <c r="EQ164">
        <v>336896307</v>
      </c>
      <c r="ER164">
        <v>48599209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47</v>
      </c>
    </row>
    <row r="182" spans="1:9">
      <c r="A182" t="s">
        <v>146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9A05-B0D8-4428-80C8-FFBEE4E5928A}">
  <sheetPr codeName="Sheet12"/>
  <dimension ref="A1:EZ228"/>
  <sheetViews>
    <sheetView topLeftCell="A157" workbookViewId="0"/>
  </sheetViews>
  <sheetFormatPr defaultRowHeight="12.5"/>
  <sheetData>
    <row r="1" spans="1:7">
      <c r="A1" t="s">
        <v>264</v>
      </c>
      <c r="B1">
        <v>24</v>
      </c>
      <c r="C1" t="s">
        <v>257</v>
      </c>
      <c r="D1" t="s">
        <v>60</v>
      </c>
      <c r="E1" t="s">
        <v>262</v>
      </c>
    </row>
    <row r="2" spans="1:7">
      <c r="A2" t="s">
        <v>61</v>
      </c>
      <c r="B2" t="s">
        <v>248</v>
      </c>
      <c r="C2">
        <v>4</v>
      </c>
    </row>
    <row r="3" spans="1:7">
      <c r="A3" t="s">
        <v>249</v>
      </c>
    </row>
    <row r="4" spans="1:7">
      <c r="A4" t="s">
        <v>270</v>
      </c>
    </row>
    <row r="5" spans="1:7">
      <c r="A5" t="s">
        <v>62</v>
      </c>
      <c r="B5" t="s">
        <v>197</v>
      </c>
      <c r="C5" t="s">
        <v>63</v>
      </c>
      <c r="D5" t="s">
        <v>216</v>
      </c>
    </row>
    <row r="6" spans="1:7">
      <c r="A6" t="s">
        <v>271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194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21053320</v>
      </c>
      <c r="C13">
        <v>0.08</v>
      </c>
      <c r="D13">
        <v>0</v>
      </c>
      <c r="E13">
        <v>5.65</v>
      </c>
      <c r="F13">
        <v>812</v>
      </c>
      <c r="G13">
        <v>3048</v>
      </c>
    </row>
    <row r="14" spans="1:7">
      <c r="A14">
        <v>4</v>
      </c>
      <c r="B14">
        <v>202957940</v>
      </c>
      <c r="C14">
        <v>0.81</v>
      </c>
      <c r="D14">
        <v>0</v>
      </c>
      <c r="E14">
        <v>24.35</v>
      </c>
      <c r="F14">
        <v>6506</v>
      </c>
      <c r="G14">
        <v>38013</v>
      </c>
    </row>
    <row r="15" spans="1:7">
      <c r="A15">
        <v>6</v>
      </c>
      <c r="B15">
        <v>227552940</v>
      </c>
      <c r="C15">
        <v>0.91</v>
      </c>
      <c r="D15">
        <v>0</v>
      </c>
      <c r="E15">
        <v>35.479999999999997</v>
      </c>
      <c r="F15">
        <v>15121</v>
      </c>
      <c r="G15">
        <v>91622</v>
      </c>
    </row>
    <row r="16" spans="1:7">
      <c r="A16">
        <v>8</v>
      </c>
      <c r="B16">
        <v>374237520</v>
      </c>
      <c r="C16">
        <v>1.5</v>
      </c>
      <c r="D16">
        <v>0</v>
      </c>
      <c r="E16">
        <v>51.72</v>
      </c>
      <c r="F16">
        <v>27910</v>
      </c>
      <c r="G16">
        <v>169868</v>
      </c>
    </row>
    <row r="17" spans="1:7">
      <c r="A17">
        <v>10</v>
      </c>
      <c r="B17">
        <v>552797220</v>
      </c>
      <c r="C17">
        <v>2.21</v>
      </c>
      <c r="D17">
        <v>0</v>
      </c>
      <c r="E17">
        <v>75.97</v>
      </c>
      <c r="F17">
        <v>47596</v>
      </c>
      <c r="G17">
        <v>287471</v>
      </c>
    </row>
    <row r="18" spans="1:7">
      <c r="A18">
        <v>12</v>
      </c>
      <c r="B18">
        <v>835147820</v>
      </c>
      <c r="C18">
        <v>3.34</v>
      </c>
      <c r="D18">
        <v>0</v>
      </c>
      <c r="E18">
        <v>110.78</v>
      </c>
      <c r="F18">
        <v>77438</v>
      </c>
      <c r="G18">
        <v>457551</v>
      </c>
    </row>
    <row r="19" spans="1:7">
      <c r="A19">
        <v>14</v>
      </c>
      <c r="B19">
        <v>1245392420</v>
      </c>
      <c r="C19">
        <v>4.9800000000000004</v>
      </c>
      <c r="D19">
        <v>0</v>
      </c>
      <c r="E19">
        <v>161.51</v>
      </c>
      <c r="F19">
        <v>120306</v>
      </c>
      <c r="G19">
        <v>706909</v>
      </c>
    </row>
    <row r="20" spans="1:7">
      <c r="A20">
        <v>16</v>
      </c>
      <c r="B20">
        <v>1492818120</v>
      </c>
      <c r="C20">
        <v>5.97</v>
      </c>
      <c r="D20">
        <v>0</v>
      </c>
      <c r="E20">
        <v>235.51</v>
      </c>
      <c r="F20">
        <v>177790</v>
      </c>
      <c r="G20">
        <v>1071552</v>
      </c>
    </row>
    <row r="21" spans="1:7">
      <c r="A21">
        <v>18</v>
      </c>
      <c r="B21">
        <v>2564766600</v>
      </c>
      <c r="C21">
        <v>10.26</v>
      </c>
      <c r="D21">
        <v>0</v>
      </c>
      <c r="E21">
        <v>344.41</v>
      </c>
      <c r="F21">
        <v>259150</v>
      </c>
      <c r="G21">
        <v>1612420</v>
      </c>
    </row>
    <row r="22" spans="1:7">
      <c r="A22">
        <v>20</v>
      </c>
      <c r="B22">
        <v>3539023740</v>
      </c>
      <c r="C22">
        <v>14.16</v>
      </c>
      <c r="D22">
        <v>0</v>
      </c>
      <c r="E22">
        <v>496.78</v>
      </c>
      <c r="F22">
        <v>378043</v>
      </c>
      <c r="G22">
        <v>2390233</v>
      </c>
    </row>
    <row r="23" spans="1:7">
      <c r="A23">
        <v>22</v>
      </c>
      <c r="B23">
        <v>4400143880</v>
      </c>
      <c r="C23">
        <v>17.600000000000001</v>
      </c>
      <c r="D23">
        <v>0</v>
      </c>
      <c r="E23">
        <v>663.86</v>
      </c>
      <c r="F23">
        <v>548582</v>
      </c>
      <c r="G23">
        <v>3470683</v>
      </c>
    </row>
    <row r="24" spans="1:7">
      <c r="A24">
        <v>24</v>
      </c>
      <c r="B24">
        <v>6312060800</v>
      </c>
      <c r="C24">
        <v>25.25</v>
      </c>
      <c r="D24">
        <v>0</v>
      </c>
      <c r="E24">
        <v>852.47</v>
      </c>
      <c r="F24">
        <v>692486</v>
      </c>
      <c r="G24">
        <v>4892257</v>
      </c>
    </row>
    <row r="25" spans="1:7">
      <c r="A25">
        <v>26</v>
      </c>
      <c r="B25">
        <v>5808945480</v>
      </c>
      <c r="C25">
        <v>23.24</v>
      </c>
      <c r="D25">
        <v>0</v>
      </c>
      <c r="E25">
        <v>874.14</v>
      </c>
      <c r="F25">
        <v>818327</v>
      </c>
      <c r="G25">
        <v>6460996</v>
      </c>
    </row>
    <row r="26" spans="1:7">
      <c r="A26">
        <v>28</v>
      </c>
      <c r="B26">
        <v>6383779820</v>
      </c>
      <c r="C26">
        <v>25.54</v>
      </c>
      <c r="D26">
        <v>0</v>
      </c>
      <c r="E26">
        <v>874.14</v>
      </c>
      <c r="F26">
        <v>952374</v>
      </c>
      <c r="G26">
        <v>8007636</v>
      </c>
    </row>
    <row r="27" spans="1:7">
      <c r="A27">
        <v>30</v>
      </c>
      <c r="B27">
        <v>5252901720</v>
      </c>
      <c r="C27">
        <v>21.01</v>
      </c>
      <c r="D27">
        <v>0</v>
      </c>
      <c r="E27">
        <v>874.14</v>
      </c>
      <c r="F27">
        <v>1095083</v>
      </c>
      <c r="G27">
        <v>9617084</v>
      </c>
    </row>
    <row r="28" spans="1:7">
      <c r="A28">
        <v>32</v>
      </c>
      <c r="B28">
        <v>5815733700</v>
      </c>
      <c r="C28">
        <v>23.26</v>
      </c>
      <c r="D28">
        <v>0</v>
      </c>
      <c r="E28">
        <v>874.14</v>
      </c>
      <c r="F28">
        <v>1248444</v>
      </c>
      <c r="G28">
        <v>11337665</v>
      </c>
    </row>
    <row r="29" spans="1:7">
      <c r="A29">
        <v>34</v>
      </c>
      <c r="B29">
        <v>5921197060</v>
      </c>
      <c r="C29">
        <v>23.68</v>
      </c>
      <c r="D29">
        <v>0</v>
      </c>
      <c r="E29">
        <v>874.14</v>
      </c>
      <c r="F29">
        <v>1428807</v>
      </c>
      <c r="G29">
        <v>13217997</v>
      </c>
    </row>
    <row r="30" spans="1:7">
      <c r="A30">
        <v>36</v>
      </c>
      <c r="B30">
        <v>5384730920</v>
      </c>
      <c r="C30">
        <v>21.54</v>
      </c>
      <c r="D30">
        <v>0</v>
      </c>
      <c r="E30">
        <v>874.14</v>
      </c>
      <c r="F30">
        <v>1650551</v>
      </c>
      <c r="G30">
        <v>15311380</v>
      </c>
    </row>
    <row r="31" spans="1:7">
      <c r="A31">
        <v>38</v>
      </c>
      <c r="B31">
        <v>5862759340</v>
      </c>
      <c r="C31">
        <v>23.45</v>
      </c>
      <c r="D31">
        <v>0</v>
      </c>
      <c r="E31">
        <v>874.14</v>
      </c>
      <c r="F31">
        <v>1912903</v>
      </c>
      <c r="G31">
        <v>17669164</v>
      </c>
    </row>
    <row r="32" spans="1:7">
      <c r="A32">
        <v>40</v>
      </c>
      <c r="B32">
        <v>5366038720</v>
      </c>
      <c r="C32">
        <v>21.46</v>
      </c>
      <c r="D32">
        <v>0</v>
      </c>
      <c r="E32">
        <v>874.14</v>
      </c>
      <c r="F32">
        <v>2209205</v>
      </c>
      <c r="G32">
        <v>20261575</v>
      </c>
    </row>
    <row r="33" spans="1:7">
      <c r="A33">
        <v>42</v>
      </c>
      <c r="B33">
        <v>5350199540</v>
      </c>
      <c r="C33">
        <v>21.4</v>
      </c>
      <c r="D33">
        <v>0</v>
      </c>
      <c r="E33">
        <v>874.14</v>
      </c>
      <c r="F33">
        <v>2515091</v>
      </c>
      <c r="G33">
        <v>22879618</v>
      </c>
    </row>
    <row r="34" spans="1:7">
      <c r="A34">
        <v>44</v>
      </c>
      <c r="B34">
        <v>4684068560</v>
      </c>
      <c r="C34">
        <v>18.739999999999998</v>
      </c>
      <c r="D34">
        <v>28</v>
      </c>
      <c r="E34">
        <v>636.16</v>
      </c>
      <c r="F34">
        <v>2810788</v>
      </c>
      <c r="G34">
        <v>24835558</v>
      </c>
    </row>
    <row r="35" spans="1:7">
      <c r="A35">
        <v>46</v>
      </c>
      <c r="B35">
        <v>4606643500</v>
      </c>
      <c r="C35">
        <v>18.43</v>
      </c>
      <c r="D35">
        <v>0</v>
      </c>
      <c r="E35">
        <v>670.46</v>
      </c>
      <c r="F35">
        <v>3174005</v>
      </c>
      <c r="G35">
        <v>27196770</v>
      </c>
    </row>
    <row r="36" spans="1:7">
      <c r="A36">
        <v>48</v>
      </c>
      <c r="B36">
        <v>5434216060</v>
      </c>
      <c r="C36">
        <v>21.74</v>
      </c>
      <c r="D36">
        <v>0</v>
      </c>
      <c r="E36">
        <v>700.54</v>
      </c>
      <c r="F36">
        <v>3548196</v>
      </c>
      <c r="G36">
        <v>29654575</v>
      </c>
    </row>
    <row r="37" spans="1:7">
      <c r="A37">
        <v>50</v>
      </c>
      <c r="B37">
        <v>5274643700</v>
      </c>
      <c r="C37">
        <v>21.1</v>
      </c>
      <c r="D37">
        <v>0</v>
      </c>
      <c r="E37">
        <v>727.65</v>
      </c>
      <c r="F37">
        <v>3927078</v>
      </c>
      <c r="G37">
        <v>32209841</v>
      </c>
    </row>
    <row r="38" spans="1:7">
      <c r="A38">
        <v>52</v>
      </c>
      <c r="B38">
        <v>5656948380</v>
      </c>
      <c r="C38">
        <v>22.63</v>
      </c>
      <c r="D38">
        <v>0</v>
      </c>
      <c r="E38">
        <v>748.38</v>
      </c>
      <c r="F38">
        <v>4294905</v>
      </c>
      <c r="G38">
        <v>34787850</v>
      </c>
    </row>
    <row r="39" spans="1:7">
      <c r="A39">
        <v>54</v>
      </c>
      <c r="B39">
        <v>5399881440</v>
      </c>
      <c r="C39">
        <v>21.6</v>
      </c>
      <c r="D39">
        <v>0</v>
      </c>
      <c r="E39">
        <v>757.13</v>
      </c>
      <c r="F39">
        <v>4665537</v>
      </c>
      <c r="G39">
        <v>37382078</v>
      </c>
    </row>
    <row r="40" spans="1:7">
      <c r="A40">
        <v>56</v>
      </c>
      <c r="B40">
        <v>5311536200</v>
      </c>
      <c r="C40">
        <v>21.25</v>
      </c>
      <c r="D40">
        <v>0</v>
      </c>
      <c r="E40">
        <v>757.13</v>
      </c>
      <c r="F40">
        <v>5030395</v>
      </c>
      <c r="G40">
        <v>39978266</v>
      </c>
    </row>
    <row r="41" spans="1:7">
      <c r="A41">
        <v>58</v>
      </c>
      <c r="B41">
        <v>5131894320</v>
      </c>
      <c r="C41">
        <v>20.53</v>
      </c>
      <c r="D41">
        <v>0</v>
      </c>
      <c r="E41">
        <v>757.13</v>
      </c>
      <c r="F41">
        <v>5396363</v>
      </c>
      <c r="G41">
        <v>42578080</v>
      </c>
    </row>
    <row r="42" spans="1:7">
      <c r="A42">
        <v>60</v>
      </c>
      <c r="B42">
        <v>4685052360</v>
      </c>
      <c r="C42">
        <v>18.739999999999998</v>
      </c>
      <c r="D42">
        <v>0</v>
      </c>
      <c r="E42">
        <v>757.13</v>
      </c>
      <c r="F42">
        <v>5757609</v>
      </c>
      <c r="G42">
        <v>45181490</v>
      </c>
    </row>
    <row r="43" spans="1:7">
      <c r="A43">
        <v>62</v>
      </c>
      <c r="B43">
        <v>5211680500</v>
      </c>
      <c r="C43">
        <v>20.85</v>
      </c>
      <c r="D43">
        <v>0</v>
      </c>
      <c r="E43">
        <v>769.47</v>
      </c>
      <c r="F43">
        <v>6119913</v>
      </c>
      <c r="G43">
        <v>47789678</v>
      </c>
    </row>
    <row r="44" spans="1:7">
      <c r="A44">
        <v>64</v>
      </c>
      <c r="B44">
        <v>4850724280</v>
      </c>
      <c r="C44">
        <v>19.399999999999999</v>
      </c>
      <c r="D44">
        <v>222</v>
      </c>
      <c r="E44">
        <v>542.11</v>
      </c>
      <c r="F44">
        <v>6449382</v>
      </c>
      <c r="G44">
        <v>49978501</v>
      </c>
    </row>
    <row r="45" spans="1:7">
      <c r="A45">
        <v>66</v>
      </c>
      <c r="B45">
        <v>4105889300</v>
      </c>
      <c r="C45">
        <v>16.420000000000002</v>
      </c>
      <c r="D45">
        <v>0</v>
      </c>
      <c r="E45">
        <v>560.71</v>
      </c>
      <c r="F45">
        <v>6754889</v>
      </c>
      <c r="G45">
        <v>52033041</v>
      </c>
    </row>
    <row r="46" spans="1:7">
      <c r="A46">
        <v>68</v>
      </c>
      <c r="B46">
        <v>4500393100</v>
      </c>
      <c r="C46">
        <v>18</v>
      </c>
      <c r="D46">
        <v>0</v>
      </c>
      <c r="E46">
        <v>579.21</v>
      </c>
      <c r="F46">
        <v>7103851</v>
      </c>
      <c r="G46">
        <v>54208123</v>
      </c>
    </row>
    <row r="47" spans="1:7">
      <c r="A47">
        <v>70</v>
      </c>
      <c r="B47">
        <v>4504131540</v>
      </c>
      <c r="C47">
        <v>18.010000000000002</v>
      </c>
      <c r="D47">
        <v>0</v>
      </c>
      <c r="E47">
        <v>595</v>
      </c>
      <c r="F47">
        <v>7452017</v>
      </c>
      <c r="G47">
        <v>56418576</v>
      </c>
    </row>
    <row r="48" spans="1:7">
      <c r="A48">
        <v>72</v>
      </c>
      <c r="B48">
        <v>4409489980</v>
      </c>
      <c r="C48">
        <v>17.64</v>
      </c>
      <c r="D48">
        <v>0</v>
      </c>
      <c r="E48">
        <v>608.41</v>
      </c>
      <c r="F48">
        <v>7798384</v>
      </c>
      <c r="G48">
        <v>58684021</v>
      </c>
    </row>
    <row r="49" spans="1:7">
      <c r="A49">
        <v>74</v>
      </c>
      <c r="B49">
        <v>4935035940</v>
      </c>
      <c r="C49">
        <v>19.739999999999998</v>
      </c>
      <c r="D49">
        <v>0</v>
      </c>
      <c r="E49">
        <v>619.83000000000004</v>
      </c>
      <c r="F49">
        <v>8144326</v>
      </c>
      <c r="G49">
        <v>61002680</v>
      </c>
    </row>
    <row r="50" spans="1:7">
      <c r="A50">
        <v>76</v>
      </c>
      <c r="B50">
        <v>4931691020</v>
      </c>
      <c r="C50">
        <v>19.73</v>
      </c>
      <c r="D50">
        <v>0</v>
      </c>
      <c r="E50">
        <v>629.41</v>
      </c>
      <c r="F50">
        <v>8497586</v>
      </c>
      <c r="G50">
        <v>63370227</v>
      </c>
    </row>
    <row r="51" spans="1:7">
      <c r="A51">
        <v>78</v>
      </c>
      <c r="B51">
        <v>4601134220</v>
      </c>
      <c r="C51">
        <v>18.399999999999999</v>
      </c>
      <c r="D51">
        <v>0</v>
      </c>
      <c r="E51">
        <v>637.17999999999995</v>
      </c>
      <c r="F51">
        <v>8850368</v>
      </c>
      <c r="G51">
        <v>65755281</v>
      </c>
    </row>
    <row r="52" spans="1:7">
      <c r="A52">
        <v>80</v>
      </c>
      <c r="B52">
        <v>5192889920</v>
      </c>
      <c r="C52">
        <v>20.77</v>
      </c>
      <c r="D52">
        <v>0</v>
      </c>
      <c r="E52">
        <v>643.4</v>
      </c>
      <c r="F52">
        <v>9203900</v>
      </c>
      <c r="G52">
        <v>68168419</v>
      </c>
    </row>
    <row r="53" spans="1:7">
      <c r="A53">
        <v>82</v>
      </c>
      <c r="B53">
        <v>4767986700</v>
      </c>
      <c r="C53">
        <v>19.07</v>
      </c>
      <c r="D53">
        <v>0</v>
      </c>
      <c r="E53">
        <v>648.26</v>
      </c>
      <c r="F53">
        <v>9562001</v>
      </c>
      <c r="G53">
        <v>70608710</v>
      </c>
    </row>
    <row r="54" spans="1:7">
      <c r="A54">
        <v>84</v>
      </c>
      <c r="B54">
        <v>5370465820</v>
      </c>
      <c r="C54">
        <v>21.48</v>
      </c>
      <c r="D54">
        <v>0</v>
      </c>
      <c r="E54">
        <v>651.91999999999996</v>
      </c>
      <c r="F54">
        <v>9922819</v>
      </c>
      <c r="G54">
        <v>73062436</v>
      </c>
    </row>
    <row r="55" spans="1:7">
      <c r="A55">
        <v>86</v>
      </c>
      <c r="B55">
        <v>4784711300</v>
      </c>
      <c r="C55">
        <v>19.14</v>
      </c>
      <c r="D55">
        <v>0</v>
      </c>
      <c r="E55">
        <v>654.54999999999995</v>
      </c>
      <c r="F55">
        <v>10283726</v>
      </c>
      <c r="G55">
        <v>75520008</v>
      </c>
    </row>
    <row r="56" spans="1:7">
      <c r="A56">
        <v>88</v>
      </c>
      <c r="B56">
        <v>5030759680</v>
      </c>
      <c r="C56">
        <v>20.12</v>
      </c>
      <c r="D56">
        <v>0</v>
      </c>
      <c r="E56">
        <v>656.31</v>
      </c>
      <c r="F56">
        <v>10651994</v>
      </c>
      <c r="G56">
        <v>77984071</v>
      </c>
    </row>
    <row r="57" spans="1:7">
      <c r="A57">
        <v>90</v>
      </c>
      <c r="B57">
        <v>5236570640</v>
      </c>
      <c r="C57">
        <v>20.95</v>
      </c>
      <c r="D57">
        <v>0</v>
      </c>
      <c r="E57">
        <v>657.37</v>
      </c>
      <c r="F57">
        <v>11026766</v>
      </c>
      <c r="G57">
        <v>80463828</v>
      </c>
    </row>
    <row r="58" spans="1:7">
      <c r="A58">
        <v>92</v>
      </c>
      <c r="B58">
        <v>4942512820</v>
      </c>
      <c r="C58">
        <v>19.77</v>
      </c>
      <c r="D58">
        <v>0</v>
      </c>
      <c r="E58">
        <v>657.93</v>
      </c>
      <c r="F58">
        <v>11399904</v>
      </c>
      <c r="G58">
        <v>82945706</v>
      </c>
    </row>
    <row r="59" spans="1:7">
      <c r="A59">
        <v>94</v>
      </c>
      <c r="B59">
        <v>5571948060</v>
      </c>
      <c r="C59">
        <v>22.29</v>
      </c>
      <c r="D59">
        <v>0</v>
      </c>
      <c r="E59">
        <v>658.13</v>
      </c>
      <c r="F59">
        <v>11772574</v>
      </c>
      <c r="G59">
        <v>85431861</v>
      </c>
    </row>
    <row r="60" spans="1:7">
      <c r="A60">
        <v>96</v>
      </c>
      <c r="B60">
        <v>4919098380</v>
      </c>
      <c r="C60">
        <v>19.68</v>
      </c>
      <c r="D60">
        <v>0</v>
      </c>
      <c r="E60">
        <v>658.16</v>
      </c>
      <c r="F60">
        <v>12146236</v>
      </c>
      <c r="G60">
        <v>87910562</v>
      </c>
    </row>
    <row r="61" spans="1:7">
      <c r="A61">
        <v>98</v>
      </c>
      <c r="B61">
        <v>4790712480</v>
      </c>
      <c r="C61">
        <v>19.16</v>
      </c>
      <c r="D61">
        <v>0</v>
      </c>
      <c r="E61">
        <v>658.19</v>
      </c>
      <c r="F61">
        <v>12524249</v>
      </c>
      <c r="G61">
        <v>90397864</v>
      </c>
    </row>
    <row r="62" spans="1:7">
      <c r="A62">
        <v>100</v>
      </c>
      <c r="B62">
        <v>5253000100</v>
      </c>
      <c r="C62">
        <v>21.01</v>
      </c>
      <c r="D62">
        <v>0</v>
      </c>
      <c r="E62">
        <v>658.38</v>
      </c>
      <c r="F62">
        <v>12898048</v>
      </c>
      <c r="G62">
        <v>92885207</v>
      </c>
    </row>
    <row r="63" spans="1:7">
      <c r="A63">
        <v>102</v>
      </c>
      <c r="B63">
        <v>5160129380</v>
      </c>
      <c r="C63">
        <v>20.64</v>
      </c>
      <c r="D63">
        <v>0</v>
      </c>
      <c r="E63">
        <v>658.92</v>
      </c>
      <c r="F63">
        <v>13271567</v>
      </c>
      <c r="G63">
        <v>95375508</v>
      </c>
    </row>
    <row r="64" spans="1:7">
      <c r="A64">
        <v>104</v>
      </c>
      <c r="B64">
        <v>4953629760</v>
      </c>
      <c r="C64">
        <v>19.809999999999999</v>
      </c>
      <c r="D64">
        <v>0</v>
      </c>
      <c r="E64">
        <v>659.98</v>
      </c>
      <c r="F64">
        <v>13640384</v>
      </c>
      <c r="G64">
        <v>97864694</v>
      </c>
    </row>
    <row r="65" spans="1:7">
      <c r="A65">
        <v>106</v>
      </c>
      <c r="B65">
        <v>5164851620</v>
      </c>
      <c r="C65">
        <v>20.66</v>
      </c>
      <c r="D65">
        <v>0</v>
      </c>
      <c r="E65">
        <v>661.71</v>
      </c>
      <c r="F65">
        <v>14007798</v>
      </c>
      <c r="G65">
        <v>100360670</v>
      </c>
    </row>
    <row r="66" spans="1:7">
      <c r="A66">
        <v>108</v>
      </c>
      <c r="B66">
        <v>5376663760</v>
      </c>
      <c r="C66">
        <v>21.51</v>
      </c>
      <c r="D66">
        <v>0</v>
      </c>
      <c r="E66">
        <v>664.32</v>
      </c>
      <c r="F66">
        <v>14377379</v>
      </c>
      <c r="G66">
        <v>102861259</v>
      </c>
    </row>
    <row r="67" spans="1:7">
      <c r="A67">
        <v>110</v>
      </c>
      <c r="B67">
        <v>4844526340</v>
      </c>
      <c r="C67">
        <v>19.38</v>
      </c>
      <c r="D67">
        <v>0</v>
      </c>
      <c r="E67">
        <v>667.94</v>
      </c>
      <c r="F67">
        <v>14746859</v>
      </c>
      <c r="G67">
        <v>105370248</v>
      </c>
    </row>
    <row r="68" spans="1:7">
      <c r="A68">
        <v>112</v>
      </c>
      <c r="B68">
        <v>5335344160</v>
      </c>
      <c r="C68">
        <v>21.34</v>
      </c>
      <c r="D68">
        <v>0</v>
      </c>
      <c r="E68">
        <v>672.77</v>
      </c>
      <c r="F68">
        <v>15115483</v>
      </c>
      <c r="G68">
        <v>107891298</v>
      </c>
    </row>
    <row r="69" spans="1:7">
      <c r="A69">
        <v>114</v>
      </c>
      <c r="B69">
        <v>5091755280</v>
      </c>
      <c r="C69">
        <v>20.37</v>
      </c>
      <c r="D69">
        <v>0</v>
      </c>
      <c r="E69">
        <v>678.97</v>
      </c>
      <c r="F69">
        <v>15485709</v>
      </c>
      <c r="G69">
        <v>110425942</v>
      </c>
    </row>
    <row r="70" spans="1:7">
      <c r="A70">
        <v>116</v>
      </c>
      <c r="B70">
        <v>5328654320</v>
      </c>
      <c r="C70">
        <v>21.31</v>
      </c>
      <c r="D70">
        <v>0</v>
      </c>
      <c r="E70">
        <v>686.71</v>
      </c>
      <c r="F70">
        <v>15860960</v>
      </c>
      <c r="G70">
        <v>112975265</v>
      </c>
    </row>
    <row r="71" spans="1:7">
      <c r="A71">
        <v>118</v>
      </c>
      <c r="B71">
        <v>5227618060</v>
      </c>
      <c r="C71">
        <v>20.91</v>
      </c>
      <c r="D71">
        <v>0</v>
      </c>
      <c r="E71">
        <v>696.16</v>
      </c>
      <c r="F71">
        <v>16239528</v>
      </c>
      <c r="G71">
        <v>115539407</v>
      </c>
    </row>
    <row r="72" spans="1:7">
      <c r="A72">
        <v>120</v>
      </c>
      <c r="B72">
        <v>5340361540</v>
      </c>
      <c r="C72">
        <v>21.36</v>
      </c>
      <c r="D72">
        <v>0</v>
      </c>
      <c r="E72">
        <v>705.21</v>
      </c>
      <c r="F72">
        <v>16613812</v>
      </c>
      <c r="G72">
        <v>118117906</v>
      </c>
    </row>
    <row r="73" spans="1:7">
      <c r="A73">
        <v>122</v>
      </c>
      <c r="B73">
        <v>5472682640</v>
      </c>
      <c r="C73">
        <v>21.89</v>
      </c>
      <c r="D73">
        <v>0</v>
      </c>
      <c r="E73">
        <v>716.42</v>
      </c>
      <c r="F73">
        <v>16986385</v>
      </c>
      <c r="G73">
        <v>120703298</v>
      </c>
    </row>
    <row r="74" spans="1:7">
      <c r="A74">
        <v>124</v>
      </c>
      <c r="B74">
        <v>4977044200</v>
      </c>
      <c r="C74">
        <v>19.91</v>
      </c>
      <c r="D74">
        <v>0</v>
      </c>
      <c r="E74">
        <v>729.52</v>
      </c>
      <c r="F74">
        <v>17354655</v>
      </c>
      <c r="G74">
        <v>123292684</v>
      </c>
    </row>
    <row r="75" spans="1:7">
      <c r="A75">
        <v>126</v>
      </c>
      <c r="B75">
        <v>5202236020</v>
      </c>
      <c r="C75">
        <v>20.81</v>
      </c>
      <c r="D75">
        <v>0</v>
      </c>
      <c r="E75">
        <v>734.77</v>
      </c>
      <c r="F75">
        <v>17717254</v>
      </c>
      <c r="G75">
        <v>125886191</v>
      </c>
    </row>
    <row r="76" spans="1:7">
      <c r="A76">
        <v>128</v>
      </c>
      <c r="B76">
        <v>5382173040</v>
      </c>
      <c r="C76">
        <v>21.53</v>
      </c>
      <c r="D76">
        <v>0</v>
      </c>
      <c r="E76">
        <v>769.67</v>
      </c>
      <c r="F76">
        <v>18069845</v>
      </c>
      <c r="G76">
        <v>128494874</v>
      </c>
    </row>
    <row r="77" spans="1:7">
      <c r="A77">
        <v>130</v>
      </c>
      <c r="B77">
        <v>5074046880</v>
      </c>
      <c r="C77">
        <v>20.3</v>
      </c>
      <c r="D77">
        <v>0</v>
      </c>
      <c r="E77">
        <v>769.67</v>
      </c>
      <c r="F77">
        <v>18427314</v>
      </c>
      <c r="G77">
        <v>131102752</v>
      </c>
    </row>
    <row r="78" spans="1:7">
      <c r="A78">
        <v>132</v>
      </c>
      <c r="B78">
        <v>3740407600</v>
      </c>
      <c r="C78">
        <v>14.96</v>
      </c>
      <c r="D78">
        <v>112</v>
      </c>
      <c r="E78">
        <v>553.25</v>
      </c>
      <c r="F78">
        <v>18699204</v>
      </c>
      <c r="G78">
        <v>132842461</v>
      </c>
    </row>
    <row r="79" spans="1:7">
      <c r="A79">
        <v>134</v>
      </c>
      <c r="B79">
        <v>4934347280</v>
      </c>
      <c r="C79">
        <v>19.739999999999998</v>
      </c>
      <c r="D79">
        <v>0</v>
      </c>
      <c r="E79">
        <v>584.47</v>
      </c>
      <c r="F79">
        <v>19047183</v>
      </c>
      <c r="G79">
        <v>134997516</v>
      </c>
    </row>
    <row r="80" spans="1:7">
      <c r="A80">
        <v>136</v>
      </c>
      <c r="B80">
        <v>4289368000</v>
      </c>
      <c r="C80">
        <v>17.16</v>
      </c>
      <c r="D80">
        <v>0</v>
      </c>
      <c r="E80">
        <v>613.16999999999996</v>
      </c>
      <c r="F80">
        <v>19395879</v>
      </c>
      <c r="G80">
        <v>137251369</v>
      </c>
    </row>
    <row r="81" spans="1:7">
      <c r="A81">
        <v>138</v>
      </c>
      <c r="B81">
        <v>4646782540</v>
      </c>
      <c r="C81">
        <v>18.59</v>
      </c>
      <c r="D81">
        <v>0</v>
      </c>
      <c r="E81">
        <v>638.54999999999995</v>
      </c>
      <c r="F81">
        <v>19747609</v>
      </c>
      <c r="G81">
        <v>139590762</v>
      </c>
    </row>
    <row r="82" spans="1:7">
      <c r="A82">
        <v>140</v>
      </c>
      <c r="B82">
        <v>5348035180</v>
      </c>
      <c r="C82">
        <v>21.39</v>
      </c>
      <c r="D82">
        <v>0</v>
      </c>
      <c r="E82">
        <v>660.79</v>
      </c>
      <c r="F82">
        <v>20107536</v>
      </c>
      <c r="G82">
        <v>142019622</v>
      </c>
    </row>
    <row r="83" spans="1:7">
      <c r="A83">
        <v>142</v>
      </c>
      <c r="B83">
        <v>4948710760</v>
      </c>
      <c r="C83">
        <v>19.79</v>
      </c>
      <c r="D83">
        <v>0</v>
      </c>
      <c r="E83">
        <v>680.41</v>
      </c>
      <c r="F83">
        <v>20479380</v>
      </c>
      <c r="G83">
        <v>144531481</v>
      </c>
    </row>
    <row r="84" spans="1:7">
      <c r="A84">
        <v>144</v>
      </c>
      <c r="B84">
        <v>5388961260</v>
      </c>
      <c r="C84">
        <v>21.56</v>
      </c>
      <c r="D84">
        <v>0</v>
      </c>
      <c r="E84">
        <v>697.37</v>
      </c>
      <c r="F84">
        <v>20852908</v>
      </c>
      <c r="G84">
        <v>147087111</v>
      </c>
    </row>
    <row r="85" spans="1:7">
      <c r="A85">
        <v>146</v>
      </c>
      <c r="B85">
        <v>5310650780</v>
      </c>
      <c r="C85">
        <v>21.24</v>
      </c>
      <c r="D85">
        <v>0</v>
      </c>
      <c r="E85">
        <v>705.39</v>
      </c>
      <c r="F85">
        <v>21223146</v>
      </c>
      <c r="G85">
        <v>149663230</v>
      </c>
    </row>
    <row r="86" spans="1:7">
      <c r="A86">
        <v>148</v>
      </c>
      <c r="B86">
        <v>5012559380</v>
      </c>
      <c r="C86">
        <v>20.05</v>
      </c>
      <c r="D86">
        <v>0</v>
      </c>
      <c r="E86">
        <v>711.37</v>
      </c>
      <c r="F86">
        <v>21594911</v>
      </c>
      <c r="G86">
        <v>152254175</v>
      </c>
    </row>
    <row r="87" spans="1:7">
      <c r="A87">
        <v>150</v>
      </c>
      <c r="B87">
        <v>5395552720</v>
      </c>
      <c r="C87">
        <v>21.58</v>
      </c>
      <c r="D87">
        <v>0</v>
      </c>
      <c r="E87">
        <v>732.21</v>
      </c>
      <c r="F87">
        <v>21956248</v>
      </c>
      <c r="G87">
        <v>154848802</v>
      </c>
    </row>
    <row r="88" spans="1:7">
      <c r="A88">
        <v>152</v>
      </c>
      <c r="B88">
        <v>5246998920</v>
      </c>
      <c r="C88">
        <v>20.99</v>
      </c>
      <c r="D88">
        <v>0</v>
      </c>
      <c r="E88">
        <v>740.73</v>
      </c>
      <c r="F88">
        <v>22315052</v>
      </c>
      <c r="G88">
        <v>157456526</v>
      </c>
    </row>
    <row r="89" spans="1:7">
      <c r="A89">
        <v>154</v>
      </c>
      <c r="B89">
        <v>4851904840</v>
      </c>
      <c r="C89">
        <v>19.41</v>
      </c>
      <c r="D89">
        <v>0</v>
      </c>
      <c r="E89">
        <v>740.73</v>
      </c>
      <c r="F89">
        <v>22675457</v>
      </c>
      <c r="G89">
        <v>160058258</v>
      </c>
    </row>
    <row r="90" spans="1:7">
      <c r="A90">
        <v>156</v>
      </c>
      <c r="B90">
        <v>4783825880</v>
      </c>
      <c r="C90">
        <v>19.14</v>
      </c>
      <c r="D90">
        <v>0</v>
      </c>
      <c r="E90">
        <v>740.73</v>
      </c>
      <c r="F90">
        <v>23035286</v>
      </c>
      <c r="G90">
        <v>162657365</v>
      </c>
    </row>
    <row r="91" spans="1:7">
      <c r="A91">
        <v>158</v>
      </c>
      <c r="B91">
        <v>5054272500</v>
      </c>
      <c r="C91">
        <v>20.22</v>
      </c>
      <c r="D91">
        <v>0</v>
      </c>
      <c r="E91">
        <v>740.73</v>
      </c>
      <c r="F91">
        <v>23395850</v>
      </c>
      <c r="G91">
        <v>165257200</v>
      </c>
    </row>
    <row r="92" spans="1:7">
      <c r="A92">
        <v>160</v>
      </c>
      <c r="B92">
        <v>5013444800</v>
      </c>
      <c r="C92">
        <v>20.05</v>
      </c>
      <c r="D92">
        <v>0</v>
      </c>
      <c r="E92">
        <v>740.73</v>
      </c>
      <c r="F92">
        <v>23754753</v>
      </c>
      <c r="G92">
        <v>167860465</v>
      </c>
    </row>
    <row r="93" spans="1:7">
      <c r="A93">
        <v>162</v>
      </c>
      <c r="B93">
        <v>4893913100</v>
      </c>
      <c r="C93">
        <v>19.579999999999998</v>
      </c>
      <c r="D93">
        <v>0</v>
      </c>
      <c r="E93">
        <v>740.73</v>
      </c>
      <c r="F93">
        <v>24111478</v>
      </c>
      <c r="G93">
        <v>170461315</v>
      </c>
    </row>
    <row r="94" spans="1:7">
      <c r="A94">
        <v>164</v>
      </c>
      <c r="B94">
        <v>4917721060</v>
      </c>
      <c r="C94">
        <v>19.670000000000002</v>
      </c>
      <c r="D94">
        <v>0</v>
      </c>
      <c r="E94">
        <v>740.73</v>
      </c>
      <c r="F94">
        <v>24468612</v>
      </c>
      <c r="G94">
        <v>173064860</v>
      </c>
    </row>
    <row r="95" spans="1:7">
      <c r="A95">
        <v>166</v>
      </c>
      <c r="B95">
        <v>3732438820</v>
      </c>
      <c r="C95">
        <v>14.93</v>
      </c>
      <c r="D95">
        <v>1629</v>
      </c>
      <c r="E95">
        <v>524.64</v>
      </c>
      <c r="F95">
        <v>24715779</v>
      </c>
      <c r="G95">
        <v>174763419</v>
      </c>
    </row>
    <row r="96" spans="1:7">
      <c r="A96">
        <v>168</v>
      </c>
      <c r="B96">
        <v>4672361340</v>
      </c>
      <c r="C96">
        <v>18.690000000000001</v>
      </c>
      <c r="D96">
        <v>0</v>
      </c>
      <c r="E96">
        <v>544.30999999999995</v>
      </c>
      <c r="F96">
        <v>25051769</v>
      </c>
      <c r="G96">
        <v>176798571</v>
      </c>
    </row>
    <row r="97" spans="1:7">
      <c r="A97">
        <v>170</v>
      </c>
      <c r="B97">
        <v>4010657460</v>
      </c>
      <c r="C97">
        <v>16.04</v>
      </c>
      <c r="D97">
        <v>0</v>
      </c>
      <c r="E97">
        <v>561.17999999999995</v>
      </c>
      <c r="F97">
        <v>25391753</v>
      </c>
      <c r="G97">
        <v>178912487</v>
      </c>
    </row>
    <row r="98" spans="1:7">
      <c r="A98">
        <v>172</v>
      </c>
      <c r="B98">
        <v>4455039920</v>
      </c>
      <c r="C98">
        <v>17.82</v>
      </c>
      <c r="D98">
        <v>0</v>
      </c>
      <c r="E98">
        <v>575.52</v>
      </c>
      <c r="F98">
        <v>25738337</v>
      </c>
      <c r="G98">
        <v>181086253</v>
      </c>
    </row>
    <row r="99" spans="1:7">
      <c r="A99">
        <v>174</v>
      </c>
      <c r="B99">
        <v>4186856040</v>
      </c>
      <c r="C99">
        <v>16.75</v>
      </c>
      <c r="D99">
        <v>0</v>
      </c>
      <c r="E99">
        <v>587.70000000000005</v>
      </c>
      <c r="F99">
        <v>26078603</v>
      </c>
      <c r="G99">
        <v>183315186</v>
      </c>
    </row>
    <row r="100" spans="1:7">
      <c r="A100">
        <v>176</v>
      </c>
      <c r="B100">
        <v>4814126920</v>
      </c>
      <c r="C100">
        <v>19.260000000000002</v>
      </c>
      <c r="D100">
        <v>0</v>
      </c>
      <c r="E100">
        <v>597.97</v>
      </c>
      <c r="F100">
        <v>26410259</v>
      </c>
      <c r="G100">
        <v>185578055</v>
      </c>
    </row>
    <row r="101" spans="1:7">
      <c r="A101">
        <v>178</v>
      </c>
      <c r="B101">
        <v>4613726860</v>
      </c>
      <c r="C101">
        <v>18.45</v>
      </c>
      <c r="D101">
        <v>0</v>
      </c>
      <c r="E101">
        <v>606.48</v>
      </c>
      <c r="F101">
        <v>26747103</v>
      </c>
      <c r="G101">
        <v>187875420</v>
      </c>
    </row>
    <row r="102" spans="1:7">
      <c r="A102">
        <v>180</v>
      </c>
      <c r="B102">
        <v>4938774380</v>
      </c>
      <c r="C102">
        <v>19.760000000000002</v>
      </c>
      <c r="D102">
        <v>0</v>
      </c>
      <c r="E102">
        <v>613.29999999999995</v>
      </c>
      <c r="F102">
        <v>27086263</v>
      </c>
      <c r="G102">
        <v>190202913</v>
      </c>
    </row>
    <row r="103" spans="1:7">
      <c r="A103">
        <v>182</v>
      </c>
      <c r="B103">
        <v>4384206320</v>
      </c>
      <c r="C103">
        <v>17.54</v>
      </c>
      <c r="D103">
        <v>0</v>
      </c>
      <c r="E103">
        <v>618.72</v>
      </c>
      <c r="F103">
        <v>27424524</v>
      </c>
      <c r="G103">
        <v>192565693</v>
      </c>
    </row>
    <row r="104" spans="1:7">
      <c r="A104">
        <v>184</v>
      </c>
      <c r="B104">
        <v>5142617740</v>
      </c>
      <c r="C104">
        <v>20.57</v>
      </c>
      <c r="D104">
        <v>0</v>
      </c>
      <c r="E104">
        <v>622.86</v>
      </c>
      <c r="F104">
        <v>27762099</v>
      </c>
      <c r="G104">
        <v>194930790</v>
      </c>
    </row>
    <row r="105" spans="1:7">
      <c r="A105">
        <v>186</v>
      </c>
      <c r="B105">
        <v>4473633740</v>
      </c>
      <c r="C105">
        <v>17.89</v>
      </c>
      <c r="D105">
        <v>0</v>
      </c>
      <c r="E105">
        <v>625.88</v>
      </c>
      <c r="F105">
        <v>28100539</v>
      </c>
      <c r="G105">
        <v>197308718</v>
      </c>
    </row>
    <row r="106" spans="1:7">
      <c r="A106">
        <v>188</v>
      </c>
      <c r="B106">
        <v>4969567320</v>
      </c>
      <c r="C106">
        <v>19.88</v>
      </c>
      <c r="D106">
        <v>0</v>
      </c>
      <c r="E106">
        <v>627.97</v>
      </c>
      <c r="F106">
        <v>28440585</v>
      </c>
      <c r="G106">
        <v>199687087</v>
      </c>
    </row>
    <row r="107" spans="1:7">
      <c r="A107">
        <v>190</v>
      </c>
      <c r="B107">
        <v>4816586420</v>
      </c>
      <c r="C107">
        <v>19.27</v>
      </c>
      <c r="D107">
        <v>0</v>
      </c>
      <c r="E107">
        <v>629.29999999999995</v>
      </c>
      <c r="F107">
        <v>28782237</v>
      </c>
      <c r="G107">
        <v>202076355</v>
      </c>
    </row>
    <row r="108" spans="1:7">
      <c r="A108">
        <v>192</v>
      </c>
      <c r="B108">
        <v>4812847980</v>
      </c>
      <c r="C108">
        <v>19.25</v>
      </c>
      <c r="D108">
        <v>0</v>
      </c>
      <c r="E108">
        <v>630.04999999999995</v>
      </c>
      <c r="F108">
        <v>29128510</v>
      </c>
      <c r="G108">
        <v>204459771</v>
      </c>
    </row>
    <row r="109" spans="1:7">
      <c r="A109">
        <v>194</v>
      </c>
      <c r="B109">
        <v>4773791120</v>
      </c>
      <c r="C109">
        <v>19.100000000000001</v>
      </c>
      <c r="D109">
        <v>0</v>
      </c>
      <c r="E109">
        <v>630.38</v>
      </c>
      <c r="F109">
        <v>29475836</v>
      </c>
      <c r="G109">
        <v>206859105</v>
      </c>
    </row>
    <row r="110" spans="1:7">
      <c r="A110">
        <v>196</v>
      </c>
      <c r="B110">
        <v>4769560780</v>
      </c>
      <c r="C110">
        <v>19.079999999999998</v>
      </c>
      <c r="D110">
        <v>0</v>
      </c>
      <c r="E110">
        <v>630.46</v>
      </c>
      <c r="F110">
        <v>29823699</v>
      </c>
      <c r="G110">
        <v>209257305</v>
      </c>
    </row>
    <row r="111" spans="1:7">
      <c r="A111">
        <v>198</v>
      </c>
      <c r="B111">
        <v>5045910200</v>
      </c>
      <c r="C111">
        <v>20.18</v>
      </c>
      <c r="D111">
        <v>0</v>
      </c>
      <c r="E111">
        <v>630.47</v>
      </c>
      <c r="F111">
        <v>30172363</v>
      </c>
      <c r="G111">
        <v>211659061</v>
      </c>
    </row>
    <row r="112" spans="1:7">
      <c r="A112">
        <v>200</v>
      </c>
      <c r="B112">
        <v>4584409620</v>
      </c>
      <c r="C112">
        <v>18.34</v>
      </c>
      <c r="D112">
        <v>0</v>
      </c>
      <c r="E112">
        <v>630.57000000000005</v>
      </c>
      <c r="F112">
        <v>30521154</v>
      </c>
      <c r="G112">
        <v>214059207</v>
      </c>
    </row>
    <row r="113" spans="1:7">
      <c r="A113">
        <v>202</v>
      </c>
      <c r="B113">
        <v>4871088940</v>
      </c>
      <c r="C113">
        <v>19.48</v>
      </c>
      <c r="D113">
        <v>0</v>
      </c>
      <c r="E113">
        <v>630.95000000000005</v>
      </c>
      <c r="F113">
        <v>30870863</v>
      </c>
      <c r="G113">
        <v>216464729</v>
      </c>
    </row>
    <row r="114" spans="1:7">
      <c r="A114">
        <v>204</v>
      </c>
      <c r="B114">
        <v>5011477200</v>
      </c>
      <c r="C114">
        <v>20.05</v>
      </c>
      <c r="D114">
        <v>0</v>
      </c>
      <c r="E114">
        <v>631.76</v>
      </c>
      <c r="F114">
        <v>31218963</v>
      </c>
      <c r="G114">
        <v>218877608</v>
      </c>
    </row>
    <row r="115" spans="1:7">
      <c r="A115">
        <v>206</v>
      </c>
      <c r="B115">
        <v>4865284520</v>
      </c>
      <c r="C115">
        <v>19.46</v>
      </c>
      <c r="D115">
        <v>0</v>
      </c>
      <c r="E115">
        <v>633.21</v>
      </c>
      <c r="F115">
        <v>31564979</v>
      </c>
      <c r="G115">
        <v>221301995</v>
      </c>
    </row>
    <row r="116" spans="1:7">
      <c r="A116">
        <v>208</v>
      </c>
      <c r="B116">
        <v>4656128640</v>
      </c>
      <c r="C116">
        <v>18.62</v>
      </c>
      <c r="D116">
        <v>0</v>
      </c>
      <c r="E116">
        <v>635.42999999999995</v>
      </c>
      <c r="F116">
        <v>31912757</v>
      </c>
      <c r="G116">
        <v>223718353</v>
      </c>
    </row>
    <row r="117" spans="1:7">
      <c r="A117">
        <v>210</v>
      </c>
      <c r="B117">
        <v>5052304900</v>
      </c>
      <c r="C117">
        <v>20.21</v>
      </c>
      <c r="D117">
        <v>0</v>
      </c>
      <c r="E117">
        <v>638.61</v>
      </c>
      <c r="F117">
        <v>32261505</v>
      </c>
      <c r="G117">
        <v>226145610</v>
      </c>
    </row>
    <row r="118" spans="1:7">
      <c r="A118">
        <v>212</v>
      </c>
      <c r="B118">
        <v>4782448560</v>
      </c>
      <c r="C118">
        <v>19.13</v>
      </c>
      <c r="D118">
        <v>0</v>
      </c>
      <c r="E118">
        <v>642.91999999999996</v>
      </c>
      <c r="F118">
        <v>32611485</v>
      </c>
      <c r="G118">
        <v>228560435</v>
      </c>
    </row>
    <row r="119" spans="1:7">
      <c r="A119">
        <v>214</v>
      </c>
      <c r="B119">
        <v>5318127660</v>
      </c>
      <c r="C119">
        <v>21.27</v>
      </c>
      <c r="D119">
        <v>0</v>
      </c>
      <c r="E119">
        <v>648.52</v>
      </c>
      <c r="F119">
        <v>32965545</v>
      </c>
      <c r="G119">
        <v>230997522</v>
      </c>
    </row>
    <row r="120" spans="1:7">
      <c r="A120">
        <v>216</v>
      </c>
      <c r="B120">
        <v>4622285920</v>
      </c>
      <c r="C120">
        <v>18.489999999999998</v>
      </c>
      <c r="D120">
        <v>0</v>
      </c>
      <c r="E120">
        <v>655.61</v>
      </c>
      <c r="F120">
        <v>33317072</v>
      </c>
      <c r="G120">
        <v>233443719</v>
      </c>
    </row>
    <row r="121" spans="1:7">
      <c r="A121">
        <v>218</v>
      </c>
      <c r="B121">
        <v>5086836280</v>
      </c>
      <c r="C121">
        <v>20.350000000000001</v>
      </c>
      <c r="D121">
        <v>0</v>
      </c>
      <c r="E121">
        <v>664.36</v>
      </c>
      <c r="F121">
        <v>33669918</v>
      </c>
      <c r="G121">
        <v>235902728</v>
      </c>
    </row>
    <row r="122" spans="1:7">
      <c r="A122">
        <v>220</v>
      </c>
      <c r="B122">
        <v>4918212960</v>
      </c>
      <c r="C122">
        <v>19.670000000000002</v>
      </c>
      <c r="D122">
        <v>0</v>
      </c>
      <c r="E122">
        <v>674.8</v>
      </c>
      <c r="F122">
        <v>34023897</v>
      </c>
      <c r="G122">
        <v>238362493</v>
      </c>
    </row>
    <row r="123" spans="1:7">
      <c r="A123">
        <v>222</v>
      </c>
      <c r="B123">
        <v>4958253620</v>
      </c>
      <c r="C123">
        <v>19.829999999999998</v>
      </c>
      <c r="D123">
        <v>0</v>
      </c>
      <c r="E123">
        <v>687.32</v>
      </c>
      <c r="F123">
        <v>34377120</v>
      </c>
      <c r="G123">
        <v>240862795</v>
      </c>
    </row>
    <row r="124" spans="1:7">
      <c r="A124">
        <v>224</v>
      </c>
      <c r="B124">
        <v>5384435780</v>
      </c>
      <c r="C124">
        <v>21.54</v>
      </c>
      <c r="D124">
        <v>0</v>
      </c>
      <c r="E124">
        <v>701.41</v>
      </c>
      <c r="F124">
        <v>34735327</v>
      </c>
      <c r="G124">
        <v>243385231</v>
      </c>
    </row>
    <row r="125" spans="1:7">
      <c r="A125">
        <v>226</v>
      </c>
      <c r="B125">
        <v>4898635340</v>
      </c>
      <c r="C125">
        <v>19.59</v>
      </c>
      <c r="D125">
        <v>0</v>
      </c>
      <c r="E125">
        <v>715.47</v>
      </c>
      <c r="F125">
        <v>35096856</v>
      </c>
      <c r="G125">
        <v>245937739</v>
      </c>
    </row>
    <row r="126" spans="1:7">
      <c r="A126">
        <v>228</v>
      </c>
      <c r="B126">
        <v>5196431600</v>
      </c>
      <c r="C126">
        <v>20.79</v>
      </c>
      <c r="D126">
        <v>0</v>
      </c>
      <c r="E126">
        <v>726.7</v>
      </c>
      <c r="F126">
        <v>35454885</v>
      </c>
      <c r="G126">
        <v>248511338</v>
      </c>
    </row>
    <row r="127" spans="1:7">
      <c r="A127">
        <v>230</v>
      </c>
      <c r="B127">
        <v>5142912880</v>
      </c>
      <c r="C127">
        <v>20.57</v>
      </c>
      <c r="D127">
        <v>0</v>
      </c>
      <c r="E127">
        <v>727.23</v>
      </c>
      <c r="F127">
        <v>35806755</v>
      </c>
      <c r="G127">
        <v>251093435</v>
      </c>
    </row>
    <row r="128" spans="1:7">
      <c r="A128">
        <v>232</v>
      </c>
      <c r="B128">
        <v>4998589420</v>
      </c>
      <c r="C128">
        <v>19.989999999999998</v>
      </c>
      <c r="D128">
        <v>0</v>
      </c>
      <c r="E128">
        <v>762.22</v>
      </c>
      <c r="F128">
        <v>36157014</v>
      </c>
      <c r="G128">
        <v>253687334</v>
      </c>
    </row>
    <row r="129" spans="1:7">
      <c r="A129">
        <v>234</v>
      </c>
      <c r="B129">
        <v>4871482460</v>
      </c>
      <c r="C129">
        <v>19.489999999999998</v>
      </c>
      <c r="D129">
        <v>0</v>
      </c>
      <c r="E129">
        <v>762.22</v>
      </c>
      <c r="F129">
        <v>36510356</v>
      </c>
      <c r="G129">
        <v>256290503</v>
      </c>
    </row>
    <row r="130" spans="1:7">
      <c r="A130">
        <v>236</v>
      </c>
      <c r="B130">
        <v>5086147620</v>
      </c>
      <c r="C130">
        <v>20.34</v>
      </c>
      <c r="D130">
        <v>0</v>
      </c>
      <c r="E130">
        <v>762.22</v>
      </c>
      <c r="F130">
        <v>36865160</v>
      </c>
      <c r="G130">
        <v>258894910</v>
      </c>
    </row>
    <row r="131" spans="1:7">
      <c r="A131">
        <v>238</v>
      </c>
      <c r="B131">
        <v>5012952900</v>
      </c>
      <c r="C131">
        <v>20.05</v>
      </c>
      <c r="D131">
        <v>0</v>
      </c>
      <c r="E131">
        <v>835.4</v>
      </c>
      <c r="F131">
        <v>37218070</v>
      </c>
      <c r="G131">
        <v>261507424</v>
      </c>
    </row>
    <row r="132" spans="1:7">
      <c r="A132">
        <v>240</v>
      </c>
      <c r="B132">
        <v>5081031860</v>
      </c>
      <c r="C132">
        <v>20.32</v>
      </c>
      <c r="D132">
        <v>0</v>
      </c>
      <c r="E132">
        <v>835.4</v>
      </c>
      <c r="F132">
        <v>37576633</v>
      </c>
      <c r="G132">
        <v>264126820</v>
      </c>
    </row>
    <row r="133" spans="1:7">
      <c r="A133">
        <v>242</v>
      </c>
      <c r="B133">
        <v>4845018240</v>
      </c>
      <c r="C133">
        <v>19.38</v>
      </c>
      <c r="D133">
        <v>0</v>
      </c>
      <c r="E133">
        <v>835.4</v>
      </c>
      <c r="F133">
        <v>37933400</v>
      </c>
      <c r="G133">
        <v>266749372</v>
      </c>
    </row>
    <row r="134" spans="1:7">
      <c r="A134">
        <v>244</v>
      </c>
      <c r="B134">
        <v>4041352020</v>
      </c>
      <c r="C134">
        <v>16.170000000000002</v>
      </c>
      <c r="D134">
        <v>208</v>
      </c>
      <c r="E134">
        <v>588.71</v>
      </c>
      <c r="F134">
        <v>38242469</v>
      </c>
      <c r="G134">
        <v>268817731</v>
      </c>
    </row>
    <row r="135" spans="1:7">
      <c r="A135">
        <v>246</v>
      </c>
      <c r="B135">
        <v>5286646060</v>
      </c>
      <c r="C135">
        <v>21.15</v>
      </c>
      <c r="D135">
        <v>0</v>
      </c>
      <c r="E135">
        <v>624.6</v>
      </c>
      <c r="F135">
        <v>38571590</v>
      </c>
      <c r="G135">
        <v>271073296</v>
      </c>
    </row>
    <row r="136" spans="1:7">
      <c r="A136">
        <v>248</v>
      </c>
      <c r="B136">
        <v>4516920940</v>
      </c>
      <c r="C136">
        <v>18.07</v>
      </c>
      <c r="D136">
        <v>0</v>
      </c>
      <c r="E136">
        <v>656.05</v>
      </c>
      <c r="F136">
        <v>38927725</v>
      </c>
      <c r="G136">
        <v>273471769</v>
      </c>
    </row>
    <row r="137" spans="1:7">
      <c r="A137">
        <v>250</v>
      </c>
      <c r="B137">
        <v>5188856340</v>
      </c>
      <c r="C137">
        <v>20.76</v>
      </c>
      <c r="D137">
        <v>0</v>
      </c>
      <c r="E137">
        <v>684.2</v>
      </c>
      <c r="F137">
        <v>39281811</v>
      </c>
      <c r="G137">
        <v>275942888</v>
      </c>
    </row>
    <row r="138" spans="1:7">
      <c r="A138">
        <v>252</v>
      </c>
      <c r="B138">
        <v>5127467220</v>
      </c>
      <c r="C138">
        <v>20.51</v>
      </c>
      <c r="D138">
        <v>0</v>
      </c>
      <c r="E138">
        <v>706.02</v>
      </c>
      <c r="F138">
        <v>39635005</v>
      </c>
      <c r="G138">
        <v>278460228</v>
      </c>
    </row>
    <row r="139" spans="1:7">
      <c r="A139">
        <v>254</v>
      </c>
      <c r="B139">
        <v>5044040980</v>
      </c>
      <c r="C139">
        <v>20.18</v>
      </c>
      <c r="D139">
        <v>0</v>
      </c>
      <c r="E139">
        <v>724.42</v>
      </c>
      <c r="F139">
        <v>39995148</v>
      </c>
      <c r="G139">
        <v>281007423</v>
      </c>
    </row>
    <row r="140" spans="1:7">
      <c r="A140">
        <v>256</v>
      </c>
      <c r="B140">
        <v>5120974140</v>
      </c>
      <c r="C140">
        <v>20.48</v>
      </c>
      <c r="D140">
        <v>0</v>
      </c>
      <c r="E140">
        <v>743.05</v>
      </c>
      <c r="F140">
        <v>40371097</v>
      </c>
      <c r="G140">
        <v>283599663</v>
      </c>
    </row>
    <row r="141" spans="1:7">
      <c r="A141">
        <v>258</v>
      </c>
      <c r="B141">
        <v>5360726200</v>
      </c>
      <c r="C141">
        <v>21.44</v>
      </c>
      <c r="D141">
        <v>0</v>
      </c>
      <c r="E141">
        <v>743.05</v>
      </c>
      <c r="F141">
        <v>40747774</v>
      </c>
      <c r="G141">
        <v>286195851</v>
      </c>
    </row>
    <row r="142" spans="1:7">
      <c r="A142">
        <v>260</v>
      </c>
      <c r="B142">
        <v>4729716880</v>
      </c>
      <c r="C142">
        <v>18.920000000000002</v>
      </c>
      <c r="D142">
        <v>0</v>
      </c>
      <c r="E142">
        <v>743.05</v>
      </c>
      <c r="F142">
        <v>41117392</v>
      </c>
      <c r="G142">
        <v>288793719</v>
      </c>
    </row>
    <row r="143" spans="1:7">
      <c r="A143">
        <v>262</v>
      </c>
      <c r="B143">
        <v>4910637700</v>
      </c>
      <c r="C143">
        <v>19.64</v>
      </c>
      <c r="D143">
        <v>0</v>
      </c>
      <c r="E143">
        <v>743.05</v>
      </c>
      <c r="F143">
        <v>41484659</v>
      </c>
      <c r="G143">
        <v>291399000</v>
      </c>
    </row>
    <row r="144" spans="1:7">
      <c r="A144">
        <v>264</v>
      </c>
      <c r="B144">
        <v>4984422700</v>
      </c>
      <c r="C144">
        <v>19.940000000000001</v>
      </c>
      <c r="D144">
        <v>0</v>
      </c>
      <c r="E144">
        <v>743.05</v>
      </c>
      <c r="F144">
        <v>41852555</v>
      </c>
      <c r="G144">
        <v>294006640</v>
      </c>
    </row>
    <row r="145" spans="1:7">
      <c r="A145">
        <v>266</v>
      </c>
      <c r="B145">
        <v>4623958380</v>
      </c>
      <c r="C145">
        <v>18.5</v>
      </c>
      <c r="D145">
        <v>138</v>
      </c>
      <c r="E145">
        <v>528.91</v>
      </c>
      <c r="F145">
        <v>42141518</v>
      </c>
      <c r="G145">
        <v>295873803</v>
      </c>
    </row>
    <row r="146" spans="1:7">
      <c r="A146">
        <v>268</v>
      </c>
      <c r="B146">
        <v>3740801120</v>
      </c>
      <c r="C146">
        <v>14.96</v>
      </c>
      <c r="D146">
        <v>0</v>
      </c>
      <c r="E146">
        <v>547.87</v>
      </c>
      <c r="F146">
        <v>42488660</v>
      </c>
      <c r="G146">
        <v>297987166</v>
      </c>
    </row>
    <row r="147" spans="1:7">
      <c r="A147">
        <v>270</v>
      </c>
      <c r="B147">
        <v>4277759160</v>
      </c>
      <c r="C147">
        <v>17.11</v>
      </c>
      <c r="D147">
        <v>0</v>
      </c>
      <c r="E147">
        <v>564.48</v>
      </c>
      <c r="F147">
        <v>42842158</v>
      </c>
      <c r="G147">
        <v>300176423</v>
      </c>
    </row>
    <row r="148" spans="1:7">
      <c r="A148">
        <v>272</v>
      </c>
      <c r="B148">
        <v>4706991100</v>
      </c>
      <c r="C148">
        <v>18.829999999999998</v>
      </c>
      <c r="D148">
        <v>0</v>
      </c>
      <c r="E148">
        <v>578.49</v>
      </c>
      <c r="F148">
        <v>43201477</v>
      </c>
      <c r="G148">
        <v>302411677</v>
      </c>
    </row>
    <row r="149" spans="1:7">
      <c r="A149">
        <v>274</v>
      </c>
      <c r="B149">
        <v>4204761200</v>
      </c>
      <c r="C149">
        <v>16.82</v>
      </c>
      <c r="D149">
        <v>0</v>
      </c>
      <c r="E149">
        <v>590.4</v>
      </c>
      <c r="F149">
        <v>43567170</v>
      </c>
      <c r="G149">
        <v>304701174</v>
      </c>
    </row>
    <row r="150" spans="1:7">
      <c r="A150">
        <v>276</v>
      </c>
      <c r="B150">
        <v>4767593180</v>
      </c>
      <c r="C150">
        <v>19.07</v>
      </c>
      <c r="D150">
        <v>0</v>
      </c>
      <c r="E150">
        <v>600.42999999999995</v>
      </c>
      <c r="F150">
        <v>43930402</v>
      </c>
      <c r="G150">
        <v>307038712</v>
      </c>
    </row>
    <row r="151" spans="1:7">
      <c r="A151">
        <v>278</v>
      </c>
      <c r="B151">
        <v>4387354480</v>
      </c>
      <c r="C151">
        <v>17.55</v>
      </c>
      <c r="D151">
        <v>0</v>
      </c>
      <c r="E151">
        <v>608.71</v>
      </c>
      <c r="F151">
        <v>44290769</v>
      </c>
      <c r="G151">
        <v>309413147</v>
      </c>
    </row>
    <row r="152" spans="1:7">
      <c r="A152">
        <v>280</v>
      </c>
      <c r="B152">
        <v>4712303620</v>
      </c>
      <c r="C152">
        <v>18.850000000000001</v>
      </c>
      <c r="D152">
        <v>0</v>
      </c>
      <c r="E152">
        <v>615.33000000000004</v>
      </c>
      <c r="F152">
        <v>44652107</v>
      </c>
      <c r="G152">
        <v>311808211</v>
      </c>
    </row>
    <row r="153" spans="1:7">
      <c r="A153">
        <v>282</v>
      </c>
      <c r="B153">
        <v>4869810000</v>
      </c>
      <c r="C153">
        <v>19.48</v>
      </c>
      <c r="D153">
        <v>0</v>
      </c>
      <c r="E153">
        <v>620.54999999999995</v>
      </c>
      <c r="F153">
        <v>45014479</v>
      </c>
      <c r="G153">
        <v>314218857</v>
      </c>
    </row>
    <row r="154" spans="1:7">
      <c r="A154">
        <v>284</v>
      </c>
      <c r="B154">
        <v>4734931020</v>
      </c>
      <c r="C154">
        <v>18.940000000000001</v>
      </c>
      <c r="D154">
        <v>0</v>
      </c>
      <c r="E154">
        <v>624.53</v>
      </c>
      <c r="F154">
        <v>45388341</v>
      </c>
      <c r="G154">
        <v>316658266</v>
      </c>
    </row>
    <row r="155" spans="1:7">
      <c r="A155">
        <v>286</v>
      </c>
      <c r="B155">
        <v>4887616780</v>
      </c>
      <c r="C155">
        <v>19.55</v>
      </c>
      <c r="D155">
        <v>0</v>
      </c>
      <c r="E155">
        <v>627.41</v>
      </c>
      <c r="F155">
        <v>45760782</v>
      </c>
      <c r="G155">
        <v>319101798</v>
      </c>
    </row>
    <row r="156" spans="1:7">
      <c r="A156">
        <v>288</v>
      </c>
      <c r="B156">
        <v>5056928760</v>
      </c>
      <c r="C156">
        <v>20.23</v>
      </c>
      <c r="D156">
        <v>0</v>
      </c>
      <c r="E156">
        <v>629.39</v>
      </c>
      <c r="F156">
        <v>46134926</v>
      </c>
      <c r="G156">
        <v>321561332</v>
      </c>
    </row>
    <row r="157" spans="1:7">
      <c r="A157">
        <v>290</v>
      </c>
      <c r="B157">
        <v>4676985200</v>
      </c>
      <c r="C157">
        <v>18.71</v>
      </c>
      <c r="D157">
        <v>0</v>
      </c>
      <c r="E157">
        <v>630.64</v>
      </c>
      <c r="F157">
        <v>46512458</v>
      </c>
      <c r="G157">
        <v>324028888</v>
      </c>
    </row>
    <row r="158" spans="1:7">
      <c r="A158">
        <v>292</v>
      </c>
      <c r="B158">
        <v>4793467120</v>
      </c>
      <c r="C158">
        <v>19.170000000000002</v>
      </c>
      <c r="D158">
        <v>0</v>
      </c>
      <c r="E158">
        <v>631.32000000000005</v>
      </c>
      <c r="F158">
        <v>46890323</v>
      </c>
      <c r="G158">
        <v>326502891</v>
      </c>
    </row>
    <row r="159" spans="1:7">
      <c r="A159">
        <v>294</v>
      </c>
      <c r="B159">
        <v>4879746380</v>
      </c>
      <c r="C159">
        <v>19.52</v>
      </c>
      <c r="D159">
        <v>0</v>
      </c>
      <c r="E159">
        <v>631.6</v>
      </c>
      <c r="F159">
        <v>47272460</v>
      </c>
      <c r="G159">
        <v>328979351</v>
      </c>
    </row>
    <row r="160" spans="1:7">
      <c r="A160">
        <v>296</v>
      </c>
      <c r="B160">
        <v>4916835640</v>
      </c>
      <c r="C160">
        <v>19.670000000000002</v>
      </c>
      <c r="D160">
        <v>0</v>
      </c>
      <c r="E160">
        <v>631.66</v>
      </c>
      <c r="F160">
        <v>47654253</v>
      </c>
      <c r="G160">
        <v>331456847</v>
      </c>
    </row>
    <row r="161" spans="1:156">
      <c r="A161">
        <v>298</v>
      </c>
      <c r="B161">
        <v>4762969320</v>
      </c>
      <c r="C161">
        <v>19.05</v>
      </c>
      <c r="D161">
        <v>0</v>
      </c>
      <c r="E161">
        <v>631.66999999999996</v>
      </c>
      <c r="F161">
        <v>48033173</v>
      </c>
      <c r="G161">
        <v>333925649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7162941</v>
      </c>
      <c r="D164">
        <v>0</v>
      </c>
      <c r="E164">
        <v>41.882100000000001</v>
      </c>
      <c r="F164" s="4">
        <v>301999000</v>
      </c>
      <c r="G164">
        <v>18791.8</v>
      </c>
      <c r="H164">
        <v>336793113</v>
      </c>
      <c r="I164">
        <v>2337</v>
      </c>
      <c r="J164">
        <v>6.9389799999999998E-4</v>
      </c>
      <c r="K164" t="s">
        <v>118</v>
      </c>
      <c r="L164">
        <v>0</v>
      </c>
      <c r="M164">
        <v>7162941</v>
      </c>
      <c r="N164">
        <v>704690135580</v>
      </c>
      <c r="O164">
        <v>41.887</v>
      </c>
      <c r="P164">
        <v>300033983</v>
      </c>
      <c r="Q164">
        <v>18789.599999999999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102</v>
      </c>
      <c r="CC164">
        <v>48520124</v>
      </c>
      <c r="CD164">
        <v>0</v>
      </c>
      <c r="CE164">
        <v>336793113</v>
      </c>
      <c r="CF164">
        <v>0</v>
      </c>
      <c r="CG164">
        <v>22261</v>
      </c>
      <c r="CH164" t="s">
        <v>121</v>
      </c>
      <c r="CI164" t="s">
        <v>208</v>
      </c>
      <c r="CJ164" t="s">
        <v>47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209</v>
      </c>
      <c r="CT164" t="s">
        <v>47</v>
      </c>
      <c r="CU164">
        <v>336889784</v>
      </c>
      <c r="CV164">
        <v>3035920513852</v>
      </c>
      <c r="CW164">
        <v>0</v>
      </c>
      <c r="CX164">
        <v>0</v>
      </c>
      <c r="CY164">
        <v>48599211</v>
      </c>
      <c r="CZ164">
        <v>3218478349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56270896</v>
      </c>
      <c r="DP164">
        <v>3016612358594</v>
      </c>
      <c r="DQ164">
        <v>0</v>
      </c>
      <c r="DR164">
        <v>0</v>
      </c>
      <c r="DS164">
        <v>48598554</v>
      </c>
      <c r="DT164">
        <v>3218201626</v>
      </c>
      <c r="DU164">
        <v>0</v>
      </c>
      <c r="DV164">
        <v>0</v>
      </c>
      <c r="DW164" t="s">
        <v>211</v>
      </c>
      <c r="DX164" t="s">
        <v>47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56270344</v>
      </c>
      <c r="EI164">
        <v>0</v>
      </c>
      <c r="EJ164">
        <v>48598206</v>
      </c>
      <c r="EK164">
        <v>24</v>
      </c>
      <c r="EL164">
        <v>0</v>
      </c>
      <c r="EM164" t="s">
        <v>108</v>
      </c>
      <c r="EN164" t="s">
        <v>212</v>
      </c>
      <c r="EO164">
        <v>336889783</v>
      </c>
      <c r="EP164">
        <v>48599213</v>
      </c>
      <c r="EQ164">
        <v>336896306</v>
      </c>
      <c r="ER164">
        <v>48599213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47</v>
      </c>
    </row>
    <row r="182" spans="1:9">
      <c r="A182" t="s">
        <v>146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B1CD-0917-4D13-AA42-50836DCBE9EF}">
  <sheetPr codeName="Sheet13"/>
  <dimension ref="A1:EZ228"/>
  <sheetViews>
    <sheetView topLeftCell="A154" workbookViewId="0"/>
  </sheetViews>
  <sheetFormatPr defaultRowHeight="12.5"/>
  <sheetData>
    <row r="1" spans="1:7">
      <c r="A1" t="s">
        <v>264</v>
      </c>
      <c r="B1">
        <v>24</v>
      </c>
      <c r="C1" t="s">
        <v>257</v>
      </c>
      <c r="D1" t="s">
        <v>60</v>
      </c>
      <c r="E1" t="s">
        <v>272</v>
      </c>
    </row>
    <row r="2" spans="1:7">
      <c r="A2" t="s">
        <v>61</v>
      </c>
      <c r="B2" t="s">
        <v>248</v>
      </c>
      <c r="C2">
        <v>8</v>
      </c>
    </row>
    <row r="3" spans="1:7">
      <c r="A3" t="s">
        <v>249</v>
      </c>
    </row>
    <row r="4" spans="1:7">
      <c r="A4" t="s">
        <v>273</v>
      </c>
    </row>
    <row r="5" spans="1:7">
      <c r="A5" t="s">
        <v>62</v>
      </c>
      <c r="B5" t="s">
        <v>213</v>
      </c>
      <c r="C5" t="s">
        <v>63</v>
      </c>
      <c r="D5" t="s">
        <v>274</v>
      </c>
    </row>
    <row r="6" spans="1:7">
      <c r="A6" t="s">
        <v>275</v>
      </c>
    </row>
    <row r="7" spans="1:7">
      <c r="A7" t="s">
        <v>49</v>
      </c>
      <c r="B7" t="s">
        <v>200</v>
      </c>
    </row>
    <row r="8" spans="1:7">
      <c r="A8" t="s">
        <v>50</v>
      </c>
      <c r="B8" t="s">
        <v>64</v>
      </c>
    </row>
    <row r="9" spans="1:7">
      <c r="A9" t="s">
        <v>65</v>
      </c>
      <c r="B9" t="s">
        <v>201</v>
      </c>
      <c r="C9" t="s">
        <v>202</v>
      </c>
    </row>
    <row r="10" spans="1:7">
      <c r="A10" t="s">
        <v>195</v>
      </c>
    </row>
    <row r="11" spans="1:7">
      <c r="A11" t="s">
        <v>67</v>
      </c>
    </row>
    <row r="12" spans="1:7">
      <c r="A12" t="s">
        <v>51</v>
      </c>
      <c r="B12" t="s">
        <v>68</v>
      </c>
      <c r="C12" t="s">
        <v>69</v>
      </c>
      <c r="D12" t="s">
        <v>70</v>
      </c>
      <c r="E12" t="s">
        <v>71</v>
      </c>
      <c r="F12" t="s">
        <v>72</v>
      </c>
      <c r="G12" t="s">
        <v>73</v>
      </c>
    </row>
    <row r="13" spans="1:7">
      <c r="A13">
        <v>2</v>
      </c>
      <c r="B13">
        <v>3049780</v>
      </c>
      <c r="C13">
        <v>0.01</v>
      </c>
      <c r="D13">
        <v>0</v>
      </c>
      <c r="E13">
        <v>0.47</v>
      </c>
      <c r="F13">
        <v>812</v>
      </c>
      <c r="G13">
        <v>3052</v>
      </c>
    </row>
    <row r="14" spans="1:7">
      <c r="A14">
        <v>4</v>
      </c>
      <c r="B14">
        <v>5017380</v>
      </c>
      <c r="C14">
        <v>0.02</v>
      </c>
      <c r="D14">
        <v>0</v>
      </c>
      <c r="E14">
        <v>0.68</v>
      </c>
      <c r="F14">
        <v>6497</v>
      </c>
      <c r="G14">
        <v>37959</v>
      </c>
    </row>
    <row r="15" spans="1:7">
      <c r="A15">
        <v>6</v>
      </c>
      <c r="B15">
        <v>6689840</v>
      </c>
      <c r="C15">
        <v>0.03</v>
      </c>
      <c r="D15">
        <v>0</v>
      </c>
      <c r="E15">
        <v>0.98</v>
      </c>
      <c r="F15">
        <v>15104</v>
      </c>
      <c r="G15">
        <v>91543</v>
      </c>
    </row>
    <row r="16" spans="1:7">
      <c r="A16">
        <v>8</v>
      </c>
      <c r="B16">
        <v>12199120</v>
      </c>
      <c r="C16">
        <v>0.05</v>
      </c>
      <c r="D16">
        <v>0</v>
      </c>
      <c r="E16">
        <v>1.6</v>
      </c>
      <c r="F16">
        <v>27889</v>
      </c>
      <c r="G16">
        <v>169756</v>
      </c>
    </row>
    <row r="17" spans="1:7">
      <c r="A17">
        <v>10</v>
      </c>
      <c r="B17">
        <v>19676000</v>
      </c>
      <c r="C17">
        <v>0.08</v>
      </c>
      <c r="D17">
        <v>0</v>
      </c>
      <c r="E17">
        <v>2.98</v>
      </c>
      <c r="F17">
        <v>47567</v>
      </c>
      <c r="G17">
        <v>287288</v>
      </c>
    </row>
    <row r="18" spans="1:7">
      <c r="A18">
        <v>12</v>
      </c>
      <c r="B18">
        <v>36892500</v>
      </c>
      <c r="C18">
        <v>0.15</v>
      </c>
      <c r="D18">
        <v>0</v>
      </c>
      <c r="E18">
        <v>5.12</v>
      </c>
      <c r="F18">
        <v>77396</v>
      </c>
      <c r="G18">
        <v>457291</v>
      </c>
    </row>
    <row r="19" spans="1:7">
      <c r="A19">
        <v>14</v>
      </c>
      <c r="B19">
        <v>60208560</v>
      </c>
      <c r="C19">
        <v>0.24</v>
      </c>
      <c r="D19">
        <v>0</v>
      </c>
      <c r="E19">
        <v>8.2100000000000009</v>
      </c>
      <c r="F19">
        <v>120242</v>
      </c>
      <c r="G19">
        <v>706524</v>
      </c>
    </row>
    <row r="20" spans="1:7">
      <c r="A20">
        <v>16</v>
      </c>
      <c r="B20">
        <v>93559380</v>
      </c>
      <c r="C20">
        <v>0.37</v>
      </c>
      <c r="D20">
        <v>0</v>
      </c>
      <c r="E20">
        <v>12.41</v>
      </c>
      <c r="F20">
        <v>177706</v>
      </c>
      <c r="G20">
        <v>1071030</v>
      </c>
    </row>
    <row r="21" spans="1:7">
      <c r="A21">
        <v>18</v>
      </c>
      <c r="B21">
        <v>130943780</v>
      </c>
      <c r="C21">
        <v>0.52</v>
      </c>
      <c r="D21">
        <v>0</v>
      </c>
      <c r="E21">
        <v>18.13</v>
      </c>
      <c r="F21">
        <v>259145</v>
      </c>
      <c r="G21">
        <v>1612396</v>
      </c>
    </row>
    <row r="22" spans="1:7">
      <c r="A22">
        <v>20</v>
      </c>
      <c r="B22">
        <v>171279580</v>
      </c>
      <c r="C22">
        <v>0.69</v>
      </c>
      <c r="D22">
        <v>0</v>
      </c>
      <c r="E22">
        <v>26.45</v>
      </c>
      <c r="F22">
        <v>377871</v>
      </c>
      <c r="G22">
        <v>2389124</v>
      </c>
    </row>
    <row r="23" spans="1:7">
      <c r="A23">
        <v>22</v>
      </c>
      <c r="B23">
        <v>281858700</v>
      </c>
      <c r="C23">
        <v>1.1299999999999999</v>
      </c>
      <c r="D23">
        <v>0</v>
      </c>
      <c r="E23">
        <v>38.69</v>
      </c>
      <c r="F23">
        <v>548351</v>
      </c>
      <c r="G23">
        <v>3469168</v>
      </c>
    </row>
    <row r="24" spans="1:7">
      <c r="A24">
        <v>24</v>
      </c>
      <c r="B24">
        <v>405620740</v>
      </c>
      <c r="C24">
        <v>1.62</v>
      </c>
      <c r="D24">
        <v>0</v>
      </c>
      <c r="E24">
        <v>56.46</v>
      </c>
      <c r="F24">
        <v>692388</v>
      </c>
      <c r="G24">
        <v>4890999</v>
      </c>
    </row>
    <row r="25" spans="1:7">
      <c r="A25">
        <v>26</v>
      </c>
      <c r="B25">
        <v>610546280</v>
      </c>
      <c r="C25">
        <v>2.44</v>
      </c>
      <c r="D25">
        <v>0</v>
      </c>
      <c r="E25">
        <v>82.38</v>
      </c>
      <c r="F25">
        <v>818288</v>
      </c>
      <c r="G25">
        <v>6460623</v>
      </c>
    </row>
    <row r="26" spans="1:7">
      <c r="A26">
        <v>28</v>
      </c>
      <c r="B26">
        <v>869580820</v>
      </c>
      <c r="C26">
        <v>3.48</v>
      </c>
      <c r="D26">
        <v>0</v>
      </c>
      <c r="E26">
        <v>120.38</v>
      </c>
      <c r="F26">
        <v>952223</v>
      </c>
      <c r="G26">
        <v>8005890</v>
      </c>
    </row>
    <row r="27" spans="1:7">
      <c r="A27">
        <v>30</v>
      </c>
      <c r="B27">
        <v>1276677260</v>
      </c>
      <c r="C27">
        <v>5.1100000000000003</v>
      </c>
      <c r="D27">
        <v>0</v>
      </c>
      <c r="E27">
        <v>175.74</v>
      </c>
      <c r="F27">
        <v>1094891</v>
      </c>
      <c r="G27">
        <v>9614992</v>
      </c>
    </row>
    <row r="28" spans="1:7">
      <c r="A28">
        <v>32</v>
      </c>
      <c r="B28">
        <v>1777431460</v>
      </c>
      <c r="C28">
        <v>7.11</v>
      </c>
      <c r="D28">
        <v>0</v>
      </c>
      <c r="E28">
        <v>255.21</v>
      </c>
      <c r="F28">
        <v>1248262</v>
      </c>
      <c r="G28">
        <v>11335730</v>
      </c>
    </row>
    <row r="29" spans="1:7">
      <c r="A29">
        <v>34</v>
      </c>
      <c r="B29">
        <v>2748146920</v>
      </c>
      <c r="C29">
        <v>10.99</v>
      </c>
      <c r="D29">
        <v>0</v>
      </c>
      <c r="E29">
        <v>364.78</v>
      </c>
      <c r="F29">
        <v>1428552</v>
      </c>
      <c r="G29">
        <v>13215619</v>
      </c>
    </row>
    <row r="30" spans="1:7">
      <c r="A30">
        <v>36</v>
      </c>
      <c r="B30">
        <v>3750245600</v>
      </c>
      <c r="C30">
        <v>15</v>
      </c>
      <c r="D30">
        <v>0</v>
      </c>
      <c r="E30">
        <v>502.42</v>
      </c>
      <c r="F30">
        <v>1650204</v>
      </c>
      <c r="G30">
        <v>15308358</v>
      </c>
    </row>
    <row r="31" spans="1:7">
      <c r="A31">
        <v>38</v>
      </c>
      <c r="B31">
        <v>4460844340</v>
      </c>
      <c r="C31">
        <v>17.84</v>
      </c>
      <c r="D31">
        <v>0</v>
      </c>
      <c r="E31">
        <v>674.8</v>
      </c>
      <c r="F31">
        <v>1912742</v>
      </c>
      <c r="G31">
        <v>17667331</v>
      </c>
    </row>
    <row r="32" spans="1:7">
      <c r="A32">
        <v>40</v>
      </c>
      <c r="B32">
        <v>5559257040</v>
      </c>
      <c r="C32">
        <v>22.24</v>
      </c>
      <c r="D32">
        <v>0</v>
      </c>
      <c r="E32">
        <v>798.5</v>
      </c>
      <c r="F32">
        <v>2208868</v>
      </c>
      <c r="G32">
        <v>20258730</v>
      </c>
    </row>
    <row r="33" spans="1:7">
      <c r="A33">
        <v>42</v>
      </c>
      <c r="B33">
        <v>5201252220</v>
      </c>
      <c r="C33">
        <v>20.81</v>
      </c>
      <c r="D33">
        <v>0</v>
      </c>
      <c r="E33">
        <v>798.5</v>
      </c>
      <c r="F33">
        <v>2514716</v>
      </c>
      <c r="G33">
        <v>22876857</v>
      </c>
    </row>
    <row r="34" spans="1:7">
      <c r="A34">
        <v>44</v>
      </c>
      <c r="B34">
        <v>3729192280</v>
      </c>
      <c r="C34">
        <v>14.92</v>
      </c>
      <c r="D34">
        <v>26</v>
      </c>
      <c r="E34">
        <v>574.08000000000004</v>
      </c>
      <c r="F34">
        <v>2810341</v>
      </c>
      <c r="G34">
        <v>24832706</v>
      </c>
    </row>
    <row r="35" spans="1:7">
      <c r="A35">
        <v>46</v>
      </c>
      <c r="B35">
        <v>4812552840</v>
      </c>
      <c r="C35">
        <v>19.25</v>
      </c>
      <c r="D35">
        <v>0</v>
      </c>
      <c r="E35">
        <v>609.14</v>
      </c>
      <c r="F35">
        <v>3173556</v>
      </c>
      <c r="G35">
        <v>27193841</v>
      </c>
    </row>
    <row r="36" spans="1:7">
      <c r="A36">
        <v>48</v>
      </c>
      <c r="B36">
        <v>4838623540</v>
      </c>
      <c r="C36">
        <v>19.350000000000001</v>
      </c>
      <c r="D36">
        <v>0</v>
      </c>
      <c r="E36">
        <v>638.30999999999995</v>
      </c>
      <c r="F36">
        <v>3547763</v>
      </c>
      <c r="G36">
        <v>29651646</v>
      </c>
    </row>
    <row r="37" spans="1:7">
      <c r="A37">
        <v>50</v>
      </c>
      <c r="B37">
        <v>5104741440</v>
      </c>
      <c r="C37">
        <v>20.420000000000002</v>
      </c>
      <c r="D37">
        <v>0</v>
      </c>
      <c r="E37">
        <v>663.55</v>
      </c>
      <c r="F37">
        <v>3926601</v>
      </c>
      <c r="G37">
        <v>32206919</v>
      </c>
    </row>
    <row r="38" spans="1:7">
      <c r="A38">
        <v>52</v>
      </c>
      <c r="B38">
        <v>5111136140</v>
      </c>
      <c r="C38">
        <v>20.440000000000001</v>
      </c>
      <c r="D38">
        <v>0</v>
      </c>
      <c r="E38">
        <v>683.57</v>
      </c>
      <c r="F38">
        <v>4294521</v>
      </c>
      <c r="G38">
        <v>34784956</v>
      </c>
    </row>
    <row r="39" spans="1:7">
      <c r="A39">
        <v>54</v>
      </c>
      <c r="B39">
        <v>4906407360</v>
      </c>
      <c r="C39">
        <v>19.63</v>
      </c>
      <c r="D39">
        <v>0</v>
      </c>
      <c r="E39">
        <v>691.64</v>
      </c>
      <c r="F39">
        <v>4665058</v>
      </c>
      <c r="G39">
        <v>37379121</v>
      </c>
    </row>
    <row r="40" spans="1:7">
      <c r="A40">
        <v>56</v>
      </c>
      <c r="B40">
        <v>4645503600</v>
      </c>
      <c r="C40">
        <v>18.579999999999998</v>
      </c>
      <c r="D40">
        <v>0</v>
      </c>
      <c r="E40">
        <v>691.64</v>
      </c>
      <c r="F40">
        <v>5029987</v>
      </c>
      <c r="G40">
        <v>39975351</v>
      </c>
    </row>
    <row r="41" spans="1:7">
      <c r="A41">
        <v>58</v>
      </c>
      <c r="B41">
        <v>4913490720</v>
      </c>
      <c r="C41">
        <v>19.649999999999999</v>
      </c>
      <c r="D41">
        <v>0</v>
      </c>
      <c r="E41">
        <v>691.64</v>
      </c>
      <c r="F41">
        <v>5395930</v>
      </c>
      <c r="G41">
        <v>42575109</v>
      </c>
    </row>
    <row r="42" spans="1:7">
      <c r="A42">
        <v>60</v>
      </c>
      <c r="B42">
        <v>4456417240</v>
      </c>
      <c r="C42">
        <v>17.829999999999998</v>
      </c>
      <c r="D42">
        <v>0</v>
      </c>
      <c r="E42">
        <v>691.64</v>
      </c>
      <c r="F42">
        <v>5757337</v>
      </c>
      <c r="G42">
        <v>45179095</v>
      </c>
    </row>
    <row r="43" spans="1:7">
      <c r="A43">
        <v>62</v>
      </c>
      <c r="B43">
        <v>4941430640</v>
      </c>
      <c r="C43">
        <v>19.77</v>
      </c>
      <c r="D43">
        <v>0</v>
      </c>
      <c r="E43">
        <v>706.07</v>
      </c>
      <c r="F43">
        <v>6119511</v>
      </c>
      <c r="G43">
        <v>47786679</v>
      </c>
    </row>
    <row r="44" spans="1:7">
      <c r="A44">
        <v>64</v>
      </c>
      <c r="B44">
        <v>4443332700</v>
      </c>
      <c r="C44">
        <v>17.77</v>
      </c>
      <c r="D44">
        <v>175</v>
      </c>
      <c r="E44">
        <v>506.32</v>
      </c>
      <c r="F44">
        <v>6449366</v>
      </c>
      <c r="G44">
        <v>49976507</v>
      </c>
    </row>
    <row r="45" spans="1:7">
      <c r="A45">
        <v>66</v>
      </c>
      <c r="B45">
        <v>4180362960</v>
      </c>
      <c r="C45">
        <v>16.72</v>
      </c>
      <c r="D45">
        <v>0</v>
      </c>
      <c r="E45">
        <v>526.14</v>
      </c>
      <c r="F45">
        <v>6754503</v>
      </c>
      <c r="G45">
        <v>52030686</v>
      </c>
    </row>
    <row r="46" spans="1:7">
      <c r="A46">
        <v>68</v>
      </c>
      <c r="B46">
        <v>4129697260</v>
      </c>
      <c r="C46">
        <v>16.52</v>
      </c>
      <c r="D46">
        <v>0</v>
      </c>
      <c r="E46">
        <v>543.39</v>
      </c>
      <c r="F46">
        <v>7103488</v>
      </c>
      <c r="G46">
        <v>54205523</v>
      </c>
    </row>
    <row r="47" spans="1:7">
      <c r="A47">
        <v>70</v>
      </c>
      <c r="B47">
        <v>4381451680</v>
      </c>
      <c r="C47">
        <v>17.53</v>
      </c>
      <c r="D47">
        <v>0</v>
      </c>
      <c r="E47">
        <v>557.96</v>
      </c>
      <c r="F47">
        <v>7451470</v>
      </c>
      <c r="G47">
        <v>56415402</v>
      </c>
    </row>
    <row r="48" spans="1:7">
      <c r="A48">
        <v>72</v>
      </c>
      <c r="B48">
        <v>4291729120</v>
      </c>
      <c r="C48">
        <v>17.170000000000002</v>
      </c>
      <c r="D48">
        <v>0</v>
      </c>
      <c r="E48">
        <v>570.39</v>
      </c>
      <c r="F48">
        <v>7797888</v>
      </c>
      <c r="G48">
        <v>58680931</v>
      </c>
    </row>
    <row r="49" spans="1:7">
      <c r="A49">
        <v>74</v>
      </c>
      <c r="B49">
        <v>4413326800</v>
      </c>
      <c r="C49">
        <v>17.649999999999999</v>
      </c>
      <c r="D49">
        <v>0</v>
      </c>
      <c r="E49">
        <v>580.83000000000004</v>
      </c>
      <c r="F49">
        <v>8144039</v>
      </c>
      <c r="G49">
        <v>61000794</v>
      </c>
    </row>
    <row r="50" spans="1:7">
      <c r="A50">
        <v>76</v>
      </c>
      <c r="B50">
        <v>4686331300</v>
      </c>
      <c r="C50">
        <v>18.75</v>
      </c>
      <c r="D50">
        <v>0</v>
      </c>
      <c r="E50">
        <v>589.58000000000004</v>
      </c>
      <c r="F50">
        <v>8497197</v>
      </c>
      <c r="G50">
        <v>63367522</v>
      </c>
    </row>
    <row r="51" spans="1:7">
      <c r="A51">
        <v>78</v>
      </c>
      <c r="B51">
        <v>4338656380</v>
      </c>
      <c r="C51">
        <v>17.350000000000001</v>
      </c>
      <c r="D51">
        <v>0</v>
      </c>
      <c r="E51">
        <v>596.59</v>
      </c>
      <c r="F51">
        <v>8849988</v>
      </c>
      <c r="G51">
        <v>65752464</v>
      </c>
    </row>
    <row r="52" spans="1:7">
      <c r="A52">
        <v>80</v>
      </c>
      <c r="B52">
        <v>4547418740</v>
      </c>
      <c r="C52">
        <v>18.190000000000001</v>
      </c>
      <c r="D52">
        <v>0</v>
      </c>
      <c r="E52">
        <v>602.14</v>
      </c>
      <c r="F52">
        <v>9203470</v>
      </c>
      <c r="G52">
        <v>68165749</v>
      </c>
    </row>
    <row r="53" spans="1:7">
      <c r="A53">
        <v>82</v>
      </c>
      <c r="B53">
        <v>4916146980</v>
      </c>
      <c r="C53">
        <v>19.670000000000002</v>
      </c>
      <c r="D53">
        <v>0</v>
      </c>
      <c r="E53">
        <v>606.4</v>
      </c>
      <c r="F53">
        <v>9561641</v>
      </c>
      <c r="G53">
        <v>70606467</v>
      </c>
    </row>
    <row r="54" spans="1:7">
      <c r="A54">
        <v>84</v>
      </c>
      <c r="B54">
        <v>4856135180</v>
      </c>
      <c r="C54">
        <v>19.420000000000002</v>
      </c>
      <c r="D54">
        <v>0</v>
      </c>
      <c r="E54">
        <v>609.54999999999995</v>
      </c>
      <c r="F54">
        <v>9922570</v>
      </c>
      <c r="G54">
        <v>73060256</v>
      </c>
    </row>
    <row r="55" spans="1:7">
      <c r="A55">
        <v>86</v>
      </c>
      <c r="B55">
        <v>4468321220</v>
      </c>
      <c r="C55">
        <v>17.87</v>
      </c>
      <c r="D55">
        <v>0</v>
      </c>
      <c r="E55">
        <v>611.74</v>
      </c>
      <c r="F55">
        <v>10283410</v>
      </c>
      <c r="G55">
        <v>75517730</v>
      </c>
    </row>
    <row r="56" spans="1:7">
      <c r="A56">
        <v>88</v>
      </c>
      <c r="B56">
        <v>4957860100</v>
      </c>
      <c r="C56">
        <v>19.829999999999998</v>
      </c>
      <c r="D56">
        <v>0</v>
      </c>
      <c r="E56">
        <v>613.14</v>
      </c>
      <c r="F56">
        <v>10651584</v>
      </c>
      <c r="G56">
        <v>77981212</v>
      </c>
    </row>
    <row r="57" spans="1:7">
      <c r="A57">
        <v>90</v>
      </c>
      <c r="B57">
        <v>4814717200</v>
      </c>
      <c r="C57">
        <v>19.260000000000002</v>
      </c>
      <c r="D57">
        <v>0</v>
      </c>
      <c r="E57">
        <v>613.95000000000005</v>
      </c>
      <c r="F57">
        <v>11026348</v>
      </c>
      <c r="G57">
        <v>80461431</v>
      </c>
    </row>
    <row r="58" spans="1:7">
      <c r="A58">
        <v>92</v>
      </c>
      <c r="B58">
        <v>4562274120</v>
      </c>
      <c r="C58">
        <v>18.25</v>
      </c>
      <c r="D58">
        <v>0</v>
      </c>
      <c r="E58">
        <v>614.32000000000005</v>
      </c>
      <c r="F58">
        <v>11399445</v>
      </c>
      <c r="G58">
        <v>82942728</v>
      </c>
    </row>
    <row r="59" spans="1:7">
      <c r="A59">
        <v>94</v>
      </c>
      <c r="B59">
        <v>4636747780</v>
      </c>
      <c r="C59">
        <v>18.55</v>
      </c>
      <c r="D59">
        <v>0</v>
      </c>
      <c r="E59">
        <v>614.41</v>
      </c>
      <c r="F59">
        <v>11772170</v>
      </c>
      <c r="G59">
        <v>85428862</v>
      </c>
    </row>
    <row r="60" spans="1:7">
      <c r="A60">
        <v>96</v>
      </c>
      <c r="B60">
        <v>4773987880</v>
      </c>
      <c r="C60">
        <v>19.100000000000001</v>
      </c>
      <c r="D60">
        <v>0</v>
      </c>
      <c r="E60">
        <v>614.41</v>
      </c>
      <c r="F60">
        <v>12145930</v>
      </c>
      <c r="G60">
        <v>87907940</v>
      </c>
    </row>
    <row r="61" spans="1:7">
      <c r="A61">
        <v>98</v>
      </c>
      <c r="B61">
        <v>5006263060</v>
      </c>
      <c r="C61">
        <v>20.03</v>
      </c>
      <c r="D61">
        <v>0</v>
      </c>
      <c r="E61">
        <v>614.5</v>
      </c>
      <c r="F61">
        <v>12523800</v>
      </c>
      <c r="G61">
        <v>90394963</v>
      </c>
    </row>
    <row r="62" spans="1:7">
      <c r="A62">
        <v>100</v>
      </c>
      <c r="B62">
        <v>4554108580</v>
      </c>
      <c r="C62">
        <v>18.22</v>
      </c>
      <c r="D62">
        <v>0</v>
      </c>
      <c r="E62">
        <v>614.84</v>
      </c>
      <c r="F62">
        <v>12897657</v>
      </c>
      <c r="G62">
        <v>92882665</v>
      </c>
    </row>
    <row r="63" spans="1:7">
      <c r="A63">
        <v>102</v>
      </c>
      <c r="B63">
        <v>5007246860</v>
      </c>
      <c r="C63">
        <v>20.03</v>
      </c>
      <c r="D63">
        <v>0</v>
      </c>
      <c r="E63">
        <v>615.6</v>
      </c>
      <c r="F63">
        <v>13271157</v>
      </c>
      <c r="G63">
        <v>95372635</v>
      </c>
    </row>
    <row r="64" spans="1:7">
      <c r="A64">
        <v>104</v>
      </c>
      <c r="B64">
        <v>4594837900</v>
      </c>
      <c r="C64">
        <v>18.38</v>
      </c>
      <c r="D64">
        <v>0</v>
      </c>
      <c r="E64">
        <v>616.96</v>
      </c>
      <c r="F64">
        <v>13639984</v>
      </c>
      <c r="G64">
        <v>97861793</v>
      </c>
    </row>
    <row r="65" spans="1:7">
      <c r="A65">
        <v>106</v>
      </c>
      <c r="B65">
        <v>4978913420</v>
      </c>
      <c r="C65">
        <v>19.920000000000002</v>
      </c>
      <c r="D65">
        <v>0</v>
      </c>
      <c r="E65">
        <v>619.09</v>
      </c>
      <c r="F65">
        <v>14007342</v>
      </c>
      <c r="G65">
        <v>100357720</v>
      </c>
    </row>
    <row r="66" spans="1:7">
      <c r="A66">
        <v>108</v>
      </c>
      <c r="B66">
        <v>4785203200</v>
      </c>
      <c r="C66">
        <v>19.14</v>
      </c>
      <c r="D66">
        <v>0</v>
      </c>
      <c r="E66">
        <v>622.15</v>
      </c>
      <c r="F66">
        <v>14376989</v>
      </c>
      <c r="G66">
        <v>102858302</v>
      </c>
    </row>
    <row r="67" spans="1:7">
      <c r="A67">
        <v>110</v>
      </c>
      <c r="B67">
        <v>4520954520</v>
      </c>
      <c r="C67">
        <v>18.079999999999998</v>
      </c>
      <c r="D67">
        <v>0</v>
      </c>
      <c r="E67">
        <v>626.34</v>
      </c>
      <c r="F67">
        <v>14746424</v>
      </c>
      <c r="G67">
        <v>105367228</v>
      </c>
    </row>
    <row r="68" spans="1:7">
      <c r="A68">
        <v>112</v>
      </c>
      <c r="B68">
        <v>5141043660</v>
      </c>
      <c r="C68">
        <v>20.56</v>
      </c>
      <c r="D68">
        <v>0</v>
      </c>
      <c r="E68">
        <v>631.80999999999995</v>
      </c>
      <c r="F68">
        <v>15115036</v>
      </c>
      <c r="G68">
        <v>107888439</v>
      </c>
    </row>
    <row r="69" spans="1:7">
      <c r="A69">
        <v>114</v>
      </c>
      <c r="B69">
        <v>4301665500</v>
      </c>
      <c r="C69">
        <v>17.21</v>
      </c>
      <c r="D69">
        <v>0</v>
      </c>
      <c r="E69">
        <v>638.71</v>
      </c>
      <c r="F69">
        <v>15485510</v>
      </c>
      <c r="G69">
        <v>110424560</v>
      </c>
    </row>
    <row r="70" spans="1:7">
      <c r="A70">
        <v>116</v>
      </c>
      <c r="B70">
        <v>5216402740</v>
      </c>
      <c r="C70">
        <v>20.87</v>
      </c>
      <c r="D70">
        <v>0</v>
      </c>
      <c r="E70">
        <v>647.25</v>
      </c>
      <c r="F70">
        <v>15860466</v>
      </c>
      <c r="G70">
        <v>112972210</v>
      </c>
    </row>
    <row r="71" spans="1:7">
      <c r="A71">
        <v>118</v>
      </c>
      <c r="B71">
        <v>4597100640</v>
      </c>
      <c r="C71">
        <v>18.39</v>
      </c>
      <c r="D71">
        <v>0</v>
      </c>
      <c r="E71">
        <v>657.59</v>
      </c>
      <c r="F71">
        <v>16239143</v>
      </c>
      <c r="G71">
        <v>115536541</v>
      </c>
    </row>
    <row r="72" spans="1:7">
      <c r="A72">
        <v>120</v>
      </c>
      <c r="B72">
        <v>5574702700</v>
      </c>
      <c r="C72">
        <v>22.3</v>
      </c>
      <c r="D72">
        <v>0</v>
      </c>
      <c r="E72">
        <v>667.48</v>
      </c>
      <c r="F72">
        <v>16613415</v>
      </c>
      <c r="G72">
        <v>118115383</v>
      </c>
    </row>
    <row r="73" spans="1:7">
      <c r="A73">
        <v>122</v>
      </c>
      <c r="B73">
        <v>4863808820</v>
      </c>
      <c r="C73">
        <v>19.46</v>
      </c>
      <c r="D73">
        <v>0</v>
      </c>
      <c r="E73">
        <v>679.4</v>
      </c>
      <c r="F73">
        <v>16986105</v>
      </c>
      <c r="G73">
        <v>120700546</v>
      </c>
    </row>
    <row r="74" spans="1:7">
      <c r="A74">
        <v>124</v>
      </c>
      <c r="B74">
        <v>4683478280</v>
      </c>
      <c r="C74">
        <v>18.73</v>
      </c>
      <c r="D74">
        <v>0</v>
      </c>
      <c r="E74">
        <v>694.58</v>
      </c>
      <c r="F74">
        <v>17354354</v>
      </c>
      <c r="G74">
        <v>123289930</v>
      </c>
    </row>
    <row r="75" spans="1:7">
      <c r="A75">
        <v>126</v>
      </c>
      <c r="B75">
        <v>5058306080</v>
      </c>
      <c r="C75">
        <v>20.23</v>
      </c>
      <c r="D75">
        <v>0</v>
      </c>
      <c r="E75">
        <v>698.5</v>
      </c>
      <c r="F75">
        <v>17717007</v>
      </c>
      <c r="G75">
        <v>125884389</v>
      </c>
    </row>
    <row r="76" spans="1:7">
      <c r="A76">
        <v>128</v>
      </c>
      <c r="B76">
        <v>5089295780</v>
      </c>
      <c r="C76">
        <v>20.36</v>
      </c>
      <c r="D76">
        <v>0</v>
      </c>
      <c r="E76">
        <v>731.84</v>
      </c>
      <c r="F76">
        <v>18069405</v>
      </c>
      <c r="G76">
        <v>128492001</v>
      </c>
    </row>
    <row r="77" spans="1:7">
      <c r="A77">
        <v>130</v>
      </c>
      <c r="B77">
        <v>4711811720</v>
      </c>
      <c r="C77">
        <v>18.850000000000001</v>
      </c>
      <c r="D77">
        <v>0</v>
      </c>
      <c r="E77">
        <v>731.84</v>
      </c>
      <c r="F77">
        <v>18426934</v>
      </c>
      <c r="G77">
        <v>131099928</v>
      </c>
    </row>
    <row r="78" spans="1:7">
      <c r="A78">
        <v>132</v>
      </c>
      <c r="B78">
        <v>3668786960</v>
      </c>
      <c r="C78">
        <v>14.68</v>
      </c>
      <c r="D78">
        <v>392</v>
      </c>
      <c r="E78">
        <v>525.27</v>
      </c>
      <c r="F78">
        <v>18698752</v>
      </c>
      <c r="G78">
        <v>132839742</v>
      </c>
    </row>
    <row r="79" spans="1:7">
      <c r="A79">
        <v>134</v>
      </c>
      <c r="B79">
        <v>4348986280</v>
      </c>
      <c r="C79">
        <v>17.399999999999999</v>
      </c>
      <c r="D79">
        <v>0</v>
      </c>
      <c r="E79">
        <v>559.75</v>
      </c>
      <c r="F79">
        <v>19046953</v>
      </c>
      <c r="G79">
        <v>134996036</v>
      </c>
    </row>
    <row r="80" spans="1:7">
      <c r="A80">
        <v>136</v>
      </c>
      <c r="B80">
        <v>4034465420</v>
      </c>
      <c r="C80">
        <v>16.14</v>
      </c>
      <c r="D80">
        <v>0</v>
      </c>
      <c r="E80">
        <v>586.62</v>
      </c>
      <c r="F80">
        <v>19395519</v>
      </c>
      <c r="G80">
        <v>137248699</v>
      </c>
    </row>
    <row r="81" spans="1:7">
      <c r="A81">
        <v>138</v>
      </c>
      <c r="B81">
        <v>4545647900</v>
      </c>
      <c r="C81">
        <v>18.18</v>
      </c>
      <c r="D81">
        <v>0</v>
      </c>
      <c r="E81">
        <v>610.79</v>
      </c>
      <c r="F81">
        <v>19747182</v>
      </c>
      <c r="G81">
        <v>139588113</v>
      </c>
    </row>
    <row r="82" spans="1:7">
      <c r="A82">
        <v>140</v>
      </c>
      <c r="B82">
        <v>5058207700</v>
      </c>
      <c r="C82">
        <v>20.23</v>
      </c>
      <c r="D82">
        <v>0</v>
      </c>
      <c r="E82">
        <v>631.83000000000004</v>
      </c>
      <c r="F82">
        <v>20107103</v>
      </c>
      <c r="G82">
        <v>142016770</v>
      </c>
    </row>
    <row r="83" spans="1:7">
      <c r="A83">
        <v>142</v>
      </c>
      <c r="B83">
        <v>5279956220</v>
      </c>
      <c r="C83">
        <v>21.12</v>
      </c>
      <c r="D83">
        <v>0</v>
      </c>
      <c r="E83">
        <v>650.47</v>
      </c>
      <c r="F83">
        <v>20478961</v>
      </c>
      <c r="G83">
        <v>144528615</v>
      </c>
    </row>
    <row r="84" spans="1:7">
      <c r="A84">
        <v>144</v>
      </c>
      <c r="B84">
        <v>4942020920</v>
      </c>
      <c r="C84">
        <v>19.77</v>
      </c>
      <c r="D84">
        <v>0</v>
      </c>
      <c r="E84">
        <v>666.38</v>
      </c>
      <c r="F84">
        <v>20852494</v>
      </c>
      <c r="G84">
        <v>147084147</v>
      </c>
    </row>
    <row r="85" spans="1:7">
      <c r="A85">
        <v>146</v>
      </c>
      <c r="B85">
        <v>4892240640</v>
      </c>
      <c r="C85">
        <v>19.57</v>
      </c>
      <c r="D85">
        <v>0</v>
      </c>
      <c r="E85">
        <v>673.56</v>
      </c>
      <c r="F85">
        <v>21222682</v>
      </c>
      <c r="G85">
        <v>149660343</v>
      </c>
    </row>
    <row r="86" spans="1:7">
      <c r="A86">
        <v>148</v>
      </c>
      <c r="B86">
        <v>5325801300</v>
      </c>
      <c r="C86">
        <v>21.3</v>
      </c>
      <c r="D86">
        <v>0</v>
      </c>
      <c r="E86">
        <v>687.13</v>
      </c>
      <c r="F86">
        <v>21594521</v>
      </c>
      <c r="G86">
        <v>152251148</v>
      </c>
    </row>
    <row r="87" spans="1:7">
      <c r="A87">
        <v>150</v>
      </c>
      <c r="B87">
        <v>5075719340</v>
      </c>
      <c r="C87">
        <v>20.3</v>
      </c>
      <c r="D87">
        <v>0</v>
      </c>
      <c r="E87">
        <v>692.86</v>
      </c>
      <c r="F87">
        <v>21955911</v>
      </c>
      <c r="G87">
        <v>154845922</v>
      </c>
    </row>
    <row r="88" spans="1:7">
      <c r="A88">
        <v>152</v>
      </c>
      <c r="B88">
        <v>4868334300</v>
      </c>
      <c r="C88">
        <v>19.47</v>
      </c>
      <c r="D88">
        <v>0</v>
      </c>
      <c r="E88">
        <v>704.78</v>
      </c>
      <c r="F88">
        <v>22314648</v>
      </c>
      <c r="G88">
        <v>157453555</v>
      </c>
    </row>
    <row r="89" spans="1:7">
      <c r="A89">
        <v>154</v>
      </c>
      <c r="B89">
        <v>4798582880</v>
      </c>
      <c r="C89">
        <v>19.190000000000001</v>
      </c>
      <c r="D89">
        <v>0</v>
      </c>
      <c r="E89">
        <v>704.78</v>
      </c>
      <c r="F89">
        <v>22675079</v>
      </c>
      <c r="G89">
        <v>160055427</v>
      </c>
    </row>
    <row r="90" spans="1:7">
      <c r="A90">
        <v>156</v>
      </c>
      <c r="B90">
        <v>4301665500</v>
      </c>
      <c r="C90">
        <v>17.21</v>
      </c>
      <c r="D90">
        <v>0</v>
      </c>
      <c r="E90">
        <v>704.78</v>
      </c>
      <c r="F90">
        <v>23034915</v>
      </c>
      <c r="G90">
        <v>162654709</v>
      </c>
    </row>
    <row r="91" spans="1:7">
      <c r="A91">
        <v>158</v>
      </c>
      <c r="B91">
        <v>4837541360</v>
      </c>
      <c r="C91">
        <v>19.350000000000001</v>
      </c>
      <c r="D91">
        <v>0</v>
      </c>
      <c r="E91">
        <v>704.78</v>
      </c>
      <c r="F91">
        <v>23395427</v>
      </c>
      <c r="G91">
        <v>165254453</v>
      </c>
    </row>
    <row r="92" spans="1:7">
      <c r="A92">
        <v>160</v>
      </c>
      <c r="B92">
        <v>4749491260</v>
      </c>
      <c r="C92">
        <v>19</v>
      </c>
      <c r="D92">
        <v>0</v>
      </c>
      <c r="E92">
        <v>704.78</v>
      </c>
      <c r="F92">
        <v>23754374</v>
      </c>
      <c r="G92">
        <v>167857676</v>
      </c>
    </row>
    <row r="93" spans="1:7">
      <c r="A93">
        <v>162</v>
      </c>
      <c r="B93">
        <v>4763264460</v>
      </c>
      <c r="C93">
        <v>19.05</v>
      </c>
      <c r="D93">
        <v>0</v>
      </c>
      <c r="E93">
        <v>704.78</v>
      </c>
      <c r="F93">
        <v>24111135</v>
      </c>
      <c r="G93">
        <v>170458701</v>
      </c>
    </row>
    <row r="94" spans="1:7">
      <c r="A94">
        <v>164</v>
      </c>
      <c r="B94">
        <v>4879057720</v>
      </c>
      <c r="C94">
        <v>19.52</v>
      </c>
      <c r="D94">
        <v>0</v>
      </c>
      <c r="E94">
        <v>704.78</v>
      </c>
      <c r="F94">
        <v>24468219</v>
      </c>
      <c r="G94">
        <v>173062001</v>
      </c>
    </row>
    <row r="95" spans="1:7">
      <c r="A95">
        <v>166</v>
      </c>
      <c r="B95">
        <v>3559781920</v>
      </c>
      <c r="C95">
        <v>14.24</v>
      </c>
      <c r="D95">
        <v>6461</v>
      </c>
      <c r="E95">
        <v>501.24</v>
      </c>
      <c r="F95">
        <v>24715332</v>
      </c>
      <c r="G95">
        <v>174760840</v>
      </c>
    </row>
    <row r="96" spans="1:7">
      <c r="A96">
        <v>168</v>
      </c>
      <c r="B96">
        <v>4080999160</v>
      </c>
      <c r="C96">
        <v>16.32</v>
      </c>
      <c r="D96">
        <v>0</v>
      </c>
      <c r="E96">
        <v>520.78</v>
      </c>
      <c r="F96">
        <v>25051383</v>
      </c>
      <c r="G96">
        <v>176796132</v>
      </c>
    </row>
    <row r="97" spans="1:7">
      <c r="A97">
        <v>170</v>
      </c>
      <c r="B97">
        <v>4298418960</v>
      </c>
      <c r="C97">
        <v>17.190000000000001</v>
      </c>
      <c r="D97">
        <v>0</v>
      </c>
      <c r="E97">
        <v>537.61</v>
      </c>
      <c r="F97">
        <v>25391300</v>
      </c>
      <c r="G97">
        <v>178909600</v>
      </c>
    </row>
    <row r="98" spans="1:7">
      <c r="A98">
        <v>172</v>
      </c>
      <c r="B98">
        <v>4187347940</v>
      </c>
      <c r="C98">
        <v>16.75</v>
      </c>
      <c r="D98">
        <v>0</v>
      </c>
      <c r="E98">
        <v>551.98</v>
      </c>
      <c r="F98">
        <v>25737940</v>
      </c>
      <c r="G98">
        <v>181083870</v>
      </c>
    </row>
    <row r="99" spans="1:7">
      <c r="A99">
        <v>174</v>
      </c>
      <c r="B99">
        <v>4329015140</v>
      </c>
      <c r="C99">
        <v>17.32</v>
      </c>
      <c r="D99">
        <v>0</v>
      </c>
      <c r="E99">
        <v>564.16999999999996</v>
      </c>
      <c r="F99">
        <v>26078216</v>
      </c>
      <c r="G99">
        <v>183312257</v>
      </c>
    </row>
    <row r="100" spans="1:7">
      <c r="A100">
        <v>176</v>
      </c>
      <c r="B100">
        <v>4289368000</v>
      </c>
      <c r="C100">
        <v>17.16</v>
      </c>
      <c r="D100">
        <v>0</v>
      </c>
      <c r="E100">
        <v>574.38</v>
      </c>
      <c r="F100">
        <v>26409862</v>
      </c>
      <c r="G100">
        <v>185575581</v>
      </c>
    </row>
    <row r="101" spans="1:7">
      <c r="A101">
        <v>178</v>
      </c>
      <c r="B101">
        <v>4272151500</v>
      </c>
      <c r="C101">
        <v>17.09</v>
      </c>
      <c r="D101">
        <v>0</v>
      </c>
      <c r="E101">
        <v>582.76</v>
      </c>
      <c r="F101">
        <v>26746635</v>
      </c>
      <c r="G101">
        <v>187872512</v>
      </c>
    </row>
    <row r="102" spans="1:7">
      <c r="A102">
        <v>180</v>
      </c>
      <c r="B102">
        <v>4899127240</v>
      </c>
      <c r="C102">
        <v>19.600000000000001</v>
      </c>
      <c r="D102">
        <v>0</v>
      </c>
      <c r="E102">
        <v>589.64</v>
      </c>
      <c r="F102">
        <v>27085794</v>
      </c>
      <c r="G102">
        <v>190199900</v>
      </c>
    </row>
    <row r="103" spans="1:7">
      <c r="A103">
        <v>182</v>
      </c>
      <c r="B103">
        <v>4345641360</v>
      </c>
      <c r="C103">
        <v>17.38</v>
      </c>
      <c r="D103">
        <v>0</v>
      </c>
      <c r="E103">
        <v>594.99</v>
      </c>
      <c r="F103">
        <v>27424117</v>
      </c>
      <c r="G103">
        <v>192562785</v>
      </c>
    </row>
    <row r="104" spans="1:7">
      <c r="A104">
        <v>184</v>
      </c>
      <c r="B104">
        <v>4818554020</v>
      </c>
      <c r="C104">
        <v>19.27</v>
      </c>
      <c r="D104">
        <v>0</v>
      </c>
      <c r="E104">
        <v>599.05999999999995</v>
      </c>
      <c r="F104">
        <v>27761691</v>
      </c>
      <c r="G104">
        <v>194927847</v>
      </c>
    </row>
    <row r="105" spans="1:7">
      <c r="A105">
        <v>186</v>
      </c>
      <c r="B105">
        <v>4263198920</v>
      </c>
      <c r="C105">
        <v>17.05</v>
      </c>
      <c r="D105">
        <v>0</v>
      </c>
      <c r="E105">
        <v>602.08000000000004</v>
      </c>
      <c r="F105">
        <v>28100137</v>
      </c>
      <c r="G105">
        <v>197305635</v>
      </c>
    </row>
    <row r="106" spans="1:7">
      <c r="A106">
        <v>188</v>
      </c>
      <c r="B106">
        <v>4874433860</v>
      </c>
      <c r="C106">
        <v>19.5</v>
      </c>
      <c r="D106">
        <v>0</v>
      </c>
      <c r="E106">
        <v>604.14</v>
      </c>
      <c r="F106">
        <v>28440092</v>
      </c>
      <c r="G106">
        <v>199684025</v>
      </c>
    </row>
    <row r="107" spans="1:7">
      <c r="A107">
        <v>190</v>
      </c>
      <c r="B107">
        <v>4651209640</v>
      </c>
      <c r="C107">
        <v>18.600000000000001</v>
      </c>
      <c r="D107">
        <v>0</v>
      </c>
      <c r="E107">
        <v>605.46</v>
      </c>
      <c r="F107">
        <v>28781851</v>
      </c>
      <c r="G107">
        <v>202073608</v>
      </c>
    </row>
    <row r="108" spans="1:7">
      <c r="A108">
        <v>192</v>
      </c>
      <c r="B108">
        <v>4483373360</v>
      </c>
      <c r="C108">
        <v>17.93</v>
      </c>
      <c r="D108">
        <v>0</v>
      </c>
      <c r="E108">
        <v>606.19000000000005</v>
      </c>
      <c r="F108">
        <v>29128086</v>
      </c>
      <c r="G108">
        <v>204456779</v>
      </c>
    </row>
    <row r="109" spans="1:7">
      <c r="A109">
        <v>194</v>
      </c>
      <c r="B109">
        <v>4917524300</v>
      </c>
      <c r="C109">
        <v>19.670000000000002</v>
      </c>
      <c r="D109">
        <v>0</v>
      </c>
      <c r="E109">
        <v>606.51</v>
      </c>
      <c r="F109">
        <v>29475389</v>
      </c>
      <c r="G109">
        <v>206856351</v>
      </c>
    </row>
    <row r="110" spans="1:7">
      <c r="A110">
        <v>196</v>
      </c>
      <c r="B110">
        <v>4296746500</v>
      </c>
      <c r="C110">
        <v>17.190000000000001</v>
      </c>
      <c r="D110">
        <v>0</v>
      </c>
      <c r="E110">
        <v>606.58000000000004</v>
      </c>
      <c r="F110">
        <v>29823381</v>
      </c>
      <c r="G110">
        <v>209254985</v>
      </c>
    </row>
    <row r="111" spans="1:7">
      <c r="A111">
        <v>198</v>
      </c>
      <c r="B111">
        <v>4802026180</v>
      </c>
      <c r="C111">
        <v>19.21</v>
      </c>
      <c r="D111">
        <v>0</v>
      </c>
      <c r="E111">
        <v>606.59</v>
      </c>
      <c r="F111">
        <v>30172022</v>
      </c>
      <c r="G111">
        <v>211656811</v>
      </c>
    </row>
    <row r="112" spans="1:7">
      <c r="A112">
        <v>200</v>
      </c>
      <c r="B112">
        <v>4580671180</v>
      </c>
      <c r="C112">
        <v>18.32</v>
      </c>
      <c r="D112">
        <v>0</v>
      </c>
      <c r="E112">
        <v>606.70000000000005</v>
      </c>
      <c r="F112">
        <v>30520725</v>
      </c>
      <c r="G112">
        <v>214056581</v>
      </c>
    </row>
    <row r="113" spans="1:7">
      <c r="A113">
        <v>202</v>
      </c>
      <c r="B113">
        <v>4917130780</v>
      </c>
      <c r="C113">
        <v>19.670000000000002</v>
      </c>
      <c r="D113">
        <v>0</v>
      </c>
      <c r="E113">
        <v>607.09</v>
      </c>
      <c r="F113">
        <v>30870445</v>
      </c>
      <c r="G113">
        <v>216461723</v>
      </c>
    </row>
    <row r="114" spans="1:7">
      <c r="A114">
        <v>204</v>
      </c>
      <c r="B114">
        <v>4544368960</v>
      </c>
      <c r="C114">
        <v>18.18</v>
      </c>
      <c r="D114">
        <v>0</v>
      </c>
      <c r="E114">
        <v>607.92999999999995</v>
      </c>
      <c r="F114">
        <v>31218580</v>
      </c>
      <c r="G114">
        <v>218874672</v>
      </c>
    </row>
    <row r="115" spans="1:7">
      <c r="A115">
        <v>206</v>
      </c>
      <c r="B115">
        <v>4770052680</v>
      </c>
      <c r="C115">
        <v>19.079999999999998</v>
      </c>
      <c r="D115">
        <v>0</v>
      </c>
      <c r="E115">
        <v>609.39</v>
      </c>
      <c r="F115">
        <v>31564639</v>
      </c>
      <c r="G115">
        <v>221299815</v>
      </c>
    </row>
    <row r="116" spans="1:7">
      <c r="A116">
        <v>208</v>
      </c>
      <c r="B116">
        <v>4500393100</v>
      </c>
      <c r="C116">
        <v>18</v>
      </c>
      <c r="D116">
        <v>0</v>
      </c>
      <c r="E116">
        <v>611.62</v>
      </c>
      <c r="F116">
        <v>31912398</v>
      </c>
      <c r="G116">
        <v>223715550</v>
      </c>
    </row>
    <row r="117" spans="1:7">
      <c r="A117">
        <v>210</v>
      </c>
      <c r="B117">
        <v>4808420880</v>
      </c>
      <c r="C117">
        <v>19.23</v>
      </c>
      <c r="D117">
        <v>0</v>
      </c>
      <c r="E117">
        <v>614.84</v>
      </c>
      <c r="F117">
        <v>32261114</v>
      </c>
      <c r="G117">
        <v>226142653</v>
      </c>
    </row>
    <row r="118" spans="1:7">
      <c r="A118">
        <v>212</v>
      </c>
      <c r="B118">
        <v>4734045600</v>
      </c>
      <c r="C118">
        <v>18.940000000000001</v>
      </c>
      <c r="D118">
        <v>0</v>
      </c>
      <c r="E118">
        <v>619.16999999999996</v>
      </c>
      <c r="F118">
        <v>32610983</v>
      </c>
      <c r="G118">
        <v>228557443</v>
      </c>
    </row>
    <row r="119" spans="1:7">
      <c r="A119">
        <v>214</v>
      </c>
      <c r="B119">
        <v>4550763660</v>
      </c>
      <c r="C119">
        <v>18.2</v>
      </c>
      <c r="D119">
        <v>0</v>
      </c>
      <c r="E119">
        <v>624.83000000000004</v>
      </c>
      <c r="F119">
        <v>32965248</v>
      </c>
      <c r="G119">
        <v>230995592</v>
      </c>
    </row>
    <row r="120" spans="1:7">
      <c r="A120">
        <v>216</v>
      </c>
      <c r="B120">
        <v>4578408440</v>
      </c>
      <c r="C120">
        <v>18.309999999999999</v>
      </c>
      <c r="D120">
        <v>0</v>
      </c>
      <c r="E120">
        <v>631.98</v>
      </c>
      <c r="F120">
        <v>33316643</v>
      </c>
      <c r="G120">
        <v>233440524</v>
      </c>
    </row>
    <row r="121" spans="1:7">
      <c r="A121">
        <v>218</v>
      </c>
      <c r="B121">
        <v>4832228840</v>
      </c>
      <c r="C121">
        <v>19.329999999999998</v>
      </c>
      <c r="D121">
        <v>0</v>
      </c>
      <c r="E121">
        <v>640.76</v>
      </c>
      <c r="F121">
        <v>33669529</v>
      </c>
      <c r="G121">
        <v>235900037</v>
      </c>
    </row>
    <row r="122" spans="1:7">
      <c r="A122">
        <v>220</v>
      </c>
      <c r="B122">
        <v>5287925000</v>
      </c>
      <c r="C122">
        <v>21.15</v>
      </c>
      <c r="D122">
        <v>0</v>
      </c>
      <c r="E122">
        <v>651.34</v>
      </c>
      <c r="F122">
        <v>34023420</v>
      </c>
      <c r="G122">
        <v>238359508</v>
      </c>
    </row>
    <row r="123" spans="1:7">
      <c r="A123">
        <v>222</v>
      </c>
      <c r="B123">
        <v>4909063620</v>
      </c>
      <c r="C123">
        <v>19.64</v>
      </c>
      <c r="D123">
        <v>0</v>
      </c>
      <c r="E123">
        <v>663.85</v>
      </c>
      <c r="F123">
        <v>34376700</v>
      </c>
      <c r="G123">
        <v>240860188</v>
      </c>
    </row>
    <row r="124" spans="1:7">
      <c r="A124">
        <v>224</v>
      </c>
      <c r="B124">
        <v>5020921680</v>
      </c>
      <c r="C124">
        <v>20.079999999999998</v>
      </c>
      <c r="D124">
        <v>0</v>
      </c>
      <c r="E124">
        <v>678.6</v>
      </c>
      <c r="F124">
        <v>34734895</v>
      </c>
      <c r="G124">
        <v>243382106</v>
      </c>
    </row>
    <row r="125" spans="1:7">
      <c r="A125">
        <v>226</v>
      </c>
      <c r="B125">
        <v>4803108360</v>
      </c>
      <c r="C125">
        <v>19.21</v>
      </c>
      <c r="D125">
        <v>0</v>
      </c>
      <c r="E125">
        <v>691.11</v>
      </c>
      <c r="F125">
        <v>35096430</v>
      </c>
      <c r="G125">
        <v>245934754</v>
      </c>
    </row>
    <row r="126" spans="1:7">
      <c r="A126">
        <v>228</v>
      </c>
      <c r="B126">
        <v>4670688880</v>
      </c>
      <c r="C126">
        <v>18.68</v>
      </c>
      <c r="D126">
        <v>0</v>
      </c>
      <c r="E126">
        <v>705.75</v>
      </c>
      <c r="F126">
        <v>35454474</v>
      </c>
      <c r="G126">
        <v>248508255</v>
      </c>
    </row>
    <row r="127" spans="1:7">
      <c r="A127">
        <v>230</v>
      </c>
      <c r="B127">
        <v>5169081960</v>
      </c>
      <c r="C127">
        <v>20.68</v>
      </c>
      <c r="D127">
        <v>0</v>
      </c>
      <c r="E127">
        <v>710.12</v>
      </c>
      <c r="F127">
        <v>35806403</v>
      </c>
      <c r="G127">
        <v>251090625</v>
      </c>
    </row>
    <row r="128" spans="1:7">
      <c r="A128">
        <v>232</v>
      </c>
      <c r="B128">
        <v>5124122300</v>
      </c>
      <c r="C128">
        <v>20.5</v>
      </c>
      <c r="D128">
        <v>0</v>
      </c>
      <c r="E128">
        <v>737.72</v>
      </c>
      <c r="F128">
        <v>36156604</v>
      </c>
      <c r="G128">
        <v>253684286</v>
      </c>
    </row>
    <row r="129" spans="1:7">
      <c r="A129">
        <v>234</v>
      </c>
      <c r="B129">
        <v>4585098280</v>
      </c>
      <c r="C129">
        <v>18.34</v>
      </c>
      <c r="D129">
        <v>0</v>
      </c>
      <c r="E129">
        <v>737.72</v>
      </c>
      <c r="F129">
        <v>36509966</v>
      </c>
      <c r="G129">
        <v>256287602</v>
      </c>
    </row>
    <row r="130" spans="1:7">
      <c r="A130">
        <v>236</v>
      </c>
      <c r="B130">
        <v>4680428500</v>
      </c>
      <c r="C130">
        <v>18.72</v>
      </c>
      <c r="D130">
        <v>0</v>
      </c>
      <c r="E130">
        <v>737.72</v>
      </c>
      <c r="F130">
        <v>36864742</v>
      </c>
      <c r="G130">
        <v>258891896</v>
      </c>
    </row>
    <row r="131" spans="1:7">
      <c r="A131">
        <v>238</v>
      </c>
      <c r="B131">
        <v>4561880600</v>
      </c>
      <c r="C131">
        <v>18.25</v>
      </c>
      <c r="D131">
        <v>0</v>
      </c>
      <c r="E131">
        <v>737.72</v>
      </c>
      <c r="F131">
        <v>37217666</v>
      </c>
      <c r="G131">
        <v>261504481</v>
      </c>
    </row>
    <row r="132" spans="1:7">
      <c r="A132">
        <v>240</v>
      </c>
      <c r="B132">
        <v>4817275080</v>
      </c>
      <c r="C132">
        <v>19.27</v>
      </c>
      <c r="D132">
        <v>0</v>
      </c>
      <c r="E132">
        <v>737.72</v>
      </c>
      <c r="F132">
        <v>37576232</v>
      </c>
      <c r="G132">
        <v>264123975</v>
      </c>
    </row>
    <row r="133" spans="1:7">
      <c r="A133">
        <v>242</v>
      </c>
      <c r="B133">
        <v>5014035080</v>
      </c>
      <c r="C133">
        <v>20.059999999999999</v>
      </c>
      <c r="D133">
        <v>0</v>
      </c>
      <c r="E133">
        <v>737.72</v>
      </c>
      <c r="F133">
        <v>37933072</v>
      </c>
      <c r="G133">
        <v>266746835</v>
      </c>
    </row>
    <row r="134" spans="1:7">
      <c r="A134">
        <v>244</v>
      </c>
      <c r="B134">
        <v>3849215880</v>
      </c>
      <c r="C134">
        <v>15.4</v>
      </c>
      <c r="D134">
        <v>494</v>
      </c>
      <c r="E134">
        <v>131.11000000000001</v>
      </c>
      <c r="F134">
        <v>38242466</v>
      </c>
      <c r="G134">
        <v>268815313</v>
      </c>
    </row>
    <row r="135" spans="1:7">
      <c r="A135">
        <v>246</v>
      </c>
      <c r="B135">
        <v>4514658200</v>
      </c>
      <c r="C135">
        <v>18.059999999999999</v>
      </c>
      <c r="D135">
        <v>0</v>
      </c>
      <c r="E135">
        <v>635.94000000000005</v>
      </c>
      <c r="F135">
        <v>38571179</v>
      </c>
      <c r="G135">
        <v>271070500</v>
      </c>
    </row>
    <row r="136" spans="1:7">
      <c r="A136">
        <v>248</v>
      </c>
      <c r="B136">
        <v>4858496300</v>
      </c>
      <c r="C136">
        <v>19.43</v>
      </c>
      <c r="D136">
        <v>0</v>
      </c>
      <c r="E136">
        <v>668.18</v>
      </c>
      <c r="F136">
        <v>38927346</v>
      </c>
      <c r="G136">
        <v>273469386</v>
      </c>
    </row>
    <row r="137" spans="1:7">
      <c r="A137">
        <v>250</v>
      </c>
      <c r="B137">
        <v>5523348340</v>
      </c>
      <c r="C137">
        <v>22.09</v>
      </c>
      <c r="D137">
        <v>0</v>
      </c>
      <c r="E137">
        <v>697.02</v>
      </c>
      <c r="F137">
        <v>39281406</v>
      </c>
      <c r="G137">
        <v>275940043</v>
      </c>
    </row>
    <row r="138" spans="1:7">
      <c r="A138">
        <v>252</v>
      </c>
      <c r="B138">
        <v>4747326900</v>
      </c>
      <c r="C138">
        <v>18.989999999999998</v>
      </c>
      <c r="D138">
        <v>0</v>
      </c>
      <c r="E138">
        <v>715.57</v>
      </c>
      <c r="F138">
        <v>39634611</v>
      </c>
      <c r="G138">
        <v>278457313</v>
      </c>
    </row>
    <row r="139" spans="1:7">
      <c r="A139">
        <v>254</v>
      </c>
      <c r="B139">
        <v>5243555620</v>
      </c>
      <c r="C139">
        <v>20.97</v>
      </c>
      <c r="D139">
        <v>0</v>
      </c>
      <c r="E139">
        <v>715.57</v>
      </c>
      <c r="F139">
        <v>39994751</v>
      </c>
      <c r="G139">
        <v>281004683</v>
      </c>
    </row>
    <row r="140" spans="1:7">
      <c r="A140">
        <v>256</v>
      </c>
      <c r="B140">
        <v>5273364760</v>
      </c>
      <c r="C140">
        <v>21.09</v>
      </c>
      <c r="D140">
        <v>0</v>
      </c>
      <c r="E140">
        <v>755.73</v>
      </c>
      <c r="F140">
        <v>40370695</v>
      </c>
      <c r="G140">
        <v>283596713</v>
      </c>
    </row>
    <row r="141" spans="1:7">
      <c r="A141">
        <v>258</v>
      </c>
      <c r="B141">
        <v>5135927900</v>
      </c>
      <c r="C141">
        <v>20.54</v>
      </c>
      <c r="D141">
        <v>0</v>
      </c>
      <c r="E141">
        <v>755.73</v>
      </c>
      <c r="F141">
        <v>40747340</v>
      </c>
      <c r="G141">
        <v>286192894</v>
      </c>
    </row>
    <row r="142" spans="1:7">
      <c r="A142">
        <v>260</v>
      </c>
      <c r="B142">
        <v>4792778460</v>
      </c>
      <c r="C142">
        <v>19.170000000000002</v>
      </c>
      <c r="D142">
        <v>0</v>
      </c>
      <c r="E142">
        <v>755.73</v>
      </c>
      <c r="F142">
        <v>41117066</v>
      </c>
      <c r="G142">
        <v>288790923</v>
      </c>
    </row>
    <row r="143" spans="1:7">
      <c r="A143">
        <v>262</v>
      </c>
      <c r="B143">
        <v>4599560140</v>
      </c>
      <c r="C143">
        <v>18.399999999999999</v>
      </c>
      <c r="D143">
        <v>0</v>
      </c>
      <c r="E143">
        <v>755.73</v>
      </c>
      <c r="F143">
        <v>41484283</v>
      </c>
      <c r="G143">
        <v>291396225</v>
      </c>
    </row>
    <row r="144" spans="1:7">
      <c r="A144">
        <v>264</v>
      </c>
      <c r="B144">
        <v>4675017600</v>
      </c>
      <c r="C144">
        <v>18.7</v>
      </c>
      <c r="D144">
        <v>0</v>
      </c>
      <c r="E144">
        <v>755.73</v>
      </c>
      <c r="F144">
        <v>41852108</v>
      </c>
      <c r="G144">
        <v>294003711</v>
      </c>
    </row>
    <row r="145" spans="1:7">
      <c r="A145">
        <v>266</v>
      </c>
      <c r="B145">
        <v>3819997020</v>
      </c>
      <c r="C145">
        <v>15.28</v>
      </c>
      <c r="D145">
        <v>120</v>
      </c>
      <c r="E145">
        <v>535.92999999999995</v>
      </c>
      <c r="F145">
        <v>42141147</v>
      </c>
      <c r="G145">
        <v>295871651</v>
      </c>
    </row>
    <row r="146" spans="1:7">
      <c r="A146">
        <v>268</v>
      </c>
      <c r="B146">
        <v>4609791660</v>
      </c>
      <c r="C146">
        <v>18.440000000000001</v>
      </c>
      <c r="D146">
        <v>0</v>
      </c>
      <c r="E146">
        <v>555.54999999999995</v>
      </c>
      <c r="F146">
        <v>42488292</v>
      </c>
      <c r="G146">
        <v>297985308</v>
      </c>
    </row>
    <row r="147" spans="1:7">
      <c r="A147">
        <v>270</v>
      </c>
      <c r="B147">
        <v>4283366820</v>
      </c>
      <c r="C147">
        <v>17.13</v>
      </c>
      <c r="D147">
        <v>0</v>
      </c>
      <c r="E147">
        <v>572.20000000000005</v>
      </c>
      <c r="F147">
        <v>42841795</v>
      </c>
      <c r="G147">
        <v>300173732</v>
      </c>
    </row>
    <row r="148" spans="1:7">
      <c r="A148">
        <v>272</v>
      </c>
      <c r="B148">
        <v>4558142160</v>
      </c>
      <c r="C148">
        <v>18.23</v>
      </c>
      <c r="D148">
        <v>0</v>
      </c>
      <c r="E148">
        <v>586.89</v>
      </c>
      <c r="F148">
        <v>43201081</v>
      </c>
      <c r="G148">
        <v>302409182</v>
      </c>
    </row>
    <row r="149" spans="1:7">
      <c r="A149">
        <v>274</v>
      </c>
      <c r="B149">
        <v>4638223480</v>
      </c>
      <c r="C149">
        <v>18.55</v>
      </c>
      <c r="D149">
        <v>0</v>
      </c>
      <c r="E149">
        <v>599.19000000000005</v>
      </c>
      <c r="F149">
        <v>43566729</v>
      </c>
      <c r="G149">
        <v>304698245</v>
      </c>
    </row>
    <row r="150" spans="1:7">
      <c r="A150">
        <v>276</v>
      </c>
      <c r="B150">
        <v>4713189040</v>
      </c>
      <c r="C150">
        <v>18.850000000000001</v>
      </c>
      <c r="D150">
        <v>0</v>
      </c>
      <c r="E150">
        <v>609.53</v>
      </c>
      <c r="F150">
        <v>43929966</v>
      </c>
      <c r="G150">
        <v>307035923</v>
      </c>
    </row>
    <row r="151" spans="1:7">
      <c r="A151">
        <v>278</v>
      </c>
      <c r="B151">
        <v>4302649300</v>
      </c>
      <c r="C151">
        <v>17.21</v>
      </c>
      <c r="D151">
        <v>0</v>
      </c>
      <c r="E151">
        <v>618.08000000000004</v>
      </c>
      <c r="F151">
        <v>44290335</v>
      </c>
      <c r="G151">
        <v>309410092</v>
      </c>
    </row>
    <row r="152" spans="1:7">
      <c r="A152">
        <v>280</v>
      </c>
      <c r="B152">
        <v>4688200520</v>
      </c>
      <c r="C152">
        <v>18.75</v>
      </c>
      <c r="D152">
        <v>0</v>
      </c>
      <c r="E152">
        <v>625.02</v>
      </c>
      <c r="F152">
        <v>44651757</v>
      </c>
      <c r="G152">
        <v>311805352</v>
      </c>
    </row>
    <row r="153" spans="1:7">
      <c r="A153">
        <v>282</v>
      </c>
      <c r="B153">
        <v>5166130560</v>
      </c>
      <c r="C153">
        <v>20.66</v>
      </c>
      <c r="D153">
        <v>0</v>
      </c>
      <c r="E153">
        <v>630.49</v>
      </c>
      <c r="F153">
        <v>45014032</v>
      </c>
      <c r="G153">
        <v>314215998</v>
      </c>
    </row>
    <row r="154" spans="1:7">
      <c r="A154">
        <v>284</v>
      </c>
      <c r="B154">
        <v>5086246000</v>
      </c>
      <c r="C154">
        <v>20.350000000000001</v>
      </c>
      <c r="D154">
        <v>0</v>
      </c>
      <c r="E154">
        <v>634.66</v>
      </c>
      <c r="F154">
        <v>45387841</v>
      </c>
      <c r="G154">
        <v>316655456</v>
      </c>
    </row>
    <row r="155" spans="1:7">
      <c r="A155">
        <v>286</v>
      </c>
      <c r="B155">
        <v>4499114160</v>
      </c>
      <c r="C155">
        <v>18</v>
      </c>
      <c r="D155">
        <v>0</v>
      </c>
      <c r="E155">
        <v>637.74</v>
      </c>
      <c r="F155">
        <v>45760453</v>
      </c>
      <c r="G155">
        <v>319099520</v>
      </c>
    </row>
    <row r="156" spans="1:7">
      <c r="A156">
        <v>288</v>
      </c>
      <c r="B156">
        <v>4954810320</v>
      </c>
      <c r="C156">
        <v>19.82</v>
      </c>
      <c r="D156">
        <v>0</v>
      </c>
      <c r="E156">
        <v>639.87</v>
      </c>
      <c r="F156">
        <v>46134490</v>
      </c>
      <c r="G156">
        <v>321558480</v>
      </c>
    </row>
    <row r="157" spans="1:7">
      <c r="A157">
        <v>290</v>
      </c>
      <c r="B157">
        <v>5214730280</v>
      </c>
      <c r="C157">
        <v>20.86</v>
      </c>
      <c r="D157">
        <v>0</v>
      </c>
      <c r="E157">
        <v>641.23</v>
      </c>
      <c r="F157">
        <v>46512016</v>
      </c>
      <c r="G157">
        <v>324025980</v>
      </c>
    </row>
    <row r="158" spans="1:7">
      <c r="A158">
        <v>292</v>
      </c>
      <c r="B158">
        <v>5036760860</v>
      </c>
      <c r="C158">
        <v>20.149999999999999</v>
      </c>
      <c r="D158">
        <v>0</v>
      </c>
      <c r="E158">
        <v>642.01</v>
      </c>
      <c r="F158">
        <v>46889914</v>
      </c>
      <c r="G158">
        <v>326500018</v>
      </c>
    </row>
    <row r="159" spans="1:7">
      <c r="A159">
        <v>294</v>
      </c>
      <c r="B159">
        <v>4812454460</v>
      </c>
      <c r="C159">
        <v>19.25</v>
      </c>
      <c r="D159">
        <v>0</v>
      </c>
      <c r="E159">
        <v>642.35</v>
      </c>
      <c r="F159">
        <v>47272007</v>
      </c>
      <c r="G159">
        <v>328976310</v>
      </c>
    </row>
    <row r="160" spans="1:7">
      <c r="A160">
        <v>296</v>
      </c>
      <c r="B160">
        <v>5070308440</v>
      </c>
      <c r="C160">
        <v>20.28</v>
      </c>
      <c r="D160">
        <v>0</v>
      </c>
      <c r="E160">
        <v>642.44000000000005</v>
      </c>
      <c r="F160">
        <v>47653805</v>
      </c>
      <c r="G160">
        <v>331454338</v>
      </c>
    </row>
    <row r="161" spans="1:156">
      <c r="A161">
        <v>298</v>
      </c>
      <c r="B161">
        <v>4886731360</v>
      </c>
      <c r="C161">
        <v>19.55</v>
      </c>
      <c r="D161">
        <v>0</v>
      </c>
      <c r="E161">
        <v>642.44000000000005</v>
      </c>
      <c r="F161">
        <v>48032731</v>
      </c>
      <c r="G161">
        <v>333922776</v>
      </c>
    </row>
    <row r="162" spans="1:156">
      <c r="A162" t="s">
        <v>74</v>
      </c>
      <c r="B162" t="s">
        <v>47</v>
      </c>
    </row>
    <row r="163" spans="1:156">
      <c r="A163" t="s">
        <v>75</v>
      </c>
      <c r="B163" t="s">
        <v>76</v>
      </c>
      <c r="C163" t="s">
        <v>77</v>
      </c>
      <c r="D163" t="s">
        <v>78</v>
      </c>
      <c r="E163" t="s">
        <v>79</v>
      </c>
      <c r="F163" t="s">
        <v>80</v>
      </c>
      <c r="G163" t="s">
        <v>81</v>
      </c>
      <c r="H163" t="s">
        <v>82</v>
      </c>
      <c r="I163" t="s">
        <v>83</v>
      </c>
      <c r="J163" t="s">
        <v>84</v>
      </c>
      <c r="K163" t="s">
        <v>85</v>
      </c>
      <c r="L163" t="s">
        <v>86</v>
      </c>
      <c r="M163" t="s">
        <v>87</v>
      </c>
      <c r="N163" t="s">
        <v>88</v>
      </c>
      <c r="O163" t="s">
        <v>89</v>
      </c>
      <c r="P163" t="s">
        <v>90</v>
      </c>
      <c r="Q163" t="s">
        <v>91</v>
      </c>
      <c r="R163" t="s">
        <v>85</v>
      </c>
      <c r="S163" t="s">
        <v>92</v>
      </c>
      <c r="T163" t="s">
        <v>93</v>
      </c>
      <c r="U163" t="s">
        <v>94</v>
      </c>
      <c r="V163" t="s">
        <v>95</v>
      </c>
      <c r="W163" t="s">
        <v>96</v>
      </c>
      <c r="X163" t="s">
        <v>97</v>
      </c>
      <c r="Y163" t="s">
        <v>98</v>
      </c>
      <c r="Z163" t="s">
        <v>99</v>
      </c>
      <c r="AA163" t="s">
        <v>100</v>
      </c>
      <c r="AB163" t="s">
        <v>101</v>
      </c>
      <c r="AC163" t="s">
        <v>102</v>
      </c>
      <c r="AD163" t="s">
        <v>72</v>
      </c>
      <c r="AE163" t="s">
        <v>103</v>
      </c>
      <c r="AF163" t="s">
        <v>82</v>
      </c>
      <c r="AG163" t="s">
        <v>104</v>
      </c>
      <c r="AH163" t="s">
        <v>105</v>
      </c>
      <c r="AI163" t="s">
        <v>106</v>
      </c>
      <c r="AJ163" t="s">
        <v>93</v>
      </c>
      <c r="AK163" t="s">
        <v>94</v>
      </c>
      <c r="AL163" t="s">
        <v>95</v>
      </c>
      <c r="AM163" t="s">
        <v>96</v>
      </c>
      <c r="AN163" t="s">
        <v>97</v>
      </c>
      <c r="AO163" t="s">
        <v>98</v>
      </c>
      <c r="AP163" t="s">
        <v>99</v>
      </c>
      <c r="AQ163" t="s">
        <v>100</v>
      </c>
      <c r="AR163" t="s">
        <v>101</v>
      </c>
      <c r="AS163" t="s">
        <v>107</v>
      </c>
      <c r="AT163" t="s">
        <v>72</v>
      </c>
      <c r="AU163" t="s">
        <v>103</v>
      </c>
      <c r="AV163" t="s">
        <v>82</v>
      </c>
      <c r="AW163" t="s">
        <v>104</v>
      </c>
      <c r="AX163" t="s">
        <v>105</v>
      </c>
      <c r="AY163" t="s">
        <v>108</v>
      </c>
      <c r="AZ163" t="s">
        <v>93</v>
      </c>
      <c r="BA163" t="s">
        <v>109</v>
      </c>
      <c r="BB163" t="s">
        <v>110</v>
      </c>
      <c r="BC163" t="s">
        <v>111</v>
      </c>
      <c r="BD163" t="s">
        <v>112</v>
      </c>
      <c r="BE163" t="s">
        <v>113</v>
      </c>
      <c r="BF163" t="s">
        <v>114</v>
      </c>
      <c r="BG163" t="s">
        <v>115</v>
      </c>
      <c r="BH163" t="s">
        <v>116</v>
      </c>
      <c r="BI163" t="s">
        <v>117</v>
      </c>
      <c r="BJ163" t="s">
        <v>108</v>
      </c>
      <c r="BK163" t="s">
        <v>93</v>
      </c>
      <c r="BL163" t="s">
        <v>109</v>
      </c>
      <c r="BM163" t="s">
        <v>110</v>
      </c>
      <c r="BN163" t="s">
        <v>111</v>
      </c>
      <c r="BO163" t="s">
        <v>112</v>
      </c>
      <c r="BP163" t="s">
        <v>113</v>
      </c>
      <c r="BQ163" t="s">
        <v>114</v>
      </c>
      <c r="BR163" t="s">
        <v>115</v>
      </c>
      <c r="BS163" t="s">
        <v>116</v>
      </c>
      <c r="BT163" t="s">
        <v>117</v>
      </c>
    </row>
    <row r="164" spans="1:156">
      <c r="A164">
        <v>98380</v>
      </c>
      <c r="B164">
        <v>0</v>
      </c>
      <c r="C164">
        <v>6450445</v>
      </c>
      <c r="D164">
        <v>0</v>
      </c>
      <c r="E164">
        <v>46.507899999999999</v>
      </c>
      <c r="F164" s="4">
        <v>301997000</v>
      </c>
      <c r="G164">
        <v>16922.7</v>
      </c>
      <c r="H164">
        <v>336793116</v>
      </c>
      <c r="I164">
        <v>7668</v>
      </c>
      <c r="J164">
        <v>2.27677E-3</v>
      </c>
      <c r="K164" t="s">
        <v>118</v>
      </c>
      <c r="L164">
        <v>0</v>
      </c>
      <c r="M164">
        <v>6450445</v>
      </c>
      <c r="N164">
        <v>634594779100</v>
      </c>
      <c r="O164">
        <v>46.536900000000003</v>
      </c>
      <c r="P164">
        <v>300183933</v>
      </c>
      <c r="Q164">
        <v>16912.2</v>
      </c>
      <c r="R164" t="s">
        <v>118</v>
      </c>
      <c r="S164" t="s">
        <v>119</v>
      </c>
      <c r="T164" t="s">
        <v>203</v>
      </c>
      <c r="U164" t="s">
        <v>47</v>
      </c>
      <c r="V164">
        <v>0</v>
      </c>
      <c r="W164">
        <v>0</v>
      </c>
      <c r="X164">
        <v>0</v>
      </c>
      <c r="Y164">
        <v>0</v>
      </c>
      <c r="Z164">
        <v>45</v>
      </c>
      <c r="AA164">
        <v>9058</v>
      </c>
      <c r="AB164">
        <v>0</v>
      </c>
      <c r="AC164">
        <v>0</v>
      </c>
      <c r="AD164" t="s">
        <v>204</v>
      </c>
      <c r="AE164" t="s">
        <v>47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205</v>
      </c>
      <c r="AO164" t="s">
        <v>47</v>
      </c>
      <c r="AP164">
        <v>48520152</v>
      </c>
      <c r="AQ164">
        <v>3210838080</v>
      </c>
      <c r="AR164">
        <v>0</v>
      </c>
      <c r="AS164">
        <v>77447</v>
      </c>
      <c r="AT164">
        <v>336815382</v>
      </c>
      <c r="AU164">
        <v>3035967979040</v>
      </c>
      <c r="AV164">
        <v>0</v>
      </c>
      <c r="AW164">
        <v>0</v>
      </c>
      <c r="AX164" t="s">
        <v>206</v>
      </c>
      <c r="AY164" t="s">
        <v>47</v>
      </c>
      <c r="AZ164">
        <v>0</v>
      </c>
      <c r="BA164">
        <v>0</v>
      </c>
      <c r="BB164">
        <v>0</v>
      </c>
      <c r="BC164">
        <v>0</v>
      </c>
      <c r="BD164">
        <v>43</v>
      </c>
      <c r="BE164">
        <v>8055</v>
      </c>
      <c r="BF164">
        <v>0</v>
      </c>
      <c r="BG164">
        <v>0</v>
      </c>
      <c r="BH164" t="s">
        <v>207</v>
      </c>
      <c r="BI164" t="s">
        <v>47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 t="s">
        <v>120</v>
      </c>
      <c r="BS164" t="s">
        <v>47</v>
      </c>
      <c r="BT164">
        <v>16</v>
      </c>
      <c r="BU164">
        <v>1472</v>
      </c>
      <c r="BV164">
        <v>0</v>
      </c>
      <c r="BW164">
        <v>0</v>
      </c>
      <c r="BX164">
        <v>16</v>
      </c>
      <c r="BY164">
        <v>1472</v>
      </c>
      <c r="BZ164">
        <v>0</v>
      </c>
      <c r="CA164">
        <v>0</v>
      </c>
      <c r="CB164" t="s">
        <v>102</v>
      </c>
      <c r="CC164">
        <v>48520124</v>
      </c>
      <c r="CD164">
        <v>0</v>
      </c>
      <c r="CE164">
        <v>336793116</v>
      </c>
      <c r="CF164">
        <v>0</v>
      </c>
      <c r="CG164">
        <v>22261</v>
      </c>
      <c r="CH164" t="s">
        <v>121</v>
      </c>
      <c r="CI164" t="s">
        <v>208</v>
      </c>
      <c r="CJ164" t="s">
        <v>47</v>
      </c>
      <c r="CK164">
        <v>79026</v>
      </c>
      <c r="CL164">
        <v>3623878</v>
      </c>
      <c r="CM164">
        <v>0</v>
      </c>
      <c r="CN164">
        <v>0</v>
      </c>
      <c r="CO164">
        <v>551</v>
      </c>
      <c r="CP164">
        <v>259283</v>
      </c>
      <c r="CQ164">
        <v>0</v>
      </c>
      <c r="CR164">
        <v>0</v>
      </c>
      <c r="CS164" t="s">
        <v>209</v>
      </c>
      <c r="CT164" t="s">
        <v>47</v>
      </c>
      <c r="CU164">
        <v>336889781</v>
      </c>
      <c r="CV164">
        <v>3035920513510</v>
      </c>
      <c r="CW164">
        <v>0</v>
      </c>
      <c r="CX164">
        <v>0</v>
      </c>
      <c r="CY164">
        <v>48599209</v>
      </c>
      <c r="CZ164">
        <v>3218478073</v>
      </c>
      <c r="DA164">
        <v>0</v>
      </c>
      <c r="DB164">
        <v>0</v>
      </c>
      <c r="DC164" t="s">
        <v>120</v>
      </c>
      <c r="DD164" t="s">
        <v>47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 t="s">
        <v>210</v>
      </c>
      <c r="DN164" t="s">
        <v>47</v>
      </c>
      <c r="DO164">
        <v>56270893</v>
      </c>
      <c r="DP164">
        <v>3016612358294</v>
      </c>
      <c r="DQ164">
        <v>0</v>
      </c>
      <c r="DR164">
        <v>0</v>
      </c>
      <c r="DS164">
        <v>48598552</v>
      </c>
      <c r="DT164">
        <v>3218201350</v>
      </c>
      <c r="DU164">
        <v>0</v>
      </c>
      <c r="DV164">
        <v>0</v>
      </c>
      <c r="DW164" t="s">
        <v>211</v>
      </c>
      <c r="DX164" t="s">
        <v>47</v>
      </c>
      <c r="DY164">
        <v>8554</v>
      </c>
      <c r="DZ164">
        <v>855400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 t="s">
        <v>107</v>
      </c>
      <c r="EH164">
        <v>56270341</v>
      </c>
      <c r="EI164">
        <v>0</v>
      </c>
      <c r="EJ164">
        <v>48598204</v>
      </c>
      <c r="EK164">
        <v>24</v>
      </c>
      <c r="EL164">
        <v>0</v>
      </c>
      <c r="EM164" t="s">
        <v>108</v>
      </c>
      <c r="EN164" t="s">
        <v>212</v>
      </c>
      <c r="EO164">
        <v>336889783</v>
      </c>
      <c r="EP164">
        <v>48599212</v>
      </c>
      <c r="EQ164">
        <v>336896306</v>
      </c>
      <c r="ER164">
        <v>48599212</v>
      </c>
      <c r="ES164">
        <v>0</v>
      </c>
      <c r="ET164">
        <v>0</v>
      </c>
      <c r="EU164">
        <v>0</v>
      </c>
      <c r="EV164">
        <v>0</v>
      </c>
      <c r="EW164">
        <v>0</v>
      </c>
      <c r="EX164" t="s">
        <v>108</v>
      </c>
      <c r="EY164" t="s">
        <v>47</v>
      </c>
      <c r="EZ164" t="s">
        <v>85</v>
      </c>
    </row>
    <row r="165" spans="1:156">
      <c r="A165" t="s">
        <v>122</v>
      </c>
      <c r="B165" t="s">
        <v>123</v>
      </c>
      <c r="C165" t="s">
        <v>124</v>
      </c>
      <c r="D165" t="s">
        <v>125</v>
      </c>
      <c r="E165" t="s">
        <v>126</v>
      </c>
      <c r="F165" t="s">
        <v>127</v>
      </c>
      <c r="G165" t="s">
        <v>128</v>
      </c>
      <c r="H165" t="s">
        <v>129</v>
      </c>
    </row>
    <row r="166" spans="1:156">
      <c r="A166" t="s">
        <v>130</v>
      </c>
      <c r="B166">
        <v>0</v>
      </c>
      <c r="C166">
        <v>0</v>
      </c>
      <c r="D166">
        <v>64</v>
      </c>
      <c r="E166">
        <v>35</v>
      </c>
      <c r="F166">
        <v>0</v>
      </c>
      <c r="G166">
        <v>2</v>
      </c>
      <c r="H166">
        <v>19</v>
      </c>
      <c r="I166" t="s">
        <v>47</v>
      </c>
    </row>
    <row r="167" spans="1:156">
      <c r="A167" t="s">
        <v>131</v>
      </c>
      <c r="B167">
        <v>0</v>
      </c>
      <c r="C167">
        <v>0</v>
      </c>
      <c r="D167">
        <v>78</v>
      </c>
      <c r="E167">
        <v>20</v>
      </c>
      <c r="F167">
        <v>0</v>
      </c>
      <c r="G167">
        <v>2</v>
      </c>
      <c r="H167">
        <v>30</v>
      </c>
      <c r="I167" t="s">
        <v>47</v>
      </c>
    </row>
    <row r="168" spans="1:156">
      <c r="A168" t="s">
        <v>132</v>
      </c>
      <c r="B168">
        <v>0</v>
      </c>
      <c r="C168">
        <v>0</v>
      </c>
      <c r="D168">
        <v>68</v>
      </c>
      <c r="E168">
        <v>30</v>
      </c>
      <c r="F168">
        <v>0</v>
      </c>
      <c r="G168">
        <v>2</v>
      </c>
      <c r="H168">
        <v>19</v>
      </c>
      <c r="I168" t="s">
        <v>47</v>
      </c>
    </row>
    <row r="169" spans="1:156">
      <c r="A169" t="s">
        <v>133</v>
      </c>
      <c r="B169">
        <v>0</v>
      </c>
      <c r="C169">
        <v>0</v>
      </c>
      <c r="D169">
        <v>46</v>
      </c>
      <c r="E169">
        <v>53</v>
      </c>
      <c r="F169">
        <v>0</v>
      </c>
      <c r="G169">
        <v>1</v>
      </c>
      <c r="H169">
        <v>2</v>
      </c>
      <c r="I169" t="s">
        <v>47</v>
      </c>
    </row>
    <row r="170" spans="1:156">
      <c r="A170" t="s">
        <v>134</v>
      </c>
      <c r="B170">
        <v>0</v>
      </c>
      <c r="C170">
        <v>0</v>
      </c>
      <c r="D170">
        <v>63</v>
      </c>
      <c r="E170">
        <v>36</v>
      </c>
      <c r="F170">
        <v>0</v>
      </c>
      <c r="G170">
        <v>2</v>
      </c>
      <c r="H170">
        <v>24</v>
      </c>
      <c r="I170" t="s">
        <v>47</v>
      </c>
    </row>
    <row r="171" spans="1:156">
      <c r="A171" t="s">
        <v>135</v>
      </c>
      <c r="B171" t="s">
        <v>123</v>
      </c>
      <c r="C171" t="s">
        <v>124</v>
      </c>
      <c r="D171" t="s">
        <v>125</v>
      </c>
      <c r="E171" t="s">
        <v>126</v>
      </c>
      <c r="F171" t="s">
        <v>127</v>
      </c>
      <c r="G171" t="s">
        <v>128</v>
      </c>
      <c r="H171" t="s">
        <v>129</v>
      </c>
    </row>
    <row r="172" spans="1:156">
      <c r="A172" t="s">
        <v>136</v>
      </c>
      <c r="B172">
        <v>0</v>
      </c>
      <c r="C172">
        <v>0</v>
      </c>
      <c r="D172">
        <v>6</v>
      </c>
      <c r="E172">
        <v>93</v>
      </c>
      <c r="F172">
        <v>0</v>
      </c>
      <c r="G172">
        <v>0</v>
      </c>
      <c r="H172">
        <v>0</v>
      </c>
      <c r="I172" t="s">
        <v>47</v>
      </c>
    </row>
    <row r="173" spans="1:156">
      <c r="A173" t="s">
        <v>137</v>
      </c>
      <c r="B173">
        <v>0</v>
      </c>
      <c r="C173">
        <v>0</v>
      </c>
      <c r="D173">
        <v>0</v>
      </c>
      <c r="E173">
        <v>99</v>
      </c>
      <c r="F173">
        <v>0</v>
      </c>
      <c r="G173">
        <v>0</v>
      </c>
      <c r="H173">
        <v>0</v>
      </c>
      <c r="I173" t="s">
        <v>47</v>
      </c>
    </row>
    <row r="174" spans="1:156">
      <c r="A174" t="s">
        <v>138</v>
      </c>
      <c r="B174">
        <v>0</v>
      </c>
      <c r="C174">
        <v>0</v>
      </c>
      <c r="D174">
        <v>0</v>
      </c>
      <c r="E174">
        <v>99</v>
      </c>
      <c r="F174">
        <v>0</v>
      </c>
      <c r="G174">
        <v>0</v>
      </c>
      <c r="H174">
        <v>0</v>
      </c>
      <c r="I174" t="s">
        <v>47</v>
      </c>
    </row>
    <row r="175" spans="1:156">
      <c r="A175" t="s">
        <v>139</v>
      </c>
      <c r="B175">
        <v>0</v>
      </c>
      <c r="C175">
        <v>0</v>
      </c>
      <c r="D175">
        <v>0</v>
      </c>
      <c r="E175">
        <v>99</v>
      </c>
      <c r="F175">
        <v>0</v>
      </c>
      <c r="G175">
        <v>0</v>
      </c>
      <c r="H175">
        <v>0</v>
      </c>
      <c r="I175" t="s">
        <v>47</v>
      </c>
    </row>
    <row r="176" spans="1:156">
      <c r="A176" t="s">
        <v>140</v>
      </c>
      <c r="B176">
        <v>0</v>
      </c>
      <c r="C176">
        <v>0</v>
      </c>
      <c r="D176">
        <v>0</v>
      </c>
      <c r="E176">
        <v>99</v>
      </c>
      <c r="F176">
        <v>0</v>
      </c>
      <c r="G176">
        <v>0</v>
      </c>
      <c r="H176">
        <v>0</v>
      </c>
      <c r="I176" t="s">
        <v>47</v>
      </c>
    </row>
    <row r="177" spans="1:9">
      <c r="A177" t="s">
        <v>141</v>
      </c>
      <c r="B177">
        <v>0</v>
      </c>
      <c r="C177">
        <v>0</v>
      </c>
      <c r="D177">
        <v>0</v>
      </c>
      <c r="E177">
        <v>99</v>
      </c>
      <c r="F177">
        <v>0</v>
      </c>
      <c r="G177">
        <v>0</v>
      </c>
      <c r="H177">
        <v>0</v>
      </c>
      <c r="I177" t="s">
        <v>47</v>
      </c>
    </row>
    <row r="178" spans="1:9">
      <c r="A178" t="s">
        <v>142</v>
      </c>
      <c r="B178">
        <v>0</v>
      </c>
      <c r="C178">
        <v>0</v>
      </c>
      <c r="D178">
        <v>0</v>
      </c>
      <c r="E178">
        <v>99</v>
      </c>
      <c r="F178">
        <v>0</v>
      </c>
      <c r="G178">
        <v>0</v>
      </c>
      <c r="H178">
        <v>0</v>
      </c>
      <c r="I178" t="s">
        <v>47</v>
      </c>
    </row>
    <row r="179" spans="1:9">
      <c r="A179" t="s">
        <v>143</v>
      </c>
      <c r="B179">
        <v>4</v>
      </c>
      <c r="C179">
        <v>0</v>
      </c>
      <c r="D179">
        <v>82</v>
      </c>
      <c r="E179">
        <v>13</v>
      </c>
      <c r="F179">
        <v>0</v>
      </c>
      <c r="G179">
        <v>0</v>
      </c>
      <c r="H179">
        <v>0</v>
      </c>
      <c r="I179" t="s">
        <v>47</v>
      </c>
    </row>
    <row r="180" spans="1:9">
      <c r="A180" t="s">
        <v>144</v>
      </c>
      <c r="B180">
        <v>4</v>
      </c>
      <c r="C180">
        <v>0</v>
      </c>
      <c r="D180">
        <v>88</v>
      </c>
      <c r="E180">
        <v>7</v>
      </c>
      <c r="F180">
        <v>0</v>
      </c>
      <c r="G180">
        <v>0</v>
      </c>
      <c r="H180">
        <v>0</v>
      </c>
      <c r="I180" t="s">
        <v>47</v>
      </c>
    </row>
    <row r="181" spans="1:9">
      <c r="A181" t="s">
        <v>145</v>
      </c>
      <c r="B181">
        <v>3</v>
      </c>
      <c r="C181">
        <v>0</v>
      </c>
      <c r="D181">
        <v>88</v>
      </c>
      <c r="E181">
        <v>7</v>
      </c>
      <c r="F181">
        <v>0</v>
      </c>
      <c r="G181">
        <v>0</v>
      </c>
      <c r="H181">
        <v>1</v>
      </c>
      <c r="I181" t="s">
        <v>47</v>
      </c>
    </row>
    <row r="182" spans="1:9">
      <c r="A182" t="s">
        <v>146</v>
      </c>
      <c r="B182">
        <v>3</v>
      </c>
      <c r="C182">
        <v>0</v>
      </c>
      <c r="D182">
        <v>85</v>
      </c>
      <c r="E182">
        <v>11</v>
      </c>
      <c r="F182">
        <v>0</v>
      </c>
      <c r="G182">
        <v>0</v>
      </c>
      <c r="H182">
        <v>1</v>
      </c>
      <c r="I182" t="s">
        <v>47</v>
      </c>
    </row>
    <row r="183" spans="1:9">
      <c r="A183" t="s">
        <v>147</v>
      </c>
      <c r="B183">
        <v>0</v>
      </c>
      <c r="C183">
        <v>0</v>
      </c>
      <c r="D183">
        <v>0</v>
      </c>
      <c r="E183">
        <v>99</v>
      </c>
      <c r="F183">
        <v>0</v>
      </c>
      <c r="G183">
        <v>0</v>
      </c>
      <c r="H183">
        <v>0</v>
      </c>
      <c r="I183" t="s">
        <v>47</v>
      </c>
    </row>
    <row r="184" spans="1:9">
      <c r="A184" t="s">
        <v>148</v>
      </c>
      <c r="B184">
        <v>0</v>
      </c>
      <c r="C184">
        <v>0</v>
      </c>
      <c r="D184">
        <v>0</v>
      </c>
      <c r="E184">
        <v>99</v>
      </c>
      <c r="F184">
        <v>0</v>
      </c>
      <c r="G184">
        <v>0</v>
      </c>
      <c r="H184">
        <v>0</v>
      </c>
      <c r="I184" t="s">
        <v>47</v>
      </c>
    </row>
    <row r="185" spans="1:9">
      <c r="A185" t="s">
        <v>149</v>
      </c>
      <c r="B185">
        <v>0</v>
      </c>
      <c r="C185">
        <v>0</v>
      </c>
      <c r="D185">
        <v>0</v>
      </c>
      <c r="E185">
        <v>99</v>
      </c>
      <c r="F185">
        <v>0</v>
      </c>
      <c r="G185">
        <v>0</v>
      </c>
      <c r="H185">
        <v>0</v>
      </c>
      <c r="I185" t="s">
        <v>47</v>
      </c>
    </row>
    <row r="186" spans="1:9">
      <c r="A186" t="s">
        <v>150</v>
      </c>
      <c r="B186">
        <v>0</v>
      </c>
      <c r="C186">
        <v>0</v>
      </c>
      <c r="D186">
        <v>0</v>
      </c>
      <c r="E186">
        <v>99</v>
      </c>
      <c r="F186">
        <v>0</v>
      </c>
      <c r="G186">
        <v>0</v>
      </c>
      <c r="H186">
        <v>0</v>
      </c>
      <c r="I186" t="s">
        <v>47</v>
      </c>
    </row>
    <row r="187" spans="1:9">
      <c r="A187" t="s">
        <v>151</v>
      </c>
      <c r="B187">
        <v>0</v>
      </c>
      <c r="C187">
        <v>0</v>
      </c>
      <c r="D187">
        <v>0</v>
      </c>
      <c r="E187">
        <v>99</v>
      </c>
      <c r="F187">
        <v>0</v>
      </c>
      <c r="G187">
        <v>0</v>
      </c>
      <c r="H187">
        <v>0</v>
      </c>
      <c r="I187" t="s">
        <v>47</v>
      </c>
    </row>
    <row r="188" spans="1:9">
      <c r="A188" t="s">
        <v>152</v>
      </c>
      <c r="B188">
        <v>0</v>
      </c>
      <c r="C188">
        <v>0</v>
      </c>
      <c r="D188">
        <v>0</v>
      </c>
      <c r="E188">
        <v>99</v>
      </c>
      <c r="F188">
        <v>0</v>
      </c>
      <c r="G188">
        <v>0</v>
      </c>
      <c r="H188">
        <v>0</v>
      </c>
      <c r="I188" t="s">
        <v>47</v>
      </c>
    </row>
    <row r="189" spans="1:9">
      <c r="A189" t="s">
        <v>153</v>
      </c>
      <c r="B189">
        <v>0</v>
      </c>
      <c r="C189">
        <v>0</v>
      </c>
      <c r="D189">
        <v>0</v>
      </c>
      <c r="E189">
        <v>99</v>
      </c>
      <c r="F189">
        <v>0</v>
      </c>
      <c r="G189">
        <v>0</v>
      </c>
      <c r="H189">
        <v>0</v>
      </c>
      <c r="I189" t="s">
        <v>47</v>
      </c>
    </row>
    <row r="190" spans="1:9">
      <c r="A190" t="s">
        <v>154</v>
      </c>
      <c r="B190">
        <v>0</v>
      </c>
      <c r="C190">
        <v>0</v>
      </c>
      <c r="D190">
        <v>0</v>
      </c>
      <c r="E190">
        <v>99</v>
      </c>
      <c r="F190">
        <v>0</v>
      </c>
      <c r="G190">
        <v>0</v>
      </c>
      <c r="H190">
        <v>0</v>
      </c>
      <c r="I190" t="s">
        <v>47</v>
      </c>
    </row>
    <row r="191" spans="1:9">
      <c r="A191" t="s">
        <v>155</v>
      </c>
      <c r="B191">
        <v>0</v>
      </c>
      <c r="C191">
        <v>0</v>
      </c>
      <c r="D191">
        <v>0</v>
      </c>
      <c r="E191">
        <v>99</v>
      </c>
      <c r="F191">
        <v>0</v>
      </c>
      <c r="G191">
        <v>0</v>
      </c>
      <c r="H191">
        <v>0</v>
      </c>
      <c r="I191" t="s">
        <v>47</v>
      </c>
    </row>
    <row r="192" spans="1:9">
      <c r="A192" t="s">
        <v>156</v>
      </c>
      <c r="B192">
        <v>0</v>
      </c>
      <c r="C192">
        <v>0</v>
      </c>
      <c r="D192">
        <v>0</v>
      </c>
      <c r="E192">
        <v>99</v>
      </c>
      <c r="F192">
        <v>0</v>
      </c>
      <c r="G192">
        <v>0</v>
      </c>
      <c r="H192">
        <v>0</v>
      </c>
      <c r="I192" t="s">
        <v>47</v>
      </c>
    </row>
    <row r="193" spans="1:9">
      <c r="A193" t="s">
        <v>157</v>
      </c>
      <c r="B193">
        <v>0</v>
      </c>
      <c r="C193">
        <v>0</v>
      </c>
      <c r="D193">
        <v>0</v>
      </c>
      <c r="E193">
        <v>99</v>
      </c>
      <c r="F193">
        <v>0</v>
      </c>
      <c r="G193">
        <v>0</v>
      </c>
      <c r="H193">
        <v>0</v>
      </c>
      <c r="I193" t="s">
        <v>47</v>
      </c>
    </row>
    <row r="194" spans="1:9">
      <c r="A194" t="s">
        <v>158</v>
      </c>
      <c r="B194">
        <v>0</v>
      </c>
      <c r="C194">
        <v>0</v>
      </c>
      <c r="D194">
        <v>0</v>
      </c>
      <c r="E194">
        <v>99</v>
      </c>
      <c r="F194">
        <v>0</v>
      </c>
      <c r="G194">
        <v>0</v>
      </c>
      <c r="H194">
        <v>0</v>
      </c>
      <c r="I194" t="s">
        <v>47</v>
      </c>
    </row>
    <row r="195" spans="1:9">
      <c r="A195" t="s">
        <v>159</v>
      </c>
      <c r="B195">
        <v>0</v>
      </c>
      <c r="C195">
        <v>0</v>
      </c>
      <c r="D195">
        <v>0</v>
      </c>
      <c r="E195">
        <v>99</v>
      </c>
      <c r="F195">
        <v>0</v>
      </c>
      <c r="G195">
        <v>0</v>
      </c>
      <c r="H195">
        <v>0</v>
      </c>
      <c r="I195" t="s">
        <v>47</v>
      </c>
    </row>
    <row r="196" spans="1:9">
      <c r="A196" t="s">
        <v>160</v>
      </c>
      <c r="B196">
        <v>0</v>
      </c>
      <c r="C196">
        <v>0</v>
      </c>
      <c r="D196">
        <v>0</v>
      </c>
      <c r="E196">
        <v>99</v>
      </c>
      <c r="F196">
        <v>0</v>
      </c>
      <c r="G196">
        <v>0</v>
      </c>
      <c r="H196">
        <v>0</v>
      </c>
      <c r="I196" t="s">
        <v>47</v>
      </c>
    </row>
    <row r="197" spans="1:9">
      <c r="A197" t="s">
        <v>161</v>
      </c>
      <c r="B197">
        <v>0</v>
      </c>
      <c r="C197">
        <v>0</v>
      </c>
      <c r="D197">
        <v>3</v>
      </c>
      <c r="E197">
        <v>96</v>
      </c>
      <c r="F197">
        <v>0</v>
      </c>
      <c r="G197">
        <v>0</v>
      </c>
      <c r="H197">
        <v>2</v>
      </c>
      <c r="I197" t="s">
        <v>47</v>
      </c>
    </row>
    <row r="198" spans="1:9">
      <c r="A198" t="s">
        <v>162</v>
      </c>
      <c r="B198">
        <v>0</v>
      </c>
      <c r="C198">
        <v>0</v>
      </c>
      <c r="D198">
        <v>0</v>
      </c>
      <c r="E198">
        <v>99</v>
      </c>
      <c r="F198">
        <v>0</v>
      </c>
      <c r="G198">
        <v>0</v>
      </c>
      <c r="H198">
        <v>0</v>
      </c>
      <c r="I198" t="s">
        <v>47</v>
      </c>
    </row>
    <row r="199" spans="1:9">
      <c r="A199" t="s">
        <v>163</v>
      </c>
      <c r="B199">
        <v>0</v>
      </c>
      <c r="C199">
        <v>0</v>
      </c>
      <c r="D199">
        <v>0</v>
      </c>
      <c r="E199">
        <v>99</v>
      </c>
      <c r="F199">
        <v>0</v>
      </c>
      <c r="G199">
        <v>0</v>
      </c>
      <c r="H199">
        <v>0</v>
      </c>
      <c r="I199" t="s">
        <v>47</v>
      </c>
    </row>
    <row r="200" spans="1:9">
      <c r="A200" t="s">
        <v>164</v>
      </c>
      <c r="B200">
        <v>0</v>
      </c>
      <c r="C200">
        <v>0</v>
      </c>
      <c r="D200">
        <v>0</v>
      </c>
      <c r="E200">
        <v>99</v>
      </c>
      <c r="F200">
        <v>0</v>
      </c>
      <c r="G200">
        <v>0</v>
      </c>
      <c r="H200">
        <v>0</v>
      </c>
      <c r="I200" t="s">
        <v>47</v>
      </c>
    </row>
    <row r="201" spans="1:9">
      <c r="A201" t="s">
        <v>165</v>
      </c>
      <c r="B201">
        <v>0</v>
      </c>
      <c r="C201">
        <v>0</v>
      </c>
      <c r="D201">
        <v>0</v>
      </c>
      <c r="E201">
        <v>99</v>
      </c>
      <c r="F201">
        <v>0</v>
      </c>
      <c r="G201">
        <v>0</v>
      </c>
      <c r="H201">
        <v>0</v>
      </c>
      <c r="I201" t="s">
        <v>47</v>
      </c>
    </row>
    <row r="202" spans="1:9">
      <c r="A202" t="s">
        <v>166</v>
      </c>
      <c r="B202">
        <v>0</v>
      </c>
      <c r="C202">
        <v>0</v>
      </c>
      <c r="D202">
        <v>0</v>
      </c>
      <c r="E202">
        <v>99</v>
      </c>
      <c r="F202">
        <v>0</v>
      </c>
      <c r="G202">
        <v>0</v>
      </c>
      <c r="H202">
        <v>0</v>
      </c>
      <c r="I202" t="s">
        <v>47</v>
      </c>
    </row>
    <row r="203" spans="1:9">
      <c r="A203" t="s">
        <v>167</v>
      </c>
      <c r="B203">
        <v>0</v>
      </c>
      <c r="C203">
        <v>0</v>
      </c>
      <c r="D203">
        <v>0</v>
      </c>
      <c r="E203">
        <v>99</v>
      </c>
      <c r="F203">
        <v>0</v>
      </c>
      <c r="G203">
        <v>0</v>
      </c>
      <c r="H203">
        <v>0</v>
      </c>
      <c r="I203" t="s">
        <v>47</v>
      </c>
    </row>
    <row r="204" spans="1:9">
      <c r="A204" t="s">
        <v>168</v>
      </c>
      <c r="B204">
        <v>0</v>
      </c>
      <c r="C204">
        <v>0</v>
      </c>
      <c r="D204">
        <v>0</v>
      </c>
      <c r="E204">
        <v>99</v>
      </c>
      <c r="F204">
        <v>0</v>
      </c>
      <c r="G204">
        <v>0</v>
      </c>
      <c r="H204">
        <v>0</v>
      </c>
      <c r="I204" t="s">
        <v>47</v>
      </c>
    </row>
    <row r="205" spans="1:9">
      <c r="A205" t="s">
        <v>169</v>
      </c>
      <c r="B205">
        <v>0</v>
      </c>
      <c r="C205">
        <v>0</v>
      </c>
      <c r="D205">
        <v>0</v>
      </c>
      <c r="E205">
        <v>99</v>
      </c>
      <c r="F205">
        <v>0</v>
      </c>
      <c r="G205">
        <v>0</v>
      </c>
      <c r="H205">
        <v>0</v>
      </c>
      <c r="I205" t="s">
        <v>47</v>
      </c>
    </row>
    <row r="206" spans="1:9">
      <c r="A206" t="s">
        <v>170</v>
      </c>
      <c r="B206">
        <v>0</v>
      </c>
      <c r="C206">
        <v>0</v>
      </c>
      <c r="D206">
        <v>0</v>
      </c>
      <c r="E206">
        <v>99</v>
      </c>
      <c r="F206">
        <v>0</v>
      </c>
      <c r="G206">
        <v>0</v>
      </c>
      <c r="H206">
        <v>0</v>
      </c>
      <c r="I206" t="s">
        <v>47</v>
      </c>
    </row>
    <row r="207" spans="1:9">
      <c r="A207" t="s">
        <v>171</v>
      </c>
      <c r="B207">
        <v>0</v>
      </c>
      <c r="C207">
        <v>0</v>
      </c>
      <c r="D207">
        <v>0</v>
      </c>
      <c r="E207">
        <v>99</v>
      </c>
      <c r="F207">
        <v>0</v>
      </c>
      <c r="G207">
        <v>0</v>
      </c>
      <c r="H207">
        <v>0</v>
      </c>
      <c r="I207" t="s">
        <v>47</v>
      </c>
    </row>
    <row r="208" spans="1:9">
      <c r="A208" t="s">
        <v>172</v>
      </c>
      <c r="B208">
        <v>0</v>
      </c>
      <c r="C208">
        <v>0</v>
      </c>
      <c r="D208">
        <v>0</v>
      </c>
      <c r="E208">
        <v>99</v>
      </c>
      <c r="F208">
        <v>0</v>
      </c>
      <c r="G208">
        <v>0</v>
      </c>
      <c r="H208">
        <v>0</v>
      </c>
      <c r="I208" t="s">
        <v>47</v>
      </c>
    </row>
    <row r="209" spans="1:9">
      <c r="A209" t="s">
        <v>173</v>
      </c>
      <c r="B209">
        <v>0</v>
      </c>
      <c r="C209">
        <v>0</v>
      </c>
      <c r="D209">
        <v>0</v>
      </c>
      <c r="E209">
        <v>99</v>
      </c>
      <c r="F209">
        <v>0</v>
      </c>
      <c r="G209">
        <v>0</v>
      </c>
      <c r="H209">
        <v>0</v>
      </c>
      <c r="I209" t="s">
        <v>47</v>
      </c>
    </row>
    <row r="210" spans="1:9">
      <c r="A210" t="s">
        <v>174</v>
      </c>
      <c r="B210">
        <v>0</v>
      </c>
      <c r="C210">
        <v>0</v>
      </c>
      <c r="D210">
        <v>0</v>
      </c>
      <c r="E210">
        <v>99</v>
      </c>
      <c r="F210">
        <v>0</v>
      </c>
      <c r="G210">
        <v>0</v>
      </c>
      <c r="H210">
        <v>0</v>
      </c>
      <c r="I210" t="s">
        <v>47</v>
      </c>
    </row>
    <row r="211" spans="1:9">
      <c r="A211" t="s">
        <v>175</v>
      </c>
      <c r="B211">
        <v>0</v>
      </c>
      <c r="C211">
        <v>0</v>
      </c>
      <c r="D211">
        <v>0</v>
      </c>
      <c r="E211">
        <v>99</v>
      </c>
      <c r="F211">
        <v>0</v>
      </c>
      <c r="G211">
        <v>0</v>
      </c>
      <c r="H211">
        <v>0</v>
      </c>
      <c r="I211" t="s">
        <v>47</v>
      </c>
    </row>
    <row r="212" spans="1:9">
      <c r="A212" t="s">
        <v>176</v>
      </c>
      <c r="B212">
        <v>0</v>
      </c>
      <c r="C212">
        <v>0</v>
      </c>
      <c r="D212">
        <v>0</v>
      </c>
      <c r="E212">
        <v>99</v>
      </c>
      <c r="F212">
        <v>0</v>
      </c>
      <c r="G212">
        <v>0</v>
      </c>
      <c r="H212">
        <v>0</v>
      </c>
      <c r="I212" t="s">
        <v>47</v>
      </c>
    </row>
    <row r="213" spans="1:9">
      <c r="A213" t="s">
        <v>177</v>
      </c>
      <c r="B213">
        <v>0</v>
      </c>
      <c r="C213">
        <v>0</v>
      </c>
      <c r="D213">
        <v>0</v>
      </c>
      <c r="E213">
        <v>99</v>
      </c>
      <c r="F213">
        <v>0</v>
      </c>
      <c r="G213">
        <v>0</v>
      </c>
      <c r="H213">
        <v>0</v>
      </c>
      <c r="I213" t="s">
        <v>47</v>
      </c>
    </row>
    <row r="214" spans="1:9">
      <c r="A214" t="s">
        <v>178</v>
      </c>
      <c r="B214">
        <v>0</v>
      </c>
      <c r="C214">
        <v>0</v>
      </c>
      <c r="D214">
        <v>0</v>
      </c>
      <c r="E214">
        <v>99</v>
      </c>
      <c r="F214">
        <v>0</v>
      </c>
      <c r="G214">
        <v>0</v>
      </c>
      <c r="H214">
        <v>0</v>
      </c>
      <c r="I214" t="s">
        <v>47</v>
      </c>
    </row>
    <row r="215" spans="1:9">
      <c r="A215" t="s">
        <v>179</v>
      </c>
      <c r="B215">
        <v>0</v>
      </c>
      <c r="C215">
        <v>0</v>
      </c>
      <c r="D215">
        <v>0</v>
      </c>
      <c r="E215">
        <v>99</v>
      </c>
      <c r="F215">
        <v>0</v>
      </c>
      <c r="G215">
        <v>0</v>
      </c>
      <c r="H215">
        <v>0</v>
      </c>
      <c r="I215" t="s">
        <v>47</v>
      </c>
    </row>
    <row r="216" spans="1:9">
      <c r="A216" t="s">
        <v>180</v>
      </c>
      <c r="B216">
        <v>0</v>
      </c>
      <c r="C216">
        <v>0</v>
      </c>
      <c r="D216">
        <v>0</v>
      </c>
      <c r="E216">
        <v>99</v>
      </c>
      <c r="F216">
        <v>0</v>
      </c>
      <c r="G216">
        <v>0</v>
      </c>
      <c r="H216">
        <v>0</v>
      </c>
      <c r="I216" t="s">
        <v>47</v>
      </c>
    </row>
    <row r="217" spans="1:9">
      <c r="A217" t="s">
        <v>181</v>
      </c>
      <c r="B217">
        <v>0</v>
      </c>
      <c r="C217">
        <v>0</v>
      </c>
      <c r="D217">
        <v>0</v>
      </c>
      <c r="E217">
        <v>99</v>
      </c>
      <c r="F217">
        <v>0</v>
      </c>
      <c r="G217">
        <v>0</v>
      </c>
      <c r="H217">
        <v>0</v>
      </c>
      <c r="I217" t="s">
        <v>47</v>
      </c>
    </row>
    <row r="218" spans="1:9">
      <c r="A218" t="s">
        <v>182</v>
      </c>
      <c r="B218">
        <v>0</v>
      </c>
      <c r="C218">
        <v>0</v>
      </c>
      <c r="D218">
        <v>0</v>
      </c>
      <c r="E218">
        <v>99</v>
      </c>
      <c r="F218">
        <v>0</v>
      </c>
      <c r="G218">
        <v>0</v>
      </c>
      <c r="H218">
        <v>0</v>
      </c>
      <c r="I218" t="s">
        <v>47</v>
      </c>
    </row>
    <row r="219" spans="1:9">
      <c r="A219" t="s">
        <v>183</v>
      </c>
      <c r="B219">
        <v>0</v>
      </c>
      <c r="C219">
        <v>0</v>
      </c>
      <c r="D219">
        <v>0</v>
      </c>
      <c r="E219">
        <v>99</v>
      </c>
      <c r="F219">
        <v>0</v>
      </c>
      <c r="G219">
        <v>0</v>
      </c>
      <c r="H219">
        <v>0</v>
      </c>
      <c r="I219" t="s">
        <v>47</v>
      </c>
    </row>
    <row r="220" spans="1:9">
      <c r="A220" t="s">
        <v>184</v>
      </c>
      <c r="B220">
        <v>0</v>
      </c>
      <c r="C220">
        <v>0</v>
      </c>
      <c r="D220">
        <v>0</v>
      </c>
      <c r="E220">
        <v>99</v>
      </c>
      <c r="F220">
        <v>0</v>
      </c>
      <c r="G220">
        <v>0</v>
      </c>
      <c r="H220">
        <v>0</v>
      </c>
      <c r="I220" t="s">
        <v>47</v>
      </c>
    </row>
    <row r="221" spans="1:9">
      <c r="A221" t="s">
        <v>185</v>
      </c>
      <c r="B221">
        <v>0</v>
      </c>
      <c r="C221">
        <v>0</v>
      </c>
      <c r="D221">
        <v>0</v>
      </c>
      <c r="E221">
        <v>99</v>
      </c>
      <c r="F221">
        <v>0</v>
      </c>
      <c r="G221">
        <v>0</v>
      </c>
      <c r="H221">
        <v>0</v>
      </c>
      <c r="I221" t="s">
        <v>47</v>
      </c>
    </row>
    <row r="222" spans="1:9">
      <c r="A222" t="s">
        <v>186</v>
      </c>
      <c r="B222">
        <v>0</v>
      </c>
      <c r="C222">
        <v>0</v>
      </c>
      <c r="D222">
        <v>0</v>
      </c>
      <c r="E222">
        <v>99</v>
      </c>
      <c r="F222">
        <v>0</v>
      </c>
      <c r="G222">
        <v>0</v>
      </c>
      <c r="H222">
        <v>0</v>
      </c>
      <c r="I222" t="s">
        <v>47</v>
      </c>
    </row>
    <row r="223" spans="1:9">
      <c r="A223" t="s">
        <v>187</v>
      </c>
      <c r="B223">
        <v>0</v>
      </c>
      <c r="C223">
        <v>0</v>
      </c>
      <c r="D223">
        <v>0</v>
      </c>
      <c r="E223">
        <v>99</v>
      </c>
      <c r="F223">
        <v>0</v>
      </c>
      <c r="G223">
        <v>0</v>
      </c>
      <c r="H223">
        <v>0</v>
      </c>
      <c r="I223" t="s">
        <v>47</v>
      </c>
    </row>
    <row r="224" spans="1:9">
      <c r="A224" t="s">
        <v>188</v>
      </c>
      <c r="B224">
        <v>0</v>
      </c>
      <c r="C224">
        <v>0</v>
      </c>
      <c r="D224">
        <v>0</v>
      </c>
      <c r="E224">
        <v>99</v>
      </c>
      <c r="F224">
        <v>0</v>
      </c>
      <c r="G224">
        <v>0</v>
      </c>
      <c r="H224">
        <v>0</v>
      </c>
      <c r="I224" t="s">
        <v>47</v>
      </c>
    </row>
    <row r="225" spans="1:9">
      <c r="A225" t="s">
        <v>189</v>
      </c>
      <c r="B225">
        <v>0</v>
      </c>
      <c r="C225">
        <v>0</v>
      </c>
      <c r="D225">
        <v>0</v>
      </c>
      <c r="E225">
        <v>99</v>
      </c>
      <c r="F225">
        <v>0</v>
      </c>
      <c r="G225">
        <v>0</v>
      </c>
      <c r="H225">
        <v>0</v>
      </c>
      <c r="I225" t="s">
        <v>47</v>
      </c>
    </row>
    <row r="226" spans="1:9">
      <c r="A226" t="s">
        <v>190</v>
      </c>
      <c r="B226">
        <v>0</v>
      </c>
      <c r="C226">
        <v>0</v>
      </c>
      <c r="D226">
        <v>0</v>
      </c>
      <c r="E226">
        <v>99</v>
      </c>
      <c r="F226">
        <v>0</v>
      </c>
      <c r="G226">
        <v>0</v>
      </c>
      <c r="H226">
        <v>0</v>
      </c>
      <c r="I226" t="s">
        <v>47</v>
      </c>
    </row>
    <row r="227" spans="1:9">
      <c r="A227" t="s">
        <v>191</v>
      </c>
      <c r="B227">
        <v>0</v>
      </c>
      <c r="C227">
        <v>0</v>
      </c>
      <c r="D227">
        <v>0</v>
      </c>
      <c r="E227">
        <v>99</v>
      </c>
      <c r="F227">
        <v>0</v>
      </c>
      <c r="G227">
        <v>0</v>
      </c>
      <c r="H227">
        <v>0</v>
      </c>
      <c r="I227" t="s">
        <v>47</v>
      </c>
    </row>
    <row r="228" spans="1:9">
      <c r="A228" t="s">
        <v>192</v>
      </c>
      <c r="B228">
        <v>0</v>
      </c>
      <c r="C228">
        <v>0</v>
      </c>
      <c r="D228">
        <v>0</v>
      </c>
      <c r="E228">
        <v>99</v>
      </c>
      <c r="F228">
        <v>0</v>
      </c>
      <c r="G228">
        <v>0</v>
      </c>
      <c r="H228">
        <v>0</v>
      </c>
      <c r="I228" t="s">
        <v>47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0C54-DD01-4A4F-8323-74D05FA02181}">
  <sheetPr codeName="Sheet20"/>
  <dimension ref="A1"/>
  <sheetViews>
    <sheetView topLeftCell="A70" workbookViewId="0"/>
  </sheetViews>
  <sheetFormatPr defaultRowHeight="12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1284D-ED45-4A75-8F47-74F802C15696}">
  <sheetPr codeName="Sheet21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EC83-59EF-4C96-9104-B8A3CE52BEF9}">
  <sheetPr codeName="Sheet22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77BB-6794-4228-BDB0-15797F4DC171}">
  <sheetPr codeName="Sheet23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4B9B6-499F-4A24-A5DB-21564741E984}">
  <sheetPr codeName="Sheet24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129A-71D6-4994-84EF-29707D5C9EEF}">
  <sheetPr codeName="Sheet14"/>
  <dimension ref="A1"/>
  <sheetViews>
    <sheetView topLeftCell="A13" workbookViewId="0"/>
  </sheetViews>
  <sheetFormatPr defaultRowHeight="12.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F63-5A02-468F-B730-DA6A75CB26EC}">
  <sheetPr codeName="Sheet15"/>
  <dimension ref="A1"/>
  <sheetViews>
    <sheetView topLeftCell="A4" workbookViewId="0"/>
  </sheetViews>
  <sheetFormatPr defaultRowHeight="12.5"/>
  <cols>
    <col min="7" max="7" width="14.6328125" customWidth="1"/>
    <col min="8" max="8" width="14.7265625" customWidth="1"/>
    <col min="12" max="12" width="10.81640625" bestFit="1" customWidth="1"/>
    <col min="13" max="13" width="12.08984375" bestFit="1" customWidth="1"/>
  </cols>
  <sheetData/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FE8DB-A6BE-45F9-9C44-D260BC6A4EAE}">
  <sheetPr codeName="Sheet16"/>
  <dimension ref="A1"/>
  <sheetViews>
    <sheetView topLeftCell="A10" workbookViewId="0"/>
  </sheetViews>
  <sheetFormatPr defaultRowHeight="12.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56F5-1CFD-45C6-9670-7765D58742CE}">
  <sheetPr codeName="Sheet17"/>
  <dimension ref="A1"/>
  <sheetViews>
    <sheetView topLeftCell="A7" workbookViewId="0"/>
  </sheetViews>
  <sheetFormatPr defaultRowHeight="12.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6538-DEAC-4237-A110-CA0D5909C57B}">
  <sheetPr codeName="Sheet18"/>
  <dimension ref="A1"/>
  <sheetViews>
    <sheetView topLeftCell="A4" workbookViewId="0"/>
  </sheetViews>
  <sheetFormatPr defaultRowHeight="12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98BA-CB4F-4EAE-9098-29DB4E9DF01D}">
  <sheetPr codeName="Sheet19"/>
  <dimension ref="A1"/>
  <sheetViews>
    <sheetView topLeftCell="A7" workbookViewId="0"/>
  </sheetViews>
  <sheetFormatPr defaultRowHeight="12.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05D3B-D6C2-470B-912D-1B1FF7AA5EA6}">
  <sheetPr codeName="Sheet25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DBF61-4A97-4604-90AA-232A5E0AA2A3}">
  <sheetPr codeName="Sheet26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C2722-55BD-43A3-B708-56AC6EBAB9DC}">
  <sheetPr codeName="Sheet27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230EC-40E9-488A-8E45-4D08BF011737}">
  <sheetPr codeName="Sheet28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CA3D5-615F-4BC4-ABA0-8CC2E3BF9219}">
  <sheetPr codeName="Sheet29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3C6C7-CFD6-40C6-8102-253C4257EEF3}">
  <sheetPr codeName="Sheet30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A8F3-A46F-4E7D-B33A-B7836BE227D1}">
  <sheetPr codeName="Sheet31"/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673C-10DB-48CE-9B1B-54DD1A8636D2}">
  <sheetPr codeName="Sheet32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82</vt:i4>
      </vt:variant>
    </vt:vector>
  </HeadingPairs>
  <TitlesOfParts>
    <vt:vector size="114" baseType="lpstr">
      <vt:lpstr>Plots</vt:lpstr>
      <vt:lpstr>Summary</vt:lpstr>
      <vt:lpstr>convert time</vt:lpstr>
      <vt:lpstr>AARnetCBR-CamDTN1_tcpmon_ts_11</vt:lpstr>
      <vt:lpstr>AARnetCBR-CamDTN1_tcpmon_ts_21</vt:lpstr>
      <vt:lpstr>AARnetCBR-CamDTN1_tcpmon_ts_22</vt:lpstr>
      <vt:lpstr>AARnetCBR-CamDTN1_tcpmon_ts_31</vt:lpstr>
      <vt:lpstr>AARnetCBR-CamDTN1_tcpmon_ts_32</vt:lpstr>
      <vt:lpstr>AARnetCBR-CamDTN1_tcpmon_ts_33</vt:lpstr>
      <vt:lpstr>AARnetCBR-CamDTN1_tcpmon_ts_41</vt:lpstr>
      <vt:lpstr>AARnetCBR-CamDTN1_tcpmon_ts_42</vt:lpstr>
      <vt:lpstr>AARnetCBR-CamDTN1_tcpmon_ts_43</vt:lpstr>
      <vt:lpstr>AARnetCBR-CamDTN1_tcpmon_ts_44</vt:lpstr>
      <vt:lpstr>AARnetCBR-CamDTN1_tcpmon_ts_51</vt:lpstr>
      <vt:lpstr>AARnetCBR-CamDTN1_tcpmon_ts_52</vt:lpstr>
      <vt:lpstr>AARnetCBR-CamDTN1_tcpmon_ts_53</vt:lpstr>
      <vt:lpstr>AARnetCBR-CamDTN1_tcpmon_ts_54</vt:lpstr>
      <vt:lpstr>AARnetCBR-CamDTN1_tcpmon_ts_55</vt:lpstr>
      <vt:lpstr>AARnetCBR-CamDTN1_tcpmon_ts_61</vt:lpstr>
      <vt:lpstr>AARnetCBR-CamDTN1_tcpmon_ts_62</vt:lpstr>
      <vt:lpstr>AARnetCBR-CamDTN1_tcpmon_ts_63</vt:lpstr>
      <vt:lpstr>AARnetCBR-CamDTN1_tcpmon_ts_64</vt:lpstr>
      <vt:lpstr>AARnetCBR-CamDTN1_tcpmon_ts_65</vt:lpstr>
      <vt:lpstr>AARnetCBR-CamDTN1_tcpmon_ts_66</vt:lpstr>
      <vt:lpstr>AARnetCBR-CamDTN1_tcpmon_ts_81</vt:lpstr>
      <vt:lpstr>AARnetCBR-CamDTN1_tcpmon_ts_82</vt:lpstr>
      <vt:lpstr>AARnetCBR-CamDTN1_tcpmon_ts_83</vt:lpstr>
      <vt:lpstr>AARnetCBR-CamDTN1_tcpmon_ts_84</vt:lpstr>
      <vt:lpstr>AARnetCBR-CamDTN1_tcpmon_ts_85</vt:lpstr>
      <vt:lpstr>AARnetCBR-CamDTN1_tcpmon_ts_86</vt:lpstr>
      <vt:lpstr>AARnetCBR-CamDTN1_tcpmon_ts_87</vt:lpstr>
      <vt:lpstr>AARnetCBR-CamDTN1_tcpmon_ts_88</vt:lpstr>
      <vt:lpstr>flowEndRow</vt:lpstr>
      <vt:lpstr>flowStartRow</vt:lpstr>
      <vt:lpstr>'AARnetCBR-CamDTN1_tcpmon_ts_11'!sys_gig_udp_31</vt:lpstr>
      <vt:lpstr>'AARnetCBR-CamDTN1_tcpmon_ts_21'!sys_gig_udp_31</vt:lpstr>
      <vt:lpstr>'AARnetCBR-CamDTN1_tcpmon_ts_22'!sys_gig_udp_31</vt:lpstr>
      <vt:lpstr>'AARnetCBR-CamDTN1_tcpmon_ts_31'!sys_gig_udp_31</vt:lpstr>
      <vt:lpstr>'AARnetCBR-CamDTN1_tcpmon_ts_32'!sys_gig_udp_31</vt:lpstr>
      <vt:lpstr>'AARnetCBR-CamDTN1_tcpmon_ts_33'!sys_gig_udp_31</vt:lpstr>
      <vt:lpstr>'AARnetCBR-CamDTN1_tcpmon_ts_41'!sys_gig_udp_31</vt:lpstr>
      <vt:lpstr>'AARnetCBR-CamDTN1_tcpmon_ts_42'!sys_gig_udp_31</vt:lpstr>
      <vt:lpstr>'AARnetCBR-CamDTN1_tcpmon_ts_43'!sys_gig_udp_31</vt:lpstr>
      <vt:lpstr>'AARnetCBR-CamDTN1_tcpmon_ts_44'!sys_gig_udp_31</vt:lpstr>
      <vt:lpstr>'AARnetCBR-CamDTN1_tcpmon_ts_51'!sys_gig_udp_31</vt:lpstr>
      <vt:lpstr>'AARnetCBR-CamDTN1_tcpmon_ts_52'!sys_gig_udp_31</vt:lpstr>
      <vt:lpstr>'AARnetCBR-CamDTN1_tcpmon_ts_53'!sys_gig_udp_31</vt:lpstr>
      <vt:lpstr>'AARnetCBR-CamDTN1_tcpmon_ts_54'!sys_gig_udp_31</vt:lpstr>
      <vt:lpstr>'AARnetCBR-CamDTN1_tcpmon_ts_55'!sys_gig_udp_31</vt:lpstr>
      <vt:lpstr>'AARnetCBR-CamDTN1_tcpmon_ts_11'!sys_gig_udp_31_1</vt:lpstr>
      <vt:lpstr>'AARnetCBR-CamDTN1_tcpmon_ts_21'!sys_gig_udp_31_1</vt:lpstr>
      <vt:lpstr>'AARnetCBR-CamDTN1_tcpmon_ts_22'!sys_gig_udp_31_1</vt:lpstr>
      <vt:lpstr>'AARnetCBR-CamDTN1_tcpmon_ts_31'!sys_gig_udp_31_1</vt:lpstr>
      <vt:lpstr>'AARnetCBR-CamDTN1_tcpmon_ts_32'!sys_gig_udp_31_1</vt:lpstr>
      <vt:lpstr>'AARnetCBR-CamDTN1_tcpmon_ts_33'!sys_gig_udp_31_1</vt:lpstr>
      <vt:lpstr>'AARnetCBR-CamDTN1_tcpmon_ts_41'!sys_gig_udp_31_1</vt:lpstr>
      <vt:lpstr>'AARnetCBR-CamDTN1_tcpmon_ts_42'!sys_gig_udp_31_1</vt:lpstr>
      <vt:lpstr>'AARnetCBR-CamDTN1_tcpmon_ts_43'!sys_gig_udp_31_1</vt:lpstr>
      <vt:lpstr>'AARnetCBR-CamDTN1_tcpmon_ts_44'!sys_gig_udp_31_1</vt:lpstr>
      <vt:lpstr>'AARnetCBR-CamDTN1_tcpmon_ts_51'!sys_gig_udp_31_1</vt:lpstr>
      <vt:lpstr>'AARnetCBR-CamDTN1_tcpmon_ts_52'!sys_gig_udp_31_1</vt:lpstr>
      <vt:lpstr>'AARnetCBR-CamDTN1_tcpmon_ts_53'!sys_gig_udp_31_1</vt:lpstr>
      <vt:lpstr>'AARnetCBR-CamDTN1_tcpmon_ts_54'!sys_gig_udp_31_1</vt:lpstr>
      <vt:lpstr>'AARnetCBR-CamDTN1_tcpmon_ts_55'!sys_gig_udp_31_1</vt:lpstr>
      <vt:lpstr>'AARnetCBR-CamDTN1_tcpmon_ts_11'!sys_gig_udp_31_2</vt:lpstr>
      <vt:lpstr>'AARnetCBR-CamDTN1_tcpmon_ts_21'!sys_gig_udp_31_2</vt:lpstr>
      <vt:lpstr>'AARnetCBR-CamDTN1_tcpmon_ts_22'!sys_gig_udp_31_2</vt:lpstr>
      <vt:lpstr>'AARnetCBR-CamDTN1_tcpmon_ts_31'!sys_gig_udp_31_2</vt:lpstr>
      <vt:lpstr>'AARnetCBR-CamDTN1_tcpmon_ts_32'!sys_gig_udp_31_2</vt:lpstr>
      <vt:lpstr>'AARnetCBR-CamDTN1_tcpmon_ts_33'!sys_gig_udp_31_2</vt:lpstr>
      <vt:lpstr>'AARnetCBR-CamDTN1_tcpmon_ts_41'!sys_gig_udp_31_2</vt:lpstr>
      <vt:lpstr>'AARnetCBR-CamDTN1_tcpmon_ts_42'!sys_gig_udp_31_2</vt:lpstr>
      <vt:lpstr>'AARnetCBR-CamDTN1_tcpmon_ts_43'!sys_gig_udp_31_2</vt:lpstr>
      <vt:lpstr>'AARnetCBR-CamDTN1_tcpmon_ts_44'!sys_gig_udp_31_2</vt:lpstr>
      <vt:lpstr>'AARnetCBR-CamDTN1_tcpmon_ts_51'!sys_gig_udp_31_2</vt:lpstr>
      <vt:lpstr>'AARnetCBR-CamDTN1_tcpmon_ts_52'!sys_gig_udp_31_2</vt:lpstr>
      <vt:lpstr>'AARnetCBR-CamDTN1_tcpmon_ts_53'!sys_gig_udp_31_2</vt:lpstr>
      <vt:lpstr>'AARnetCBR-CamDTN1_tcpmon_ts_54'!sys_gig_udp_31_2</vt:lpstr>
      <vt:lpstr>'AARnetCBR-CamDTN1_tcpmon_ts_55'!sys_gig_udp_31_2</vt:lpstr>
      <vt:lpstr>'AARnetCBR-CamDTN1_tcpmon_ts_11'!sys_gig_udp_31_3</vt:lpstr>
      <vt:lpstr>'AARnetCBR-CamDTN1_tcpmon_ts_21'!sys_gig_udp_31_3</vt:lpstr>
      <vt:lpstr>'AARnetCBR-CamDTN1_tcpmon_ts_22'!sys_gig_udp_31_3</vt:lpstr>
      <vt:lpstr>'AARnetCBR-CamDTN1_tcpmon_ts_31'!sys_gig_udp_31_3</vt:lpstr>
      <vt:lpstr>'AARnetCBR-CamDTN1_tcpmon_ts_32'!sys_gig_udp_31_3</vt:lpstr>
      <vt:lpstr>'AARnetCBR-CamDTN1_tcpmon_ts_33'!sys_gig_udp_31_3</vt:lpstr>
      <vt:lpstr>'AARnetCBR-CamDTN1_tcpmon_ts_41'!sys_gig_udp_31_3</vt:lpstr>
      <vt:lpstr>'AARnetCBR-CamDTN1_tcpmon_ts_42'!sys_gig_udp_31_3</vt:lpstr>
      <vt:lpstr>'AARnetCBR-CamDTN1_tcpmon_ts_43'!sys_gig_udp_31_3</vt:lpstr>
      <vt:lpstr>'AARnetCBR-CamDTN1_tcpmon_ts_44'!sys_gig_udp_31_3</vt:lpstr>
      <vt:lpstr>'AARnetCBR-CamDTN1_tcpmon_ts_51'!sys_gig_udp_31_3</vt:lpstr>
      <vt:lpstr>'AARnetCBR-CamDTN1_tcpmon_ts_52'!sys_gig_udp_31_3</vt:lpstr>
      <vt:lpstr>'AARnetCBR-CamDTN1_tcpmon_ts_53'!sys_gig_udp_31_3</vt:lpstr>
      <vt:lpstr>'AARnetCBR-CamDTN1_tcpmon_ts_54'!sys_gig_udp_31_3</vt:lpstr>
      <vt:lpstr>'AARnetCBR-CamDTN1_tcpmon_ts_55'!sys_gig_udp_31_3</vt:lpstr>
      <vt:lpstr>'AARnetCBR-CamDTN1_tcpmon_ts_11'!sys_gig_udp_31_4</vt:lpstr>
      <vt:lpstr>'AARnetCBR-CamDTN1_tcpmon_ts_21'!sys_gig_udp_31_4</vt:lpstr>
      <vt:lpstr>'AARnetCBR-CamDTN1_tcpmon_ts_22'!sys_gig_udp_31_4</vt:lpstr>
      <vt:lpstr>'AARnetCBR-CamDTN1_tcpmon_ts_31'!sys_gig_udp_31_4</vt:lpstr>
      <vt:lpstr>'AARnetCBR-CamDTN1_tcpmon_ts_32'!sys_gig_udp_31_4</vt:lpstr>
      <vt:lpstr>'AARnetCBR-CamDTN1_tcpmon_ts_33'!sys_gig_udp_31_4</vt:lpstr>
      <vt:lpstr>'AARnetCBR-CamDTN1_tcpmon_ts_41'!sys_gig_udp_31_4</vt:lpstr>
      <vt:lpstr>'AARnetCBR-CamDTN1_tcpmon_ts_42'!sys_gig_udp_31_4</vt:lpstr>
      <vt:lpstr>'AARnetCBR-CamDTN1_tcpmon_ts_43'!sys_gig_udp_31_4</vt:lpstr>
      <vt:lpstr>'AARnetCBR-CamDTN1_tcpmon_ts_44'!sys_gig_udp_31_4</vt:lpstr>
      <vt:lpstr>'AARnetCBR-CamDTN1_tcpmon_ts_11'!sys_gig_udp_31_5</vt:lpstr>
      <vt:lpstr>'AARnetCBR-CamDTN1_tcpmon_ts_21'!sys_gig_udp_31_5</vt:lpstr>
      <vt:lpstr>'AARnetCBR-CamDTN1_tcpmon_ts_22'!sys_gig_udp_31_5</vt:lpstr>
      <vt:lpstr>'AARnetCBR-CamDTN1_tcpmon_ts_31'!sys_gig_udp_31_5</vt:lpstr>
      <vt:lpstr>'AARnetCBR-CamDTN1_tcpmon_ts_32'!sys_gig_udp_31_5</vt:lpstr>
      <vt:lpstr>'AARnetCBR-CamDTN1_tcpmon_ts_33'!sys_gig_udp_31_5</vt:lpstr>
      <vt:lpstr>'AARnetCBR-CamDTN1_tcpmon_ts_41'!sys_gig_udp_31_5</vt:lpstr>
      <vt:lpstr>'AARnetCBR-CamDTN1_tcpmon_ts_42'!sys_gig_udp_31_5</vt:lpstr>
      <vt:lpstr>'AARnetCBR-CamDTN1_tcpmon_ts_43'!sys_gig_udp_31_5</vt:lpstr>
      <vt:lpstr>'AARnetCBR-CamDTN1_tcpmon_ts_44'!sys_gig_udp_31_5</vt:lpstr>
    </vt:vector>
  </TitlesOfParts>
  <Company>The University of Manchester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Hughes-Jones</dc:creator>
  <cp:lastModifiedBy>Richard Hughes-Jones</cp:lastModifiedBy>
  <dcterms:created xsi:type="dcterms:W3CDTF">2006-03-08T07:54:56Z</dcterms:created>
  <dcterms:modified xsi:type="dcterms:W3CDTF">2024-02-27T16:18:43Z</dcterms:modified>
</cp:coreProperties>
</file>