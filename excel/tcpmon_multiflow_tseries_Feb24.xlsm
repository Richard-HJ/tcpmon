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DANTE\Git\excel\"/>
    </mc:Choice>
  </mc:AlternateContent>
  <xr:revisionPtr revIDLastSave="0" documentId="8_{AD30BFB9-5ED4-490C-BAE6-05B071F99A9B}" xr6:coauthVersionLast="47" xr6:coauthVersionMax="47" xr10:uidLastSave="{00000000-0000-0000-0000-000000000000}"/>
  <bookViews>
    <workbookView xWindow="25488" yWindow="-1896" windowWidth="16836" windowHeight="9288" xr2:uid="{00000000-000D-0000-FFFF-FFFF00000000}"/>
  </bookViews>
  <sheets>
    <sheet name="Plots" sheetId="2" r:id="rId1"/>
    <sheet name="Summary" sheetId="32" r:id="rId2"/>
    <sheet name="convert time" sheetId="17" r:id="rId3"/>
    <sheet name="AARnetCBR-CamDTN1_tcpmon_ts_11" sheetId="8" r:id="rId4"/>
    <sheet name="AARnetCBR-CamDTN1_tcpmon_ts_21" sheetId="3" r:id="rId5"/>
    <sheet name="AARnetCBR-CamDTN1_tcpmon_ts_22" sheetId="18" r:id="rId6"/>
    <sheet name="AARnetCBR-CamDTN1_tcpmon_ts_31" sheetId="19" r:id="rId7"/>
    <sheet name="AARnetCBR-CamDTN1_tcpmon_ts_32" sheetId="20" r:id="rId8"/>
    <sheet name="AARnetCBR-CamDTN1_tcpmon_ts_33" sheetId="21" r:id="rId9"/>
    <sheet name="AARnetCBR-CamDTN1_tcpmon_ts_41" sheetId="22" r:id="rId10"/>
    <sheet name="AARnetCBR-CamDTN1_tcpmon_ts_42" sheetId="26" r:id="rId11"/>
    <sheet name="AARnetCBR-CamDTN1_tcpmon_ts_43" sheetId="23" r:id="rId12"/>
    <sheet name="AARnetCBR-CamDTN1_tcpmon_ts_44" sheetId="24" r:id="rId13"/>
    <sheet name="AARnetCBR-CamDTN1_tcpmon_ts_51" sheetId="33" r:id="rId14"/>
    <sheet name="AARnetCBR-CamDTN1_tcpmon_ts_52" sheetId="34" r:id="rId15"/>
    <sheet name="AARnetCBR-CamDTN1_tcpmon_ts_53" sheetId="35" r:id="rId16"/>
    <sheet name="AARnetCBR-CamDTN1_tcpmon_ts_54" sheetId="36" r:id="rId17"/>
    <sheet name="AARnetCBR-CamDTN1_tcpmon_ts_55" sheetId="37" r:id="rId18"/>
    <sheet name="AARnetCBR-CamDTN1_tcpmon_ts_61" sheetId="25" r:id="rId19"/>
    <sheet name="AARnetCBR-CamDTN1_tcpmon_ts_62" sheetId="27" r:id="rId20"/>
    <sheet name="AARnetCBR-CamDTN1_tcpmon_ts_63" sheetId="28" r:id="rId21"/>
    <sheet name="AARnetCBR-CamDTN1_tcpmon_ts_64" sheetId="29" r:id="rId22"/>
    <sheet name="AARnetCBR-CamDTN1_tcpmon_ts_65" sheetId="30" r:id="rId23"/>
    <sheet name="AARnetCBR-CamDTN1_tcpmon_ts_66" sheetId="31" r:id="rId24"/>
    <sheet name="AARnetCBR-CamDTN1_tcpmon_ts_81" sheetId="38" r:id="rId25"/>
    <sheet name="AARnetCBR-CamDTN1_tcpmon_ts_82" sheetId="39" r:id="rId26"/>
    <sheet name="AARnetCBR-CamDTN1_tcpmon_ts_83" sheetId="40" r:id="rId27"/>
    <sheet name="AARnetCBR-CamDTN1_tcpmon_ts_84" sheetId="41" r:id="rId28"/>
    <sheet name="AARnetCBR-CamDTN1_tcpmon_ts_85" sheetId="42" r:id="rId29"/>
    <sheet name="AARnetCBR-CamDTN1_tcpmon_ts_86" sheetId="43" r:id="rId30"/>
    <sheet name="AARnetCBR-CamDTN1_tcpmon_ts_87" sheetId="44" r:id="rId31"/>
    <sheet name="AARnetCBR-CamDTN1_tcpmon_ts_88" sheetId="45" r:id="rId32"/>
  </sheets>
  <definedNames>
    <definedName name="_xlnm._FilterDatabase" localSheetId="3" hidden="1">'AARnetCBR-CamDTN1_tcpmon_ts_11'!$A$9:$HP$3486</definedName>
    <definedName name="_xlnm._FilterDatabase" localSheetId="4" hidden="1">'AARnetCBR-CamDTN1_tcpmon_ts_21'!$A$1:$D$3731</definedName>
    <definedName name="flowEndRow">Plots!$C$4</definedName>
    <definedName name="flowStartRow">Plots!$C$3</definedName>
    <definedName name="sumEndRow">Plots!$C$6</definedName>
    <definedName name="sumStartRow">Plots!$C$5</definedName>
    <definedName name="Tab11_elapsed_time">INDIRECT(Plots!$M$46)</definedName>
    <definedName name="Tab11_flow_rate">INDIRECT(Plots!$M$47)</definedName>
    <definedName name="Tab11_flow_retrans">INDIRECT(Plots!$M$48)</definedName>
    <definedName name="Tab11_recv_time">INDIRECT(Plots!$M$49)</definedName>
    <definedName name="Tab21_elapsed_time">INDIRECT(Plots!$M$50)</definedName>
    <definedName name="Tab21_flow_rate">INDIRECT(Plots!$M$51)</definedName>
    <definedName name="Tab21_flow_retrans">INDIRECT(Plots!$M$52)</definedName>
    <definedName name="Tab21_recv_time">INDIRECT(Plots!$M$53)</definedName>
    <definedName name="Tab22_flow_rate">INDIRECT(Plots!$M$56)</definedName>
    <definedName name="Tab22_flow_retrans">INDIRECT(Plots!$M$57)</definedName>
    <definedName name="Tab22_recv_time">INDIRECT(Plots!$M$58)</definedName>
    <definedName name="Tab31_elapsed_time">INDIRECT(Plots!$M$60)</definedName>
    <definedName name="Tab31_flow_rate">INDIRECT(Plots!$M$61)</definedName>
    <definedName name="Tab31_flow_retrans">INDIRECT(Plots!$M$62)</definedName>
    <definedName name="Tab32_flow_rate">INDIRECT(Plots!$M$66)</definedName>
    <definedName name="Tab32_flow_retrans">INDIRECT(Plots!$M$67)</definedName>
    <definedName name="Tab33_flow_rate">INDIRECT(Plots!$M$71)</definedName>
    <definedName name="Tab33_flow_retrans">INDIRECT(Plots!$M$72)</definedName>
    <definedName name="Tab41_elapsed_time">INDIRECT(Plots!$M$75)</definedName>
    <definedName name="Tab41_flow_rate">INDIRECT(Plots!$M$76)</definedName>
    <definedName name="Tab41_flow_retrans">INDIRECT(Plots!$M$77)</definedName>
    <definedName name="Tab42_flow_rate">INDIRECT(Plots!$M$81)</definedName>
    <definedName name="Tab42_flow_retrans">INDIRECT(Plots!$M$82)</definedName>
    <definedName name="Tab43_flow_rate">INDIRECT(Plots!$M$86)</definedName>
    <definedName name="Tab43_flow_retrans">INDIRECT(Plots!$M$87)</definedName>
    <definedName name="Tab44_flow_rate">INDIRECT(Plots!$M$91)</definedName>
    <definedName name="Tab44_flow_retrans">INDIRECT(Plots!$M$92)</definedName>
    <definedName name="Tab51_elapsed_time">INDIRECT(Plots!$M$95)</definedName>
    <definedName name="Tab51_flow_rate">INDIRECT(Plots!$M$96)</definedName>
    <definedName name="Tab51_flow_retrans">INDIRECT(Plots!$M$97)</definedName>
    <definedName name="Tab52_flow_rate">INDIRECT(Plots!$M$100)</definedName>
    <definedName name="Tab52_flow_retrans">INDIRECT(Plots!$M$101)</definedName>
    <definedName name="Tab53_flow_rate">INDIRECT(Plots!$M$105)</definedName>
    <definedName name="Tab53_flow_retrans">INDIRECT(Plots!$M$106)</definedName>
    <definedName name="Tab54_flow_rate">INDIRECT(Plots!$M$110)</definedName>
    <definedName name="Tab54_flow_retrans">INDIRECT(Plots!$M$111)</definedName>
    <definedName name="Tab55_flow_rate">INDIRECT(Plots!$M$115)</definedName>
    <definedName name="Tab55_flow_retrans">INDIRECT(Plots!$M$116)</definedName>
    <definedName name="Tab61_elapsed_time">INDIRECT(Plots!$M$119)</definedName>
    <definedName name="Tab61_flow_rate">INDIRECT(Plots!$M$120)</definedName>
    <definedName name="Tab61_flow_retrans">INDIRECT(Plots!$M$121)</definedName>
    <definedName name="Tab62_flow_rate">INDIRECT(Plots!$M$125)</definedName>
    <definedName name="Tab62_flow_retrans">INDIRECT(Plots!$M$126)</definedName>
    <definedName name="Tab63_flow_rate">INDIRECT(Plots!$M$130)</definedName>
    <definedName name="Tab63_flow_retrans">INDIRECT(Plots!$M$131)</definedName>
    <definedName name="Tab64_flow_rate">INDIRECT(Plots!$M$135)</definedName>
    <definedName name="Tab64_flow_retrans">INDIRECT(Plots!$M$136)</definedName>
    <definedName name="Tab65_flow_rate">INDIRECT(Plots!$M$139)</definedName>
    <definedName name="Tab65_flow_retrans">INDIRECT(Plots!$M$140)</definedName>
    <definedName name="Tab66_flow_rate">INDIRECT(Plots!$M$145)</definedName>
    <definedName name="Tab66_flow_retrans">INDIRECT(Plots!$M$146)</definedName>
    <definedName name="Tab81_elapsed_time">INDIRECT(Plots!$M$149)</definedName>
    <definedName name="Tab81_flow_rate">INDIRECT(Plots!$M$150)</definedName>
    <definedName name="Tab81_flow_retrans">INDIRECT(Plots!$M$151)</definedName>
    <definedName name="Tab82_flow_rate">INDIRECT(Plots!$M$155)</definedName>
    <definedName name="Tab82_flow_retrans">INDIRECT(Plots!$M$156)</definedName>
    <definedName name="Tab83_flow_rate">INDIRECT(Plots!$M$160)</definedName>
    <definedName name="Tab83_flow_retrans">INDIRECT(Plots!$M$161)</definedName>
    <definedName name="Tab84_flow_rate">INDIRECT(Plots!$M$165)</definedName>
    <definedName name="Tab84_flow_retrans">INDIRECT(Plots!$M$166)</definedName>
    <definedName name="Tab85_flow_rate">INDIRECT(Plots!$M$169)</definedName>
    <definedName name="Tab85_flow_retrans">INDIRECT(Plots!$M$170)</definedName>
    <definedName name="Tab86_flow_rate">INDIRECT(Plots!$M$173)</definedName>
    <definedName name="Tab86_flow_retrans">INDIRECT(Plots!$M$174)</definedName>
    <definedName name="Tab87_flow_rate">INDIRECT(Plots!$M$177)</definedName>
    <definedName name="Tab87_flow_retrans">INDIRECT(Plots!$M$178)</definedName>
    <definedName name="Tab88_flow_rate">INDIRECT(Plots!$M$181)</definedName>
    <definedName name="Tab88_flow_retrans">INDIRECT(Plots!$M$182)</definedName>
    <definedName name="TabSum_elapsed_time">INDIRECT(Plots!$M$40)</definedName>
    <definedName name="TabSum_retrans1">INDIRECT(Plots!$U$41)</definedName>
    <definedName name="TabSum_retrans2">INDIRECT(Plots!$U$42)</definedName>
    <definedName name="TabSum_retrans3">INDIRECT(Plots!$U$43)</definedName>
    <definedName name="TabSum_retrans4">INDIRECT(Plots!$U$44)</definedName>
    <definedName name="TabSum_retrans5">INDIRECT(Plots!$U$45)</definedName>
    <definedName name="TabSum_sum1">INDIRECT(Plots!$M$41)</definedName>
    <definedName name="TabSum_sum2">INDIRECT(Plots!$M$42)</definedName>
    <definedName name="TabSum_sum3">INDIRECT(Plots!$M$43)</definedName>
    <definedName name="TabSum_sum4">INDIRECT(Plots!$M$44)</definedName>
    <definedName name="TabSum_sum5">INDIRECT(Plots!$Q$41)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04" i="32" l="1"/>
  <c r="R105" i="32"/>
  <c r="R106" i="32"/>
  <c r="R107" i="32"/>
  <c r="R108" i="32"/>
  <c r="R109" i="32"/>
  <c r="R110" i="32"/>
  <c r="R111" i="32"/>
  <c r="R112" i="32"/>
  <c r="R113" i="32"/>
  <c r="R114" i="32"/>
  <c r="R115" i="32"/>
  <c r="R116" i="32"/>
  <c r="R117" i="32"/>
  <c r="R118" i="32"/>
  <c r="R119" i="32"/>
  <c r="R120" i="32"/>
  <c r="R121" i="32"/>
  <c r="R122" i="32"/>
  <c r="R123" i="32"/>
  <c r="R124" i="32"/>
  <c r="R125" i="32"/>
  <c r="R126" i="32"/>
  <c r="R127" i="32"/>
  <c r="R128" i="32"/>
  <c r="R129" i="32"/>
  <c r="R130" i="32"/>
  <c r="R131" i="32"/>
  <c r="R132" i="32"/>
  <c r="R133" i="32"/>
  <c r="R134" i="32"/>
  <c r="R135" i="32"/>
  <c r="R136" i="32"/>
  <c r="R137" i="32"/>
  <c r="R138" i="32"/>
  <c r="R139" i="32"/>
  <c r="R140" i="32"/>
  <c r="R141" i="32"/>
  <c r="R142" i="32"/>
  <c r="R143" i="32"/>
  <c r="R144" i="32"/>
  <c r="R145" i="32"/>
  <c r="R146" i="32"/>
  <c r="R147" i="32"/>
  <c r="R148" i="32"/>
  <c r="R149" i="32"/>
  <c r="R150" i="32"/>
  <c r="R151" i="32"/>
  <c r="R152" i="32"/>
  <c r="B148" i="32"/>
  <c r="H148" i="32"/>
  <c r="I148" i="32"/>
  <c r="B149" i="32"/>
  <c r="H149" i="32"/>
  <c r="I149" i="32"/>
  <c r="H150" i="32"/>
  <c r="I150" i="32"/>
  <c r="H151" i="32"/>
  <c r="I151" i="32"/>
  <c r="H152" i="32"/>
  <c r="I152" i="32"/>
  <c r="B131" i="32"/>
  <c r="H131" i="32"/>
  <c r="I131" i="32"/>
  <c r="H132" i="32"/>
  <c r="I132" i="32"/>
  <c r="H133" i="32"/>
  <c r="I133" i="32"/>
  <c r="H134" i="32"/>
  <c r="I134" i="32"/>
  <c r="H135" i="32"/>
  <c r="I135" i="32"/>
  <c r="H136" i="32"/>
  <c r="I136" i="32"/>
  <c r="H137" i="32"/>
  <c r="I137" i="32"/>
  <c r="H138" i="32"/>
  <c r="I138" i="32"/>
  <c r="H139" i="32"/>
  <c r="I139" i="32"/>
  <c r="H140" i="32"/>
  <c r="I140" i="32"/>
  <c r="H141" i="32"/>
  <c r="I141" i="32"/>
  <c r="H142" i="32"/>
  <c r="I142" i="32"/>
  <c r="H143" i="32"/>
  <c r="I143" i="32"/>
  <c r="H144" i="32"/>
  <c r="I144" i="32"/>
  <c r="H145" i="32"/>
  <c r="I145" i="32"/>
  <c r="H146" i="32"/>
  <c r="I146" i="32"/>
  <c r="H147" i="32"/>
  <c r="I147" i="32"/>
  <c r="B118" i="32"/>
  <c r="H118" i="32"/>
  <c r="I118" i="32"/>
  <c r="B119" i="32"/>
  <c r="H119" i="32"/>
  <c r="I119" i="32"/>
  <c r="B120" i="32"/>
  <c r="H120" i="32"/>
  <c r="I120" i="32"/>
  <c r="H121" i="32"/>
  <c r="I121" i="32"/>
  <c r="H122" i="32"/>
  <c r="I122" i="32"/>
  <c r="H123" i="32"/>
  <c r="I123" i="32"/>
  <c r="H124" i="32"/>
  <c r="I124" i="32"/>
  <c r="H125" i="32"/>
  <c r="I125" i="32"/>
  <c r="H126" i="32"/>
  <c r="I126" i="32"/>
  <c r="H127" i="32"/>
  <c r="I127" i="32"/>
  <c r="H128" i="32"/>
  <c r="I128" i="32"/>
  <c r="H129" i="32"/>
  <c r="I129" i="32"/>
  <c r="H130" i="32"/>
  <c r="I130" i="32"/>
  <c r="B104" i="32"/>
  <c r="H104" i="32"/>
  <c r="I104" i="32"/>
  <c r="H105" i="32"/>
  <c r="I105" i="32"/>
  <c r="H106" i="32"/>
  <c r="I106" i="32"/>
  <c r="H107" i="32"/>
  <c r="I107" i="32"/>
  <c r="H108" i="32"/>
  <c r="I108" i="32"/>
  <c r="H109" i="32"/>
  <c r="I109" i="32"/>
  <c r="H110" i="32"/>
  <c r="I110" i="32"/>
  <c r="H111" i="32"/>
  <c r="I111" i="32"/>
  <c r="H112" i="32"/>
  <c r="I112" i="32"/>
  <c r="H113" i="32"/>
  <c r="I113" i="32"/>
  <c r="H114" i="32"/>
  <c r="I114" i="32"/>
  <c r="H115" i="32"/>
  <c r="I115" i="32"/>
  <c r="H116" i="32"/>
  <c r="I116" i="32"/>
  <c r="H117" i="32"/>
  <c r="I117" i="32"/>
  <c r="M45" i="2"/>
  <c r="CA1" i="2"/>
  <c r="CB8" i="2" s="1"/>
  <c r="BR1" i="2"/>
  <c r="G23" i="17"/>
  <c r="G24" i="17" s="1"/>
  <c r="G25" i="17" s="1"/>
  <c r="G26" i="17" s="1"/>
  <c r="G27" i="17" s="1"/>
  <c r="G28" i="17" s="1"/>
  <c r="G29" i="17" s="1"/>
  <c r="G30" i="17" s="1"/>
  <c r="G31" i="17" s="1"/>
  <c r="G32" i="17" s="1"/>
  <c r="G33" i="17" s="1"/>
  <c r="G34" i="17" s="1"/>
  <c r="G35" i="17" s="1"/>
  <c r="G36" i="17" s="1"/>
  <c r="G37" i="17" s="1"/>
  <c r="G38" i="17" s="1"/>
  <c r="G39" i="17" s="1"/>
  <c r="G40" i="17" s="1"/>
  <c r="G41" i="17" s="1"/>
  <c r="G42" i="17" s="1"/>
  <c r="G43" i="17" s="1"/>
  <c r="G44" i="17" s="1"/>
  <c r="G45" i="17" s="1"/>
  <c r="G46" i="17" s="1"/>
  <c r="G47" i="17" s="1"/>
  <c r="G48" i="17" s="1"/>
  <c r="G49" i="17" s="1"/>
  <c r="G50" i="17" s="1"/>
  <c r="G51" i="17" s="1"/>
  <c r="G52" i="17" s="1"/>
  <c r="G53" i="17" s="1"/>
  <c r="G54" i="17" s="1"/>
  <c r="G55" i="17" s="1"/>
  <c r="G56" i="17" s="1"/>
  <c r="G57" i="17" s="1"/>
  <c r="G58" i="17" s="1"/>
  <c r="G59" i="17" s="1"/>
  <c r="G60" i="17" s="1"/>
  <c r="G61" i="17" s="1"/>
  <c r="G62" i="17" s="1"/>
  <c r="G63" i="17" s="1"/>
  <c r="G64" i="17" s="1"/>
  <c r="G65" i="17" s="1"/>
  <c r="G66" i="17" s="1"/>
  <c r="G67" i="17" s="1"/>
  <c r="R64" i="32"/>
  <c r="R65" i="32"/>
  <c r="R66" i="32"/>
  <c r="R67" i="32"/>
  <c r="R68" i="32"/>
  <c r="R69" i="32"/>
  <c r="R70" i="32"/>
  <c r="R71" i="32"/>
  <c r="R72" i="32"/>
  <c r="R73" i="32"/>
  <c r="R74" i="32"/>
  <c r="R75" i="32"/>
  <c r="R76" i="32"/>
  <c r="R77" i="32"/>
  <c r="R78" i="32"/>
  <c r="R79" i="32"/>
  <c r="R80" i="32"/>
  <c r="R81" i="32"/>
  <c r="R82" i="32"/>
  <c r="R83" i="32"/>
  <c r="R84" i="32"/>
  <c r="R85" i="32"/>
  <c r="R86" i="32"/>
  <c r="R87" i="32"/>
  <c r="R88" i="32"/>
  <c r="R89" i="32"/>
  <c r="R90" i="32"/>
  <c r="R91" i="32"/>
  <c r="R92" i="32"/>
  <c r="R93" i="32"/>
  <c r="R94" i="32"/>
  <c r="R95" i="32"/>
  <c r="R96" i="32"/>
  <c r="R97" i="32"/>
  <c r="R98" i="32"/>
  <c r="R99" i="32"/>
  <c r="R100" i="32"/>
  <c r="R101" i="32"/>
  <c r="R102" i="32"/>
  <c r="R103" i="32"/>
  <c r="I4" i="32"/>
  <c r="I5" i="32"/>
  <c r="I6" i="32"/>
  <c r="I7" i="32"/>
  <c r="I8" i="32"/>
  <c r="H72" i="32"/>
  <c r="I72" i="32"/>
  <c r="H73" i="32"/>
  <c r="I73" i="32"/>
  <c r="H74" i="32"/>
  <c r="I74" i="32"/>
  <c r="H75" i="32"/>
  <c r="I75" i="32"/>
  <c r="H76" i="32"/>
  <c r="I76" i="32"/>
  <c r="H77" i="32"/>
  <c r="I77" i="32"/>
  <c r="H78" i="32"/>
  <c r="I78" i="32"/>
  <c r="H79" i="32"/>
  <c r="I79" i="32"/>
  <c r="H80" i="32"/>
  <c r="I80" i="32"/>
  <c r="H81" i="32"/>
  <c r="I81" i="32"/>
  <c r="H82" i="32"/>
  <c r="I82" i="32"/>
  <c r="H83" i="32"/>
  <c r="I83" i="32"/>
  <c r="H84" i="32"/>
  <c r="I84" i="32"/>
  <c r="H85" i="32"/>
  <c r="I85" i="32"/>
  <c r="H86" i="32"/>
  <c r="I86" i="32"/>
  <c r="H87" i="32"/>
  <c r="I87" i="32"/>
  <c r="H88" i="32"/>
  <c r="I88" i="32"/>
  <c r="H89" i="32"/>
  <c r="I89" i="32"/>
  <c r="H90" i="32"/>
  <c r="I90" i="32"/>
  <c r="H91" i="32"/>
  <c r="I91" i="32"/>
  <c r="H92" i="32"/>
  <c r="I92" i="32"/>
  <c r="H93" i="32"/>
  <c r="I93" i="32"/>
  <c r="H94" i="32"/>
  <c r="I94" i="32"/>
  <c r="H95" i="32"/>
  <c r="I95" i="32"/>
  <c r="H96" i="32"/>
  <c r="I96" i="32"/>
  <c r="H97" i="32"/>
  <c r="I97" i="32"/>
  <c r="H98" i="32"/>
  <c r="I98" i="32"/>
  <c r="H99" i="32"/>
  <c r="I99" i="32"/>
  <c r="H100" i="32"/>
  <c r="I100" i="32"/>
  <c r="H101" i="32"/>
  <c r="I101" i="32"/>
  <c r="H102" i="32"/>
  <c r="I102" i="32"/>
  <c r="H103" i="32"/>
  <c r="I103" i="32"/>
  <c r="U42" i="2"/>
  <c r="U41" i="2"/>
  <c r="U43" i="2"/>
  <c r="U45" i="2"/>
  <c r="U44" i="2"/>
  <c r="M40" i="2"/>
  <c r="Q41" i="2"/>
  <c r="M44" i="2"/>
  <c r="M43" i="2"/>
  <c r="M42" i="2"/>
  <c r="M41" i="2"/>
  <c r="H5" i="2" a="1"/>
  <c r="H6" i="2" a="1"/>
  <c r="B150" i="32" l="1"/>
  <c r="B132" i="32"/>
  <c r="B121" i="32"/>
  <c r="B105" i="32"/>
  <c r="CB6" i="2"/>
  <c r="CB4" i="2"/>
  <c r="CB5" i="2"/>
  <c r="CB7" i="2"/>
  <c r="CB9" i="2"/>
  <c r="CB10" i="2"/>
  <c r="CB11" i="2"/>
  <c r="H5" i="2"/>
  <c r="H6" i="2"/>
  <c r="B4" i="32"/>
  <c r="B5" i="32" s="1"/>
  <c r="B6" i="32" s="1"/>
  <c r="B7" i="32" s="1"/>
  <c r="A148" i="32" a="1"/>
  <c r="A149" i="32" a="1"/>
  <c r="A131" i="32" a="1"/>
  <c r="A118" i="32" a="1"/>
  <c r="A119" i="32" a="1"/>
  <c r="A104" i="32" a="1"/>
  <c r="H4" i="2" a="1"/>
  <c r="H3" i="2" a="1"/>
  <c r="A149" i="32" l="1"/>
  <c r="A148" i="32"/>
  <c r="B151" i="32"/>
  <c r="A131" i="32"/>
  <c r="B133" i="32"/>
  <c r="A119" i="32"/>
  <c r="A118" i="32"/>
  <c r="B122" i="32"/>
  <c r="A104" i="32"/>
  <c r="B106" i="32"/>
  <c r="M60" i="2"/>
  <c r="M46" i="2"/>
  <c r="M50" i="2"/>
  <c r="M119" i="2"/>
  <c r="M149" i="2"/>
  <c r="M75" i="2"/>
  <c r="M95" i="2"/>
  <c r="M68" i="2"/>
  <c r="M73" i="2"/>
  <c r="M58" i="2"/>
  <c r="M63" i="2"/>
  <c r="M49" i="2"/>
  <c r="M53" i="2"/>
  <c r="B8" i="32"/>
  <c r="H4" i="2"/>
  <c r="H3" i="2"/>
  <c r="C150" i="32" a="1"/>
  <c r="A150" i="32" a="1"/>
  <c r="F150" i="32" a="1"/>
  <c r="A132" i="32" a="1"/>
  <c r="G132" i="32" a="1"/>
  <c r="A121" i="32" a="1"/>
  <c r="E121" i="32" a="1"/>
  <c r="G121" i="32" a="1"/>
  <c r="A120" i="32" a="1"/>
  <c r="D121" i="32" a="1"/>
  <c r="G105" i="32" a="1"/>
  <c r="A105" i="32" a="1"/>
  <c r="D105" i="32" a="1"/>
  <c r="E105" i="32" a="1"/>
  <c r="A5" i="32" a="1"/>
  <c r="A7" i="32" a="1"/>
  <c r="C4" i="32" a="1"/>
  <c r="Q4" i="32" a="1"/>
  <c r="A6" i="32" a="1"/>
  <c r="A4" i="32" a="1"/>
  <c r="A8" i="32" a="1"/>
  <c r="F150" i="32" l="1"/>
  <c r="A150" i="32"/>
  <c r="C150" i="32"/>
  <c r="B152" i="32"/>
  <c r="G132" i="32"/>
  <c r="A132" i="32"/>
  <c r="B134" i="32"/>
  <c r="D121" i="32"/>
  <c r="A120" i="32"/>
  <c r="G121" i="32"/>
  <c r="E121" i="32"/>
  <c r="A121" i="32"/>
  <c r="B123" i="32"/>
  <c r="E105" i="32"/>
  <c r="D105" i="32"/>
  <c r="A105" i="32"/>
  <c r="G105" i="32"/>
  <c r="B107" i="32"/>
  <c r="M47" i="2"/>
  <c r="A4" i="32"/>
  <c r="M178" i="2"/>
  <c r="M182" i="2"/>
  <c r="M177" i="2"/>
  <c r="M181" i="2"/>
  <c r="M173" i="2"/>
  <c r="M174" i="2"/>
  <c r="M169" i="2"/>
  <c r="M170" i="2"/>
  <c r="M165" i="2"/>
  <c r="M166" i="2"/>
  <c r="M160" i="2"/>
  <c r="M161" i="2"/>
  <c r="M155" i="2"/>
  <c r="M156" i="2"/>
  <c r="M150" i="2"/>
  <c r="M151" i="2"/>
  <c r="M72" i="2"/>
  <c r="M67" i="2"/>
  <c r="M62" i="2"/>
  <c r="M57" i="2"/>
  <c r="M52" i="2"/>
  <c r="M48" i="2"/>
  <c r="A8" i="32"/>
  <c r="A6" i="32"/>
  <c r="A7" i="32"/>
  <c r="A5" i="32"/>
  <c r="C4" i="32"/>
  <c r="Q4" i="32"/>
  <c r="M146" i="2"/>
  <c r="M145" i="2"/>
  <c r="M136" i="2"/>
  <c r="M140" i="2"/>
  <c r="M135" i="2"/>
  <c r="M139" i="2"/>
  <c r="M126" i="2"/>
  <c r="M131" i="2"/>
  <c r="M125" i="2"/>
  <c r="M130" i="2"/>
  <c r="M56" i="2"/>
  <c r="M51" i="2"/>
  <c r="M71" i="2"/>
  <c r="M61" i="2"/>
  <c r="M66" i="2"/>
  <c r="M91" i="2"/>
  <c r="M92" i="2"/>
  <c r="M87" i="2"/>
  <c r="M86" i="2"/>
  <c r="M81" i="2"/>
  <c r="M82" i="2"/>
  <c r="M76" i="2"/>
  <c r="M77" i="2"/>
  <c r="M116" i="2"/>
  <c r="B9" i="32"/>
  <c r="M115" i="2"/>
  <c r="M110" i="2"/>
  <c r="M111" i="2"/>
  <c r="M106" i="2"/>
  <c r="M105" i="2"/>
  <c r="M100" i="2"/>
  <c r="M101" i="2"/>
  <c r="M96" i="2"/>
  <c r="M97" i="2"/>
  <c r="M120" i="2"/>
  <c r="M121" i="2"/>
  <c r="L104" i="32" a="1"/>
  <c r="L128" i="32" a="1"/>
  <c r="L152" i="32" a="1"/>
  <c r="N125" i="32" a="1"/>
  <c r="N149" i="32" a="1"/>
  <c r="P122" i="32" a="1"/>
  <c r="P146" i="32" a="1"/>
  <c r="Q121" i="32" a="1"/>
  <c r="Q145" i="32" a="1"/>
  <c r="M118" i="32" a="1"/>
  <c r="M142" i="32" a="1"/>
  <c r="Q111" i="32" a="1"/>
  <c r="Q135" i="32" a="1"/>
  <c r="N106" i="32" a="1"/>
  <c r="N130" i="32" a="1"/>
  <c r="O119" i="32" a="1"/>
  <c r="L123" i="32" a="1"/>
  <c r="L147" i="32" a="1"/>
  <c r="L112" i="32" a="1"/>
  <c r="L136" i="32" a="1"/>
  <c r="O143" i="32" a="1"/>
  <c r="M124" i="32" a="1"/>
  <c r="M148" i="32" a="1"/>
  <c r="N123" i="32" a="1"/>
  <c r="N147" i="32" a="1"/>
  <c r="Q106" i="32" a="1"/>
  <c r="Q130" i="32" a="1"/>
  <c r="M147" i="32" a="1"/>
  <c r="M127" i="32" a="1"/>
  <c r="O107" i="32" a="1"/>
  <c r="O124" i="32" a="1"/>
  <c r="O148" i="32" a="1"/>
  <c r="P123" i="32" a="1"/>
  <c r="P147" i="32" a="1"/>
  <c r="L120" i="32" a="1"/>
  <c r="L144" i="32" a="1"/>
  <c r="P113" i="32" a="1"/>
  <c r="P137" i="32" a="1"/>
  <c r="M108" i="32" a="1"/>
  <c r="M132" i="32" a="1"/>
  <c r="Q127" i="32" a="1"/>
  <c r="Q125" i="32" a="1"/>
  <c r="Q149" i="32" a="1"/>
  <c r="Q114" i="32" a="1"/>
  <c r="Q138" i="32" a="1"/>
  <c r="N145" i="32" a="1"/>
  <c r="L126" i="32" a="1"/>
  <c r="L150" i="32" a="1"/>
  <c r="M125" i="32" a="1"/>
  <c r="M149" i="32" a="1"/>
  <c r="P108" i="32" a="1"/>
  <c r="P132" i="32" a="1"/>
  <c r="L105" i="32" a="1"/>
  <c r="L129" i="32" a="1"/>
  <c r="L137" i="32" a="1"/>
  <c r="N126" i="32" a="1"/>
  <c r="N150" i="32" a="1"/>
  <c r="O125" i="32" a="1"/>
  <c r="O149" i="32" a="1"/>
  <c r="Q122" i="32" a="1"/>
  <c r="Q146" i="32" a="1"/>
  <c r="O115" i="32" a="1"/>
  <c r="O139" i="32" a="1"/>
  <c r="L110" i="32" a="1"/>
  <c r="L134" i="32" a="1"/>
  <c r="P141" i="32" a="1"/>
  <c r="P127" i="32" a="1"/>
  <c r="P151" i="32" a="1"/>
  <c r="P116" i="32" a="1"/>
  <c r="P140" i="32" a="1"/>
  <c r="Q104" i="32" a="1"/>
  <c r="Q128" i="32" a="1"/>
  <c r="Q152" i="32" a="1"/>
  <c r="L127" i="32" a="1"/>
  <c r="L151" i="32" a="1"/>
  <c r="O110" i="32" a="1"/>
  <c r="O134" i="32" a="1"/>
  <c r="Q107" i="32" a="1"/>
  <c r="Q131" i="32" a="1"/>
  <c r="M104" i="32" a="1"/>
  <c r="M128" i="32" a="1"/>
  <c r="M152" i="32" a="1"/>
  <c r="N127" i="32" a="1"/>
  <c r="N151" i="32" a="1"/>
  <c r="P124" i="32" a="1"/>
  <c r="P148" i="32" a="1"/>
  <c r="N117" i="32" a="1"/>
  <c r="N141" i="32" a="1"/>
  <c r="Q112" i="32" a="1"/>
  <c r="Q136" i="32" a="1"/>
  <c r="O105" i="32" a="1"/>
  <c r="O129" i="32" a="1"/>
  <c r="P105" i="32" a="1"/>
  <c r="O118" i="32" a="1"/>
  <c r="O142" i="32" a="1"/>
  <c r="P106" i="32" a="1"/>
  <c r="P130" i="32" a="1"/>
  <c r="Q105" i="32" a="1"/>
  <c r="Q129" i="32" a="1"/>
  <c r="M151" i="32" a="1"/>
  <c r="M105" i="32" a="1"/>
  <c r="P138" i="32" a="1"/>
  <c r="N131" i="32" a="1"/>
  <c r="N120" i="32" a="1"/>
  <c r="O108" i="32" a="1"/>
  <c r="P107" i="32" a="1"/>
  <c r="M111" i="32" a="1"/>
  <c r="N112" i="32" a="1"/>
  <c r="N136" i="32" a="1"/>
  <c r="P109" i="32" a="1"/>
  <c r="P133" i="32" a="1"/>
  <c r="L106" i="32" a="1"/>
  <c r="L130" i="32" a="1"/>
  <c r="M129" i="32" a="1"/>
  <c r="N109" i="32" a="1"/>
  <c r="O126" i="32" a="1"/>
  <c r="O150" i="32" a="1"/>
  <c r="M119" i="32" a="1"/>
  <c r="M143" i="32" a="1"/>
  <c r="P114" i="32" a="1"/>
  <c r="N107" i="32" a="1"/>
  <c r="P117" i="32" a="1"/>
  <c r="N144" i="32" a="1"/>
  <c r="O132" i="32" a="1"/>
  <c r="P131" i="32" a="1"/>
  <c r="M114" i="32" a="1"/>
  <c r="M138" i="32" a="1"/>
  <c r="O111" i="32" a="1"/>
  <c r="O135" i="32" a="1"/>
  <c r="Q108" i="32" a="1"/>
  <c r="Q132" i="32" a="1"/>
  <c r="L107" i="32" a="1"/>
  <c r="L131" i="32" a="1"/>
  <c r="N104" i="32" a="1"/>
  <c r="N128" i="32" a="1"/>
  <c r="N152" i="32" a="1"/>
  <c r="L121" i="32" a="1"/>
  <c r="L145" i="32" a="1"/>
  <c r="O116" i="32" a="1"/>
  <c r="O140" i="32" a="1"/>
  <c r="M109" i="32" a="1"/>
  <c r="M133" i="32" a="1"/>
  <c r="N121" i="32" a="1"/>
  <c r="M122" i="32" a="1"/>
  <c r="M146" i="32" a="1"/>
  <c r="N110" i="32" a="1"/>
  <c r="N134" i="32" a="1"/>
  <c r="O109" i="32" a="1"/>
  <c r="O133" i="32" a="1"/>
  <c r="Q139" i="32" a="1"/>
  <c r="Q143" i="32" a="1"/>
  <c r="P118" i="32" a="1"/>
  <c r="N146" i="32" a="1"/>
  <c r="L116" i="32" a="1"/>
  <c r="L140" i="32" a="1"/>
  <c r="N113" i="32" a="1"/>
  <c r="N137" i="32" a="1"/>
  <c r="P110" i="32" a="1"/>
  <c r="P134" i="32" a="1"/>
  <c r="Q109" i="32" a="1"/>
  <c r="Q133" i="32" a="1"/>
  <c r="M106" i="32" a="1"/>
  <c r="M130" i="32" a="1"/>
  <c r="O151" i="32" a="1"/>
  <c r="Q123" i="32" a="1"/>
  <c r="Q147" i="32" a="1"/>
  <c r="N118" i="32" a="1"/>
  <c r="N142" i="32" a="1"/>
  <c r="L111" i="32" a="1"/>
  <c r="L135" i="32" a="1"/>
  <c r="L125" i="32" a="1"/>
  <c r="L124" i="32" a="1"/>
  <c r="L148" i="32" a="1"/>
  <c r="M112" i="32" a="1"/>
  <c r="M136" i="32" a="1"/>
  <c r="N111" i="32" a="1"/>
  <c r="N135" i="32" a="1"/>
  <c r="O122" i="32" a="1"/>
  <c r="M116" i="32" a="1"/>
  <c r="N139" i="32" a="1"/>
  <c r="N105" i="32" a="1"/>
  <c r="Q124" i="32" a="1"/>
  <c r="O141" i="32" a="1"/>
  <c r="Q115" i="32" a="1"/>
  <c r="Q141" i="32" a="1"/>
  <c r="M110" i="32" a="1"/>
  <c r="Q118" i="32" a="1"/>
  <c r="Q142" i="32" a="1"/>
  <c r="M115" i="32" a="1"/>
  <c r="M139" i="32" a="1"/>
  <c r="O112" i="32" a="1"/>
  <c r="O136" i="32" a="1"/>
  <c r="P111" i="32" a="1"/>
  <c r="P135" i="32" a="1"/>
  <c r="L108" i="32" a="1"/>
  <c r="L132" i="32" a="1"/>
  <c r="M135" i="32" a="1"/>
  <c r="P125" i="32" a="1"/>
  <c r="P149" i="32" a="1"/>
  <c r="M120" i="32" a="1"/>
  <c r="M144" i="32" a="1"/>
  <c r="Q113" i="32" a="1"/>
  <c r="Q137" i="32" a="1"/>
  <c r="P129" i="32" a="1"/>
  <c r="Q126" i="32" a="1"/>
  <c r="Q150" i="32" a="1"/>
  <c r="L114" i="32" a="1"/>
  <c r="L138" i="32" a="1"/>
  <c r="M113" i="32" a="1"/>
  <c r="M137" i="32" a="1"/>
  <c r="Q119" i="32" a="1"/>
  <c r="N115" i="32" a="1"/>
  <c r="P136" i="32" a="1"/>
  <c r="N133" i="32" a="1"/>
  <c r="O117" i="32" a="1"/>
  <c r="O130" i="32" a="1"/>
  <c r="Q117" i="32" a="1"/>
  <c r="M121" i="32" a="1"/>
  <c r="O121" i="32" a="1"/>
  <c r="P120" i="32" a="1"/>
  <c r="P144" i="32" a="1"/>
  <c r="L117" i="32" a="1"/>
  <c r="L141" i="32" a="1"/>
  <c r="N114" i="32" a="1"/>
  <c r="N138" i="32" a="1"/>
  <c r="O113" i="32" a="1"/>
  <c r="O137" i="32" a="1"/>
  <c r="Q110" i="32" a="1"/>
  <c r="Q134" i="32" a="1"/>
  <c r="Q151" i="32" a="1"/>
  <c r="O127" i="32" a="1"/>
  <c r="L113" i="32" a="1"/>
  <c r="L122" i="32" a="1"/>
  <c r="L146" i="32" a="1"/>
  <c r="P115" i="32" a="1"/>
  <c r="P139" i="32" a="1"/>
  <c r="P104" i="32" a="1"/>
  <c r="P128" i="32" a="1"/>
  <c r="P152" i="32" a="1"/>
  <c r="Q116" i="32" a="1"/>
  <c r="Q140" i="32" a="1"/>
  <c r="L115" i="32" a="1"/>
  <c r="L139" i="32" a="1"/>
  <c r="O146" i="32" a="1"/>
  <c r="M140" i="32" a="1"/>
  <c r="P112" i="32" a="1"/>
  <c r="N129" i="32" a="1"/>
  <c r="Q148" i="32" a="1"/>
  <c r="O106" i="32" a="1"/>
  <c r="P142" i="32" a="1"/>
  <c r="O131" i="32" a="1"/>
  <c r="N124" i="32" a="1"/>
  <c r="N148" i="32" a="1"/>
  <c r="P121" i="32" a="1"/>
  <c r="P145" i="32" a="1"/>
  <c r="L118" i="32" a="1"/>
  <c r="L142" i="32" a="1"/>
  <c r="M117" i="32" a="1"/>
  <c r="M141" i="32" a="1"/>
  <c r="O114" i="32" a="1"/>
  <c r="O138" i="32" a="1"/>
  <c r="M107" i="32" a="1"/>
  <c r="M131" i="32" a="1"/>
  <c r="L149" i="32" a="1"/>
  <c r="P126" i="32" a="1"/>
  <c r="P150" i="32" a="1"/>
  <c r="N119" i="32" a="1"/>
  <c r="N143" i="32" a="1"/>
  <c r="N108" i="32" a="1"/>
  <c r="N132" i="32" a="1"/>
  <c r="M123" i="32" a="1"/>
  <c r="O120" i="32" a="1"/>
  <c r="O144" i="32" a="1"/>
  <c r="P119" i="32" a="1"/>
  <c r="P143" i="32" a="1"/>
  <c r="M126" i="32" a="1"/>
  <c r="M150" i="32" a="1"/>
  <c r="O123" i="32" a="1"/>
  <c r="O147" i="32" a="1"/>
  <c r="Q120" i="32" a="1"/>
  <c r="Q144" i="32" a="1"/>
  <c r="L119" i="32" a="1"/>
  <c r="L143" i="32" a="1"/>
  <c r="N116" i="32" a="1"/>
  <c r="N140" i="32" a="1"/>
  <c r="L109" i="32" a="1"/>
  <c r="L133" i="32" a="1"/>
  <c r="O104" i="32" a="1"/>
  <c r="O128" i="32" a="1"/>
  <c r="O152" i="32" a="1"/>
  <c r="M145" i="32" a="1"/>
  <c r="M134" i="32" a="1"/>
  <c r="N122" i="32" a="1"/>
  <c r="O145" i="32" a="1"/>
  <c r="D148" i="32" a="1"/>
  <c r="D149" i="32" a="1"/>
  <c r="E148" i="32" a="1"/>
  <c r="F151" i="32" a="1"/>
  <c r="F148" i="32" a="1"/>
  <c r="C151" i="32" a="1"/>
  <c r="G148" i="32" a="1"/>
  <c r="D151" i="32" a="1"/>
  <c r="C149" i="32" a="1"/>
  <c r="G150" i="32" a="1"/>
  <c r="E151" i="32" a="1"/>
  <c r="G149" i="32" a="1"/>
  <c r="E149" i="32" a="1"/>
  <c r="G151" i="32" a="1"/>
  <c r="C148" i="32" a="1"/>
  <c r="D150" i="32" a="1"/>
  <c r="A151" i="32" a="1"/>
  <c r="F149" i="32" a="1"/>
  <c r="E150" i="32" a="1"/>
  <c r="G131" i="32" a="1"/>
  <c r="F131" i="32" a="1"/>
  <c r="E132" i="32" a="1"/>
  <c r="E131" i="32" a="1"/>
  <c r="C131" i="32" a="1"/>
  <c r="E133" i="32" a="1"/>
  <c r="F133" i="32" a="1"/>
  <c r="D131" i="32" a="1"/>
  <c r="G133" i="32" a="1"/>
  <c r="F132" i="32" a="1"/>
  <c r="A133" i="32" a="1"/>
  <c r="C133" i="32" a="1"/>
  <c r="C132" i="32" a="1"/>
  <c r="D133" i="32" a="1"/>
  <c r="D132" i="32" a="1"/>
  <c r="G122" i="32" a="1"/>
  <c r="G120" i="32" a="1"/>
  <c r="D119" i="32" a="1"/>
  <c r="D118" i="32" a="1"/>
  <c r="G119" i="32" a="1"/>
  <c r="F118" i="32" a="1"/>
  <c r="F120" i="32" a="1"/>
  <c r="C120" i="32" a="1"/>
  <c r="F119" i="32" a="1"/>
  <c r="C121" i="32" a="1"/>
  <c r="F121" i="32" a="1"/>
  <c r="E118" i="32" a="1"/>
  <c r="A122" i="32" a="1"/>
  <c r="G118" i="32" a="1"/>
  <c r="C119" i="32" a="1"/>
  <c r="D122" i="32" a="1"/>
  <c r="E120" i="32" a="1"/>
  <c r="C122" i="32" a="1"/>
  <c r="D120" i="32" a="1"/>
  <c r="E122" i="32" a="1"/>
  <c r="C118" i="32" a="1"/>
  <c r="F122" i="32" a="1"/>
  <c r="E119" i="32" a="1"/>
  <c r="E104" i="32" a="1"/>
  <c r="D104" i="32" a="1"/>
  <c r="C104" i="32" a="1"/>
  <c r="G104" i="32" a="1"/>
  <c r="F106" i="32" a="1"/>
  <c r="F104" i="32" a="1"/>
  <c r="G106" i="32" a="1"/>
  <c r="C105" i="32" a="1"/>
  <c r="C106" i="32" a="1"/>
  <c r="F105" i="32" a="1"/>
  <c r="A106" i="32" a="1"/>
  <c r="E106" i="32" a="1"/>
  <c r="D106" i="32" a="1"/>
  <c r="D8" i="32" a="1"/>
  <c r="Q5" i="32" a="1"/>
  <c r="E5" i="32" a="1"/>
  <c r="P8" i="32" a="1"/>
  <c r="A9" i="32" a="1"/>
  <c r="H4" i="32" a="1"/>
  <c r="M7" i="32" a="1"/>
  <c r="D6" i="32" a="1"/>
  <c r="C7" i="32" a="1"/>
  <c r="P7" i="32" a="1"/>
  <c r="P5" i="32" a="1"/>
  <c r="G8" i="32" a="1"/>
  <c r="N5" i="32" a="1"/>
  <c r="Q9" i="32" a="1"/>
  <c r="H6" i="32" a="1"/>
  <c r="M5" i="32" a="1"/>
  <c r="G7" i="32" a="1"/>
  <c r="C9" i="32" a="1"/>
  <c r="O8" i="32" a="1"/>
  <c r="E7" i="32" a="1"/>
  <c r="O7" i="32" a="1"/>
  <c r="E4" i="32" a="1"/>
  <c r="O5" i="32" a="1"/>
  <c r="N7" i="32" a="1"/>
  <c r="H7" i="32" a="1"/>
  <c r="L5" i="32" a="1"/>
  <c r="F5" i="32" a="1"/>
  <c r="O6" i="32" a="1"/>
  <c r="M4" i="32" a="1"/>
  <c r="D9" i="32" a="1"/>
  <c r="M6" i="32" a="1"/>
  <c r="G5" i="32" a="1"/>
  <c r="C8" i="32" a="1"/>
  <c r="D7" i="32" a="1"/>
  <c r="P9" i="32" a="1"/>
  <c r="N8" i="32" a="1"/>
  <c r="D4" i="32" a="1"/>
  <c r="E6" i="32" a="1"/>
  <c r="O9" i="32" a="1"/>
  <c r="L7" i="32" a="1"/>
  <c r="G6" i="32" a="1"/>
  <c r="G4" i="32" a="1"/>
  <c r="M9" i="32" a="1"/>
  <c r="D5" i="32" a="1"/>
  <c r="C5" i="32" a="1"/>
  <c r="F4" i="32" a="1"/>
  <c r="Q8" i="32" a="1"/>
  <c r="L4" i="32" a="1"/>
  <c r="P4" i="32" a="1"/>
  <c r="L6" i="32" a="1"/>
  <c r="F9" i="32" a="1"/>
  <c r="H5" i="32" a="1"/>
  <c r="Q7" i="32" a="1"/>
  <c r="N4" i="32" a="1"/>
  <c r="N9" i="32" a="1"/>
  <c r="H9" i="32" a="1"/>
  <c r="P6" i="32" a="1"/>
  <c r="E8" i="32" a="1"/>
  <c r="E9" i="32" a="1"/>
  <c r="N6" i="32" a="1"/>
  <c r="L8" i="32" a="1"/>
  <c r="F8" i="32" a="1"/>
  <c r="G9" i="32" a="1"/>
  <c r="O4" i="32" a="1"/>
  <c r="Q6" i="32" a="1"/>
  <c r="L9" i="32" a="1"/>
  <c r="F6" i="32" a="1"/>
  <c r="C6" i="32" a="1"/>
  <c r="H8" i="32" a="1"/>
  <c r="F7" i="32" a="1"/>
  <c r="M8" i="32" a="1"/>
  <c r="O145" i="32" l="1"/>
  <c r="N122" i="32"/>
  <c r="M134" i="32"/>
  <c r="M145" i="32"/>
  <c r="O152" i="32"/>
  <c r="O128" i="32"/>
  <c r="O104" i="32"/>
  <c r="L133" i="32"/>
  <c r="L109" i="32"/>
  <c r="N140" i="32"/>
  <c r="N116" i="32"/>
  <c r="L143" i="32"/>
  <c r="L119" i="32"/>
  <c r="Q144" i="32"/>
  <c r="Q120" i="32"/>
  <c r="O147" i="32"/>
  <c r="O123" i="32"/>
  <c r="M150" i="32"/>
  <c r="M126" i="32"/>
  <c r="P143" i="32"/>
  <c r="P119" i="32"/>
  <c r="O144" i="32"/>
  <c r="O120" i="32"/>
  <c r="M123" i="32"/>
  <c r="N132" i="32"/>
  <c r="N108" i="32"/>
  <c r="N143" i="32"/>
  <c r="N119" i="32"/>
  <c r="P150" i="32"/>
  <c r="P126" i="32"/>
  <c r="L149" i="32"/>
  <c r="M131" i="32"/>
  <c r="M107" i="32"/>
  <c r="O138" i="32"/>
  <c r="O114" i="32"/>
  <c r="M141" i="32"/>
  <c r="M117" i="32"/>
  <c r="L142" i="32"/>
  <c r="L118" i="32"/>
  <c r="P145" i="32"/>
  <c r="P121" i="32"/>
  <c r="N148" i="32"/>
  <c r="N124" i="32"/>
  <c r="O131" i="32"/>
  <c r="P142" i="32"/>
  <c r="O106" i="32"/>
  <c r="Q148" i="32"/>
  <c r="N129" i="32"/>
  <c r="P112" i="32"/>
  <c r="M140" i="32"/>
  <c r="O146" i="32"/>
  <c r="L139" i="32"/>
  <c r="L115" i="32"/>
  <c r="Q140" i="32"/>
  <c r="Q116" i="32"/>
  <c r="P152" i="32"/>
  <c r="P128" i="32"/>
  <c r="P104" i="32"/>
  <c r="P139" i="32"/>
  <c r="P115" i="32"/>
  <c r="L146" i="32"/>
  <c r="L122" i="32"/>
  <c r="L113" i="32"/>
  <c r="O127" i="32"/>
  <c r="Q151" i="32"/>
  <c r="Q134" i="32"/>
  <c r="Q110" i="32"/>
  <c r="O137" i="32"/>
  <c r="O113" i="32"/>
  <c r="N138" i="32"/>
  <c r="N114" i="32"/>
  <c r="L141" i="32"/>
  <c r="L117" i="32"/>
  <c r="P144" i="32"/>
  <c r="P120" i="32"/>
  <c r="O121" i="32"/>
  <c r="M121" i="32"/>
  <c r="Q117" i="32"/>
  <c r="O130" i="32"/>
  <c r="O117" i="32"/>
  <c r="N133" i="32"/>
  <c r="P136" i="32"/>
  <c r="N115" i="32"/>
  <c r="Q119" i="32"/>
  <c r="M137" i="32"/>
  <c r="M113" i="32"/>
  <c r="L138" i="32"/>
  <c r="L114" i="32"/>
  <c r="Q150" i="32"/>
  <c r="Q126" i="32"/>
  <c r="P129" i="32"/>
  <c r="Q137" i="32"/>
  <c r="Q113" i="32"/>
  <c r="M144" i="32"/>
  <c r="M120" i="32"/>
  <c r="P149" i="32"/>
  <c r="P125" i="32"/>
  <c r="M135" i="32"/>
  <c r="L132" i="32"/>
  <c r="L108" i="32"/>
  <c r="P135" i="32"/>
  <c r="P111" i="32"/>
  <c r="O136" i="32"/>
  <c r="O112" i="32"/>
  <c r="M139" i="32"/>
  <c r="M115" i="32"/>
  <c r="Q142" i="32"/>
  <c r="Q118" i="32"/>
  <c r="M110" i="32"/>
  <c r="Q141" i="32"/>
  <c r="Q115" i="32"/>
  <c r="O141" i="32"/>
  <c r="Q124" i="32"/>
  <c r="N105" i="32"/>
  <c r="N139" i="32"/>
  <c r="M116" i="32"/>
  <c r="O122" i="32"/>
  <c r="N135" i="32"/>
  <c r="N111" i="32"/>
  <c r="M136" i="32"/>
  <c r="M112" i="32"/>
  <c r="L148" i="32"/>
  <c r="L124" i="32"/>
  <c r="L125" i="32"/>
  <c r="L135" i="32"/>
  <c r="L111" i="32"/>
  <c r="N142" i="32"/>
  <c r="N118" i="32"/>
  <c r="Q147" i="32"/>
  <c r="Q123" i="32"/>
  <c r="O151" i="32"/>
  <c r="M130" i="32"/>
  <c r="M106" i="32"/>
  <c r="Q133" i="32"/>
  <c r="Q109" i="32"/>
  <c r="P134" i="32"/>
  <c r="P110" i="32"/>
  <c r="N137" i="32"/>
  <c r="N113" i="32"/>
  <c r="L140" i="32"/>
  <c r="L116" i="32"/>
  <c r="N146" i="32"/>
  <c r="P118" i="32"/>
  <c r="Q143" i="32"/>
  <c r="Q139" i="32"/>
  <c r="O133" i="32"/>
  <c r="O109" i="32"/>
  <c r="N134" i="32"/>
  <c r="N110" i="32"/>
  <c r="M146" i="32"/>
  <c r="M122" i="32"/>
  <c r="N121" i="32"/>
  <c r="M133" i="32"/>
  <c r="M109" i="32"/>
  <c r="O140" i="32"/>
  <c r="O116" i="32"/>
  <c r="L145" i="32"/>
  <c r="L121" i="32"/>
  <c r="N152" i="32"/>
  <c r="N128" i="32"/>
  <c r="N104" i="32"/>
  <c r="L131" i="32"/>
  <c r="L107" i="32"/>
  <c r="Q132" i="32"/>
  <c r="Q108" i="32"/>
  <c r="O135" i="32"/>
  <c r="O111" i="32"/>
  <c r="M138" i="32"/>
  <c r="M114" i="32"/>
  <c r="P131" i="32"/>
  <c r="O132" i="32"/>
  <c r="N144" i="32"/>
  <c r="P117" i="32"/>
  <c r="N107" i="32"/>
  <c r="P114" i="32"/>
  <c r="M143" i="32"/>
  <c r="M119" i="32"/>
  <c r="O150" i="32"/>
  <c r="O126" i="32"/>
  <c r="N109" i="32"/>
  <c r="M129" i="32"/>
  <c r="L130" i="32"/>
  <c r="L106" i="32"/>
  <c r="P133" i="32"/>
  <c r="P109" i="32"/>
  <c r="N136" i="32"/>
  <c r="N112" i="32"/>
  <c r="M111" i="32"/>
  <c r="P107" i="32"/>
  <c r="O108" i="32"/>
  <c r="N120" i="32"/>
  <c r="N131" i="32"/>
  <c r="P138" i="32"/>
  <c r="M105" i="32"/>
  <c r="M151" i="32"/>
  <c r="Q129" i="32"/>
  <c r="Q105" i="32"/>
  <c r="P130" i="32"/>
  <c r="P106" i="32"/>
  <c r="O142" i="32"/>
  <c r="O118" i="32"/>
  <c r="P105" i="32"/>
  <c r="O129" i="32"/>
  <c r="O105" i="32"/>
  <c r="Q136" i="32"/>
  <c r="Q112" i="32"/>
  <c r="N141" i="32"/>
  <c r="N117" i="32"/>
  <c r="P148" i="32"/>
  <c r="P124" i="32"/>
  <c r="N151" i="32"/>
  <c r="N127" i="32"/>
  <c r="M152" i="32"/>
  <c r="M128" i="32"/>
  <c r="M104" i="32"/>
  <c r="Q131" i="32"/>
  <c r="Q107" i="32"/>
  <c r="O134" i="32"/>
  <c r="O110" i="32"/>
  <c r="L151" i="32"/>
  <c r="L127" i="32"/>
  <c r="Q152" i="32"/>
  <c r="Q128" i="32"/>
  <c r="Q104" i="32"/>
  <c r="P140" i="32"/>
  <c r="P116" i="32"/>
  <c r="P151" i="32"/>
  <c r="P127" i="32"/>
  <c r="P141" i="32"/>
  <c r="L134" i="32"/>
  <c r="L110" i="32"/>
  <c r="O139" i="32"/>
  <c r="O115" i="32"/>
  <c r="Q146" i="32"/>
  <c r="Q122" i="32"/>
  <c r="O149" i="32"/>
  <c r="O125" i="32"/>
  <c r="N150" i="32"/>
  <c r="N126" i="32"/>
  <c r="L137" i="32"/>
  <c r="L129" i="32"/>
  <c r="L105" i="32"/>
  <c r="P132" i="32"/>
  <c r="P108" i="32"/>
  <c r="M149" i="32"/>
  <c r="M125" i="32"/>
  <c r="L150" i="32"/>
  <c r="L126" i="32"/>
  <c r="N145" i="32"/>
  <c r="Q138" i="32"/>
  <c r="Q114" i="32"/>
  <c r="Q149" i="32"/>
  <c r="Q125" i="32"/>
  <c r="Q127" i="32"/>
  <c r="M132" i="32"/>
  <c r="M108" i="32"/>
  <c r="P137" i="32"/>
  <c r="P113" i="32"/>
  <c r="L144" i="32"/>
  <c r="L120" i="32"/>
  <c r="P147" i="32"/>
  <c r="P123" i="32"/>
  <c r="O148" i="32"/>
  <c r="O124" i="32"/>
  <c r="O107" i="32"/>
  <c r="M127" i="32"/>
  <c r="M147" i="32"/>
  <c r="Q130" i="32"/>
  <c r="Q106" i="32"/>
  <c r="N147" i="32"/>
  <c r="N123" i="32"/>
  <c r="M148" i="32"/>
  <c r="M124" i="32"/>
  <c r="O143" i="32"/>
  <c r="L136" i="32"/>
  <c r="L112" i="32"/>
  <c r="L147" i="32"/>
  <c r="L123" i="32"/>
  <c r="O119" i="32"/>
  <c r="N130" i="32"/>
  <c r="N106" i="32"/>
  <c r="Q135" i="32"/>
  <c r="Q111" i="32"/>
  <c r="M142" i="32"/>
  <c r="M118" i="32"/>
  <c r="Q145" i="32"/>
  <c r="Q121" i="32"/>
  <c r="P146" i="32"/>
  <c r="P122" i="32"/>
  <c r="N149" i="32"/>
  <c r="N125" i="32"/>
  <c r="L152" i="32"/>
  <c r="L128" i="32"/>
  <c r="L104" i="32"/>
  <c r="E150" i="32"/>
  <c r="F149" i="32"/>
  <c r="A151" i="32"/>
  <c r="D150" i="32"/>
  <c r="C148" i="32"/>
  <c r="G151" i="32"/>
  <c r="E149" i="32"/>
  <c r="G149" i="32"/>
  <c r="E151" i="32"/>
  <c r="G150" i="32"/>
  <c r="C149" i="32"/>
  <c r="D151" i="32"/>
  <c r="G148" i="32"/>
  <c r="C151" i="32"/>
  <c r="F148" i="32"/>
  <c r="F151" i="32"/>
  <c r="E148" i="32"/>
  <c r="D149" i="32"/>
  <c r="D148" i="32"/>
  <c r="D132" i="32"/>
  <c r="D133" i="32"/>
  <c r="C132" i="32"/>
  <c r="C133" i="32"/>
  <c r="A133" i="32"/>
  <c r="F132" i="32"/>
  <c r="G133" i="32"/>
  <c r="D131" i="32"/>
  <c r="F133" i="32"/>
  <c r="E133" i="32"/>
  <c r="C131" i="32"/>
  <c r="E131" i="32"/>
  <c r="E132" i="32"/>
  <c r="F131" i="32"/>
  <c r="G131" i="32"/>
  <c r="B135" i="32"/>
  <c r="E119" i="32"/>
  <c r="F122" i="32"/>
  <c r="C118" i="32"/>
  <c r="E122" i="32"/>
  <c r="D120" i="32"/>
  <c r="C122" i="32"/>
  <c r="E120" i="32"/>
  <c r="D122" i="32"/>
  <c r="C119" i="32"/>
  <c r="G118" i="32"/>
  <c r="A122" i="32"/>
  <c r="E118" i="32"/>
  <c r="F121" i="32"/>
  <c r="C121" i="32"/>
  <c r="F119" i="32"/>
  <c r="C120" i="32"/>
  <c r="F120" i="32"/>
  <c r="F118" i="32"/>
  <c r="G119" i="32"/>
  <c r="D118" i="32"/>
  <c r="D119" i="32"/>
  <c r="G120" i="32"/>
  <c r="G122" i="32"/>
  <c r="B124" i="32"/>
  <c r="D106" i="32"/>
  <c r="E106" i="32"/>
  <c r="A106" i="32"/>
  <c r="F105" i="32"/>
  <c r="C106" i="32"/>
  <c r="C105" i="32"/>
  <c r="G106" i="32"/>
  <c r="F104" i="32"/>
  <c r="F106" i="32"/>
  <c r="G104" i="32"/>
  <c r="C104" i="32"/>
  <c r="D104" i="32"/>
  <c r="E104" i="32"/>
  <c r="B108" i="32"/>
  <c r="P4" i="32"/>
  <c r="O4" i="32"/>
  <c r="L4" i="32"/>
  <c r="N4" i="32"/>
  <c r="A9" i="32"/>
  <c r="N7" i="32"/>
  <c r="O8" i="32"/>
  <c r="N6" i="32"/>
  <c r="M8" i="32"/>
  <c r="O9" i="32"/>
  <c r="M9" i="32"/>
  <c r="Q9" i="32"/>
  <c r="O7" i="32"/>
  <c r="N5" i="32"/>
  <c r="M7" i="32"/>
  <c r="Q8" i="32"/>
  <c r="O6" i="32"/>
  <c r="M6" i="32"/>
  <c r="Q7" i="32"/>
  <c r="P9" i="32"/>
  <c r="O5" i="32"/>
  <c r="M5" i="32"/>
  <c r="Q6" i="32"/>
  <c r="P8" i="32"/>
  <c r="Q5" i="32"/>
  <c r="P7" i="32"/>
  <c r="P6" i="32"/>
  <c r="L9" i="32"/>
  <c r="P5" i="32"/>
  <c r="L8" i="32"/>
  <c r="L7" i="32"/>
  <c r="N9" i="32"/>
  <c r="L6" i="32"/>
  <c r="N8" i="32"/>
  <c r="L5" i="32"/>
  <c r="G6" i="32"/>
  <c r="F7" i="32"/>
  <c r="F5" i="32"/>
  <c r="E6" i="32"/>
  <c r="D5" i="32"/>
  <c r="C9" i="32"/>
  <c r="F8" i="32"/>
  <c r="E9" i="32"/>
  <c r="G7" i="32"/>
  <c r="G9" i="32"/>
  <c r="E7" i="32"/>
  <c r="F9" i="32"/>
  <c r="D8" i="32"/>
  <c r="F6" i="32"/>
  <c r="D6" i="32"/>
  <c r="E8" i="32"/>
  <c r="C7" i="32"/>
  <c r="E5" i="32"/>
  <c r="C5" i="32"/>
  <c r="D7" i="32"/>
  <c r="G5" i="32"/>
  <c r="C6" i="32"/>
  <c r="D9" i="32"/>
  <c r="C8" i="32"/>
  <c r="G8" i="32"/>
  <c r="M4" i="32"/>
  <c r="H8" i="32"/>
  <c r="F4" i="32"/>
  <c r="H9" i="32"/>
  <c r="E4" i="32"/>
  <c r="D4" i="32"/>
  <c r="H4" i="32"/>
  <c r="G4" i="32"/>
  <c r="H5" i="32"/>
  <c r="H6" i="32"/>
  <c r="H7" i="32"/>
  <c r="B10" i="32"/>
  <c r="G152" i="32" a="1"/>
  <c r="F152" i="32" a="1"/>
  <c r="A152" i="32" a="1"/>
  <c r="E152" i="32" a="1"/>
  <c r="C152" i="32" a="1"/>
  <c r="D152" i="32" a="1"/>
  <c r="E134" i="32" a="1"/>
  <c r="C134" i="32" a="1"/>
  <c r="G134" i="32" a="1"/>
  <c r="F134" i="32" a="1"/>
  <c r="A134" i="32" a="1"/>
  <c r="D134" i="32" a="1"/>
  <c r="G123" i="32" a="1"/>
  <c r="D123" i="32" a="1"/>
  <c r="A123" i="32" a="1"/>
  <c r="C123" i="32" a="1"/>
  <c r="E123" i="32" a="1"/>
  <c r="F123" i="32" a="1"/>
  <c r="D107" i="32" a="1"/>
  <c r="G107" i="32" a="1"/>
  <c r="F107" i="32" a="1"/>
  <c r="A107" i="32" a="1"/>
  <c r="C107" i="32" a="1"/>
  <c r="E107" i="32" a="1"/>
  <c r="P10" i="32" a="1"/>
  <c r="D10" i="32" a="1"/>
  <c r="O10" i="32" a="1"/>
  <c r="A10" i="32" a="1"/>
  <c r="L10" i="32" a="1"/>
  <c r="N10" i="32" a="1"/>
  <c r="H10" i="32" a="1"/>
  <c r="C10" i="32" a="1"/>
  <c r="G10" i="32" a="1"/>
  <c r="E10" i="32" a="1"/>
  <c r="F10" i="32" a="1"/>
  <c r="M10" i="32" a="1"/>
  <c r="Q10" i="32" a="1"/>
  <c r="D152" i="32" l="1"/>
  <c r="C152" i="32"/>
  <c r="E152" i="32"/>
  <c r="A152" i="32"/>
  <c r="F152" i="32"/>
  <c r="G152" i="32"/>
  <c r="D134" i="32"/>
  <c r="A134" i="32"/>
  <c r="F134" i="32"/>
  <c r="G134" i="32"/>
  <c r="C134" i="32"/>
  <c r="E134" i="32"/>
  <c r="B136" i="32"/>
  <c r="F123" i="32"/>
  <c r="E123" i="32"/>
  <c r="C123" i="32"/>
  <c r="A123" i="32"/>
  <c r="D123" i="32"/>
  <c r="G123" i="32"/>
  <c r="B125" i="32"/>
  <c r="E107" i="32"/>
  <c r="C107" i="32"/>
  <c r="A107" i="32"/>
  <c r="F107" i="32"/>
  <c r="G107" i="32"/>
  <c r="D107" i="32"/>
  <c r="B109" i="32"/>
  <c r="A10" i="32"/>
  <c r="L10" i="32"/>
  <c r="O10" i="32"/>
  <c r="P10" i="32"/>
  <c r="N10" i="32"/>
  <c r="M10" i="32"/>
  <c r="Q10" i="32"/>
  <c r="C10" i="32"/>
  <c r="E10" i="32"/>
  <c r="G10" i="32"/>
  <c r="D10" i="32"/>
  <c r="F10" i="32"/>
  <c r="H10" i="32"/>
  <c r="B11" i="32"/>
  <c r="A135" i="32" a="1"/>
  <c r="C135" i="32" a="1"/>
  <c r="D135" i="32" a="1"/>
  <c r="G135" i="32" a="1"/>
  <c r="F135" i="32" a="1"/>
  <c r="E135" i="32" a="1"/>
  <c r="E124" i="32" a="1"/>
  <c r="F124" i="32" a="1"/>
  <c r="G124" i="32" a="1"/>
  <c r="C124" i="32" a="1"/>
  <c r="A124" i="32" a="1"/>
  <c r="D124" i="32" a="1"/>
  <c r="D108" i="32" a="1"/>
  <c r="E108" i="32" a="1"/>
  <c r="C108" i="32" a="1"/>
  <c r="A108" i="32" a="1"/>
  <c r="G108" i="32" a="1"/>
  <c r="F108" i="32" a="1"/>
  <c r="Q11" i="32" a="1"/>
  <c r="G11" i="32" a="1"/>
  <c r="H11" i="32" a="1"/>
  <c r="P11" i="32" a="1"/>
  <c r="F11" i="32" a="1"/>
  <c r="O11" i="32" a="1"/>
  <c r="D11" i="32" a="1"/>
  <c r="M11" i="32" a="1"/>
  <c r="L11" i="32" a="1"/>
  <c r="E11" i="32" a="1"/>
  <c r="A11" i="32" a="1"/>
  <c r="N11" i="32" a="1"/>
  <c r="C11" i="32" a="1"/>
  <c r="E135" i="32" l="1"/>
  <c r="F135" i="32"/>
  <c r="G135" i="32"/>
  <c r="D135" i="32"/>
  <c r="C135" i="32"/>
  <c r="A135" i="32"/>
  <c r="B137" i="32"/>
  <c r="D124" i="32"/>
  <c r="A124" i="32"/>
  <c r="C124" i="32"/>
  <c r="G124" i="32"/>
  <c r="F124" i="32"/>
  <c r="E124" i="32"/>
  <c r="B126" i="32"/>
  <c r="F108" i="32"/>
  <c r="G108" i="32"/>
  <c r="A108" i="32"/>
  <c r="C108" i="32"/>
  <c r="E108" i="32"/>
  <c r="D108" i="32"/>
  <c r="B110" i="32"/>
  <c r="A11" i="32"/>
  <c r="M11" i="32"/>
  <c r="N11" i="32"/>
  <c r="O11" i="32"/>
  <c r="Q11" i="32"/>
  <c r="L11" i="32"/>
  <c r="P11" i="32"/>
  <c r="C11" i="32"/>
  <c r="D11" i="32"/>
  <c r="F11" i="32"/>
  <c r="G11" i="32"/>
  <c r="E11" i="32"/>
  <c r="H11" i="32"/>
  <c r="B12" i="32"/>
  <c r="F136" i="32" a="1"/>
  <c r="C136" i="32" a="1"/>
  <c r="E136" i="32" a="1"/>
  <c r="A136" i="32" a="1"/>
  <c r="G136" i="32" a="1"/>
  <c r="D136" i="32" a="1"/>
  <c r="C125" i="32" a="1"/>
  <c r="G125" i="32" a="1"/>
  <c r="E125" i="32" a="1"/>
  <c r="F125" i="32" a="1"/>
  <c r="D125" i="32" a="1"/>
  <c r="A125" i="32" a="1"/>
  <c r="F109" i="32" a="1"/>
  <c r="D109" i="32" a="1"/>
  <c r="G109" i="32" a="1"/>
  <c r="C109" i="32" a="1"/>
  <c r="A109" i="32" a="1"/>
  <c r="E109" i="32" a="1"/>
  <c r="C12" i="32" a="1"/>
  <c r="D12" i="32" a="1"/>
  <c r="O12" i="32" a="1"/>
  <c r="M12" i="32" a="1"/>
  <c r="Q12" i="32" a="1"/>
  <c r="G12" i="32" a="1"/>
  <c r="L12" i="32" a="1"/>
  <c r="A12" i="32" a="1"/>
  <c r="P12" i="32" a="1"/>
  <c r="F12" i="32" a="1"/>
  <c r="N12" i="32" a="1"/>
  <c r="H12" i="32" a="1"/>
  <c r="E12" i="32" a="1"/>
  <c r="D136" i="32" l="1"/>
  <c r="G136" i="32"/>
  <c r="A136" i="32"/>
  <c r="E136" i="32"/>
  <c r="C136" i="32"/>
  <c r="F136" i="32"/>
  <c r="B138" i="32"/>
  <c r="A125" i="32"/>
  <c r="D125" i="32"/>
  <c r="F125" i="32"/>
  <c r="E125" i="32"/>
  <c r="G125" i="32"/>
  <c r="C125" i="32"/>
  <c r="B127" i="32"/>
  <c r="E109" i="32"/>
  <c r="A109" i="32"/>
  <c r="C109" i="32"/>
  <c r="G109" i="32"/>
  <c r="D109" i="32"/>
  <c r="F109" i="32"/>
  <c r="B111" i="32"/>
  <c r="A12" i="32"/>
  <c r="L12" i="32"/>
  <c r="O12" i="32"/>
  <c r="N12" i="32"/>
  <c r="M12" i="32"/>
  <c r="Q12" i="32"/>
  <c r="P12" i="32"/>
  <c r="D12" i="32"/>
  <c r="E12" i="32"/>
  <c r="G12" i="32"/>
  <c r="C12" i="32"/>
  <c r="F12" i="32"/>
  <c r="H12" i="32"/>
  <c r="B13" i="32"/>
  <c r="E137" i="32" a="1"/>
  <c r="G137" i="32" a="1"/>
  <c r="A137" i="32" a="1"/>
  <c r="F137" i="32" a="1"/>
  <c r="D137" i="32" a="1"/>
  <c r="C137" i="32" a="1"/>
  <c r="A126" i="32" a="1"/>
  <c r="D126" i="32" a="1"/>
  <c r="E126" i="32" a="1"/>
  <c r="C126" i="32" a="1"/>
  <c r="G126" i="32" a="1"/>
  <c r="F126" i="32" a="1"/>
  <c r="F110" i="32" a="1"/>
  <c r="E110" i="32" a="1"/>
  <c r="G110" i="32" a="1"/>
  <c r="C110" i="32" a="1"/>
  <c r="A110" i="32" a="1"/>
  <c r="D110" i="32" a="1"/>
  <c r="E13" i="32" a="1"/>
  <c r="M13" i="32" a="1"/>
  <c r="N13" i="32" a="1"/>
  <c r="F13" i="32" a="1"/>
  <c r="H13" i="32" a="1"/>
  <c r="A13" i="32" a="1"/>
  <c r="O13" i="32" a="1"/>
  <c r="Q13" i="32" a="1"/>
  <c r="L13" i="32" a="1"/>
  <c r="C13" i="32" a="1"/>
  <c r="P13" i="32" a="1"/>
  <c r="G13" i="32" a="1"/>
  <c r="D13" i="32" a="1"/>
  <c r="C137" i="32" l="1"/>
  <c r="D137" i="32"/>
  <c r="F137" i="32"/>
  <c r="A137" i="32"/>
  <c r="G137" i="32"/>
  <c r="E137" i="32"/>
  <c r="B139" i="32"/>
  <c r="F126" i="32"/>
  <c r="G126" i="32"/>
  <c r="C126" i="32"/>
  <c r="E126" i="32"/>
  <c r="D126" i="32"/>
  <c r="A126" i="32"/>
  <c r="B128" i="32"/>
  <c r="D110" i="32"/>
  <c r="A110" i="32"/>
  <c r="C110" i="32"/>
  <c r="G110" i="32"/>
  <c r="E110" i="32"/>
  <c r="F110" i="32"/>
  <c r="B112" i="32"/>
  <c r="A13" i="32"/>
  <c r="Q13" i="32"/>
  <c r="N13" i="32"/>
  <c r="P13" i="32"/>
  <c r="M13" i="32"/>
  <c r="O13" i="32"/>
  <c r="L13" i="32"/>
  <c r="G13" i="32"/>
  <c r="F13" i="32"/>
  <c r="E13" i="32"/>
  <c r="D13" i="32"/>
  <c r="C13" i="32"/>
  <c r="H13" i="32"/>
  <c r="B14" i="32"/>
  <c r="C138" i="32" a="1"/>
  <c r="A138" i="32" a="1"/>
  <c r="E138" i="32" a="1"/>
  <c r="G138" i="32" a="1"/>
  <c r="D138" i="32" a="1"/>
  <c r="F138" i="32" a="1"/>
  <c r="G127" i="32" a="1"/>
  <c r="D127" i="32" a="1"/>
  <c r="F127" i="32" a="1"/>
  <c r="C127" i="32" a="1"/>
  <c r="A127" i="32" a="1"/>
  <c r="E127" i="32" a="1"/>
  <c r="C111" i="32" a="1"/>
  <c r="G111" i="32" a="1"/>
  <c r="A111" i="32" a="1"/>
  <c r="D111" i="32" a="1"/>
  <c r="E111" i="32" a="1"/>
  <c r="F111" i="32" a="1"/>
  <c r="O14" i="32" a="1"/>
  <c r="E14" i="32" a="1"/>
  <c r="H14" i="32" a="1"/>
  <c r="L14" i="32" a="1"/>
  <c r="Q14" i="32" a="1"/>
  <c r="G14" i="32" a="1"/>
  <c r="D14" i="32" a="1"/>
  <c r="M14" i="32" a="1"/>
  <c r="N14" i="32" a="1"/>
  <c r="P14" i="32" a="1"/>
  <c r="A14" i="32" a="1"/>
  <c r="F14" i="32" a="1"/>
  <c r="C14" i="32" a="1"/>
  <c r="F138" i="32" l="1"/>
  <c r="D138" i="32"/>
  <c r="G138" i="32"/>
  <c r="E138" i="32"/>
  <c r="A138" i="32"/>
  <c r="C138" i="32"/>
  <c r="B140" i="32"/>
  <c r="E127" i="32"/>
  <c r="A127" i="32"/>
  <c r="C127" i="32"/>
  <c r="F127" i="32"/>
  <c r="D127" i="32"/>
  <c r="G127" i="32"/>
  <c r="B129" i="32"/>
  <c r="F111" i="32"/>
  <c r="E111" i="32"/>
  <c r="D111" i="32"/>
  <c r="A111" i="32"/>
  <c r="G111" i="32"/>
  <c r="C111" i="32"/>
  <c r="B113" i="32"/>
  <c r="A14" i="32"/>
  <c r="M14" i="32"/>
  <c r="N14" i="32"/>
  <c r="O14" i="32"/>
  <c r="P14" i="32"/>
  <c r="L14" i="32"/>
  <c r="Q14" i="32"/>
  <c r="G14" i="32"/>
  <c r="C14" i="32"/>
  <c r="F14" i="32"/>
  <c r="E14" i="32"/>
  <c r="D14" i="32"/>
  <c r="H14" i="32"/>
  <c r="B15" i="32"/>
  <c r="A139" i="32" a="1"/>
  <c r="E139" i="32" a="1"/>
  <c r="C139" i="32" a="1"/>
  <c r="F139" i="32" a="1"/>
  <c r="D139" i="32" a="1"/>
  <c r="G139" i="32" a="1"/>
  <c r="G128" i="32" a="1"/>
  <c r="E128" i="32" a="1"/>
  <c r="C128" i="32" a="1"/>
  <c r="A128" i="32" a="1"/>
  <c r="F128" i="32" a="1"/>
  <c r="D128" i="32" a="1"/>
  <c r="D112" i="32" a="1"/>
  <c r="E112" i="32" a="1"/>
  <c r="F112" i="32" a="1"/>
  <c r="G112" i="32" a="1"/>
  <c r="C112" i="32" a="1"/>
  <c r="A112" i="32" a="1"/>
  <c r="E15" i="32" a="1"/>
  <c r="C15" i="32" a="1"/>
  <c r="L15" i="32" a="1"/>
  <c r="P15" i="32" a="1"/>
  <c r="A15" i="32" a="1"/>
  <c r="O15" i="32" a="1"/>
  <c r="Q15" i="32" a="1"/>
  <c r="G15" i="32" a="1"/>
  <c r="M15" i="32" a="1"/>
  <c r="D15" i="32" a="1"/>
  <c r="H15" i="32" a="1"/>
  <c r="N15" i="32" a="1"/>
  <c r="F15" i="32" a="1"/>
  <c r="G139" i="32" l="1"/>
  <c r="D139" i="32"/>
  <c r="F139" i="32"/>
  <c r="C139" i="32"/>
  <c r="E139" i="32"/>
  <c r="A139" i="32"/>
  <c r="B141" i="32"/>
  <c r="D128" i="32"/>
  <c r="F128" i="32"/>
  <c r="A128" i="32"/>
  <c r="C128" i="32"/>
  <c r="E128" i="32"/>
  <c r="G128" i="32"/>
  <c r="B130" i="32"/>
  <c r="A112" i="32"/>
  <c r="C112" i="32"/>
  <c r="G112" i="32"/>
  <c r="F112" i="32"/>
  <c r="E112" i="32"/>
  <c r="D112" i="32"/>
  <c r="B114" i="32"/>
  <c r="A15" i="32"/>
  <c r="L15" i="32"/>
  <c r="N15" i="32"/>
  <c r="O15" i="32"/>
  <c r="Q15" i="32"/>
  <c r="M15" i="32"/>
  <c r="P15" i="32"/>
  <c r="E15" i="32"/>
  <c r="C15" i="32"/>
  <c r="D15" i="32"/>
  <c r="F15" i="32"/>
  <c r="G15" i="32"/>
  <c r="H15" i="32"/>
  <c r="B16" i="32"/>
  <c r="F140" i="32" a="1"/>
  <c r="C140" i="32" a="1"/>
  <c r="E140" i="32" a="1"/>
  <c r="A140" i="32" a="1"/>
  <c r="D140" i="32" a="1"/>
  <c r="G140" i="32" a="1"/>
  <c r="G129" i="32" a="1"/>
  <c r="C129" i="32" a="1"/>
  <c r="A129" i="32" a="1"/>
  <c r="D129" i="32" a="1"/>
  <c r="E129" i="32" a="1"/>
  <c r="F129" i="32" a="1"/>
  <c r="G113" i="32" a="1"/>
  <c r="D113" i="32" a="1"/>
  <c r="A113" i="32" a="1"/>
  <c r="F113" i="32" a="1"/>
  <c r="C113" i="32" a="1"/>
  <c r="E113" i="32" a="1"/>
  <c r="Q16" i="32" a="1"/>
  <c r="A16" i="32" a="1"/>
  <c r="N16" i="32" a="1"/>
  <c r="D16" i="32" a="1"/>
  <c r="C16" i="32" a="1"/>
  <c r="F16" i="32" a="1"/>
  <c r="H16" i="32" a="1"/>
  <c r="P16" i="32" a="1"/>
  <c r="E16" i="32" a="1"/>
  <c r="G16" i="32" a="1"/>
  <c r="M16" i="32" a="1"/>
  <c r="L16" i="32" a="1"/>
  <c r="O16" i="32" a="1"/>
  <c r="G140" i="32" l="1"/>
  <c r="D140" i="32"/>
  <c r="A140" i="32"/>
  <c r="E140" i="32"/>
  <c r="C140" i="32"/>
  <c r="F140" i="32"/>
  <c r="B142" i="32"/>
  <c r="F129" i="32"/>
  <c r="E129" i="32"/>
  <c r="D129" i="32"/>
  <c r="A129" i="32"/>
  <c r="C129" i="32"/>
  <c r="G129" i="32"/>
  <c r="E113" i="32"/>
  <c r="C113" i="32"/>
  <c r="F113" i="32"/>
  <c r="A113" i="32"/>
  <c r="D113" i="32"/>
  <c r="G113" i="32"/>
  <c r="B115" i="32"/>
  <c r="A16" i="32"/>
  <c r="M16" i="32"/>
  <c r="Q16" i="32"/>
  <c r="P16" i="32"/>
  <c r="O16" i="32"/>
  <c r="L16" i="32"/>
  <c r="N16" i="32"/>
  <c r="G16" i="32"/>
  <c r="F16" i="32"/>
  <c r="D16" i="32"/>
  <c r="C16" i="32"/>
  <c r="E16" i="32"/>
  <c r="H16" i="32"/>
  <c r="B17" i="32"/>
  <c r="R52" i="32"/>
  <c r="R53" i="32"/>
  <c r="H53" i="32"/>
  <c r="I53" i="32"/>
  <c r="H54" i="32"/>
  <c r="I54" i="32"/>
  <c r="I9" i="32"/>
  <c r="I10" i="32"/>
  <c r="I11" i="32"/>
  <c r="I12" i="32"/>
  <c r="I13" i="32"/>
  <c r="I14" i="32"/>
  <c r="I15" i="32"/>
  <c r="I16" i="32"/>
  <c r="I17" i="32"/>
  <c r="I18" i="32"/>
  <c r="I19" i="32"/>
  <c r="I20" i="32"/>
  <c r="I21" i="32"/>
  <c r="I22" i="32"/>
  <c r="I23" i="32"/>
  <c r="I24" i="32"/>
  <c r="I25" i="32"/>
  <c r="I26" i="32"/>
  <c r="I27" i="32"/>
  <c r="I28" i="32"/>
  <c r="I29" i="32"/>
  <c r="I30" i="32"/>
  <c r="I31" i="32"/>
  <c r="I32" i="32"/>
  <c r="I33" i="32"/>
  <c r="I34" i="32"/>
  <c r="I35" i="32"/>
  <c r="I36" i="32"/>
  <c r="I37" i="32"/>
  <c r="I38" i="32"/>
  <c r="I39" i="32"/>
  <c r="I40" i="32"/>
  <c r="I41" i="32"/>
  <c r="I42" i="32"/>
  <c r="I43" i="32"/>
  <c r="I44" i="32"/>
  <c r="I45" i="32"/>
  <c r="I46" i="32"/>
  <c r="I47" i="32"/>
  <c r="I48" i="32"/>
  <c r="I49" i="32"/>
  <c r="I50" i="32"/>
  <c r="H51" i="32"/>
  <c r="I51" i="32"/>
  <c r="H52" i="32"/>
  <c r="I52" i="32"/>
  <c r="H55" i="32"/>
  <c r="I55" i="32"/>
  <c r="H56" i="32"/>
  <c r="I56" i="32"/>
  <c r="H57" i="32"/>
  <c r="I57" i="32"/>
  <c r="H58" i="32"/>
  <c r="I58" i="32"/>
  <c r="H59" i="32"/>
  <c r="I59" i="32"/>
  <c r="H60" i="32"/>
  <c r="I60" i="32"/>
  <c r="H61" i="32"/>
  <c r="I61" i="32"/>
  <c r="H62" i="32"/>
  <c r="I62" i="32"/>
  <c r="H63" i="32"/>
  <c r="I63" i="32"/>
  <c r="H64" i="32"/>
  <c r="I64" i="32"/>
  <c r="H65" i="32"/>
  <c r="I65" i="32"/>
  <c r="H66" i="32"/>
  <c r="I66" i="32"/>
  <c r="H67" i="32"/>
  <c r="I67" i="32"/>
  <c r="H68" i="32"/>
  <c r="I68" i="32"/>
  <c r="H69" i="32"/>
  <c r="I69" i="32"/>
  <c r="H70" i="32"/>
  <c r="I70" i="32"/>
  <c r="H71" i="32"/>
  <c r="I71" i="32"/>
  <c r="R5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22" i="32"/>
  <c r="R23" i="32"/>
  <c r="R24" i="32"/>
  <c r="R25" i="32"/>
  <c r="R26" i="32"/>
  <c r="R27" i="32"/>
  <c r="R28" i="32"/>
  <c r="R29" i="32"/>
  <c r="R30" i="32"/>
  <c r="R31" i="32"/>
  <c r="R32" i="32"/>
  <c r="R33" i="32"/>
  <c r="R34" i="32"/>
  <c r="R35" i="32"/>
  <c r="R4" i="32"/>
  <c r="A141" i="32" a="1"/>
  <c r="F141" i="32" a="1"/>
  <c r="E141" i="32" a="1"/>
  <c r="C141" i="32" a="1"/>
  <c r="G141" i="32" a="1"/>
  <c r="D141" i="32" a="1"/>
  <c r="D130" i="32" a="1"/>
  <c r="E130" i="32" a="1"/>
  <c r="C130" i="32" a="1"/>
  <c r="F130" i="32" a="1"/>
  <c r="A130" i="32" a="1"/>
  <c r="G130" i="32" a="1"/>
  <c r="E114" i="32" a="1"/>
  <c r="F114" i="32" a="1"/>
  <c r="A114" i="32" a="1"/>
  <c r="C114" i="32" a="1"/>
  <c r="D114" i="32" a="1"/>
  <c r="G114" i="32" a="1"/>
  <c r="E17" i="32" a="1"/>
  <c r="O17" i="32" a="1"/>
  <c r="N17" i="32" a="1"/>
  <c r="P17" i="32" a="1"/>
  <c r="D17" i="32" a="1"/>
  <c r="Q17" i="32" a="1"/>
  <c r="M17" i="32" a="1"/>
  <c r="H17" i="32" a="1"/>
  <c r="A17" i="32" a="1"/>
  <c r="L17" i="32" a="1"/>
  <c r="C17" i="32" a="1"/>
  <c r="F17" i="32" a="1"/>
  <c r="G17" i="32" a="1"/>
  <c r="D141" i="32" l="1"/>
  <c r="G141" i="32"/>
  <c r="C141" i="32"/>
  <c r="E141" i="32"/>
  <c r="F141" i="32"/>
  <c r="A141" i="32"/>
  <c r="B143" i="32"/>
  <c r="G130" i="32"/>
  <c r="A130" i="32"/>
  <c r="F130" i="32"/>
  <c r="C130" i="32"/>
  <c r="E130" i="32"/>
  <c r="D130" i="32"/>
  <c r="G114" i="32"/>
  <c r="D114" i="32"/>
  <c r="C114" i="32"/>
  <c r="A114" i="32"/>
  <c r="F114" i="32"/>
  <c r="E114" i="32"/>
  <c r="B116" i="32"/>
  <c r="A17" i="32"/>
  <c r="O17" i="32"/>
  <c r="N17" i="32"/>
  <c r="L17" i="32"/>
  <c r="Q17" i="32"/>
  <c r="M17" i="32"/>
  <c r="P17" i="32"/>
  <c r="G17" i="32"/>
  <c r="E17" i="32"/>
  <c r="D17" i="32"/>
  <c r="C17" i="32"/>
  <c r="F17" i="32"/>
  <c r="H17" i="32"/>
  <c r="B18" i="32"/>
  <c r="R36" i="32"/>
  <c r="C142" i="32" a="1"/>
  <c r="E142" i="32" a="1"/>
  <c r="D142" i="32" a="1"/>
  <c r="G142" i="32" a="1"/>
  <c r="A142" i="32" a="1"/>
  <c r="F142" i="32" a="1"/>
  <c r="E115" i="32" a="1"/>
  <c r="A115" i="32" a="1"/>
  <c r="F115" i="32" a="1"/>
  <c r="D115" i="32" a="1"/>
  <c r="C115" i="32" a="1"/>
  <c r="G115" i="32" a="1"/>
  <c r="E18" i="32" a="1"/>
  <c r="M18" i="32" a="1"/>
  <c r="Q18" i="32" a="1"/>
  <c r="N18" i="32" a="1"/>
  <c r="L18" i="32" a="1"/>
  <c r="C18" i="32" a="1"/>
  <c r="G18" i="32" a="1"/>
  <c r="A18" i="32" a="1"/>
  <c r="D18" i="32" a="1"/>
  <c r="H18" i="32" a="1"/>
  <c r="P18" i="32" a="1"/>
  <c r="F18" i="32" a="1"/>
  <c r="O18" i="32" a="1"/>
  <c r="F142" i="32" l="1"/>
  <c r="A142" i="32"/>
  <c r="G142" i="32"/>
  <c r="D142" i="32"/>
  <c r="E142" i="32"/>
  <c r="C142" i="32"/>
  <c r="B144" i="32"/>
  <c r="G115" i="32"/>
  <c r="C115" i="32"/>
  <c r="D115" i="32"/>
  <c r="F115" i="32"/>
  <c r="A115" i="32"/>
  <c r="E115" i="32"/>
  <c r="B117" i="32"/>
  <c r="A18" i="32"/>
  <c r="L18" i="32"/>
  <c r="Q18" i="32"/>
  <c r="N18" i="32"/>
  <c r="O18" i="32"/>
  <c r="M18" i="32"/>
  <c r="P18" i="32"/>
  <c r="D18" i="32"/>
  <c r="C18" i="32"/>
  <c r="F18" i="32"/>
  <c r="G18" i="32"/>
  <c r="E18" i="32"/>
  <c r="H18" i="32"/>
  <c r="B19" i="32"/>
  <c r="A143" i="32" a="1"/>
  <c r="D143" i="32" a="1"/>
  <c r="G143" i="32" a="1"/>
  <c r="F143" i="32" a="1"/>
  <c r="E143" i="32" a="1"/>
  <c r="C143" i="32" a="1"/>
  <c r="D116" i="32" a="1"/>
  <c r="E116" i="32" a="1"/>
  <c r="C116" i="32" a="1"/>
  <c r="G116" i="32" a="1"/>
  <c r="A116" i="32" a="1"/>
  <c r="F116" i="32" a="1"/>
  <c r="L19" i="32" a="1"/>
  <c r="Q19" i="32" a="1"/>
  <c r="C19" i="32" a="1"/>
  <c r="H19" i="32" a="1"/>
  <c r="E19" i="32" a="1"/>
  <c r="P19" i="32" a="1"/>
  <c r="M19" i="32" a="1"/>
  <c r="O19" i="32" a="1"/>
  <c r="A19" i="32" a="1"/>
  <c r="D19" i="32" a="1"/>
  <c r="G19" i="32" a="1"/>
  <c r="N19" i="32" a="1"/>
  <c r="F19" i="32" a="1"/>
  <c r="C143" i="32" l="1"/>
  <c r="E143" i="32"/>
  <c r="F143" i="32"/>
  <c r="G143" i="32"/>
  <c r="D143" i="32"/>
  <c r="A143" i="32"/>
  <c r="B145" i="32"/>
  <c r="F116" i="32"/>
  <c r="A116" i="32"/>
  <c r="G116" i="32"/>
  <c r="C116" i="32"/>
  <c r="E116" i="32"/>
  <c r="D116" i="32"/>
  <c r="A19" i="32"/>
  <c r="Q19" i="32"/>
  <c r="P19" i="32"/>
  <c r="O19" i="32"/>
  <c r="N19" i="32"/>
  <c r="M19" i="32"/>
  <c r="L19" i="32"/>
  <c r="D19" i="32"/>
  <c r="C19" i="32"/>
  <c r="G19" i="32"/>
  <c r="F19" i="32"/>
  <c r="E19" i="32"/>
  <c r="H19" i="32"/>
  <c r="B20" i="32"/>
  <c r="X2" i="32"/>
  <c r="W2" i="32"/>
  <c r="V2" i="32"/>
  <c r="U2" i="32"/>
  <c r="E144" i="32" a="1"/>
  <c r="G144" i="32" a="1"/>
  <c r="D144" i="32" a="1"/>
  <c r="A144" i="32" a="1"/>
  <c r="F144" i="32" a="1"/>
  <c r="C144" i="32" a="1"/>
  <c r="A117" i="32" a="1"/>
  <c r="D117" i="32" a="1"/>
  <c r="E117" i="32" a="1"/>
  <c r="G117" i="32" a="1"/>
  <c r="F117" i="32" a="1"/>
  <c r="C117" i="32" a="1"/>
  <c r="Q20" i="32" a="1"/>
  <c r="F20" i="32" a="1"/>
  <c r="D20" i="32" a="1"/>
  <c r="L20" i="32" a="1"/>
  <c r="H20" i="32" a="1"/>
  <c r="G20" i="32" a="1"/>
  <c r="C20" i="32" a="1"/>
  <c r="A20" i="32" a="1"/>
  <c r="E20" i="32" a="1"/>
  <c r="O20" i="32" a="1"/>
  <c r="P20" i="32" a="1"/>
  <c r="N20" i="32" a="1"/>
  <c r="M20" i="32" a="1"/>
  <c r="C144" i="32" l="1"/>
  <c r="F144" i="32"/>
  <c r="A144" i="32"/>
  <c r="D144" i="32"/>
  <c r="G144" i="32"/>
  <c r="E144" i="32"/>
  <c r="B146" i="32"/>
  <c r="C117" i="32"/>
  <c r="F117" i="32"/>
  <c r="G117" i="32"/>
  <c r="E117" i="32"/>
  <c r="D117" i="32"/>
  <c r="A117" i="32"/>
  <c r="A20" i="32"/>
  <c r="O20" i="32"/>
  <c r="N20" i="32"/>
  <c r="P20" i="32"/>
  <c r="M20" i="32"/>
  <c r="L20" i="32"/>
  <c r="Q20" i="32"/>
  <c r="E20" i="32"/>
  <c r="D20" i="32"/>
  <c r="G20" i="32"/>
  <c r="C20" i="32"/>
  <c r="F20" i="32"/>
  <c r="H20" i="32"/>
  <c r="B21" i="32"/>
  <c r="A76" i="2"/>
  <c r="F145" i="32" a="1"/>
  <c r="G145" i="32" a="1"/>
  <c r="C145" i="32" a="1"/>
  <c r="D145" i="32" a="1"/>
  <c r="E145" i="32" a="1"/>
  <c r="A145" i="32" a="1"/>
  <c r="G21" i="32" a="1"/>
  <c r="H21" i="32" a="1"/>
  <c r="P21" i="32" a="1"/>
  <c r="L21" i="32" a="1"/>
  <c r="C21" i="32" a="1"/>
  <c r="Q21" i="32" a="1"/>
  <c r="O21" i="32" a="1"/>
  <c r="N21" i="32" a="1"/>
  <c r="F21" i="32" a="1"/>
  <c r="D21" i="32" a="1"/>
  <c r="E21" i="32" a="1"/>
  <c r="M21" i="32" a="1"/>
  <c r="A21" i="32" a="1"/>
  <c r="A145" i="32" l="1"/>
  <c r="E145" i="32"/>
  <c r="D145" i="32"/>
  <c r="C145" i="32"/>
  <c r="G145" i="32"/>
  <c r="F145" i="32"/>
  <c r="B147" i="32"/>
  <c r="A21" i="32"/>
  <c r="O21" i="32"/>
  <c r="N21" i="32"/>
  <c r="P21" i="32"/>
  <c r="M21" i="32"/>
  <c r="Q21" i="32"/>
  <c r="L21" i="32"/>
  <c r="F21" i="32"/>
  <c r="E21" i="32"/>
  <c r="C21" i="32"/>
  <c r="G21" i="32"/>
  <c r="D21" i="32"/>
  <c r="H21" i="32"/>
  <c r="B22" i="32"/>
  <c r="C146" i="32" a="1"/>
  <c r="E146" i="32" a="1"/>
  <c r="F146" i="32" a="1"/>
  <c r="G146" i="32" a="1"/>
  <c r="D146" i="32" a="1"/>
  <c r="A146" i="32" a="1"/>
  <c r="D22" i="32" a="1"/>
  <c r="O22" i="32" a="1"/>
  <c r="E22" i="32" a="1"/>
  <c r="A22" i="32" a="1"/>
  <c r="G22" i="32" a="1"/>
  <c r="Q22" i="32" a="1"/>
  <c r="M22" i="32" a="1"/>
  <c r="C22" i="32" a="1"/>
  <c r="F22" i="32" a="1"/>
  <c r="H22" i="32" a="1"/>
  <c r="L22" i="32" a="1"/>
  <c r="N22" i="32" a="1"/>
  <c r="P22" i="32" a="1"/>
  <c r="A146" i="32" l="1"/>
  <c r="D146" i="32"/>
  <c r="G146" i="32"/>
  <c r="F146" i="32"/>
  <c r="E146" i="32"/>
  <c r="C146" i="32"/>
  <c r="A22" i="32"/>
  <c r="L22" i="32"/>
  <c r="O22" i="32"/>
  <c r="N22" i="32"/>
  <c r="M22" i="32"/>
  <c r="P22" i="32"/>
  <c r="Q22" i="32"/>
  <c r="E22" i="32"/>
  <c r="G22" i="32"/>
  <c r="F22" i="32"/>
  <c r="D22" i="32"/>
  <c r="C22" i="32"/>
  <c r="H22" i="32"/>
  <c r="B23" i="32"/>
  <c r="R37" i="32"/>
  <c r="R38" i="32"/>
  <c r="R39" i="32"/>
  <c r="R40" i="32"/>
  <c r="R41" i="32"/>
  <c r="R42" i="32"/>
  <c r="R43" i="32"/>
  <c r="R44" i="32"/>
  <c r="R45" i="32"/>
  <c r="R46" i="32"/>
  <c r="R47" i="32"/>
  <c r="R48" i="32"/>
  <c r="R49" i="32"/>
  <c r="R50" i="32"/>
  <c r="R51" i="32"/>
  <c r="R54" i="32"/>
  <c r="R55" i="32"/>
  <c r="R56" i="32"/>
  <c r="R57" i="32"/>
  <c r="R58" i="32"/>
  <c r="R59" i="32"/>
  <c r="R60" i="32"/>
  <c r="R61" i="32"/>
  <c r="R62" i="32"/>
  <c r="R63" i="32"/>
  <c r="A147" i="32" a="1"/>
  <c r="C147" i="32" a="1"/>
  <c r="G147" i="32" a="1"/>
  <c r="E147" i="32" a="1"/>
  <c r="D147" i="32" a="1"/>
  <c r="F147" i="32" a="1"/>
  <c r="C23" i="32" a="1"/>
  <c r="A23" i="32" a="1"/>
  <c r="O23" i="32" a="1"/>
  <c r="N23" i="32" a="1"/>
  <c r="D23" i="32" a="1"/>
  <c r="H23" i="32" a="1"/>
  <c r="L23" i="32" a="1"/>
  <c r="P23" i="32" a="1"/>
  <c r="G23" i="32" a="1"/>
  <c r="F23" i="32" a="1"/>
  <c r="E23" i="32" a="1"/>
  <c r="Q23" i="32" a="1"/>
  <c r="M23" i="32" a="1"/>
  <c r="F147" i="32" l="1"/>
  <c r="D147" i="32"/>
  <c r="E147" i="32"/>
  <c r="G147" i="32"/>
  <c r="C147" i="32"/>
  <c r="A147" i="32"/>
  <c r="A23" i="32"/>
  <c r="L23" i="32"/>
  <c r="O23" i="32"/>
  <c r="N23" i="32"/>
  <c r="M23" i="32"/>
  <c r="P23" i="32"/>
  <c r="Q23" i="32"/>
  <c r="D23" i="32"/>
  <c r="F23" i="32"/>
  <c r="C23" i="32"/>
  <c r="G23" i="32"/>
  <c r="E23" i="32"/>
  <c r="H23" i="32"/>
  <c r="B24" i="32"/>
  <c r="AH1" i="2"/>
  <c r="AI5" i="2" s="1"/>
  <c r="BS9" i="2"/>
  <c r="BI1" i="2"/>
  <c r="BJ8" i="2" s="1"/>
  <c r="AZ1" i="2"/>
  <c r="BA5" i="2" s="1"/>
  <c r="AQ1" i="2"/>
  <c r="AR6" i="2" s="1"/>
  <c r="Y1" i="2"/>
  <c r="H24" i="32" a="1"/>
  <c r="E24" i="32" a="1"/>
  <c r="O24" i="32" a="1"/>
  <c r="P24" i="32" a="1"/>
  <c r="N24" i="32" a="1"/>
  <c r="C24" i="32" a="1"/>
  <c r="A24" i="32" a="1"/>
  <c r="D24" i="32" a="1"/>
  <c r="Q24" i="32" a="1"/>
  <c r="M24" i="32" a="1"/>
  <c r="G24" i="32" a="1"/>
  <c r="L24" i="32" a="1"/>
  <c r="F24" i="32" a="1"/>
  <c r="A24" i="32" l="1"/>
  <c r="Q24" i="32"/>
  <c r="N24" i="32"/>
  <c r="P24" i="32"/>
  <c r="M24" i="32"/>
  <c r="O24" i="32"/>
  <c r="L24" i="32"/>
  <c r="E24" i="32"/>
  <c r="C24" i="32"/>
  <c r="G24" i="32"/>
  <c r="F24" i="32"/>
  <c r="D24" i="32"/>
  <c r="H24" i="32"/>
  <c r="B25" i="32"/>
  <c r="AI4" i="2"/>
  <c r="BA6" i="2"/>
  <c r="BS5" i="2"/>
  <c r="AR7" i="2"/>
  <c r="BS6" i="2"/>
  <c r="BJ4" i="2"/>
  <c r="BA7" i="2"/>
  <c r="BJ6" i="2"/>
  <c r="BS7" i="2"/>
  <c r="AR5" i="2"/>
  <c r="BJ5" i="2"/>
  <c r="BA8" i="2"/>
  <c r="BJ7" i="2"/>
  <c r="BS8" i="2"/>
  <c r="BS4" i="2"/>
  <c r="D5" i="17"/>
  <c r="D11" i="17"/>
  <c r="E11" i="17"/>
  <c r="E10" i="17"/>
  <c r="E5" i="17"/>
  <c r="E4" i="17"/>
  <c r="Q25" i="32" a="1"/>
  <c r="G25" i="32" a="1"/>
  <c r="A25" i="32" a="1"/>
  <c r="P25" i="32" a="1"/>
  <c r="M25" i="32" a="1"/>
  <c r="D25" i="32" a="1"/>
  <c r="L25" i="32" a="1"/>
  <c r="F25" i="32" a="1"/>
  <c r="C25" i="32" a="1"/>
  <c r="H25" i="32" a="1"/>
  <c r="N25" i="32" a="1"/>
  <c r="O25" i="32" a="1"/>
  <c r="E25" i="32" a="1"/>
  <c r="A25" i="32" l="1"/>
  <c r="O25" i="32"/>
  <c r="L25" i="32"/>
  <c r="P25" i="32"/>
  <c r="N25" i="32"/>
  <c r="Q25" i="32"/>
  <c r="M25" i="32"/>
  <c r="F25" i="32"/>
  <c r="D25" i="32"/>
  <c r="C25" i="32"/>
  <c r="E25" i="32"/>
  <c r="G25" i="32"/>
  <c r="H25" i="32"/>
  <c r="B26" i="32"/>
  <c r="D26" i="32" a="1"/>
  <c r="C26" i="32" a="1"/>
  <c r="A26" i="32" a="1"/>
  <c r="G26" i="32" a="1"/>
  <c r="Q26" i="32" a="1"/>
  <c r="M26" i="32" a="1"/>
  <c r="F26" i="32" a="1"/>
  <c r="L26" i="32" a="1"/>
  <c r="O26" i="32" a="1"/>
  <c r="H26" i="32" a="1"/>
  <c r="N26" i="32" a="1"/>
  <c r="E26" i="32" a="1"/>
  <c r="P26" i="32" a="1"/>
  <c r="A26" i="32" l="1"/>
  <c r="P26" i="32"/>
  <c r="Q26" i="32"/>
  <c r="M26" i="32"/>
  <c r="O26" i="32"/>
  <c r="L26" i="32"/>
  <c r="N26" i="32"/>
  <c r="F26" i="32"/>
  <c r="G26" i="32"/>
  <c r="C26" i="32"/>
  <c r="E26" i="32"/>
  <c r="D26" i="32"/>
  <c r="H26" i="32"/>
  <c r="B27" i="32"/>
  <c r="F27" i="32" a="1"/>
  <c r="H27" i="32" a="1"/>
  <c r="P27" i="32" a="1"/>
  <c r="E27" i="32" a="1"/>
  <c r="O27" i="32" a="1"/>
  <c r="C27" i="32" a="1"/>
  <c r="Q27" i="32" a="1"/>
  <c r="N27" i="32" a="1"/>
  <c r="A27" i="32" a="1"/>
  <c r="G27" i="32" a="1"/>
  <c r="M27" i="32" a="1"/>
  <c r="D27" i="32" a="1"/>
  <c r="L27" i="32" a="1"/>
  <c r="A27" i="32" l="1"/>
  <c r="Q27" i="32"/>
  <c r="N27" i="32"/>
  <c r="M27" i="32"/>
  <c r="P27" i="32"/>
  <c r="O27" i="32"/>
  <c r="L27" i="32"/>
  <c r="D27" i="32"/>
  <c r="F27" i="32"/>
  <c r="E27" i="32"/>
  <c r="G27" i="32"/>
  <c r="C27" i="32"/>
  <c r="H27" i="32"/>
  <c r="B28" i="32"/>
  <c r="G28" i="32" a="1"/>
  <c r="D28" i="32" a="1"/>
  <c r="M28" i="32" a="1"/>
  <c r="O28" i="32" a="1"/>
  <c r="L28" i="32" a="1"/>
  <c r="C28" i="32" a="1"/>
  <c r="A28" i="32" a="1"/>
  <c r="N28" i="32" a="1"/>
  <c r="E28" i="32" a="1"/>
  <c r="Q28" i="32" a="1"/>
  <c r="P28" i="32" a="1"/>
  <c r="H28" i="32" a="1"/>
  <c r="F28" i="32" a="1"/>
  <c r="A28" i="32" l="1"/>
  <c r="P28" i="32"/>
  <c r="L28" i="32"/>
  <c r="M28" i="32"/>
  <c r="N28" i="32"/>
  <c r="O28" i="32"/>
  <c r="Q28" i="32"/>
  <c r="D28" i="32"/>
  <c r="C28" i="32"/>
  <c r="E28" i="32"/>
  <c r="G28" i="32"/>
  <c r="F28" i="32"/>
  <c r="H28" i="32"/>
  <c r="B29" i="32"/>
  <c r="N29" i="32" a="1"/>
  <c r="F29" i="32" a="1"/>
  <c r="E29" i="32" a="1"/>
  <c r="H29" i="32" a="1"/>
  <c r="A29" i="32" a="1"/>
  <c r="P29" i="32" a="1"/>
  <c r="O29" i="32" a="1"/>
  <c r="M29" i="32" a="1"/>
  <c r="D29" i="32" a="1"/>
  <c r="L29" i="32" a="1"/>
  <c r="G29" i="32" a="1"/>
  <c r="Q29" i="32" a="1"/>
  <c r="C29" i="32" a="1"/>
  <c r="A29" i="32" l="1"/>
  <c r="Q29" i="32"/>
  <c r="P29" i="32"/>
  <c r="N29" i="32"/>
  <c r="L29" i="32"/>
  <c r="M29" i="32"/>
  <c r="O29" i="32"/>
  <c r="G29" i="32"/>
  <c r="E29" i="32"/>
  <c r="D29" i="32"/>
  <c r="F29" i="32"/>
  <c r="C29" i="32"/>
  <c r="H29" i="32"/>
  <c r="B30" i="32"/>
  <c r="O30" i="32" a="1"/>
  <c r="M30" i="32" a="1"/>
  <c r="D30" i="32" a="1"/>
  <c r="C30" i="32" a="1"/>
  <c r="P30" i="32" a="1"/>
  <c r="F30" i="32" a="1"/>
  <c r="E30" i="32" a="1"/>
  <c r="G30" i="32" a="1"/>
  <c r="A30" i="32" a="1"/>
  <c r="H30" i="32" a="1"/>
  <c r="Q30" i="32" a="1"/>
  <c r="L30" i="32" a="1"/>
  <c r="N30" i="32" a="1"/>
  <c r="A30" i="32" l="1"/>
  <c r="N30" i="32"/>
  <c r="M30" i="32"/>
  <c r="L30" i="32"/>
  <c r="Q30" i="32"/>
  <c r="P30" i="32"/>
  <c r="O30" i="32"/>
  <c r="F30" i="32"/>
  <c r="E30" i="32"/>
  <c r="G30" i="32"/>
  <c r="D30" i="32"/>
  <c r="C30" i="32"/>
  <c r="H30" i="32"/>
  <c r="B31" i="32"/>
  <c r="A31" i="32" a="1"/>
  <c r="O31" i="32" a="1"/>
  <c r="L31" i="32" a="1"/>
  <c r="D31" i="32" a="1"/>
  <c r="H31" i="32" a="1"/>
  <c r="E31" i="32" a="1"/>
  <c r="C31" i="32" a="1"/>
  <c r="F31" i="32" a="1"/>
  <c r="G31" i="32" a="1"/>
  <c r="M31" i="32" a="1"/>
  <c r="Q31" i="32" a="1"/>
  <c r="P31" i="32" a="1"/>
  <c r="N31" i="32" a="1"/>
  <c r="A31" i="32" l="1"/>
  <c r="O31" i="32"/>
  <c r="P31" i="32"/>
  <c r="N31" i="32"/>
  <c r="Q31" i="32"/>
  <c r="L31" i="32"/>
  <c r="M31" i="32"/>
  <c r="E31" i="32"/>
  <c r="C31" i="32"/>
  <c r="G31" i="32"/>
  <c r="F31" i="32"/>
  <c r="D31" i="32"/>
  <c r="H31" i="32"/>
  <c r="B32" i="32"/>
  <c r="Q32" i="32" a="1"/>
  <c r="M32" i="32" a="1"/>
  <c r="C32" i="32" a="1"/>
  <c r="N32" i="32" a="1"/>
  <c r="E32" i="32" a="1"/>
  <c r="P32" i="32" a="1"/>
  <c r="D32" i="32" a="1"/>
  <c r="H32" i="32" a="1"/>
  <c r="A32" i="32" a="1"/>
  <c r="F32" i="32" a="1"/>
  <c r="L32" i="32" a="1"/>
  <c r="O32" i="32" a="1"/>
  <c r="G32" i="32" a="1"/>
  <c r="A32" i="32" l="1"/>
  <c r="P32" i="32"/>
  <c r="M32" i="32"/>
  <c r="O32" i="32"/>
  <c r="Q32" i="32"/>
  <c r="L32" i="32"/>
  <c r="N32" i="32"/>
  <c r="E32" i="32"/>
  <c r="D32" i="32"/>
  <c r="G32" i="32"/>
  <c r="C32" i="32"/>
  <c r="F32" i="32"/>
  <c r="H32" i="32"/>
  <c r="B33" i="32"/>
  <c r="O33" i="32" a="1"/>
  <c r="M33" i="32" a="1"/>
  <c r="F33" i="32" a="1"/>
  <c r="G33" i="32" a="1"/>
  <c r="A33" i="32" a="1"/>
  <c r="Q33" i="32" a="1"/>
  <c r="N33" i="32" a="1"/>
  <c r="L33" i="32" a="1"/>
  <c r="P33" i="32" a="1"/>
  <c r="H33" i="32" a="1"/>
  <c r="C33" i="32" a="1"/>
  <c r="E33" i="32" a="1"/>
  <c r="D33" i="32" a="1"/>
  <c r="A33" i="32" l="1"/>
  <c r="L33" i="32"/>
  <c r="N33" i="32"/>
  <c r="Q33" i="32"/>
  <c r="M33" i="32"/>
  <c r="P33" i="32"/>
  <c r="O33" i="32"/>
  <c r="F33" i="32"/>
  <c r="G33" i="32"/>
  <c r="E33" i="32"/>
  <c r="C33" i="32"/>
  <c r="D33" i="32"/>
  <c r="H33" i="32"/>
  <c r="B34" i="32"/>
  <c r="F34" i="32" a="1"/>
  <c r="G34" i="32" a="1"/>
  <c r="M34" i="32" a="1"/>
  <c r="N34" i="32" a="1"/>
  <c r="Q34" i="32" a="1"/>
  <c r="A34" i="32" a="1"/>
  <c r="D34" i="32" a="1"/>
  <c r="E34" i="32" a="1"/>
  <c r="C34" i="32" a="1"/>
  <c r="H34" i="32" a="1"/>
  <c r="P34" i="32" a="1"/>
  <c r="L34" i="32" a="1"/>
  <c r="O34" i="32" a="1"/>
  <c r="A34" i="32" l="1"/>
  <c r="O34" i="32"/>
  <c r="N34" i="32"/>
  <c r="Q34" i="32"/>
  <c r="M34" i="32"/>
  <c r="P34" i="32"/>
  <c r="L34" i="32"/>
  <c r="G34" i="32"/>
  <c r="F34" i="32"/>
  <c r="D34" i="32"/>
  <c r="C34" i="32"/>
  <c r="E34" i="32"/>
  <c r="H34" i="32"/>
  <c r="B35" i="32"/>
  <c r="L35" i="32" a="1"/>
  <c r="H35" i="32" a="1"/>
  <c r="N35" i="32" a="1"/>
  <c r="M35" i="32" a="1"/>
  <c r="D35" i="32" a="1"/>
  <c r="A35" i="32" a="1"/>
  <c r="G35" i="32" a="1"/>
  <c r="E35" i="32" a="1"/>
  <c r="P35" i="32" a="1"/>
  <c r="C35" i="32" a="1"/>
  <c r="O35" i="32" a="1"/>
  <c r="Q35" i="32" a="1"/>
  <c r="F35" i="32" a="1"/>
  <c r="A35" i="32" l="1"/>
  <c r="L35" i="32"/>
  <c r="P35" i="32"/>
  <c r="O35" i="32"/>
  <c r="N35" i="32"/>
  <c r="Q35" i="32"/>
  <c r="M35" i="32"/>
  <c r="G35" i="32"/>
  <c r="E35" i="32"/>
  <c r="C35" i="32"/>
  <c r="D35" i="32"/>
  <c r="F35" i="32"/>
  <c r="H35" i="32"/>
  <c r="B36" i="32"/>
  <c r="A36" i="32" a="1"/>
  <c r="O36" i="32" a="1"/>
  <c r="G36" i="32" a="1"/>
  <c r="N36" i="32" a="1"/>
  <c r="C36" i="32" a="1"/>
  <c r="E36" i="32" a="1"/>
  <c r="L36" i="32" a="1"/>
  <c r="M36" i="32" a="1"/>
  <c r="Q36" i="32" a="1"/>
  <c r="F36" i="32" a="1"/>
  <c r="D36" i="32" a="1"/>
  <c r="H36" i="32" a="1"/>
  <c r="P36" i="32" a="1"/>
  <c r="A36" i="32" l="1"/>
  <c r="Q36" i="32"/>
  <c r="M36" i="32"/>
  <c r="O36" i="32"/>
  <c r="P36" i="32"/>
  <c r="L36" i="32"/>
  <c r="N36" i="32"/>
  <c r="G36" i="32"/>
  <c r="D36" i="32"/>
  <c r="C36" i="32"/>
  <c r="F36" i="32"/>
  <c r="E36" i="32"/>
  <c r="H36" i="32"/>
  <c r="B37" i="32"/>
  <c r="F37" i="32" a="1"/>
  <c r="C37" i="32" a="1"/>
  <c r="N37" i="32" a="1"/>
  <c r="Q37" i="32" a="1"/>
  <c r="G37" i="32" a="1"/>
  <c r="L37" i="32" a="1"/>
  <c r="D37" i="32" a="1"/>
  <c r="E37" i="32" a="1"/>
  <c r="A37" i="32" a="1"/>
  <c r="M37" i="32" a="1"/>
  <c r="O37" i="32" a="1"/>
  <c r="H37" i="32" a="1"/>
  <c r="P37" i="32" a="1"/>
  <c r="A37" i="32" l="1"/>
  <c r="M37" i="32"/>
  <c r="N37" i="32"/>
  <c r="L37" i="32"/>
  <c r="O37" i="32"/>
  <c r="P37" i="32"/>
  <c r="Q37" i="32"/>
  <c r="F37" i="32"/>
  <c r="E37" i="32"/>
  <c r="D37" i="32"/>
  <c r="G37" i="32"/>
  <c r="C37" i="32"/>
  <c r="H37" i="32"/>
  <c r="B38" i="32"/>
  <c r="L38" i="32" a="1"/>
  <c r="H38" i="32" a="1"/>
  <c r="A38" i="32" a="1"/>
  <c r="G38" i="32" a="1"/>
  <c r="N38" i="32" a="1"/>
  <c r="P38" i="32" a="1"/>
  <c r="E38" i="32" a="1"/>
  <c r="D38" i="32" a="1"/>
  <c r="M38" i="32" a="1"/>
  <c r="C38" i="32" a="1"/>
  <c r="Q38" i="32" a="1"/>
  <c r="O38" i="32" a="1"/>
  <c r="F38" i="32" a="1"/>
  <c r="A38" i="32" l="1"/>
  <c r="M38" i="32"/>
  <c r="N38" i="32"/>
  <c r="Q38" i="32"/>
  <c r="L38" i="32"/>
  <c r="P38" i="32"/>
  <c r="O38" i="32"/>
  <c r="F38" i="32"/>
  <c r="G38" i="32"/>
  <c r="C38" i="32"/>
  <c r="E38" i="32"/>
  <c r="D38" i="32"/>
  <c r="H38" i="32"/>
  <c r="B39" i="32"/>
  <c r="L39" i="32" a="1"/>
  <c r="M39" i="32" a="1"/>
  <c r="N39" i="32" a="1"/>
  <c r="D39" i="32" a="1"/>
  <c r="H39" i="32" a="1"/>
  <c r="O39" i="32" a="1"/>
  <c r="C39" i="32" a="1"/>
  <c r="Q39" i="32" a="1"/>
  <c r="P39" i="32" a="1"/>
  <c r="A39" i="32" a="1"/>
  <c r="F39" i="32" a="1"/>
  <c r="G39" i="32" a="1"/>
  <c r="E39" i="32" a="1"/>
  <c r="A39" i="32" l="1"/>
  <c r="M39" i="32"/>
  <c r="O39" i="32"/>
  <c r="P39" i="32"/>
  <c r="N39" i="32"/>
  <c r="Q39" i="32"/>
  <c r="L39" i="32"/>
  <c r="G39" i="32"/>
  <c r="D39" i="32"/>
  <c r="F39" i="32"/>
  <c r="E39" i="32"/>
  <c r="C39" i="32"/>
  <c r="H39" i="32"/>
  <c r="B40" i="32"/>
  <c r="E40" i="32" a="1"/>
  <c r="A40" i="32" a="1"/>
  <c r="D40" i="32" a="1"/>
  <c r="F40" i="32" a="1"/>
  <c r="Q40" i="32" a="1"/>
  <c r="C40" i="32" a="1"/>
  <c r="M40" i="32" a="1"/>
  <c r="P40" i="32" a="1"/>
  <c r="H40" i="32" a="1"/>
  <c r="N40" i="32" a="1"/>
  <c r="O40" i="32" a="1"/>
  <c r="L40" i="32" a="1"/>
  <c r="G40" i="32" a="1"/>
  <c r="A40" i="32" l="1"/>
  <c r="N40" i="32"/>
  <c r="Q40" i="32"/>
  <c r="P40" i="32"/>
  <c r="L40" i="32"/>
  <c r="M40" i="32"/>
  <c r="O40" i="32"/>
  <c r="C40" i="32"/>
  <c r="E40" i="32"/>
  <c r="G40" i="32"/>
  <c r="F40" i="32"/>
  <c r="D40" i="32"/>
  <c r="H40" i="32"/>
  <c r="B41" i="32"/>
  <c r="H41" i="32" a="1"/>
  <c r="O41" i="32" a="1"/>
  <c r="L41" i="32" a="1"/>
  <c r="D41" i="32" a="1"/>
  <c r="C41" i="32" a="1"/>
  <c r="M41" i="32" a="1"/>
  <c r="P41" i="32" a="1"/>
  <c r="G41" i="32" a="1"/>
  <c r="E41" i="32" a="1"/>
  <c r="A41" i="32" a="1"/>
  <c r="N41" i="32" a="1"/>
  <c r="F41" i="32" a="1"/>
  <c r="Q41" i="32" a="1"/>
  <c r="A41" i="32" l="1"/>
  <c r="O41" i="32"/>
  <c r="Q41" i="32"/>
  <c r="P41" i="32"/>
  <c r="N41" i="32"/>
  <c r="M41" i="32"/>
  <c r="L41" i="32"/>
  <c r="D41" i="32"/>
  <c r="C41" i="32"/>
  <c r="F41" i="32"/>
  <c r="G41" i="32"/>
  <c r="E41" i="32"/>
  <c r="H41" i="32"/>
  <c r="B42" i="32"/>
  <c r="P42" i="32" a="1"/>
  <c r="G42" i="32" a="1"/>
  <c r="D42" i="32" a="1"/>
  <c r="C42" i="32" a="1"/>
  <c r="F42" i="32" a="1"/>
  <c r="L42" i="32" a="1"/>
  <c r="Q42" i="32" a="1"/>
  <c r="E42" i="32" a="1"/>
  <c r="A42" i="32" a="1"/>
  <c r="M42" i="32" a="1"/>
  <c r="O42" i="32" a="1"/>
  <c r="H42" i="32" a="1"/>
  <c r="N42" i="32" a="1"/>
  <c r="A42" i="32" l="1"/>
  <c r="M42" i="32"/>
  <c r="P42" i="32"/>
  <c r="Q42" i="32"/>
  <c r="N42" i="32"/>
  <c r="O42" i="32"/>
  <c r="L42" i="32"/>
  <c r="E42" i="32"/>
  <c r="G42" i="32"/>
  <c r="C42" i="32"/>
  <c r="D42" i="32"/>
  <c r="F42" i="32"/>
  <c r="H42" i="32"/>
  <c r="B43" i="32"/>
  <c r="Q43" i="32" a="1"/>
  <c r="O43" i="32" a="1"/>
  <c r="D43" i="32" a="1"/>
  <c r="N43" i="32" a="1"/>
  <c r="G43" i="32" a="1"/>
  <c r="L43" i="32" a="1"/>
  <c r="A43" i="32" a="1"/>
  <c r="F43" i="32" a="1"/>
  <c r="E43" i="32" a="1"/>
  <c r="H43" i="32" a="1"/>
  <c r="C43" i="32" a="1"/>
  <c r="M43" i="32" a="1"/>
  <c r="P43" i="32" a="1"/>
  <c r="A43" i="32" l="1"/>
  <c r="L43" i="32"/>
  <c r="Q43" i="32"/>
  <c r="P43" i="32"/>
  <c r="N43" i="32"/>
  <c r="O43" i="32"/>
  <c r="M43" i="32"/>
  <c r="G43" i="32"/>
  <c r="F43" i="32"/>
  <c r="D43" i="32"/>
  <c r="E43" i="32"/>
  <c r="C43" i="32"/>
  <c r="H43" i="32"/>
  <c r="B44" i="32"/>
  <c r="A44" i="32" a="1"/>
  <c r="P44" i="32" a="1"/>
  <c r="E44" i="32" a="1"/>
  <c r="F44" i="32" a="1"/>
  <c r="Q44" i="32" a="1"/>
  <c r="N44" i="32" a="1"/>
  <c r="H44" i="32" a="1"/>
  <c r="L44" i="32" a="1"/>
  <c r="M44" i="32" a="1"/>
  <c r="O44" i="32" a="1"/>
  <c r="C44" i="32" a="1"/>
  <c r="G44" i="32" a="1"/>
  <c r="D44" i="32" a="1"/>
  <c r="A44" i="32" l="1"/>
  <c r="L44" i="32"/>
  <c r="M44" i="32"/>
  <c r="O44" i="32"/>
  <c r="P44" i="32"/>
  <c r="Q44" i="32"/>
  <c r="N44" i="32"/>
  <c r="F44" i="32"/>
  <c r="G44" i="32"/>
  <c r="C44" i="32"/>
  <c r="E44" i="32"/>
  <c r="D44" i="32"/>
  <c r="H44" i="32"/>
  <c r="B45" i="32"/>
  <c r="M45" i="32" a="1"/>
  <c r="P45" i="32" a="1"/>
  <c r="C45" i="32" a="1"/>
  <c r="Q45" i="32" a="1"/>
  <c r="G45" i="32" a="1"/>
  <c r="H45" i="32" a="1"/>
  <c r="N45" i="32" a="1"/>
  <c r="F45" i="32" a="1"/>
  <c r="A45" i="32" a="1"/>
  <c r="D45" i="32" a="1"/>
  <c r="O45" i="32" a="1"/>
  <c r="L45" i="32" a="1"/>
  <c r="E45" i="32" a="1"/>
  <c r="A45" i="32" l="1"/>
  <c r="O45" i="32"/>
  <c r="Q45" i="32"/>
  <c r="N45" i="32"/>
  <c r="P45" i="32"/>
  <c r="L45" i="32"/>
  <c r="M45" i="32"/>
  <c r="E45" i="32"/>
  <c r="G45" i="32"/>
  <c r="C45" i="32"/>
  <c r="F45" i="32"/>
  <c r="D45" i="32"/>
  <c r="H45" i="32"/>
  <c r="B46" i="32"/>
  <c r="E46" i="32" a="1"/>
  <c r="P46" i="32" a="1"/>
  <c r="A46" i="32" a="1"/>
  <c r="D46" i="32" a="1"/>
  <c r="F46" i="32" a="1"/>
  <c r="C46" i="32" a="1"/>
  <c r="O46" i="32" a="1"/>
  <c r="L46" i="32" a="1"/>
  <c r="Q46" i="32" a="1"/>
  <c r="N46" i="32" a="1"/>
  <c r="G46" i="32" a="1"/>
  <c r="M46" i="32" a="1"/>
  <c r="H46" i="32" a="1"/>
  <c r="A46" i="32" l="1"/>
  <c r="L46" i="32"/>
  <c r="M46" i="32"/>
  <c r="O46" i="32"/>
  <c r="Q46" i="32"/>
  <c r="N46" i="32"/>
  <c r="P46" i="32"/>
  <c r="E46" i="32"/>
  <c r="D46" i="32"/>
  <c r="F46" i="32"/>
  <c r="C46" i="32"/>
  <c r="G46" i="32"/>
  <c r="H46" i="32"/>
  <c r="B47" i="32"/>
  <c r="E47" i="32" a="1"/>
  <c r="F47" i="32" a="1"/>
  <c r="P47" i="32" a="1"/>
  <c r="A47" i="32" a="1"/>
  <c r="O47" i="32" a="1"/>
  <c r="M47" i="32" a="1"/>
  <c r="D47" i="32" a="1"/>
  <c r="C47" i="32" a="1"/>
  <c r="L47" i="32" a="1"/>
  <c r="N47" i="32" a="1"/>
  <c r="H47" i="32" a="1"/>
  <c r="G47" i="32" a="1"/>
  <c r="Q47" i="32" a="1"/>
  <c r="A47" i="32" l="1"/>
  <c r="M47" i="32"/>
  <c r="O47" i="32"/>
  <c r="L47" i="32"/>
  <c r="N47" i="32"/>
  <c r="Q47" i="32"/>
  <c r="P47" i="32"/>
  <c r="C47" i="32"/>
  <c r="E47" i="32"/>
  <c r="D47" i="32"/>
  <c r="G47" i="32"/>
  <c r="F47" i="32"/>
  <c r="H47" i="32"/>
  <c r="B48" i="32"/>
  <c r="P48" i="32" a="1"/>
  <c r="L48" i="32" a="1"/>
  <c r="Q48" i="32" a="1"/>
  <c r="D48" i="32" a="1"/>
  <c r="M48" i="32" a="1"/>
  <c r="E48" i="32" a="1"/>
  <c r="F48" i="32" a="1"/>
  <c r="H48" i="32" a="1"/>
  <c r="G48" i="32" a="1"/>
  <c r="O48" i="32" a="1"/>
  <c r="N48" i="32" a="1"/>
  <c r="C48" i="32" a="1"/>
  <c r="A48" i="32" a="1"/>
  <c r="A48" i="32" l="1"/>
  <c r="L48" i="32"/>
  <c r="O48" i="32"/>
  <c r="P48" i="32"/>
  <c r="N48" i="32"/>
  <c r="Q48" i="32"/>
  <c r="M48" i="32"/>
  <c r="E48" i="32"/>
  <c r="F48" i="32"/>
  <c r="C48" i="32"/>
  <c r="G48" i="32"/>
  <c r="D48" i="32"/>
  <c r="H48" i="32"/>
  <c r="B49" i="32"/>
  <c r="M49" i="32" a="1"/>
  <c r="A49" i="32" a="1"/>
  <c r="D49" i="32" a="1"/>
  <c r="N49" i="32" a="1"/>
  <c r="H49" i="32" a="1"/>
  <c r="E49" i="32" a="1"/>
  <c r="O49" i="32" a="1"/>
  <c r="F49" i="32" a="1"/>
  <c r="Q49" i="32" a="1"/>
  <c r="C49" i="32" a="1"/>
  <c r="G49" i="32" a="1"/>
  <c r="P49" i="32" a="1"/>
  <c r="L49" i="32" a="1"/>
  <c r="A49" i="32" l="1"/>
  <c r="O49" i="32"/>
  <c r="Q49" i="32"/>
  <c r="L49" i="32"/>
  <c r="P49" i="32"/>
  <c r="M49" i="32"/>
  <c r="N49" i="32"/>
  <c r="C49" i="32"/>
  <c r="E49" i="32"/>
  <c r="G49" i="32"/>
  <c r="F49" i="32"/>
  <c r="D49" i="32"/>
  <c r="H49" i="32"/>
  <c r="B50" i="32"/>
  <c r="D50" i="32" a="1"/>
  <c r="E50" i="32" a="1"/>
  <c r="L50" i="32" a="1"/>
  <c r="F50" i="32" a="1"/>
  <c r="Q50" i="32" a="1"/>
  <c r="G50" i="32" a="1"/>
  <c r="O50" i="32" a="1"/>
  <c r="C50" i="32" a="1"/>
  <c r="M50" i="32" a="1"/>
  <c r="P50" i="32" a="1"/>
  <c r="A50" i="32" a="1"/>
  <c r="N50" i="32" a="1"/>
  <c r="H50" i="32" a="1"/>
  <c r="A50" i="32" l="1"/>
  <c r="O50" i="32"/>
  <c r="M50" i="32"/>
  <c r="Q50" i="32"/>
  <c r="N50" i="32"/>
  <c r="L50" i="32"/>
  <c r="P50" i="32"/>
  <c r="G50" i="32"/>
  <c r="F50" i="32"/>
  <c r="D50" i="32"/>
  <c r="E50" i="32"/>
  <c r="C50" i="32"/>
  <c r="B51" i="32"/>
  <c r="H50" i="32"/>
  <c r="Q51" i="32" a="1"/>
  <c r="G51" i="32" a="1"/>
  <c r="E51" i="32" a="1"/>
  <c r="F51" i="32" a="1"/>
  <c r="P51" i="32" a="1"/>
  <c r="L51" i="32" a="1"/>
  <c r="N51" i="32" a="1"/>
  <c r="A51" i="32" a="1"/>
  <c r="D51" i="32" a="1"/>
  <c r="M51" i="32" a="1"/>
  <c r="C51" i="32" a="1"/>
  <c r="O51" i="32" a="1"/>
  <c r="A51" i="32" l="1"/>
  <c r="O51" i="32"/>
  <c r="N51" i="32"/>
  <c r="Q51" i="32"/>
  <c r="P51" i="32"/>
  <c r="L51" i="32"/>
  <c r="M51" i="32"/>
  <c r="F51" i="32"/>
  <c r="C51" i="32"/>
  <c r="E51" i="32"/>
  <c r="G51" i="32"/>
  <c r="D51" i="32"/>
  <c r="B52" i="32"/>
  <c r="D52" i="32" a="1"/>
  <c r="G52" i="32" a="1"/>
  <c r="F52" i="32" a="1"/>
  <c r="L52" i="32" a="1"/>
  <c r="N52" i="32" a="1"/>
  <c r="C52" i="32" a="1"/>
  <c r="M52" i="32" a="1"/>
  <c r="A52" i="32" a="1"/>
  <c r="E52" i="32" a="1"/>
  <c r="P52" i="32" a="1"/>
  <c r="Q52" i="32" a="1"/>
  <c r="O52" i="32" a="1"/>
  <c r="A52" i="32" l="1"/>
  <c r="N52" i="32"/>
  <c r="L52" i="32"/>
  <c r="Q52" i="32"/>
  <c r="P52" i="32"/>
  <c r="O52" i="32"/>
  <c r="M52" i="32"/>
  <c r="E52" i="32"/>
  <c r="G52" i="32"/>
  <c r="F52" i="32"/>
  <c r="D52" i="32"/>
  <c r="C52" i="32"/>
  <c r="B53" i="32"/>
  <c r="F53" i="32" a="1"/>
  <c r="D53" i="32" a="1"/>
  <c r="E53" i="32" a="1"/>
  <c r="G53" i="32" a="1"/>
  <c r="L53" i="32" a="1"/>
  <c r="O53" i="32" a="1"/>
  <c r="A53" i="32" a="1"/>
  <c r="C53" i="32" a="1"/>
  <c r="M53" i="32" a="1"/>
  <c r="Q53" i="32" a="1"/>
  <c r="P53" i="32" a="1"/>
  <c r="N53" i="32" a="1"/>
  <c r="A53" i="32" l="1"/>
  <c r="Q53" i="32"/>
  <c r="M53" i="32"/>
  <c r="P53" i="32"/>
  <c r="L53" i="32"/>
  <c r="O53" i="32"/>
  <c r="N53" i="32"/>
  <c r="F53" i="32"/>
  <c r="C53" i="32"/>
  <c r="D53" i="32"/>
  <c r="E53" i="32"/>
  <c r="G53" i="32"/>
  <c r="B54" i="32"/>
  <c r="F54" i="32" a="1"/>
  <c r="D54" i="32" a="1"/>
  <c r="C54" i="32" a="1"/>
  <c r="N54" i="32" a="1"/>
  <c r="Q54" i="32" a="1"/>
  <c r="M54" i="32" a="1"/>
  <c r="E54" i="32" a="1"/>
  <c r="G54" i="32" a="1"/>
  <c r="L54" i="32" a="1"/>
  <c r="P54" i="32" a="1"/>
  <c r="O54" i="32" a="1"/>
  <c r="A54" i="32" a="1"/>
  <c r="A54" i="32" l="1"/>
  <c r="P54" i="32"/>
  <c r="L54" i="32"/>
  <c r="O54" i="32"/>
  <c r="M54" i="32"/>
  <c r="Q54" i="32"/>
  <c r="N54" i="32"/>
  <c r="C54" i="32"/>
  <c r="G54" i="32"/>
  <c r="D54" i="32"/>
  <c r="F54" i="32"/>
  <c r="E54" i="32"/>
  <c r="B55" i="32"/>
  <c r="G55" i="32" a="1"/>
  <c r="M55" i="32" a="1"/>
  <c r="C55" i="32" a="1"/>
  <c r="P55" i="32" a="1"/>
  <c r="L55" i="32" a="1"/>
  <c r="F55" i="32" a="1"/>
  <c r="O55" i="32" a="1"/>
  <c r="A55" i="32" a="1"/>
  <c r="N55" i="32" a="1"/>
  <c r="D55" i="32" a="1"/>
  <c r="E55" i="32" a="1"/>
  <c r="Q55" i="32" a="1"/>
  <c r="A55" i="32" l="1"/>
  <c r="L55" i="32"/>
  <c r="M55" i="32"/>
  <c r="P55" i="32"/>
  <c r="N55" i="32"/>
  <c r="Q55" i="32"/>
  <c r="O55" i="32"/>
  <c r="F55" i="32"/>
  <c r="E55" i="32"/>
  <c r="G55" i="32"/>
  <c r="C55" i="32"/>
  <c r="D55" i="32"/>
  <c r="B56" i="32"/>
  <c r="E56" i="32" a="1"/>
  <c r="M56" i="32" a="1"/>
  <c r="P56" i="32" a="1"/>
  <c r="O56" i="32" a="1"/>
  <c r="C56" i="32" a="1"/>
  <c r="D56" i="32" a="1"/>
  <c r="G56" i="32" a="1"/>
  <c r="Q56" i="32" a="1"/>
  <c r="N56" i="32" a="1"/>
  <c r="F56" i="32" a="1"/>
  <c r="A56" i="32" a="1"/>
  <c r="L56" i="32" a="1"/>
  <c r="A56" i="32" l="1"/>
  <c r="O56" i="32"/>
  <c r="M56" i="32"/>
  <c r="N56" i="32"/>
  <c r="P56" i="32"/>
  <c r="L56" i="32"/>
  <c r="Q56" i="32"/>
  <c r="F56" i="32"/>
  <c r="C56" i="32"/>
  <c r="E56" i="32"/>
  <c r="D56" i="32"/>
  <c r="G56" i="32"/>
  <c r="B57" i="32"/>
  <c r="C57" i="32" a="1"/>
  <c r="G57" i="32" a="1"/>
  <c r="A57" i="32" a="1"/>
  <c r="E57" i="32" a="1"/>
  <c r="M57" i="32" a="1"/>
  <c r="D57" i="32" a="1"/>
  <c r="L57" i="32" a="1"/>
  <c r="N57" i="32" a="1"/>
  <c r="P57" i="32" a="1"/>
  <c r="F57" i="32" a="1"/>
  <c r="O57" i="32" a="1"/>
  <c r="Q57" i="32" a="1"/>
  <c r="A57" i="32" l="1"/>
  <c r="N57" i="32"/>
  <c r="Q57" i="32"/>
  <c r="L57" i="32"/>
  <c r="O57" i="32"/>
  <c r="M57" i="32"/>
  <c r="P57" i="32"/>
  <c r="D57" i="32"/>
  <c r="G57" i="32"/>
  <c r="E57" i="32"/>
  <c r="F57" i="32"/>
  <c r="C57" i="32"/>
  <c r="B58" i="32"/>
  <c r="F58" i="32" a="1"/>
  <c r="O58" i="32" a="1"/>
  <c r="M58" i="32" a="1"/>
  <c r="D58" i="32" a="1"/>
  <c r="E58" i="32" a="1"/>
  <c r="Q58" i="32" a="1"/>
  <c r="N58" i="32" a="1"/>
  <c r="C58" i="32" a="1"/>
  <c r="A58" i="32" a="1"/>
  <c r="L58" i="32" a="1"/>
  <c r="P58" i="32" a="1"/>
  <c r="G58" i="32" a="1"/>
  <c r="A58" i="32" l="1"/>
  <c r="Q58" i="32"/>
  <c r="N58" i="32"/>
  <c r="O58" i="32"/>
  <c r="P58" i="32"/>
  <c r="M58" i="32"/>
  <c r="L58" i="32"/>
  <c r="E58" i="32"/>
  <c r="C58" i="32"/>
  <c r="D58" i="32"/>
  <c r="G58" i="32"/>
  <c r="F58" i="32"/>
  <c r="B59" i="32"/>
  <c r="D59" i="32" a="1"/>
  <c r="F59" i="32" a="1"/>
  <c r="C59" i="32" a="1"/>
  <c r="P59" i="32" a="1"/>
  <c r="Q59" i="32" a="1"/>
  <c r="A59" i="32" a="1"/>
  <c r="E59" i="32" a="1"/>
  <c r="L59" i="32" a="1"/>
  <c r="N59" i="32" a="1"/>
  <c r="O59" i="32" a="1"/>
  <c r="G59" i="32" a="1"/>
  <c r="M59" i="32" a="1"/>
  <c r="A59" i="32" l="1"/>
  <c r="L59" i="32"/>
  <c r="N59" i="32"/>
  <c r="M59" i="32"/>
  <c r="O59" i="32"/>
  <c r="Q59" i="32"/>
  <c r="P59" i="32"/>
  <c r="D59" i="32"/>
  <c r="C59" i="32"/>
  <c r="F59" i="32"/>
  <c r="G59" i="32"/>
  <c r="E59" i="32"/>
  <c r="B60" i="32"/>
  <c r="N60" i="32" a="1"/>
  <c r="G60" i="32" a="1"/>
  <c r="D60" i="32" a="1"/>
  <c r="E60" i="32" a="1"/>
  <c r="C60" i="32" a="1"/>
  <c r="P60" i="32" a="1"/>
  <c r="Q60" i="32" a="1"/>
  <c r="F60" i="32" a="1"/>
  <c r="O60" i="32" a="1"/>
  <c r="M60" i="32" a="1"/>
  <c r="A60" i="32" a="1"/>
  <c r="L60" i="32" a="1"/>
  <c r="A60" i="32" l="1"/>
  <c r="P60" i="32"/>
  <c r="O60" i="32"/>
  <c r="Q60" i="32"/>
  <c r="N60" i="32"/>
  <c r="L60" i="32"/>
  <c r="M60" i="32"/>
  <c r="D60" i="32"/>
  <c r="G60" i="32"/>
  <c r="E60" i="32"/>
  <c r="F60" i="32"/>
  <c r="C60" i="32"/>
  <c r="B61" i="32"/>
  <c r="O61" i="32" a="1"/>
  <c r="N61" i="32" a="1"/>
  <c r="Q61" i="32" a="1"/>
  <c r="D61" i="32" a="1"/>
  <c r="M61" i="32" a="1"/>
  <c r="P61" i="32" a="1"/>
  <c r="F61" i="32" a="1"/>
  <c r="E61" i="32" a="1"/>
  <c r="L61" i="32" a="1"/>
  <c r="C61" i="32" a="1"/>
  <c r="A61" i="32" a="1"/>
  <c r="G61" i="32" a="1"/>
  <c r="A61" i="32" l="1"/>
  <c r="L61" i="32"/>
  <c r="Q61" i="32"/>
  <c r="N61" i="32"/>
  <c r="P61" i="32"/>
  <c r="O61" i="32"/>
  <c r="M61" i="32"/>
  <c r="C61" i="32"/>
  <c r="F61" i="32"/>
  <c r="D61" i="32"/>
  <c r="E61" i="32"/>
  <c r="G61" i="32"/>
  <c r="B62" i="32"/>
  <c r="D62" i="32" a="1"/>
  <c r="F62" i="32" a="1"/>
  <c r="Q62" i="32" a="1"/>
  <c r="M62" i="32" a="1"/>
  <c r="E62" i="32" a="1"/>
  <c r="A62" i="32" a="1"/>
  <c r="O62" i="32" a="1"/>
  <c r="N62" i="32" a="1"/>
  <c r="P62" i="32" a="1"/>
  <c r="L62" i="32" a="1"/>
  <c r="G62" i="32" a="1"/>
  <c r="C62" i="32" a="1"/>
  <c r="A62" i="32" l="1"/>
  <c r="Q62" i="32"/>
  <c r="O62" i="32"/>
  <c r="L62" i="32"/>
  <c r="N62" i="32"/>
  <c r="M62" i="32"/>
  <c r="P62" i="32"/>
  <c r="D62" i="32"/>
  <c r="G62" i="32"/>
  <c r="E62" i="32"/>
  <c r="C62" i="32"/>
  <c r="F62" i="32"/>
  <c r="B63" i="32"/>
  <c r="M63" i="32" a="1"/>
  <c r="F63" i="32" a="1"/>
  <c r="Q63" i="32" a="1"/>
  <c r="C63" i="32" a="1"/>
  <c r="D63" i="32" a="1"/>
  <c r="G63" i="32" a="1"/>
  <c r="N63" i="32" a="1"/>
  <c r="P63" i="32" a="1"/>
  <c r="O63" i="32" a="1"/>
  <c r="L63" i="32" a="1"/>
  <c r="A63" i="32" a="1"/>
  <c r="E63" i="32" a="1"/>
  <c r="A63" i="32" l="1"/>
  <c r="P63" i="32"/>
  <c r="Q63" i="32"/>
  <c r="L63" i="32"/>
  <c r="N63" i="32"/>
  <c r="M63" i="32"/>
  <c r="O63" i="32"/>
  <c r="E63" i="32"/>
  <c r="F63" i="32"/>
  <c r="D63" i="32"/>
  <c r="G63" i="32"/>
  <c r="C63" i="32"/>
  <c r="B64" i="32"/>
  <c r="L64" i="32" a="1"/>
  <c r="Q64" i="32" a="1"/>
  <c r="M64" i="32" a="1"/>
  <c r="E64" i="32" a="1"/>
  <c r="A64" i="32" a="1"/>
  <c r="C64" i="32" a="1"/>
  <c r="F64" i="32" a="1"/>
  <c r="N64" i="32" a="1"/>
  <c r="G64" i="32" a="1"/>
  <c r="O64" i="32" a="1"/>
  <c r="P64" i="32" a="1"/>
  <c r="D64" i="32" a="1"/>
  <c r="A64" i="32" l="1"/>
  <c r="L64" i="32"/>
  <c r="N64" i="32"/>
  <c r="P64" i="32"/>
  <c r="Q64" i="32"/>
  <c r="M64" i="32"/>
  <c r="O64" i="32"/>
  <c r="D64" i="32"/>
  <c r="F64" i="32"/>
  <c r="C64" i="32"/>
  <c r="G64" i="32"/>
  <c r="E64" i="32"/>
  <c r="B65" i="32"/>
  <c r="Q65" i="32" a="1"/>
  <c r="D65" i="32" a="1"/>
  <c r="L65" i="32" a="1"/>
  <c r="A65" i="32" a="1"/>
  <c r="F65" i="32" a="1"/>
  <c r="O65" i="32" a="1"/>
  <c r="E65" i="32" a="1"/>
  <c r="C65" i="32" a="1"/>
  <c r="P65" i="32" a="1"/>
  <c r="N65" i="32" a="1"/>
  <c r="G65" i="32" a="1"/>
  <c r="M65" i="32" a="1"/>
  <c r="A65" i="32" l="1"/>
  <c r="M65" i="32"/>
  <c r="L65" i="32"/>
  <c r="N65" i="32"/>
  <c r="O65" i="32"/>
  <c r="P65" i="32"/>
  <c r="Q65" i="32"/>
  <c r="E65" i="32"/>
  <c r="G65" i="32"/>
  <c r="D65" i="32"/>
  <c r="C65" i="32"/>
  <c r="F65" i="32"/>
  <c r="B66" i="32"/>
  <c r="D66" i="32" a="1"/>
  <c r="Q66" i="32" a="1"/>
  <c r="L66" i="32" a="1"/>
  <c r="O66" i="32" a="1"/>
  <c r="P66" i="32" a="1"/>
  <c r="N66" i="32" a="1"/>
  <c r="E66" i="32" a="1"/>
  <c r="C66" i="32" a="1"/>
  <c r="A66" i="32" a="1"/>
  <c r="M66" i="32" a="1"/>
  <c r="F66" i="32" a="1"/>
  <c r="G66" i="32" a="1"/>
  <c r="A66" i="32" l="1"/>
  <c r="L66" i="32"/>
  <c r="M66" i="32"/>
  <c r="O66" i="32"/>
  <c r="Q66" i="32"/>
  <c r="N66" i="32"/>
  <c r="P66" i="32"/>
  <c r="F66" i="32"/>
  <c r="E66" i="32"/>
  <c r="C66" i="32"/>
  <c r="D66" i="32"/>
  <c r="G66" i="32"/>
  <c r="B67" i="32"/>
  <c r="N67" i="32" a="1"/>
  <c r="O67" i="32" a="1"/>
  <c r="Q67" i="32" a="1"/>
  <c r="E67" i="32" a="1"/>
  <c r="L67" i="32" a="1"/>
  <c r="P67" i="32" a="1"/>
  <c r="M67" i="32" a="1"/>
  <c r="F67" i="32" a="1"/>
  <c r="C67" i="32" a="1"/>
  <c r="A67" i="32" a="1"/>
  <c r="D67" i="32" a="1"/>
  <c r="G67" i="32" a="1"/>
  <c r="A67" i="32" l="1"/>
  <c r="P67" i="32"/>
  <c r="M67" i="32"/>
  <c r="N67" i="32"/>
  <c r="O67" i="32"/>
  <c r="L67" i="32"/>
  <c r="Q67" i="32"/>
  <c r="D67" i="32"/>
  <c r="G67" i="32"/>
  <c r="C67" i="32"/>
  <c r="F67" i="32"/>
  <c r="E67" i="32"/>
  <c r="B68" i="32"/>
  <c r="Q68" i="32" a="1"/>
  <c r="O68" i="32" a="1"/>
  <c r="G68" i="32" a="1"/>
  <c r="M68" i="32" a="1"/>
  <c r="A68" i="32" a="1"/>
  <c r="C68" i="32" a="1"/>
  <c r="D68" i="32" a="1"/>
  <c r="F68" i="32" a="1"/>
  <c r="L68" i="32" a="1"/>
  <c r="N68" i="32" a="1"/>
  <c r="P68" i="32" a="1"/>
  <c r="E68" i="32" a="1"/>
  <c r="A68" i="32" l="1"/>
  <c r="N68" i="32"/>
  <c r="L68" i="32"/>
  <c r="O68" i="32"/>
  <c r="M68" i="32"/>
  <c r="P68" i="32"/>
  <c r="Q68" i="32"/>
  <c r="F68" i="32"/>
  <c r="D68" i="32"/>
  <c r="G68" i="32"/>
  <c r="E68" i="32"/>
  <c r="C68" i="32"/>
  <c r="B69" i="32"/>
  <c r="M69" i="32" a="1"/>
  <c r="D69" i="32" a="1"/>
  <c r="G69" i="32" a="1"/>
  <c r="P69" i="32" a="1"/>
  <c r="L69" i="32" a="1"/>
  <c r="Q69" i="32" a="1"/>
  <c r="N69" i="32" a="1"/>
  <c r="A69" i="32" a="1"/>
  <c r="F69" i="32" a="1"/>
  <c r="O69" i="32" a="1"/>
  <c r="C69" i="32" a="1"/>
  <c r="E69" i="32" a="1"/>
  <c r="A69" i="32" l="1"/>
  <c r="O69" i="32"/>
  <c r="L69" i="32"/>
  <c r="P69" i="32"/>
  <c r="N69" i="32"/>
  <c r="Q69" i="32"/>
  <c r="M69" i="32"/>
  <c r="D69" i="32"/>
  <c r="G69" i="32"/>
  <c r="C69" i="32"/>
  <c r="E69" i="32"/>
  <c r="F69" i="32"/>
  <c r="B70" i="32"/>
  <c r="L70" i="32" a="1"/>
  <c r="O70" i="32" a="1"/>
  <c r="F70" i="32" a="1"/>
  <c r="P70" i="32" a="1"/>
  <c r="Q70" i="32" a="1"/>
  <c r="E70" i="32" a="1"/>
  <c r="N70" i="32" a="1"/>
  <c r="C70" i="32" a="1"/>
  <c r="D70" i="32" a="1"/>
  <c r="G70" i="32" a="1"/>
  <c r="M70" i="32" a="1"/>
  <c r="A70" i="32" a="1"/>
  <c r="A70" i="32" l="1"/>
  <c r="Q70" i="32"/>
  <c r="M70" i="32"/>
  <c r="L70" i="32"/>
  <c r="O70" i="32"/>
  <c r="N70" i="32"/>
  <c r="P70" i="32"/>
  <c r="E70" i="32"/>
  <c r="D70" i="32"/>
  <c r="F70" i="32"/>
  <c r="C70" i="32"/>
  <c r="G70" i="32"/>
  <c r="B71" i="32"/>
  <c r="E71" i="32" a="1"/>
  <c r="L71" i="32" a="1"/>
  <c r="D71" i="32" a="1"/>
  <c r="G71" i="32" a="1"/>
  <c r="O71" i="32" a="1"/>
  <c r="C71" i="32" a="1"/>
  <c r="N71" i="32" a="1"/>
  <c r="A71" i="32" a="1"/>
  <c r="Q71" i="32" a="1"/>
  <c r="F71" i="32" a="1"/>
  <c r="M71" i="32" a="1"/>
  <c r="P71" i="32" a="1"/>
  <c r="A71" i="32" l="1"/>
  <c r="B72" i="32"/>
  <c r="P71" i="32"/>
  <c r="Q71" i="32"/>
  <c r="M71" i="32"/>
  <c r="O71" i="32"/>
  <c r="N71" i="32"/>
  <c r="L71" i="32"/>
  <c r="C71" i="32"/>
  <c r="F71" i="32"/>
  <c r="E71" i="32"/>
  <c r="G71" i="32"/>
  <c r="D71" i="32"/>
  <c r="E72" i="32" a="1"/>
  <c r="M72" i="32" a="1"/>
  <c r="L72" i="32" a="1"/>
  <c r="N72" i="32" a="1"/>
  <c r="O72" i="32" a="1"/>
  <c r="A72" i="32" a="1"/>
  <c r="D72" i="32" a="1"/>
  <c r="P72" i="32" a="1"/>
  <c r="Q72" i="32" a="1"/>
  <c r="F72" i="32" a="1"/>
  <c r="G72" i="32" a="1"/>
  <c r="C72" i="32" a="1"/>
  <c r="A72" i="32" l="1"/>
  <c r="L72" i="32"/>
  <c r="C72" i="32"/>
  <c r="G72" i="32"/>
  <c r="N72" i="32"/>
  <c r="E72" i="32"/>
  <c r="P72" i="32"/>
  <c r="F72" i="32"/>
  <c r="O72" i="32"/>
  <c r="D72" i="32"/>
  <c r="M72" i="32"/>
  <c r="Q72" i="32"/>
  <c r="B73" i="32"/>
  <c r="E73" i="32" a="1"/>
  <c r="P73" i="32" a="1"/>
  <c r="A73" i="32" a="1"/>
  <c r="N73" i="32" a="1"/>
  <c r="Q73" i="32" a="1"/>
  <c r="D73" i="32" a="1"/>
  <c r="L73" i="32" a="1"/>
  <c r="M73" i="32" a="1"/>
  <c r="F73" i="32" a="1"/>
  <c r="G73" i="32" a="1"/>
  <c r="C73" i="32" a="1"/>
  <c r="O73" i="32" a="1"/>
  <c r="A73" i="32" l="1"/>
  <c r="L73" i="32"/>
  <c r="C73" i="32"/>
  <c r="G73" i="32"/>
  <c r="N73" i="32"/>
  <c r="E73" i="32"/>
  <c r="Q73" i="32"/>
  <c r="P73" i="32"/>
  <c r="F73" i="32"/>
  <c r="O73" i="32"/>
  <c r="D73" i="32"/>
  <c r="M73" i="32"/>
  <c r="B74" i="32"/>
  <c r="C74" i="32" a="1"/>
  <c r="L74" i="32" a="1"/>
  <c r="A74" i="32" a="1"/>
  <c r="Q74" i="32" a="1"/>
  <c r="G74" i="32" a="1"/>
  <c r="P74" i="32" a="1"/>
  <c r="O74" i="32" a="1"/>
  <c r="E74" i="32" a="1"/>
  <c r="N74" i="32" a="1"/>
  <c r="D74" i="32" a="1"/>
  <c r="M74" i="32" a="1"/>
  <c r="F74" i="32" a="1"/>
  <c r="A74" i="32" l="1"/>
  <c r="L74" i="32"/>
  <c r="C74" i="32"/>
  <c r="G74" i="32"/>
  <c r="N74" i="32"/>
  <c r="E74" i="32"/>
  <c r="P74" i="32"/>
  <c r="F74" i="32"/>
  <c r="O74" i="32"/>
  <c r="D74" i="32"/>
  <c r="M74" i="32"/>
  <c r="Q74" i="32"/>
  <c r="B75" i="32"/>
  <c r="F75" i="32" a="1"/>
  <c r="G75" i="32" a="1"/>
  <c r="M75" i="32" a="1"/>
  <c r="E75" i="32" a="1"/>
  <c r="L75" i="32" a="1"/>
  <c r="D75" i="32" a="1"/>
  <c r="P75" i="32" a="1"/>
  <c r="N75" i="32" a="1"/>
  <c r="O75" i="32" a="1"/>
  <c r="Q75" i="32" a="1"/>
  <c r="C75" i="32" a="1"/>
  <c r="A75" i="32" a="1"/>
  <c r="A75" i="32" l="1"/>
  <c r="L75" i="32"/>
  <c r="C75" i="32"/>
  <c r="G75" i="32"/>
  <c r="N75" i="32"/>
  <c r="E75" i="32"/>
  <c r="Q75" i="32"/>
  <c r="P75" i="32"/>
  <c r="F75" i="32"/>
  <c r="O75" i="32"/>
  <c r="M75" i="32"/>
  <c r="D75" i="32"/>
  <c r="B76" i="32"/>
  <c r="D76" i="32" a="1"/>
  <c r="E76" i="32" a="1"/>
  <c r="Q76" i="32" a="1"/>
  <c r="F76" i="32" a="1"/>
  <c r="A76" i="32" a="1"/>
  <c r="O76" i="32" a="1"/>
  <c r="L76" i="32" a="1"/>
  <c r="M76" i="32" a="1"/>
  <c r="C76" i="32" a="1"/>
  <c r="G76" i="32" a="1"/>
  <c r="P76" i="32" a="1"/>
  <c r="N76" i="32" a="1"/>
  <c r="A76" i="32" l="1"/>
  <c r="M76" i="32"/>
  <c r="Q76" i="32"/>
  <c r="L76" i="32"/>
  <c r="C76" i="32"/>
  <c r="G76" i="32"/>
  <c r="N76" i="32"/>
  <c r="E76" i="32"/>
  <c r="P76" i="32"/>
  <c r="F76" i="32"/>
  <c r="D76" i="32"/>
  <c r="O76" i="32"/>
  <c r="B77" i="32"/>
  <c r="D77" i="32" a="1"/>
  <c r="P77" i="32" a="1"/>
  <c r="F77" i="32" a="1"/>
  <c r="E77" i="32" a="1"/>
  <c r="G77" i="32" a="1"/>
  <c r="M77" i="32" a="1"/>
  <c r="A77" i="32" a="1"/>
  <c r="O77" i="32" a="1"/>
  <c r="L77" i="32" a="1"/>
  <c r="Q77" i="32" a="1"/>
  <c r="N77" i="32" a="1"/>
  <c r="C77" i="32" a="1"/>
  <c r="A77" i="32" l="1"/>
  <c r="D77" i="32"/>
  <c r="M77" i="32"/>
  <c r="G77" i="32"/>
  <c r="L77" i="32"/>
  <c r="C77" i="32"/>
  <c r="N77" i="32"/>
  <c r="E77" i="32"/>
  <c r="Q77" i="32"/>
  <c r="P77" i="32"/>
  <c r="O77" i="32"/>
  <c r="F77" i="32"/>
  <c r="B78" i="32"/>
  <c r="C78" i="32" a="1"/>
  <c r="F78" i="32" a="1"/>
  <c r="A78" i="32" a="1"/>
  <c r="G78" i="32" a="1"/>
  <c r="D78" i="32" a="1"/>
  <c r="M78" i="32" a="1"/>
  <c r="P78" i="32" a="1"/>
  <c r="E78" i="32" a="1"/>
  <c r="O78" i="32" a="1"/>
  <c r="Q78" i="32" a="1"/>
  <c r="N78" i="32" a="1"/>
  <c r="L78" i="32" a="1"/>
  <c r="A78" i="32" l="1"/>
  <c r="O78" i="32"/>
  <c r="D78" i="32"/>
  <c r="M78" i="32"/>
  <c r="L78" i="32"/>
  <c r="C78" i="32"/>
  <c r="G78" i="32"/>
  <c r="N78" i="32"/>
  <c r="E78" i="32"/>
  <c r="Q78" i="32"/>
  <c r="P78" i="32"/>
  <c r="F78" i="32"/>
  <c r="B79" i="32"/>
  <c r="C79" i="32" a="1"/>
  <c r="O79" i="32" a="1"/>
  <c r="F79" i="32" a="1"/>
  <c r="G79" i="32" a="1"/>
  <c r="M79" i="32" a="1"/>
  <c r="D79" i="32" a="1"/>
  <c r="P79" i="32" a="1"/>
  <c r="N79" i="32" a="1"/>
  <c r="L79" i="32" a="1"/>
  <c r="A79" i="32" a="1"/>
  <c r="E79" i="32" a="1"/>
  <c r="Q79" i="32" a="1"/>
  <c r="A79" i="32" l="1"/>
  <c r="F79" i="32"/>
  <c r="O79" i="32"/>
  <c r="D79" i="32"/>
  <c r="M79" i="32"/>
  <c r="Q79" i="32"/>
  <c r="L79" i="32"/>
  <c r="C79" i="32"/>
  <c r="G79" i="32"/>
  <c r="N79" i="32"/>
  <c r="E79" i="32"/>
  <c r="P79" i="32"/>
  <c r="B80" i="32"/>
  <c r="P80" i="32" a="1"/>
  <c r="G80" i="32" a="1"/>
  <c r="D80" i="32" a="1"/>
  <c r="F80" i="32" a="1"/>
  <c r="L80" i="32" a="1"/>
  <c r="A80" i="32" a="1"/>
  <c r="E80" i="32" a="1"/>
  <c r="C80" i="32" a="1"/>
  <c r="M80" i="32" a="1"/>
  <c r="O80" i="32" a="1"/>
  <c r="Q80" i="32" a="1"/>
  <c r="N80" i="32" a="1"/>
  <c r="A80" i="32" l="1"/>
  <c r="P80" i="32"/>
  <c r="F80" i="32"/>
  <c r="O80" i="32"/>
  <c r="D80" i="32"/>
  <c r="M80" i="32"/>
  <c r="Q80" i="32"/>
  <c r="G80" i="32"/>
  <c r="L80" i="32"/>
  <c r="C80" i="32"/>
  <c r="N80" i="32"/>
  <c r="E80" i="32"/>
  <c r="B81" i="32"/>
  <c r="Q81" i="32" a="1"/>
  <c r="N81" i="32" a="1"/>
  <c r="A81" i="32" a="1"/>
  <c r="O81" i="32" a="1"/>
  <c r="P81" i="32" a="1"/>
  <c r="G81" i="32" a="1"/>
  <c r="L81" i="32" a="1"/>
  <c r="E81" i="32" a="1"/>
  <c r="F81" i="32" a="1"/>
  <c r="C81" i="32" a="1"/>
  <c r="D81" i="32" a="1"/>
  <c r="M81" i="32" a="1"/>
  <c r="A81" i="32" l="1"/>
  <c r="Q81" i="32"/>
  <c r="P81" i="32"/>
  <c r="F81" i="32"/>
  <c r="O81" i="32"/>
  <c r="D81" i="32"/>
  <c r="M81" i="32"/>
  <c r="L81" i="32"/>
  <c r="C81" i="32"/>
  <c r="G81" i="32"/>
  <c r="N81" i="32"/>
  <c r="E81" i="32"/>
  <c r="B82" i="32"/>
  <c r="G82" i="32" a="1"/>
  <c r="Q82" i="32" a="1"/>
  <c r="L82" i="32" a="1"/>
  <c r="P82" i="32" a="1"/>
  <c r="F82" i="32" a="1"/>
  <c r="M82" i="32" a="1"/>
  <c r="A82" i="32" a="1"/>
  <c r="D82" i="32" a="1"/>
  <c r="N82" i="32" a="1"/>
  <c r="O82" i="32" a="1"/>
  <c r="E82" i="32" a="1"/>
  <c r="C82" i="32" a="1"/>
  <c r="A82" i="32" l="1"/>
  <c r="P82" i="32"/>
  <c r="F82" i="32"/>
  <c r="O82" i="32"/>
  <c r="D82" i="32"/>
  <c r="M82" i="32"/>
  <c r="E82" i="32"/>
  <c r="Q82" i="32"/>
  <c r="L82" i="32"/>
  <c r="C82" i="32"/>
  <c r="G82" i="32"/>
  <c r="N82" i="32"/>
  <c r="B83" i="32"/>
  <c r="D83" i="32" a="1"/>
  <c r="C83" i="32" a="1"/>
  <c r="Q83" i="32" a="1"/>
  <c r="G83" i="32" a="1"/>
  <c r="P83" i="32" a="1"/>
  <c r="O83" i="32" a="1"/>
  <c r="M83" i="32" a="1"/>
  <c r="E83" i="32" a="1"/>
  <c r="F83" i="32" a="1"/>
  <c r="N83" i="32" a="1"/>
  <c r="L83" i="32" a="1"/>
  <c r="A83" i="32" a="1"/>
  <c r="A83" i="32" l="1"/>
  <c r="E83" i="32"/>
  <c r="D83" i="32"/>
  <c r="P83" i="32"/>
  <c r="F83" i="32"/>
  <c r="N83" i="32"/>
  <c r="O83" i="32"/>
  <c r="Q83" i="32"/>
  <c r="M83" i="32"/>
  <c r="C83" i="32"/>
  <c r="G83" i="32"/>
  <c r="L83" i="32"/>
  <c r="B84" i="32"/>
  <c r="A84" i="32" a="1"/>
  <c r="O84" i="32" a="1"/>
  <c r="G84" i="32" a="1"/>
  <c r="N84" i="32" a="1"/>
  <c r="D84" i="32" a="1"/>
  <c r="P84" i="32" a="1"/>
  <c r="F84" i="32" a="1"/>
  <c r="Q84" i="32" a="1"/>
  <c r="C84" i="32" a="1"/>
  <c r="M84" i="32" a="1"/>
  <c r="E84" i="32" a="1"/>
  <c r="L84" i="32" a="1"/>
  <c r="A84" i="32" l="1"/>
  <c r="L84" i="32"/>
  <c r="N84" i="32"/>
  <c r="C84" i="32"/>
  <c r="G84" i="32"/>
  <c r="E84" i="32"/>
  <c r="Q84" i="32"/>
  <c r="P84" i="32"/>
  <c r="F84" i="32"/>
  <c r="O84" i="32"/>
  <c r="M84" i="32"/>
  <c r="D84" i="32"/>
  <c r="B85" i="32"/>
  <c r="O85" i="32" a="1"/>
  <c r="C85" i="32" a="1"/>
  <c r="D85" i="32" a="1"/>
  <c r="F85" i="32" a="1"/>
  <c r="L85" i="32" a="1"/>
  <c r="E85" i="32" a="1"/>
  <c r="M85" i="32" a="1"/>
  <c r="Q85" i="32" a="1"/>
  <c r="N85" i="32" a="1"/>
  <c r="A85" i="32" a="1"/>
  <c r="G85" i="32" a="1"/>
  <c r="P85" i="32" a="1"/>
  <c r="A85" i="32" l="1"/>
  <c r="L85" i="32"/>
  <c r="N85" i="32"/>
  <c r="C85" i="32"/>
  <c r="G85" i="32"/>
  <c r="E85" i="32"/>
  <c r="P85" i="32"/>
  <c r="D85" i="32"/>
  <c r="F85" i="32"/>
  <c r="O85" i="32"/>
  <c r="Q85" i="32"/>
  <c r="M85" i="32"/>
  <c r="B86" i="32"/>
  <c r="Q86" i="32" a="1"/>
  <c r="E86" i="32" a="1"/>
  <c r="M86" i="32" a="1"/>
  <c r="F86" i="32" a="1"/>
  <c r="N86" i="32" a="1"/>
  <c r="A86" i="32" a="1"/>
  <c r="P86" i="32" a="1"/>
  <c r="G86" i="32" a="1"/>
  <c r="L86" i="32" a="1"/>
  <c r="D86" i="32" a="1"/>
  <c r="C86" i="32" a="1"/>
  <c r="O86" i="32" a="1"/>
  <c r="A86" i="32" l="1"/>
  <c r="L86" i="32"/>
  <c r="N86" i="32"/>
  <c r="C86" i="32"/>
  <c r="G86" i="32"/>
  <c r="E86" i="32"/>
  <c r="P86" i="32"/>
  <c r="Q86" i="32"/>
  <c r="D86" i="32"/>
  <c r="F86" i="32"/>
  <c r="O86" i="32"/>
  <c r="M86" i="32"/>
  <c r="B87" i="32"/>
  <c r="P87" i="32" a="1"/>
  <c r="C87" i="32" a="1"/>
  <c r="F87" i="32" a="1"/>
  <c r="A87" i="32" a="1"/>
  <c r="E87" i="32" a="1"/>
  <c r="D87" i="32" a="1"/>
  <c r="O87" i="32" a="1"/>
  <c r="L87" i="32" a="1"/>
  <c r="G87" i="32" a="1"/>
  <c r="M87" i="32" a="1"/>
  <c r="Q87" i="32" a="1"/>
  <c r="N87" i="32" a="1"/>
  <c r="A87" i="32" l="1"/>
  <c r="Q87" i="32"/>
  <c r="L87" i="32"/>
  <c r="N87" i="32"/>
  <c r="C87" i="32"/>
  <c r="G87" i="32"/>
  <c r="E87" i="32"/>
  <c r="D87" i="32"/>
  <c r="P87" i="32"/>
  <c r="M87" i="32"/>
  <c r="F87" i="32"/>
  <c r="O87" i="32"/>
  <c r="B88" i="32"/>
  <c r="N88" i="32" a="1"/>
  <c r="D88" i="32" a="1"/>
  <c r="P88" i="32" a="1"/>
  <c r="C88" i="32" a="1"/>
  <c r="O88" i="32" a="1"/>
  <c r="F88" i="32" a="1"/>
  <c r="L88" i="32" a="1"/>
  <c r="A88" i="32" a="1"/>
  <c r="Q88" i="32" a="1"/>
  <c r="G88" i="32" a="1"/>
  <c r="E88" i="32" a="1"/>
  <c r="M88" i="32" a="1"/>
  <c r="A88" i="32" l="1"/>
  <c r="Q88" i="32"/>
  <c r="L88" i="32"/>
  <c r="C88" i="32"/>
  <c r="G88" i="32"/>
  <c r="E88" i="32"/>
  <c r="N88" i="32"/>
  <c r="P88" i="32"/>
  <c r="M88" i="32"/>
  <c r="D88" i="32"/>
  <c r="F88" i="32"/>
  <c r="O88" i="32"/>
  <c r="B89" i="32"/>
  <c r="Q89" i="32" a="1"/>
  <c r="A89" i="32" a="1"/>
  <c r="M89" i="32" a="1"/>
  <c r="P89" i="32" a="1"/>
  <c r="G89" i="32" a="1"/>
  <c r="N89" i="32" a="1"/>
  <c r="O89" i="32" a="1"/>
  <c r="D89" i="32" a="1"/>
  <c r="E89" i="32" a="1"/>
  <c r="L89" i="32" a="1"/>
  <c r="C89" i="32" a="1"/>
  <c r="F89" i="32" a="1"/>
  <c r="A89" i="32" l="1"/>
  <c r="G89" i="32"/>
  <c r="Q89" i="32"/>
  <c r="N89" i="32"/>
  <c r="C89" i="32"/>
  <c r="L89" i="32"/>
  <c r="E89" i="32"/>
  <c r="P89" i="32"/>
  <c r="M89" i="32"/>
  <c r="D89" i="32"/>
  <c r="F89" i="32"/>
  <c r="O89" i="32"/>
  <c r="B90" i="32"/>
  <c r="N90" i="32" a="1"/>
  <c r="E90" i="32" a="1"/>
  <c r="P90" i="32" a="1"/>
  <c r="G90" i="32" a="1"/>
  <c r="L90" i="32" a="1"/>
  <c r="A90" i="32" a="1"/>
  <c r="C90" i="32" a="1"/>
  <c r="F90" i="32" a="1"/>
  <c r="O90" i="32" a="1"/>
  <c r="M90" i="32" a="1"/>
  <c r="D90" i="32" a="1"/>
  <c r="Q90" i="32" a="1"/>
  <c r="A90" i="32" l="1"/>
  <c r="O90" i="32"/>
  <c r="D90" i="32"/>
  <c r="N90" i="32"/>
  <c r="E90" i="32"/>
  <c r="L90" i="32"/>
  <c r="C90" i="32"/>
  <c r="G90" i="32"/>
  <c r="F90" i="32"/>
  <c r="Q90" i="32"/>
  <c r="M90" i="32"/>
  <c r="P90" i="32"/>
  <c r="B91" i="32"/>
  <c r="G91" i="32" a="1"/>
  <c r="F91" i="32" a="1"/>
  <c r="O91" i="32" a="1"/>
  <c r="E91" i="32" a="1"/>
  <c r="P91" i="32" a="1"/>
  <c r="A91" i="32" a="1"/>
  <c r="N91" i="32" a="1"/>
  <c r="D91" i="32" a="1"/>
  <c r="C91" i="32" a="1"/>
  <c r="Q91" i="32" a="1"/>
  <c r="M91" i="32" a="1"/>
  <c r="L91" i="32" a="1"/>
  <c r="A91" i="32" l="1"/>
  <c r="M91" i="32"/>
  <c r="F91" i="32"/>
  <c r="O91" i="32"/>
  <c r="Q91" i="32"/>
  <c r="N91" i="32"/>
  <c r="E91" i="32"/>
  <c r="L91" i="32"/>
  <c r="C91" i="32"/>
  <c r="G91" i="32"/>
  <c r="P91" i="32"/>
  <c r="D91" i="32"/>
  <c r="B92" i="32"/>
  <c r="D92" i="32" a="1"/>
  <c r="L92" i="32" a="1"/>
  <c r="Q92" i="32" a="1"/>
  <c r="F92" i="32" a="1"/>
  <c r="O92" i="32" a="1"/>
  <c r="P92" i="32" a="1"/>
  <c r="C92" i="32" a="1"/>
  <c r="N92" i="32" a="1"/>
  <c r="M92" i="32" a="1"/>
  <c r="G92" i="32" a="1"/>
  <c r="A92" i="32" a="1"/>
  <c r="E92" i="32" a="1"/>
  <c r="A92" i="32" l="1"/>
  <c r="P92" i="32"/>
  <c r="F92" i="32"/>
  <c r="M92" i="32"/>
  <c r="O92" i="32"/>
  <c r="D92" i="32"/>
  <c r="G92" i="32"/>
  <c r="N92" i="32"/>
  <c r="E92" i="32"/>
  <c r="Q92" i="32"/>
  <c r="L92" i="32"/>
  <c r="C92" i="32"/>
  <c r="B93" i="32"/>
  <c r="P93" i="32" a="1"/>
  <c r="A93" i="32" a="1"/>
  <c r="D93" i="32" a="1"/>
  <c r="F93" i="32" a="1"/>
  <c r="G93" i="32" a="1"/>
  <c r="L93" i="32" a="1"/>
  <c r="E93" i="32" a="1"/>
  <c r="N93" i="32" a="1"/>
  <c r="C93" i="32" a="1"/>
  <c r="M93" i="32" a="1"/>
  <c r="O93" i="32" a="1"/>
  <c r="Q93" i="32" a="1"/>
  <c r="A93" i="32" l="1"/>
  <c r="D93" i="32"/>
  <c r="P93" i="32"/>
  <c r="F93" i="32"/>
  <c r="M93" i="32"/>
  <c r="O93" i="32"/>
  <c r="E93" i="32"/>
  <c r="N93" i="32"/>
  <c r="L93" i="32"/>
  <c r="Q93" i="32"/>
  <c r="C93" i="32"/>
  <c r="G93" i="32"/>
  <c r="B94" i="32"/>
  <c r="C94" i="32" a="1"/>
  <c r="G94" i="32" a="1"/>
  <c r="L94" i="32" a="1"/>
  <c r="M94" i="32" a="1"/>
  <c r="P94" i="32" a="1"/>
  <c r="Q94" i="32" a="1"/>
  <c r="A94" i="32" a="1"/>
  <c r="E94" i="32" a="1"/>
  <c r="N94" i="32" a="1"/>
  <c r="O94" i="32" a="1"/>
  <c r="D94" i="32" a="1"/>
  <c r="F94" i="32" a="1"/>
  <c r="A94" i="32" l="1"/>
  <c r="Q94" i="32"/>
  <c r="P94" i="32"/>
  <c r="F94" i="32"/>
  <c r="O94" i="32"/>
  <c r="D94" i="32"/>
  <c r="E94" i="32"/>
  <c r="N94" i="32"/>
  <c r="M94" i="32"/>
  <c r="L94" i="32"/>
  <c r="C94" i="32"/>
  <c r="G94" i="32"/>
  <c r="B95" i="32"/>
  <c r="L95" i="32" a="1"/>
  <c r="N95" i="32" a="1"/>
  <c r="P95" i="32" a="1"/>
  <c r="A95" i="32" a="1"/>
  <c r="O95" i="32" a="1"/>
  <c r="D95" i="32" a="1"/>
  <c r="F95" i="32" a="1"/>
  <c r="E95" i="32" a="1"/>
  <c r="G95" i="32" a="1"/>
  <c r="Q95" i="32" a="1"/>
  <c r="M95" i="32" a="1"/>
  <c r="C95" i="32" a="1"/>
  <c r="A95" i="32" l="1"/>
  <c r="F95" i="32"/>
  <c r="Q95" i="32"/>
  <c r="D95" i="32"/>
  <c r="E95" i="32"/>
  <c r="L95" i="32"/>
  <c r="M95" i="32"/>
  <c r="O95" i="32"/>
  <c r="N95" i="32"/>
  <c r="P95" i="32"/>
  <c r="C95" i="32"/>
  <c r="G95" i="32"/>
  <c r="B96" i="32"/>
  <c r="M96" i="32" a="1"/>
  <c r="G96" i="32" a="1"/>
  <c r="P96" i="32" a="1"/>
  <c r="A96" i="32" a="1"/>
  <c r="C96" i="32" a="1"/>
  <c r="F96" i="32" a="1"/>
  <c r="N96" i="32" a="1"/>
  <c r="Q96" i="32" a="1"/>
  <c r="D96" i="32" a="1"/>
  <c r="L96" i="32" a="1"/>
  <c r="E96" i="32" a="1"/>
  <c r="O96" i="32" a="1"/>
  <c r="A96" i="32" l="1"/>
  <c r="L96" i="32"/>
  <c r="C96" i="32"/>
  <c r="G96" i="32"/>
  <c r="D96" i="32"/>
  <c r="M96" i="32"/>
  <c r="P96" i="32"/>
  <c r="F96" i="32"/>
  <c r="O96" i="32"/>
  <c r="N96" i="32"/>
  <c r="Q96" i="32"/>
  <c r="E96" i="32"/>
  <c r="B97" i="32"/>
  <c r="A97" i="32" a="1"/>
  <c r="G97" i="32" a="1"/>
  <c r="E97" i="32" a="1"/>
  <c r="O97" i="32" a="1"/>
  <c r="L97" i="32" a="1"/>
  <c r="N97" i="32" a="1"/>
  <c r="Q97" i="32" a="1"/>
  <c r="M97" i="32" a="1"/>
  <c r="P97" i="32" a="1"/>
  <c r="F97" i="32" a="1"/>
  <c r="D97" i="32" a="1"/>
  <c r="C97" i="32" a="1"/>
  <c r="A97" i="32" l="1"/>
  <c r="M97" i="32"/>
  <c r="L97" i="32"/>
  <c r="C97" i="32"/>
  <c r="F97" i="32"/>
  <c r="G97" i="32"/>
  <c r="Q97" i="32"/>
  <c r="D97" i="32"/>
  <c r="P97" i="32"/>
  <c r="O97" i="32"/>
  <c r="N97" i="32"/>
  <c r="E97" i="32"/>
  <c r="B98" i="32"/>
  <c r="E98" i="32" a="1"/>
  <c r="P98" i="32" a="1"/>
  <c r="L98" i="32" a="1"/>
  <c r="D98" i="32" a="1"/>
  <c r="C98" i="32" a="1"/>
  <c r="O98" i="32" a="1"/>
  <c r="M98" i="32" a="1"/>
  <c r="N98" i="32" a="1"/>
  <c r="G98" i="32" a="1"/>
  <c r="A98" i="32" a="1"/>
  <c r="F98" i="32" a="1"/>
  <c r="Q98" i="32" a="1"/>
  <c r="A98" i="32" l="1"/>
  <c r="M98" i="32"/>
  <c r="O98" i="32"/>
  <c r="L98" i="32"/>
  <c r="C98" i="32"/>
  <c r="F98" i="32"/>
  <c r="Q98" i="32"/>
  <c r="P98" i="32"/>
  <c r="N98" i="32"/>
  <c r="G98" i="32"/>
  <c r="E98" i="32"/>
  <c r="D98" i="32"/>
  <c r="B99" i="32"/>
  <c r="N99" i="32" a="1"/>
  <c r="F99" i="32" a="1"/>
  <c r="Q99" i="32" a="1"/>
  <c r="L99" i="32" a="1"/>
  <c r="G99" i="32" a="1"/>
  <c r="A99" i="32" a="1"/>
  <c r="O99" i="32" a="1"/>
  <c r="D99" i="32" a="1"/>
  <c r="C99" i="32" a="1"/>
  <c r="M99" i="32" a="1"/>
  <c r="E99" i="32" a="1"/>
  <c r="P99" i="32" a="1"/>
  <c r="A99" i="32" l="1"/>
  <c r="M99" i="32"/>
  <c r="O99" i="32"/>
  <c r="G99" i="32"/>
  <c r="F99" i="32"/>
  <c r="L99" i="32"/>
  <c r="C99" i="32"/>
  <c r="Q99" i="32"/>
  <c r="N99" i="32"/>
  <c r="P99" i="32"/>
  <c r="E99" i="32"/>
  <c r="D99" i="32"/>
  <c r="B100" i="32"/>
  <c r="D100" i="32" a="1"/>
  <c r="F100" i="32" a="1"/>
  <c r="P100" i="32" a="1"/>
  <c r="G100" i="32" a="1"/>
  <c r="N100" i="32" a="1"/>
  <c r="A100" i="32" a="1"/>
  <c r="C100" i="32" a="1"/>
  <c r="E100" i="32" a="1"/>
  <c r="L100" i="32" a="1"/>
  <c r="Q100" i="32" a="1"/>
  <c r="M100" i="32" a="1"/>
  <c r="O100" i="32" a="1"/>
  <c r="A100" i="32" l="1"/>
  <c r="P100" i="32"/>
  <c r="D100" i="32"/>
  <c r="M100" i="32"/>
  <c r="O100" i="32"/>
  <c r="Q100" i="32"/>
  <c r="G100" i="32"/>
  <c r="L100" i="32"/>
  <c r="C100" i="32"/>
  <c r="F100" i="32"/>
  <c r="E100" i="32"/>
  <c r="N100" i="32"/>
  <c r="B101" i="32"/>
  <c r="E101" i="32" a="1"/>
  <c r="Q101" i="32" a="1"/>
  <c r="L101" i="32" a="1"/>
  <c r="M101" i="32" a="1"/>
  <c r="D101" i="32" a="1"/>
  <c r="A101" i="32" a="1"/>
  <c r="O101" i="32" a="1"/>
  <c r="F101" i="32" a="1"/>
  <c r="N101" i="32" a="1"/>
  <c r="C101" i="32" a="1"/>
  <c r="G101" i="32" a="1"/>
  <c r="P101" i="32" a="1"/>
  <c r="A101" i="32" l="1"/>
  <c r="C101" i="32"/>
  <c r="M101" i="32"/>
  <c r="O101" i="32"/>
  <c r="D101" i="32"/>
  <c r="L101" i="32"/>
  <c r="N101" i="32"/>
  <c r="P101" i="32"/>
  <c r="E101" i="32"/>
  <c r="F101" i="32"/>
  <c r="Q101" i="32"/>
  <c r="G101" i="32"/>
  <c r="B102" i="32"/>
  <c r="L102" i="32" a="1"/>
  <c r="G102" i="32" a="1"/>
  <c r="C102" i="32" a="1"/>
  <c r="M102" i="32" a="1"/>
  <c r="A102" i="32" a="1"/>
  <c r="F102" i="32" a="1"/>
  <c r="D102" i="32" a="1"/>
  <c r="O102" i="32" a="1"/>
  <c r="N102" i="32" a="1"/>
  <c r="P102" i="32" a="1"/>
  <c r="E102" i="32" a="1"/>
  <c r="Q102" i="32" a="1"/>
  <c r="A102" i="32" l="1"/>
  <c r="E102" i="32"/>
  <c r="N102" i="32"/>
  <c r="D102" i="32"/>
  <c r="F102" i="32"/>
  <c r="M102" i="32"/>
  <c r="L102" i="32"/>
  <c r="C102" i="32"/>
  <c r="O102" i="32"/>
  <c r="P102" i="32"/>
  <c r="Q102" i="32"/>
  <c r="G102" i="32"/>
  <c r="B103" i="32"/>
  <c r="G103" i="32" a="1"/>
  <c r="Q103" i="32" a="1"/>
  <c r="L103" i="32" a="1"/>
  <c r="E103" i="32" a="1"/>
  <c r="C103" i="32" a="1"/>
  <c r="F103" i="32" a="1"/>
  <c r="O103" i="32" a="1"/>
  <c r="N103" i="32" a="1"/>
  <c r="M103" i="32" a="1"/>
  <c r="D103" i="32" a="1"/>
  <c r="P103" i="32" a="1"/>
  <c r="A103" i="32" a="1"/>
  <c r="A103" i="32" l="1"/>
  <c r="M103" i="32"/>
  <c r="D103" i="32"/>
  <c r="F103" i="32"/>
  <c r="N103" i="32"/>
  <c r="L103" i="32"/>
  <c r="C103" i="32"/>
  <c r="G103" i="32"/>
  <c r="O103" i="32"/>
  <c r="P103" i="32"/>
  <c r="E103" i="32"/>
  <c r="Q103" i="3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<sst xmlns="http://schemas.openxmlformats.org/spreadsheetml/2006/main" count="2954" uniqueCount="302">
  <si>
    <t>Time unix</t>
  </si>
  <si>
    <t>udp test</t>
  </si>
  <si>
    <t>ping test</t>
  </si>
  <si>
    <t>time through flow</t>
  </si>
  <si>
    <t>re transmit</t>
  </si>
  <si>
    <t>Tab11_</t>
  </si>
  <si>
    <t>elapsed_time</t>
  </si>
  <si>
    <t>flow_rate</t>
  </si>
  <si>
    <t>flow_retrans</t>
  </si>
  <si>
    <t>Tab21_</t>
  </si>
  <si>
    <t>Tab22_</t>
  </si>
  <si>
    <t>Tab31_</t>
  </si>
  <si>
    <t>Tab32_</t>
  </si>
  <si>
    <t>Tab33_</t>
  </si>
  <si>
    <t>Tab41_</t>
  </si>
  <si>
    <t>Tab42_</t>
  </si>
  <si>
    <t>Tab43_</t>
  </si>
  <si>
    <t>Tab44_</t>
  </si>
  <si>
    <t>Flow start line</t>
  </si>
  <si>
    <t>Flow last line</t>
  </si>
  <si>
    <t>Summary</t>
  </si>
  <si>
    <t>convert time</t>
  </si>
  <si>
    <t>Sheet Names</t>
  </si>
  <si>
    <t>sum2</t>
  </si>
  <si>
    <t>sum3</t>
  </si>
  <si>
    <t>sum4</t>
  </si>
  <si>
    <t>TabSum_</t>
  </si>
  <si>
    <t>retrans2</t>
  </si>
  <si>
    <t>retrans3</t>
  </si>
  <si>
    <t>retrans4</t>
  </si>
  <si>
    <t>retrans1</t>
  </si>
  <si>
    <t>seg sent</t>
  </si>
  <si>
    <t>Tab51_</t>
  </si>
  <si>
    <t>Tab52_</t>
  </si>
  <si>
    <t>Tab53_</t>
  </si>
  <si>
    <t>Tab54_</t>
  </si>
  <si>
    <t>Tab55_</t>
  </si>
  <si>
    <t>Data_rate column</t>
  </si>
  <si>
    <t>re-trans column</t>
  </si>
  <si>
    <t>Tab61_</t>
  </si>
  <si>
    <t>Tab62_</t>
  </si>
  <si>
    <t>Tab63_</t>
  </si>
  <si>
    <t>Tab64_</t>
  </si>
  <si>
    <t>Tab65_</t>
  </si>
  <si>
    <t>Tab66_</t>
  </si>
  <si>
    <t xml:space="preserve"> </t>
  </si>
  <si>
    <t>Summary start line</t>
  </si>
  <si>
    <t>Summary last line</t>
  </si>
  <si>
    <t>sum5</t>
  </si>
  <si>
    <t>sum6</t>
  </si>
  <si>
    <t>sum7</t>
  </si>
  <si>
    <t>retrans5</t>
  </si>
  <si>
    <t>sum1</t>
  </si>
  <si>
    <t>recv_time</t>
  </si>
  <si>
    <t>bin</t>
  </si>
  <si>
    <t>Bin</t>
  </si>
  <si>
    <t>More</t>
  </si>
  <si>
    <t>Frequency</t>
  </si>
  <si>
    <t xml:space="preserve">  StopWatch_Delay calibrated</t>
  </si>
  <si>
    <t>transfer time</t>
  </si>
  <si>
    <t>line num</t>
  </si>
  <si>
    <t>BW</t>
  </si>
  <si>
    <t>Tab86_</t>
  </si>
  <si>
    <t>Tab83_</t>
  </si>
  <si>
    <t>Tab84_</t>
  </si>
  <si>
    <t>Tab85_</t>
  </si>
  <si>
    <t>Tab81_</t>
  </si>
  <si>
    <t>Tab82_</t>
  </si>
  <si>
    <t>Tab87_</t>
  </si>
  <si>
    <t>Tab88_</t>
  </si>
  <si>
    <t>i</t>
  </si>
  <si>
    <t>a or b</t>
  </si>
  <si>
    <t>x axis</t>
  </si>
  <si>
    <t>Axes Names</t>
  </si>
  <si>
    <t>y primary</t>
  </si>
  <si>
    <t>y secondary</t>
  </si>
  <si>
    <t>BW Gbit/s</t>
  </si>
  <si>
    <t>Time recv s</t>
  </si>
  <si>
    <t>TCP re-transmits</t>
  </si>
  <si>
    <t>Default affinity</t>
  </si>
  <si>
    <t xml:space="preserve"> Initialising real-time clock.</t>
  </si>
  <si>
    <t>StopWatch_Stop calibrated</t>
  </si>
  <si>
    <t>Defaults</t>
  </si>
  <si>
    <t xml:space="preserve">  TCPmon Version 2.2.1  CPUs Command line</t>
  </si>
  <si>
    <t xml:space="preserve"> Thu Feb 22 21</t>
  </si>
  <si>
    <t xml:space="preserve">44 2024 </t>
  </si>
  <si>
    <t xml:space="preserve">  /home/richard/tcpmon-2.2.1/tcpmon_mon -C -d 192.84.5.1 -u 5201 -a 0x1 -i 2 -p 98380 -t 300 -w 0 -S 0 </t>
  </si>
  <si>
    <t xml:space="preserve"> 0000000f Set affinity</t>
  </si>
  <si>
    <t>CPU speed = 3500.0537293 +- 0.0178253 MHz (3500.0122899 - 3500.0957971)</t>
  </si>
  <si>
    <t xml:space="preserve"> 0.0103 us minimum  </t>
  </si>
  <si>
    <t xml:space="preserve"> 0.0094 us minimum</t>
  </si>
  <si>
    <t>clock ticks for 1 sec = 1000104 us</t>
  </si>
  <si>
    <t xml:space="preserve"> RCVBUF 87380 SNDBUF 65536 IP_TOS 0x0 IP prec 0 IP tos 0 TCP_NODELAY 0  </t>
  </si>
  <si>
    <t>Settings</t>
  </si>
  <si>
    <t xml:space="preserve"> RCVBUF no change SNDBUF no change IP_TOS 0x0 IP prec 0 IP tos 0 TCP_NODELAY 1  </t>
  </si>
  <si>
    <t xml:space="preserve"> The destination IP name</t>
  </si>
  <si>
    <t xml:space="preserve"> 192.84.5.1 IP address</t>
  </si>
  <si>
    <t xml:space="preserve"> 192.84.5.1</t>
  </si>
  <si>
    <t xml:space="preserve"> The destination TCP port is   5201 1451</t>
  </si>
  <si>
    <t xml:space="preserve"> The TCP maximum segment size is   8948</t>
  </si>
  <si>
    <t>Time</t>
  </si>
  <si>
    <t xml:space="preserve"> Bytes sent</t>
  </si>
  <si>
    <t xml:space="preserve"> Rate Gbit/s</t>
  </si>
  <si>
    <t xml:space="preserve"> Retrans</t>
  </si>
  <si>
    <t xml:space="preserve"> Cwnd MBytes</t>
  </si>
  <si>
    <t xml:space="preserve"> TCPInSegs</t>
  </si>
  <si>
    <t xml:space="preserve"> TCPOutSegs </t>
  </si>
  <si>
    <t xml:space="preserve"> 98380 bytes</t>
  </si>
  <si>
    <t xml:space="preserve"> pkt len</t>
  </si>
  <si>
    <t xml:space="preserve"> soc_buf_size</t>
  </si>
  <si>
    <t xml:space="preserve"> num_sent</t>
  </si>
  <si>
    <t xml:space="preserve"> wait_time</t>
  </si>
  <si>
    <t xml:space="preserve"> Time/frame us</t>
  </si>
  <si>
    <t xml:space="preserve"> Send_time</t>
  </si>
  <si>
    <t xml:space="preserve"> send_data_rate Mbit</t>
  </si>
  <si>
    <t xml:space="preserve"> TCPOutSegs</t>
  </si>
  <si>
    <t xml:space="preserve"> tcpi_total_retrans</t>
  </si>
  <si>
    <t xml:space="preserve"> tcp_retrans_rate%</t>
  </si>
  <si>
    <t xml:space="preserve">  </t>
  </si>
  <si>
    <t xml:space="preserve"> Recv soc_buf_size</t>
  </si>
  <si>
    <t xml:space="preserve"> num_recv</t>
  </si>
  <si>
    <t xml:space="preserve"> bytes_recv</t>
  </si>
  <si>
    <t xml:space="preserve"> Recv time/Frame</t>
  </si>
  <si>
    <t xml:space="preserve"> recv_time</t>
  </si>
  <si>
    <t xml:space="preserve"> recv_data_rate Mbit</t>
  </si>
  <si>
    <t xml:space="preserve"> L if</t>
  </si>
  <si>
    <t xml:space="preserve"> interface</t>
  </si>
  <si>
    <t xml:space="preserve"> pktsin</t>
  </si>
  <si>
    <t xml:space="preserve"> bytesin</t>
  </si>
  <si>
    <t xml:space="preserve"> errin</t>
  </si>
  <si>
    <t xml:space="preserve"> dropin</t>
  </si>
  <si>
    <t xml:space="preserve"> pktsout</t>
  </si>
  <si>
    <t xml:space="preserve"> bytesout</t>
  </si>
  <si>
    <t xml:space="preserve"> errout</t>
  </si>
  <si>
    <t xml:space="preserve"> dropout</t>
  </si>
  <si>
    <t>L TCP</t>
  </si>
  <si>
    <t xml:space="preserve"> TCPInErrs</t>
  </si>
  <si>
    <t xml:space="preserve"> TCPOutRsts</t>
  </si>
  <si>
    <t xml:space="preserve"> TCPRetransSegs</t>
  </si>
  <si>
    <t xml:space="preserve"> R if</t>
  </si>
  <si>
    <t>R TCP</t>
  </si>
  <si>
    <t xml:space="preserve"> R NIC</t>
  </si>
  <si>
    <t xml:space="preserve"> rx_packets</t>
  </si>
  <si>
    <t xml:space="preserve"> tx_packets</t>
  </si>
  <si>
    <t xml:space="preserve"> rx_packets_phy</t>
  </si>
  <si>
    <t xml:space="preserve"> tx_packets_phy</t>
  </si>
  <si>
    <t xml:space="preserve"> rx_pause_ctrl_phy</t>
  </si>
  <si>
    <t xml:space="preserve"> tx_pause_ctrl_phy</t>
  </si>
  <si>
    <t xml:space="preserve"> tx_global_pause_duration</t>
  </si>
  <si>
    <t xml:space="preserve"> rx_crc_errors_phy</t>
  </si>
  <si>
    <t xml:space="preserve"> rx_out_of_buffer</t>
  </si>
  <si>
    <t xml:space="preserve">   </t>
  </si>
  <si>
    <t>L if</t>
  </si>
  <si>
    <t xml:space="preserve">  eno2</t>
  </si>
  <si>
    <t>ens2f0</t>
  </si>
  <si>
    <t>enp3s0</t>
  </si>
  <si>
    <t xml:space="preserve">  eno1</t>
  </si>
  <si>
    <t>ens2f1</t>
  </si>
  <si>
    <t xml:space="preserve">    lo</t>
  </si>
  <si>
    <t>R if</t>
  </si>
  <si>
    <t>p4p2.43</t>
  </si>
  <si>
    <t xml:space="preserve">  p4p2</t>
  </si>
  <si>
    <t>p4p2.791</t>
  </si>
  <si>
    <t xml:space="preserve">   ib0</t>
  </si>
  <si>
    <t xml:space="preserve"> p4p2</t>
  </si>
  <si>
    <t xml:space="preserve"> &lt;L CPU&gt;</t>
  </si>
  <si>
    <t xml:space="preserve"> user cpu %</t>
  </si>
  <si>
    <t xml:space="preserve"> low-prio cpu %</t>
  </si>
  <si>
    <t xml:space="preserve"> kernel cpu%</t>
  </si>
  <si>
    <t xml:space="preserve"> idle cpu%</t>
  </si>
  <si>
    <t xml:space="preserve"> iowait cpu %</t>
  </si>
  <si>
    <t xml:space="preserve"> irq cpu%</t>
  </si>
  <si>
    <t xml:space="preserve"> softirq cpu%</t>
  </si>
  <si>
    <t xml:space="preserve">L </t>
  </si>
  <si>
    <t xml:space="preserve">L0 </t>
  </si>
  <si>
    <t xml:space="preserve">L1 </t>
  </si>
  <si>
    <t xml:space="preserve">L2 </t>
  </si>
  <si>
    <t xml:space="preserve">L3 </t>
  </si>
  <si>
    <t xml:space="preserve"> &lt;R CPU&gt;</t>
  </si>
  <si>
    <t xml:space="preserve">R </t>
  </si>
  <si>
    <t xml:space="preserve">R0 </t>
  </si>
  <si>
    <t xml:space="preserve">R1 </t>
  </si>
  <si>
    <t xml:space="preserve">R2 </t>
  </si>
  <si>
    <t xml:space="preserve">R3 </t>
  </si>
  <si>
    <t xml:space="preserve">R4 </t>
  </si>
  <si>
    <t xml:space="preserve">R5 </t>
  </si>
  <si>
    <t xml:space="preserve">R6 </t>
  </si>
  <si>
    <t xml:space="preserve">R7 </t>
  </si>
  <si>
    <t xml:space="preserve">R8 </t>
  </si>
  <si>
    <t xml:space="preserve">R9 </t>
  </si>
  <si>
    <t xml:space="preserve">R10 </t>
  </si>
  <si>
    <t xml:space="preserve">R11 </t>
  </si>
  <si>
    <t xml:space="preserve">R12 </t>
  </si>
  <si>
    <t xml:space="preserve">R13 </t>
  </si>
  <si>
    <t xml:space="preserve">R14 </t>
  </si>
  <si>
    <t xml:space="preserve">R15 </t>
  </si>
  <si>
    <t xml:space="preserve">R16 </t>
  </si>
  <si>
    <t xml:space="preserve">R17 </t>
  </si>
  <si>
    <t xml:space="preserve">R18 </t>
  </si>
  <si>
    <t xml:space="preserve">R19 </t>
  </si>
  <si>
    <t xml:space="preserve">R20 </t>
  </si>
  <si>
    <t xml:space="preserve">R21 </t>
  </si>
  <si>
    <t xml:space="preserve">R22 </t>
  </si>
  <si>
    <t xml:space="preserve">R23 </t>
  </si>
  <si>
    <t xml:space="preserve">R24 </t>
  </si>
  <si>
    <t xml:space="preserve">R25 </t>
  </si>
  <si>
    <t xml:space="preserve">R26 </t>
  </si>
  <si>
    <t xml:space="preserve">R27 </t>
  </si>
  <si>
    <t xml:space="preserve">R28 </t>
  </si>
  <si>
    <t xml:space="preserve">R29 </t>
  </si>
  <si>
    <t xml:space="preserve">R30 </t>
  </si>
  <si>
    <t xml:space="preserve">R31 </t>
  </si>
  <si>
    <t xml:space="preserve">R32 </t>
  </si>
  <si>
    <t xml:space="preserve">R33 </t>
  </si>
  <si>
    <t xml:space="preserve">R34 </t>
  </si>
  <si>
    <t xml:space="preserve">R35 </t>
  </si>
  <si>
    <t xml:space="preserve">R36 </t>
  </si>
  <si>
    <t xml:space="preserve">R37 </t>
  </si>
  <si>
    <t xml:space="preserve">R38 </t>
  </si>
  <si>
    <t xml:space="preserve">R39 </t>
  </si>
  <si>
    <t xml:space="preserve">R40 </t>
  </si>
  <si>
    <t xml:space="preserve">R41 </t>
  </si>
  <si>
    <t xml:space="preserve">R42 </t>
  </si>
  <si>
    <t xml:space="preserve">R43 </t>
  </si>
  <si>
    <t xml:space="preserve">R44 </t>
  </si>
  <si>
    <t xml:space="preserve">R45 </t>
  </si>
  <si>
    <t xml:space="preserve">R46 </t>
  </si>
  <si>
    <t xml:space="preserve">R47 </t>
  </si>
  <si>
    <t xml:space="preserve">R48 </t>
  </si>
  <si>
    <t xml:space="preserve">R49 </t>
  </si>
  <si>
    <t xml:space="preserve">R50 </t>
  </si>
  <si>
    <t xml:space="preserve">R51 </t>
  </si>
  <si>
    <t xml:space="preserve">R52 </t>
  </si>
  <si>
    <t xml:space="preserve">R53 </t>
  </si>
  <si>
    <t xml:space="preserve">R54 </t>
  </si>
  <si>
    <t xml:space="preserve">R55 </t>
  </si>
  <si>
    <t>CPU speed = 3500.0534374 +- 0.0167860 MHz (3500.0143521 - 3500.0931539)</t>
  </si>
  <si>
    <t xml:space="preserve"> 0.0120 us minimum  </t>
  </si>
  <si>
    <t xml:space="preserve"> 0.0106 us minimum</t>
  </si>
  <si>
    <t>clock ticks for 1 sec = 1000072 us</t>
  </si>
  <si>
    <t xml:space="preserve">  /home/richard/tcpmon-2.2.1/tcpmon_mon -C -d 192.84.5.1 -u 5202 -a 0x2 -i 2 -p 98380 -t 300 -w 0 -S 0 </t>
  </si>
  <si>
    <t>CPU speed = 3500.0533161 +- 0.0166421 MHz (3500.0140371 - 3500.0930866)</t>
  </si>
  <si>
    <t xml:space="preserve"> 0.0072 us minimum</t>
  </si>
  <si>
    <t>clock ticks for 1 sec = 1000069 us</t>
  </si>
  <si>
    <t xml:space="preserve"> The destination TCP port is   5202 1452</t>
  </si>
  <si>
    <t xml:space="preserve">45 2024 </t>
  </si>
  <si>
    <t>CPU speed = 3500.0535326 +- 0.0166694 MHz (3500.0140038 - 3500.0921782)</t>
  </si>
  <si>
    <t xml:space="preserve"> 0.0090 us minimum</t>
  </si>
  <si>
    <t>CPU speed = 3500.0533205 +- 0.0164919 MHz (3500.0129464 - 3500.0926787)</t>
  </si>
  <si>
    <t xml:space="preserve"> 0.0077 us minimum</t>
  </si>
  <si>
    <t xml:space="preserve">  /home/richard/tcpmon-2.2.1/tcpmon_mon -C -d 192.84.5.1 -u 5203 -a 0x4 -i 2 -p 98380 -t 300 -w 0 -S 0 </t>
  </si>
  <si>
    <t>CPU speed = 3500.0536732 +- 0.0167733 MHz (3500.0149235 - 3500.0937496)</t>
  </si>
  <si>
    <t xml:space="preserve"> 0.0086 us minimum</t>
  </si>
  <si>
    <t>clock ticks for 1 sec = 1000070 us</t>
  </si>
  <si>
    <t xml:space="preserve"> The destination TCP port is   5203 1453</t>
  </si>
  <si>
    <t xml:space="preserve"> Thu Feb 22 22</t>
  </si>
  <si>
    <t>CPU speed = 3500.0536265 +- 0.0156532 MHz (3500.0154199 - 3500.0917223)</t>
  </si>
  <si>
    <t xml:space="preserve"> 0.0065 us minimum</t>
  </si>
  <si>
    <t>clock ticks for 1 sec = 1000103 us</t>
  </si>
  <si>
    <t>CPU speed = 3500.0533223 +- 0.0171023 MHz (3500.0124594 - 3500.0928825)</t>
  </si>
  <si>
    <t xml:space="preserve"> 0.0082 us minimum</t>
  </si>
  <si>
    <t>CPU speed = 3500.0534486 +- 0.0167483 MHz (3500.0136372 - 3500.0920472)</t>
  </si>
  <si>
    <t>clock ticks for 1 sec = 1000098 us</t>
  </si>
  <si>
    <t xml:space="preserve">  /home/richard/tcpmon-2.2.1/tcpmon_mon -C -d 192.84.5.1 -u 5204 -a 0x8 -i 2 -p 98380 -t 300 -w 0 -S 0 </t>
  </si>
  <si>
    <t>CPU speed = 3500.0532944 +- 0.0165781 MHz (3500.0126912 - 3500.0917113)</t>
  </si>
  <si>
    <t xml:space="preserve"> 0.0078 us minimum</t>
  </si>
  <si>
    <t>clock ticks for 1 sec = 1000101 us</t>
  </si>
  <si>
    <t xml:space="preserve"> The destination TCP port is   5204 1454</t>
  </si>
  <si>
    <t>AARnetCBR-CamDTN1_tcpmon_tseries_22Feb24</t>
  </si>
  <si>
    <t>AARnetCBR-CamDTN1_tcpmon_ts_11</t>
  </si>
  <si>
    <t>AARnetCBR-CamDTN1_tcpmon_ts_21</t>
  </si>
  <si>
    <t>AARnetCBR-CamDTN1_tcpmon_ts_22</t>
  </si>
  <si>
    <t>AARnetCBR-CamDTN1_tcpmon_ts_31</t>
  </si>
  <si>
    <t>AARnetCBR-CamDTN1_tcpmon_ts_32</t>
  </si>
  <si>
    <t>AARnetCBR-CamDTN1_tcpmon_ts_33</t>
  </si>
  <si>
    <t>AARnetCBR-CamDTN1_tcpmon_ts_41</t>
  </si>
  <si>
    <t>AARnetCBR-CamDTN1_tcpmon_ts_42</t>
  </si>
  <si>
    <t>AARnetCBR-CamDTN1_tcpmon_ts_43</t>
  </si>
  <si>
    <t>AARnetCBR-CamDTN1_tcpmon_ts_44</t>
  </si>
  <si>
    <t>AARnetCBR-CamDTN1_tcpmon_ts_51</t>
  </si>
  <si>
    <t>AARnetCBR-CamDTN1_tcpmon_ts_52</t>
  </si>
  <si>
    <t>AARnetCBR-CamDTN1_tcpmon_ts_53</t>
  </si>
  <si>
    <t>AARnetCBR-CamDTN1_tcpmon_ts_54</t>
  </si>
  <si>
    <t>AARnetCBR-CamDTN1_tcpmon_ts_55</t>
  </si>
  <si>
    <t>AARnetCBR-CamDTN1_tcpmon_ts_61</t>
  </si>
  <si>
    <t>AARnetCBR-CamDTN1_tcpmon_ts_62</t>
  </si>
  <si>
    <t>AARnetCBR-CamDTN1_tcpmon_ts_63</t>
  </si>
  <si>
    <t>AARnetCBR-CamDTN1_tcpmon_ts_64</t>
  </si>
  <si>
    <t>AARnetCBR-CamDTN1_tcpmon_ts_65</t>
  </si>
  <si>
    <t>AARnetCBR-CamDTN1_tcpmon_ts_66</t>
  </si>
  <si>
    <t>AARnetCBR-CamDTN1_tcpmon_ts_81</t>
  </si>
  <si>
    <t>AARnetCBR-CamDTN1_tcpmon_ts_82</t>
  </si>
  <si>
    <t>AARnetCBR-CamDTN1_tcpmon_ts_83</t>
  </si>
  <si>
    <t>AARnetCBR-CamDTN1_tcpmon_ts_84</t>
  </si>
  <si>
    <t>AARnetCBR-CamDTN1_tcpmon_ts_85</t>
  </si>
  <si>
    <t>AARnetCBR-CamDTN1_tcpmon_ts_86</t>
  </si>
  <si>
    <t>AARnetCBR-CamDTN1_tcpmon_ts_87</t>
  </si>
  <si>
    <t>AARnetCBR-CamDTN1_tcpmon_ts_88</t>
  </si>
  <si>
    <t>c</t>
  </si>
  <si>
    <t>d</t>
  </si>
  <si>
    <t>a</t>
  </si>
  <si>
    <t>Time through the flow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</si>
</sst>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\ hh:mm"/>
  </numFmts>
  <fonts count="6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9"/>
      <color rgb="FF000000"/>
      <name val="Arial Unicode MS"/>
      <family val="2"/>
    </font>
    <font>
      <sz val="11"/>
      <color rgb="FF000000"/>
      <name val="Calibri"/>
      <family val="2"/>
    </font>
    <font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164" fontId="3" fillId="0" borderId="0" xfId="0" applyNumberFormat="1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1" xfId="0" applyBorder="1"/>
    <xf numFmtId="0" fontId="5" fillId="0" borderId="2" xfId="0" applyFont="1" applyBorder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A7EBB"/>
      <color rgb="FFFF3300"/>
      <color rgb="FF00FF00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Plots!$Y$1</c:f>
          <c:strCache>
            <c:ptCount val="1"/>
            <c:pt idx="0">
              <c:v>AARnetCBR-CamDTN1_tcpmon_tseries_22Feb24 1 Flows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[0]!Tab11_elapsed_time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[0]!Tab11_flow_rate</c:f>
              <c:numCache>
                <c:formatCode>General</c:formatCode>
                <c:ptCount val="14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0.08</c:v>
                </c:pt>
                <c:pt idx="5">
                  <c:v>0.15</c:v>
                </c:pt>
                <c:pt idx="6">
                  <c:v>0.24</c:v>
                </c:pt>
                <c:pt idx="7">
                  <c:v>0.37</c:v>
                </c:pt>
                <c:pt idx="8">
                  <c:v>0.55000000000000004</c:v>
                </c:pt>
                <c:pt idx="9">
                  <c:v>0.75</c:v>
                </c:pt>
                <c:pt idx="10">
                  <c:v>1.01</c:v>
                </c:pt>
                <c:pt idx="11">
                  <c:v>1.64</c:v>
                </c:pt>
                <c:pt idx="12">
                  <c:v>2.39</c:v>
                </c:pt>
                <c:pt idx="13">
                  <c:v>3.53</c:v>
                </c:pt>
                <c:pt idx="14">
                  <c:v>5.57</c:v>
                </c:pt>
                <c:pt idx="15">
                  <c:v>6.6</c:v>
                </c:pt>
                <c:pt idx="16">
                  <c:v>11.02</c:v>
                </c:pt>
                <c:pt idx="17">
                  <c:v>16.899999999999999</c:v>
                </c:pt>
                <c:pt idx="18">
                  <c:v>20.03</c:v>
                </c:pt>
                <c:pt idx="19">
                  <c:v>24.32</c:v>
                </c:pt>
                <c:pt idx="20">
                  <c:v>31.68</c:v>
                </c:pt>
                <c:pt idx="21">
                  <c:v>28.09</c:v>
                </c:pt>
                <c:pt idx="22">
                  <c:v>29.16</c:v>
                </c:pt>
                <c:pt idx="23">
                  <c:v>30.98</c:v>
                </c:pt>
                <c:pt idx="24">
                  <c:v>29.87</c:v>
                </c:pt>
                <c:pt idx="25">
                  <c:v>27.24</c:v>
                </c:pt>
                <c:pt idx="26">
                  <c:v>30.4</c:v>
                </c:pt>
                <c:pt idx="27">
                  <c:v>29.3</c:v>
                </c:pt>
                <c:pt idx="28">
                  <c:v>31.91</c:v>
                </c:pt>
                <c:pt idx="29">
                  <c:v>27.36</c:v>
                </c:pt>
                <c:pt idx="30">
                  <c:v>29.61</c:v>
                </c:pt>
                <c:pt idx="31">
                  <c:v>31.48</c:v>
                </c:pt>
                <c:pt idx="32">
                  <c:v>26.99</c:v>
                </c:pt>
                <c:pt idx="33">
                  <c:v>29.42</c:v>
                </c:pt>
                <c:pt idx="34">
                  <c:v>26.23</c:v>
                </c:pt>
                <c:pt idx="35">
                  <c:v>26.09</c:v>
                </c:pt>
                <c:pt idx="36">
                  <c:v>27.86</c:v>
                </c:pt>
                <c:pt idx="37">
                  <c:v>26.1</c:v>
                </c:pt>
                <c:pt idx="38">
                  <c:v>24.33</c:v>
                </c:pt>
                <c:pt idx="39">
                  <c:v>26.75</c:v>
                </c:pt>
                <c:pt idx="40">
                  <c:v>27.34</c:v>
                </c:pt>
                <c:pt idx="41">
                  <c:v>25.43</c:v>
                </c:pt>
                <c:pt idx="42">
                  <c:v>26.22</c:v>
                </c:pt>
                <c:pt idx="43">
                  <c:v>26.38</c:v>
                </c:pt>
                <c:pt idx="44">
                  <c:v>26.35</c:v>
                </c:pt>
                <c:pt idx="45">
                  <c:v>25.08</c:v>
                </c:pt>
                <c:pt idx="46">
                  <c:v>23.76</c:v>
                </c:pt>
                <c:pt idx="47">
                  <c:v>26.2</c:v>
                </c:pt>
                <c:pt idx="48">
                  <c:v>27.49</c:v>
                </c:pt>
                <c:pt idx="49">
                  <c:v>26.07</c:v>
                </c:pt>
                <c:pt idx="50">
                  <c:v>24.66</c:v>
                </c:pt>
                <c:pt idx="51">
                  <c:v>25.6</c:v>
                </c:pt>
                <c:pt idx="52">
                  <c:v>25.83</c:v>
                </c:pt>
                <c:pt idx="53">
                  <c:v>25.9</c:v>
                </c:pt>
                <c:pt idx="54">
                  <c:v>25.98</c:v>
                </c:pt>
                <c:pt idx="55">
                  <c:v>25.97</c:v>
                </c:pt>
                <c:pt idx="56">
                  <c:v>26.11</c:v>
                </c:pt>
                <c:pt idx="57">
                  <c:v>27.6</c:v>
                </c:pt>
                <c:pt idx="58">
                  <c:v>25.96</c:v>
                </c:pt>
                <c:pt idx="59">
                  <c:v>25.03</c:v>
                </c:pt>
                <c:pt idx="60">
                  <c:v>25.35</c:v>
                </c:pt>
                <c:pt idx="61">
                  <c:v>25.82</c:v>
                </c:pt>
                <c:pt idx="62">
                  <c:v>25.92</c:v>
                </c:pt>
                <c:pt idx="63">
                  <c:v>26.28</c:v>
                </c:pt>
                <c:pt idx="64">
                  <c:v>26.18</c:v>
                </c:pt>
                <c:pt idx="65">
                  <c:v>27</c:v>
                </c:pt>
                <c:pt idx="66">
                  <c:v>26.33</c:v>
                </c:pt>
                <c:pt idx="67">
                  <c:v>26</c:v>
                </c:pt>
                <c:pt idx="68">
                  <c:v>26.21</c:v>
                </c:pt>
                <c:pt idx="69">
                  <c:v>26.35</c:v>
                </c:pt>
                <c:pt idx="70">
                  <c:v>26.23</c:v>
                </c:pt>
                <c:pt idx="71">
                  <c:v>26</c:v>
                </c:pt>
                <c:pt idx="72">
                  <c:v>26.33</c:v>
                </c:pt>
                <c:pt idx="73">
                  <c:v>25.59</c:v>
                </c:pt>
                <c:pt idx="74">
                  <c:v>26.47</c:v>
                </c:pt>
                <c:pt idx="75">
                  <c:v>25.48</c:v>
                </c:pt>
                <c:pt idx="76">
                  <c:v>26.06</c:v>
                </c:pt>
                <c:pt idx="77">
                  <c:v>26.2</c:v>
                </c:pt>
                <c:pt idx="78">
                  <c:v>25.8</c:v>
                </c:pt>
                <c:pt idx="79">
                  <c:v>25.91</c:v>
                </c:pt>
                <c:pt idx="80">
                  <c:v>26.45</c:v>
                </c:pt>
                <c:pt idx="81">
                  <c:v>25.11</c:v>
                </c:pt>
                <c:pt idx="82">
                  <c:v>25.22</c:v>
                </c:pt>
                <c:pt idx="83">
                  <c:v>26.39</c:v>
                </c:pt>
                <c:pt idx="84">
                  <c:v>26.47</c:v>
                </c:pt>
                <c:pt idx="85">
                  <c:v>26.33</c:v>
                </c:pt>
                <c:pt idx="86">
                  <c:v>25.84</c:v>
                </c:pt>
                <c:pt idx="87">
                  <c:v>26.12</c:v>
                </c:pt>
                <c:pt idx="88">
                  <c:v>26.14</c:v>
                </c:pt>
                <c:pt idx="89">
                  <c:v>26.12</c:v>
                </c:pt>
                <c:pt idx="90">
                  <c:v>25.53</c:v>
                </c:pt>
                <c:pt idx="91">
                  <c:v>25.85</c:v>
                </c:pt>
                <c:pt idx="92">
                  <c:v>26.61</c:v>
                </c:pt>
                <c:pt idx="93">
                  <c:v>26.18</c:v>
                </c:pt>
                <c:pt idx="94">
                  <c:v>25.14</c:v>
                </c:pt>
                <c:pt idx="95">
                  <c:v>26.3</c:v>
                </c:pt>
                <c:pt idx="96">
                  <c:v>26.54</c:v>
                </c:pt>
                <c:pt idx="97">
                  <c:v>25.91</c:v>
                </c:pt>
                <c:pt idx="98">
                  <c:v>26.04</c:v>
                </c:pt>
                <c:pt idx="99">
                  <c:v>25.2</c:v>
                </c:pt>
                <c:pt idx="100">
                  <c:v>24.84</c:v>
                </c:pt>
                <c:pt idx="101">
                  <c:v>25.91</c:v>
                </c:pt>
                <c:pt idx="102">
                  <c:v>26.29</c:v>
                </c:pt>
                <c:pt idx="103">
                  <c:v>26.75</c:v>
                </c:pt>
                <c:pt idx="104">
                  <c:v>25.81</c:v>
                </c:pt>
                <c:pt idx="105">
                  <c:v>26.57</c:v>
                </c:pt>
                <c:pt idx="106">
                  <c:v>26.24</c:v>
                </c:pt>
                <c:pt idx="107">
                  <c:v>26.23</c:v>
                </c:pt>
                <c:pt idx="108">
                  <c:v>26.12</c:v>
                </c:pt>
                <c:pt idx="109">
                  <c:v>26.02</c:v>
                </c:pt>
                <c:pt idx="110">
                  <c:v>26.11</c:v>
                </c:pt>
                <c:pt idx="111">
                  <c:v>25.77</c:v>
                </c:pt>
                <c:pt idx="112">
                  <c:v>26.21</c:v>
                </c:pt>
                <c:pt idx="113">
                  <c:v>25.03</c:v>
                </c:pt>
                <c:pt idx="114">
                  <c:v>25.39</c:v>
                </c:pt>
                <c:pt idx="115">
                  <c:v>26.47</c:v>
                </c:pt>
                <c:pt idx="116">
                  <c:v>26.35</c:v>
                </c:pt>
                <c:pt idx="117">
                  <c:v>26.51</c:v>
                </c:pt>
                <c:pt idx="118">
                  <c:v>26.13</c:v>
                </c:pt>
                <c:pt idx="119">
                  <c:v>25.73</c:v>
                </c:pt>
                <c:pt idx="120">
                  <c:v>25.66</c:v>
                </c:pt>
                <c:pt idx="121">
                  <c:v>26.02</c:v>
                </c:pt>
                <c:pt idx="122">
                  <c:v>25.9</c:v>
                </c:pt>
                <c:pt idx="123">
                  <c:v>25.37</c:v>
                </c:pt>
                <c:pt idx="124">
                  <c:v>26.75</c:v>
                </c:pt>
                <c:pt idx="125">
                  <c:v>26.07</c:v>
                </c:pt>
                <c:pt idx="126">
                  <c:v>26.35</c:v>
                </c:pt>
                <c:pt idx="127">
                  <c:v>26.15</c:v>
                </c:pt>
                <c:pt idx="128">
                  <c:v>25.61</c:v>
                </c:pt>
                <c:pt idx="129">
                  <c:v>25.3</c:v>
                </c:pt>
                <c:pt idx="130">
                  <c:v>26.3</c:v>
                </c:pt>
                <c:pt idx="131">
                  <c:v>26.43</c:v>
                </c:pt>
                <c:pt idx="132">
                  <c:v>26.16</c:v>
                </c:pt>
                <c:pt idx="133">
                  <c:v>25.9</c:v>
                </c:pt>
                <c:pt idx="134">
                  <c:v>26.09</c:v>
                </c:pt>
                <c:pt idx="135">
                  <c:v>25.88</c:v>
                </c:pt>
                <c:pt idx="136">
                  <c:v>26.03</c:v>
                </c:pt>
                <c:pt idx="137">
                  <c:v>26.15</c:v>
                </c:pt>
                <c:pt idx="138">
                  <c:v>25.86</c:v>
                </c:pt>
                <c:pt idx="139">
                  <c:v>24.53</c:v>
                </c:pt>
                <c:pt idx="140">
                  <c:v>26.42</c:v>
                </c:pt>
                <c:pt idx="141">
                  <c:v>26.24</c:v>
                </c:pt>
                <c:pt idx="142">
                  <c:v>26.2</c:v>
                </c:pt>
                <c:pt idx="143">
                  <c:v>26.48</c:v>
                </c:pt>
                <c:pt idx="144">
                  <c:v>25.88</c:v>
                </c:pt>
                <c:pt idx="145">
                  <c:v>26.05</c:v>
                </c:pt>
                <c:pt idx="146">
                  <c:v>26.27</c:v>
                </c:pt>
                <c:pt idx="147">
                  <c:v>26</c:v>
                </c:pt>
                <c:pt idx="148">
                  <c:v>25.9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8C-4210-BC0D-C1F56C991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Plots!$AR$5</c:f>
          <c:strCache>
            <c:ptCount val="1"/>
            <c:pt idx="0">
              <c:v>AARnetCBR-CamDTN1_tcpmon_tseries_22Feb24 3 Flows flow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[0]!Tab31_elapsed_time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[0]!Tab31_flow_rate</c:f>
              <c:numCache>
                <c:formatCode>General</c:formatCode>
                <c:ptCount val="149"/>
                <c:pt idx="0">
                  <c:v>0.11</c:v>
                </c:pt>
                <c:pt idx="1">
                  <c:v>0.59</c:v>
                </c:pt>
                <c:pt idx="2">
                  <c:v>0.67</c:v>
                </c:pt>
                <c:pt idx="3">
                  <c:v>1.0900000000000001</c:v>
                </c:pt>
                <c:pt idx="4">
                  <c:v>1.61</c:v>
                </c:pt>
                <c:pt idx="5">
                  <c:v>2.41</c:v>
                </c:pt>
                <c:pt idx="6">
                  <c:v>3.57</c:v>
                </c:pt>
                <c:pt idx="7">
                  <c:v>4.88</c:v>
                </c:pt>
                <c:pt idx="8">
                  <c:v>7.36</c:v>
                </c:pt>
                <c:pt idx="9">
                  <c:v>11.29</c:v>
                </c:pt>
                <c:pt idx="10">
                  <c:v>15.08</c:v>
                </c:pt>
                <c:pt idx="11">
                  <c:v>17.89</c:v>
                </c:pt>
                <c:pt idx="12">
                  <c:v>25.68</c:v>
                </c:pt>
                <c:pt idx="13">
                  <c:v>23.23</c:v>
                </c:pt>
                <c:pt idx="14">
                  <c:v>23.53</c:v>
                </c:pt>
                <c:pt idx="15">
                  <c:v>24.1</c:v>
                </c:pt>
                <c:pt idx="16">
                  <c:v>23</c:v>
                </c:pt>
                <c:pt idx="17">
                  <c:v>21.35</c:v>
                </c:pt>
                <c:pt idx="18">
                  <c:v>24.5</c:v>
                </c:pt>
                <c:pt idx="19">
                  <c:v>19.29</c:v>
                </c:pt>
                <c:pt idx="20">
                  <c:v>25.25</c:v>
                </c:pt>
                <c:pt idx="21">
                  <c:v>20.57</c:v>
                </c:pt>
                <c:pt idx="22">
                  <c:v>23.32</c:v>
                </c:pt>
                <c:pt idx="23">
                  <c:v>20.32</c:v>
                </c:pt>
                <c:pt idx="24">
                  <c:v>24.39</c:v>
                </c:pt>
                <c:pt idx="25">
                  <c:v>21.94</c:v>
                </c:pt>
                <c:pt idx="26">
                  <c:v>19.84</c:v>
                </c:pt>
                <c:pt idx="27">
                  <c:v>23.73</c:v>
                </c:pt>
                <c:pt idx="28">
                  <c:v>21.45</c:v>
                </c:pt>
                <c:pt idx="29">
                  <c:v>23.34</c:v>
                </c:pt>
                <c:pt idx="30">
                  <c:v>19.54</c:v>
                </c:pt>
                <c:pt idx="31">
                  <c:v>24.63</c:v>
                </c:pt>
                <c:pt idx="32">
                  <c:v>19.5</c:v>
                </c:pt>
                <c:pt idx="33">
                  <c:v>24.4</c:v>
                </c:pt>
                <c:pt idx="34">
                  <c:v>19.61</c:v>
                </c:pt>
                <c:pt idx="35">
                  <c:v>24.19</c:v>
                </c:pt>
                <c:pt idx="36">
                  <c:v>19.850000000000001</c:v>
                </c:pt>
                <c:pt idx="37">
                  <c:v>24.61</c:v>
                </c:pt>
                <c:pt idx="38">
                  <c:v>19.239999999999998</c:v>
                </c:pt>
                <c:pt idx="39">
                  <c:v>23.42</c:v>
                </c:pt>
                <c:pt idx="40">
                  <c:v>22.64</c:v>
                </c:pt>
                <c:pt idx="41">
                  <c:v>20.83</c:v>
                </c:pt>
                <c:pt idx="42">
                  <c:v>23.75</c:v>
                </c:pt>
                <c:pt idx="43">
                  <c:v>19.47</c:v>
                </c:pt>
                <c:pt idx="44">
                  <c:v>24.33</c:v>
                </c:pt>
                <c:pt idx="45">
                  <c:v>20.239999999999998</c:v>
                </c:pt>
                <c:pt idx="46">
                  <c:v>23.8</c:v>
                </c:pt>
                <c:pt idx="47">
                  <c:v>19.920000000000002</c:v>
                </c:pt>
                <c:pt idx="48">
                  <c:v>24.3</c:v>
                </c:pt>
                <c:pt idx="49">
                  <c:v>20.07</c:v>
                </c:pt>
                <c:pt idx="50">
                  <c:v>23.71</c:v>
                </c:pt>
                <c:pt idx="51">
                  <c:v>20.239999999999998</c:v>
                </c:pt>
                <c:pt idx="52">
                  <c:v>24.08</c:v>
                </c:pt>
                <c:pt idx="53">
                  <c:v>20.09</c:v>
                </c:pt>
                <c:pt idx="54">
                  <c:v>23.51</c:v>
                </c:pt>
                <c:pt idx="55">
                  <c:v>20.34</c:v>
                </c:pt>
                <c:pt idx="56">
                  <c:v>24.62</c:v>
                </c:pt>
                <c:pt idx="57">
                  <c:v>19.39</c:v>
                </c:pt>
                <c:pt idx="58">
                  <c:v>24.16</c:v>
                </c:pt>
                <c:pt idx="59">
                  <c:v>19.850000000000001</c:v>
                </c:pt>
                <c:pt idx="60">
                  <c:v>24.55</c:v>
                </c:pt>
                <c:pt idx="61">
                  <c:v>19.7</c:v>
                </c:pt>
                <c:pt idx="62">
                  <c:v>24.32</c:v>
                </c:pt>
                <c:pt idx="63">
                  <c:v>21.66</c:v>
                </c:pt>
                <c:pt idx="64">
                  <c:v>20.67</c:v>
                </c:pt>
                <c:pt idx="65">
                  <c:v>23.79</c:v>
                </c:pt>
                <c:pt idx="66">
                  <c:v>19.399999999999999</c:v>
                </c:pt>
                <c:pt idx="67">
                  <c:v>24.66</c:v>
                </c:pt>
                <c:pt idx="68">
                  <c:v>19.559999999999999</c:v>
                </c:pt>
                <c:pt idx="69">
                  <c:v>24.03</c:v>
                </c:pt>
                <c:pt idx="70">
                  <c:v>19.739999999999998</c:v>
                </c:pt>
                <c:pt idx="71">
                  <c:v>24.87</c:v>
                </c:pt>
                <c:pt idx="72">
                  <c:v>19.899999999999999</c:v>
                </c:pt>
                <c:pt idx="73">
                  <c:v>23.75</c:v>
                </c:pt>
                <c:pt idx="74">
                  <c:v>19.95</c:v>
                </c:pt>
                <c:pt idx="75">
                  <c:v>24.1</c:v>
                </c:pt>
                <c:pt idx="76">
                  <c:v>20.72</c:v>
                </c:pt>
                <c:pt idx="77">
                  <c:v>23.72</c:v>
                </c:pt>
                <c:pt idx="78">
                  <c:v>19.39</c:v>
                </c:pt>
                <c:pt idx="79">
                  <c:v>24.73</c:v>
                </c:pt>
                <c:pt idx="80">
                  <c:v>19.38</c:v>
                </c:pt>
                <c:pt idx="81">
                  <c:v>24.16</c:v>
                </c:pt>
                <c:pt idx="82">
                  <c:v>20.07</c:v>
                </c:pt>
                <c:pt idx="83">
                  <c:v>23.46</c:v>
                </c:pt>
                <c:pt idx="84">
                  <c:v>20.66</c:v>
                </c:pt>
                <c:pt idx="85">
                  <c:v>24.4</c:v>
                </c:pt>
                <c:pt idx="86">
                  <c:v>19.670000000000002</c:v>
                </c:pt>
                <c:pt idx="87">
                  <c:v>24.27</c:v>
                </c:pt>
                <c:pt idx="88">
                  <c:v>19.79</c:v>
                </c:pt>
                <c:pt idx="89">
                  <c:v>23.98</c:v>
                </c:pt>
                <c:pt idx="90">
                  <c:v>19.829999999999998</c:v>
                </c:pt>
                <c:pt idx="91">
                  <c:v>24.57</c:v>
                </c:pt>
                <c:pt idx="92">
                  <c:v>19.260000000000002</c:v>
                </c:pt>
                <c:pt idx="93">
                  <c:v>23.7</c:v>
                </c:pt>
                <c:pt idx="94">
                  <c:v>21.51</c:v>
                </c:pt>
                <c:pt idx="95">
                  <c:v>23.53</c:v>
                </c:pt>
                <c:pt idx="96">
                  <c:v>19.37</c:v>
                </c:pt>
                <c:pt idx="97">
                  <c:v>24.76</c:v>
                </c:pt>
                <c:pt idx="98">
                  <c:v>19.63</c:v>
                </c:pt>
                <c:pt idx="99">
                  <c:v>23.8</c:v>
                </c:pt>
                <c:pt idx="100">
                  <c:v>20.03</c:v>
                </c:pt>
                <c:pt idx="101">
                  <c:v>23.96</c:v>
                </c:pt>
                <c:pt idx="102">
                  <c:v>20.440000000000001</c:v>
                </c:pt>
                <c:pt idx="103">
                  <c:v>23.62</c:v>
                </c:pt>
                <c:pt idx="104">
                  <c:v>20.02</c:v>
                </c:pt>
                <c:pt idx="105">
                  <c:v>24.56</c:v>
                </c:pt>
                <c:pt idx="106">
                  <c:v>20.02</c:v>
                </c:pt>
                <c:pt idx="107">
                  <c:v>23.43</c:v>
                </c:pt>
                <c:pt idx="108">
                  <c:v>20.100000000000001</c:v>
                </c:pt>
                <c:pt idx="109">
                  <c:v>24.52</c:v>
                </c:pt>
                <c:pt idx="110">
                  <c:v>19.850000000000001</c:v>
                </c:pt>
                <c:pt idx="111">
                  <c:v>23.08</c:v>
                </c:pt>
                <c:pt idx="112">
                  <c:v>21.34</c:v>
                </c:pt>
                <c:pt idx="113">
                  <c:v>23.18</c:v>
                </c:pt>
                <c:pt idx="114">
                  <c:v>21.43</c:v>
                </c:pt>
                <c:pt idx="115">
                  <c:v>22.89</c:v>
                </c:pt>
                <c:pt idx="116">
                  <c:v>19.77</c:v>
                </c:pt>
                <c:pt idx="117">
                  <c:v>24.38</c:v>
                </c:pt>
                <c:pt idx="118">
                  <c:v>20.079999999999998</c:v>
                </c:pt>
                <c:pt idx="119">
                  <c:v>23.52</c:v>
                </c:pt>
                <c:pt idx="120">
                  <c:v>20.190000000000001</c:v>
                </c:pt>
                <c:pt idx="121">
                  <c:v>24.39</c:v>
                </c:pt>
                <c:pt idx="122">
                  <c:v>19.97</c:v>
                </c:pt>
                <c:pt idx="123">
                  <c:v>24.21</c:v>
                </c:pt>
                <c:pt idx="124">
                  <c:v>19.61</c:v>
                </c:pt>
                <c:pt idx="125">
                  <c:v>24.41</c:v>
                </c:pt>
                <c:pt idx="126">
                  <c:v>19.440000000000001</c:v>
                </c:pt>
                <c:pt idx="127">
                  <c:v>23.99</c:v>
                </c:pt>
                <c:pt idx="128">
                  <c:v>19.920000000000002</c:v>
                </c:pt>
                <c:pt idx="129">
                  <c:v>24.73</c:v>
                </c:pt>
                <c:pt idx="130">
                  <c:v>20.260000000000002</c:v>
                </c:pt>
                <c:pt idx="131">
                  <c:v>21.8</c:v>
                </c:pt>
                <c:pt idx="132">
                  <c:v>23.75</c:v>
                </c:pt>
                <c:pt idx="133">
                  <c:v>19.59</c:v>
                </c:pt>
                <c:pt idx="134">
                  <c:v>24.61</c:v>
                </c:pt>
                <c:pt idx="135">
                  <c:v>19.41</c:v>
                </c:pt>
                <c:pt idx="136">
                  <c:v>24.16</c:v>
                </c:pt>
                <c:pt idx="137">
                  <c:v>20.16</c:v>
                </c:pt>
                <c:pt idx="138">
                  <c:v>23.34</c:v>
                </c:pt>
                <c:pt idx="139">
                  <c:v>21</c:v>
                </c:pt>
                <c:pt idx="140">
                  <c:v>23.53</c:v>
                </c:pt>
                <c:pt idx="141">
                  <c:v>19.68</c:v>
                </c:pt>
                <c:pt idx="142">
                  <c:v>24.05</c:v>
                </c:pt>
                <c:pt idx="143">
                  <c:v>20.03</c:v>
                </c:pt>
                <c:pt idx="144">
                  <c:v>24.04</c:v>
                </c:pt>
                <c:pt idx="145">
                  <c:v>19.88</c:v>
                </c:pt>
                <c:pt idx="146">
                  <c:v>24.53</c:v>
                </c:pt>
                <c:pt idx="147">
                  <c:v>19.52</c:v>
                </c:pt>
                <c:pt idx="148">
                  <c:v>23.98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F-4114-96C6-A7D1A9070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[0]!Tab31_elapsed_time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[0]!Tab31_flow_retrans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F-4114-96C6-A7D1A9070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Plots!$AR$7</c:f>
          <c:strCache>
            <c:ptCount val="1"/>
            <c:pt idx="0">
              <c:v>AARnetCBR-CamDTN1_tcpmon_tseries_22Feb24 3 Flows flow 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[0]!Tab31_elapsed_time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[0]!Tab33_flow_rate</c:f>
              <c:numCache>
                <c:formatCode>General</c:formatCode>
                <c:ptCount val="14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0.08</c:v>
                </c:pt>
                <c:pt idx="5">
                  <c:v>0.15</c:v>
                </c:pt>
                <c:pt idx="6">
                  <c:v>0.24</c:v>
                </c:pt>
                <c:pt idx="7">
                  <c:v>0.37</c:v>
                </c:pt>
                <c:pt idx="8">
                  <c:v>0.55000000000000004</c:v>
                </c:pt>
                <c:pt idx="9">
                  <c:v>0.79</c:v>
                </c:pt>
                <c:pt idx="10">
                  <c:v>1.1299999999999999</c:v>
                </c:pt>
                <c:pt idx="11">
                  <c:v>1.46</c:v>
                </c:pt>
                <c:pt idx="12">
                  <c:v>2.39</c:v>
                </c:pt>
                <c:pt idx="13">
                  <c:v>3.54</c:v>
                </c:pt>
                <c:pt idx="14">
                  <c:v>5.35</c:v>
                </c:pt>
                <c:pt idx="15">
                  <c:v>7.24</c:v>
                </c:pt>
                <c:pt idx="16">
                  <c:v>10.43</c:v>
                </c:pt>
                <c:pt idx="17">
                  <c:v>16.559999999999999</c:v>
                </c:pt>
                <c:pt idx="18">
                  <c:v>20.56</c:v>
                </c:pt>
                <c:pt idx="19">
                  <c:v>22.87</c:v>
                </c:pt>
                <c:pt idx="20">
                  <c:v>24.88</c:v>
                </c:pt>
                <c:pt idx="21">
                  <c:v>20.14</c:v>
                </c:pt>
                <c:pt idx="22">
                  <c:v>24.23</c:v>
                </c:pt>
                <c:pt idx="23">
                  <c:v>19.55</c:v>
                </c:pt>
                <c:pt idx="24">
                  <c:v>24.02</c:v>
                </c:pt>
                <c:pt idx="25">
                  <c:v>21.38</c:v>
                </c:pt>
                <c:pt idx="26">
                  <c:v>21.2</c:v>
                </c:pt>
                <c:pt idx="27">
                  <c:v>22.91</c:v>
                </c:pt>
                <c:pt idx="28">
                  <c:v>21.37</c:v>
                </c:pt>
                <c:pt idx="29">
                  <c:v>23.61</c:v>
                </c:pt>
                <c:pt idx="30">
                  <c:v>19.510000000000002</c:v>
                </c:pt>
                <c:pt idx="31">
                  <c:v>24.3</c:v>
                </c:pt>
                <c:pt idx="32">
                  <c:v>19.739999999999998</c:v>
                </c:pt>
                <c:pt idx="33">
                  <c:v>24.6</c:v>
                </c:pt>
                <c:pt idx="34">
                  <c:v>19.559999999999999</c:v>
                </c:pt>
                <c:pt idx="35">
                  <c:v>23.35</c:v>
                </c:pt>
                <c:pt idx="36">
                  <c:v>20.440000000000001</c:v>
                </c:pt>
                <c:pt idx="37">
                  <c:v>24.34</c:v>
                </c:pt>
                <c:pt idx="38">
                  <c:v>19.82</c:v>
                </c:pt>
                <c:pt idx="39">
                  <c:v>23.22</c:v>
                </c:pt>
                <c:pt idx="40">
                  <c:v>22.57</c:v>
                </c:pt>
                <c:pt idx="41">
                  <c:v>20.36</c:v>
                </c:pt>
                <c:pt idx="42">
                  <c:v>24.2</c:v>
                </c:pt>
                <c:pt idx="43">
                  <c:v>19.48</c:v>
                </c:pt>
                <c:pt idx="44">
                  <c:v>23.84</c:v>
                </c:pt>
                <c:pt idx="45">
                  <c:v>20.170000000000002</c:v>
                </c:pt>
                <c:pt idx="46">
                  <c:v>24.37</c:v>
                </c:pt>
                <c:pt idx="47">
                  <c:v>19.670000000000002</c:v>
                </c:pt>
                <c:pt idx="48">
                  <c:v>24.49</c:v>
                </c:pt>
                <c:pt idx="49">
                  <c:v>19.420000000000002</c:v>
                </c:pt>
                <c:pt idx="50">
                  <c:v>24.25</c:v>
                </c:pt>
                <c:pt idx="51">
                  <c:v>20.37</c:v>
                </c:pt>
                <c:pt idx="52">
                  <c:v>23.38</c:v>
                </c:pt>
                <c:pt idx="53">
                  <c:v>20.95</c:v>
                </c:pt>
                <c:pt idx="54">
                  <c:v>23.47</c:v>
                </c:pt>
                <c:pt idx="55">
                  <c:v>19.760000000000002</c:v>
                </c:pt>
                <c:pt idx="56">
                  <c:v>24.23</c:v>
                </c:pt>
                <c:pt idx="57">
                  <c:v>19.86</c:v>
                </c:pt>
                <c:pt idx="58">
                  <c:v>24.65</c:v>
                </c:pt>
                <c:pt idx="59">
                  <c:v>19.3</c:v>
                </c:pt>
                <c:pt idx="60">
                  <c:v>24.76</c:v>
                </c:pt>
                <c:pt idx="61">
                  <c:v>19.39</c:v>
                </c:pt>
                <c:pt idx="62">
                  <c:v>23.92</c:v>
                </c:pt>
                <c:pt idx="63">
                  <c:v>21.29</c:v>
                </c:pt>
                <c:pt idx="64">
                  <c:v>21.2</c:v>
                </c:pt>
                <c:pt idx="65">
                  <c:v>24.22</c:v>
                </c:pt>
                <c:pt idx="66">
                  <c:v>19.38</c:v>
                </c:pt>
                <c:pt idx="67">
                  <c:v>24.35</c:v>
                </c:pt>
                <c:pt idx="68">
                  <c:v>19.55</c:v>
                </c:pt>
                <c:pt idx="69">
                  <c:v>24.62</c:v>
                </c:pt>
                <c:pt idx="70">
                  <c:v>19.510000000000002</c:v>
                </c:pt>
                <c:pt idx="71">
                  <c:v>24.07</c:v>
                </c:pt>
                <c:pt idx="72">
                  <c:v>20.05</c:v>
                </c:pt>
                <c:pt idx="73">
                  <c:v>24.53</c:v>
                </c:pt>
                <c:pt idx="74">
                  <c:v>19.27</c:v>
                </c:pt>
                <c:pt idx="75">
                  <c:v>24.37</c:v>
                </c:pt>
                <c:pt idx="76">
                  <c:v>20.37</c:v>
                </c:pt>
                <c:pt idx="77">
                  <c:v>23.77</c:v>
                </c:pt>
                <c:pt idx="78">
                  <c:v>19.489999999999998</c:v>
                </c:pt>
                <c:pt idx="79">
                  <c:v>24.54</c:v>
                </c:pt>
                <c:pt idx="80">
                  <c:v>19.420000000000002</c:v>
                </c:pt>
                <c:pt idx="81">
                  <c:v>24.44</c:v>
                </c:pt>
                <c:pt idx="82">
                  <c:v>19.64</c:v>
                </c:pt>
                <c:pt idx="83">
                  <c:v>24.23</c:v>
                </c:pt>
                <c:pt idx="84">
                  <c:v>19.989999999999998</c:v>
                </c:pt>
                <c:pt idx="85">
                  <c:v>24.5</c:v>
                </c:pt>
                <c:pt idx="86">
                  <c:v>19.29</c:v>
                </c:pt>
                <c:pt idx="87">
                  <c:v>24.42</c:v>
                </c:pt>
                <c:pt idx="88">
                  <c:v>19.600000000000001</c:v>
                </c:pt>
                <c:pt idx="89">
                  <c:v>24.66</c:v>
                </c:pt>
                <c:pt idx="90">
                  <c:v>19.260000000000002</c:v>
                </c:pt>
                <c:pt idx="91">
                  <c:v>24.5</c:v>
                </c:pt>
                <c:pt idx="92">
                  <c:v>19.73</c:v>
                </c:pt>
                <c:pt idx="93">
                  <c:v>23.82</c:v>
                </c:pt>
                <c:pt idx="94">
                  <c:v>20.190000000000001</c:v>
                </c:pt>
                <c:pt idx="95">
                  <c:v>24.21</c:v>
                </c:pt>
                <c:pt idx="96">
                  <c:v>19.78</c:v>
                </c:pt>
                <c:pt idx="97">
                  <c:v>24.1</c:v>
                </c:pt>
                <c:pt idx="98">
                  <c:v>19.87</c:v>
                </c:pt>
                <c:pt idx="99">
                  <c:v>24.62</c:v>
                </c:pt>
                <c:pt idx="100">
                  <c:v>19.329999999999998</c:v>
                </c:pt>
                <c:pt idx="101">
                  <c:v>23.89</c:v>
                </c:pt>
                <c:pt idx="102">
                  <c:v>20.190000000000001</c:v>
                </c:pt>
                <c:pt idx="103">
                  <c:v>24.47</c:v>
                </c:pt>
                <c:pt idx="104">
                  <c:v>19.38</c:v>
                </c:pt>
                <c:pt idx="105">
                  <c:v>24.32</c:v>
                </c:pt>
                <c:pt idx="106">
                  <c:v>19.93</c:v>
                </c:pt>
                <c:pt idx="107">
                  <c:v>24.37</c:v>
                </c:pt>
                <c:pt idx="108">
                  <c:v>19.3</c:v>
                </c:pt>
                <c:pt idx="109">
                  <c:v>24.64</c:v>
                </c:pt>
                <c:pt idx="110">
                  <c:v>19.59</c:v>
                </c:pt>
                <c:pt idx="111">
                  <c:v>23.33</c:v>
                </c:pt>
                <c:pt idx="112">
                  <c:v>20.7</c:v>
                </c:pt>
                <c:pt idx="113">
                  <c:v>23.36</c:v>
                </c:pt>
                <c:pt idx="114">
                  <c:v>21.27</c:v>
                </c:pt>
                <c:pt idx="115">
                  <c:v>23.6</c:v>
                </c:pt>
                <c:pt idx="116">
                  <c:v>19.5</c:v>
                </c:pt>
                <c:pt idx="117">
                  <c:v>24.1</c:v>
                </c:pt>
                <c:pt idx="118">
                  <c:v>20.07</c:v>
                </c:pt>
                <c:pt idx="119">
                  <c:v>24.36</c:v>
                </c:pt>
                <c:pt idx="120">
                  <c:v>19.54</c:v>
                </c:pt>
                <c:pt idx="121">
                  <c:v>24</c:v>
                </c:pt>
                <c:pt idx="122">
                  <c:v>20.010000000000002</c:v>
                </c:pt>
                <c:pt idx="123">
                  <c:v>24.69</c:v>
                </c:pt>
                <c:pt idx="124">
                  <c:v>19.22</c:v>
                </c:pt>
                <c:pt idx="125">
                  <c:v>24.34</c:v>
                </c:pt>
                <c:pt idx="126">
                  <c:v>19.760000000000002</c:v>
                </c:pt>
                <c:pt idx="127">
                  <c:v>24.47</c:v>
                </c:pt>
                <c:pt idx="128">
                  <c:v>19.48</c:v>
                </c:pt>
                <c:pt idx="129">
                  <c:v>24.44</c:v>
                </c:pt>
                <c:pt idx="130">
                  <c:v>19.72</c:v>
                </c:pt>
                <c:pt idx="131">
                  <c:v>22.81</c:v>
                </c:pt>
                <c:pt idx="132">
                  <c:v>22.96</c:v>
                </c:pt>
                <c:pt idx="133">
                  <c:v>20.03</c:v>
                </c:pt>
                <c:pt idx="134">
                  <c:v>24.36</c:v>
                </c:pt>
                <c:pt idx="135">
                  <c:v>19.52</c:v>
                </c:pt>
                <c:pt idx="136">
                  <c:v>24.6</c:v>
                </c:pt>
                <c:pt idx="137">
                  <c:v>19.53</c:v>
                </c:pt>
                <c:pt idx="138">
                  <c:v>23.33</c:v>
                </c:pt>
                <c:pt idx="139">
                  <c:v>20.82</c:v>
                </c:pt>
                <c:pt idx="140">
                  <c:v>24.44</c:v>
                </c:pt>
                <c:pt idx="141">
                  <c:v>19.22</c:v>
                </c:pt>
                <c:pt idx="142">
                  <c:v>24.41</c:v>
                </c:pt>
                <c:pt idx="143">
                  <c:v>19.579999999999998</c:v>
                </c:pt>
                <c:pt idx="144">
                  <c:v>24.6</c:v>
                </c:pt>
                <c:pt idx="145">
                  <c:v>19.45</c:v>
                </c:pt>
                <c:pt idx="146">
                  <c:v>24.26</c:v>
                </c:pt>
                <c:pt idx="147">
                  <c:v>19.579999999999998</c:v>
                </c:pt>
                <c:pt idx="148">
                  <c:v>24.53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A6-4D00-BE2B-ABA9FAEA8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[0]!Tab31_elapsed_time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[0]!Tab33_flow_retrans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A6-4D00-BE2B-ABA9FAEA8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Plots!$AZ$1</c:f>
          <c:strCache>
            <c:ptCount val="1"/>
            <c:pt idx="0">
              <c:v>AARnetCBR-CamDTN1_tcpmon_tseries_22Feb24 4 Flows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4387650696206"/>
          <c:y val="0.18572241183162685"/>
          <c:w val="0.78975358482732028"/>
          <c:h val="0.57263936291240047"/>
        </c:manualLayout>
      </c:layout>
      <c:scatterChart>
        <c:scatterStyle val="lineMarker"/>
        <c:varyColors val="0"/>
        <c:ser>
          <c:idx val="1"/>
          <c:order val="0"/>
          <c:tx>
            <c:v>flow1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[0]!Tab41_flow_rate</c:f>
              <c:numCache>
                <c:formatCode>General</c:formatCode>
                <c:ptCount val="14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0.08</c:v>
                </c:pt>
                <c:pt idx="5">
                  <c:v>0.15</c:v>
                </c:pt>
                <c:pt idx="6">
                  <c:v>0.24</c:v>
                </c:pt>
                <c:pt idx="7">
                  <c:v>0.37</c:v>
                </c:pt>
                <c:pt idx="8">
                  <c:v>0.54</c:v>
                </c:pt>
                <c:pt idx="9">
                  <c:v>0.79</c:v>
                </c:pt>
                <c:pt idx="10">
                  <c:v>1.1499999999999999</c:v>
                </c:pt>
                <c:pt idx="11">
                  <c:v>1.54</c:v>
                </c:pt>
                <c:pt idx="12">
                  <c:v>2.2599999999999998</c:v>
                </c:pt>
                <c:pt idx="13">
                  <c:v>3.55</c:v>
                </c:pt>
                <c:pt idx="14">
                  <c:v>5.25</c:v>
                </c:pt>
                <c:pt idx="15">
                  <c:v>7.76</c:v>
                </c:pt>
                <c:pt idx="16">
                  <c:v>10.35</c:v>
                </c:pt>
                <c:pt idx="17">
                  <c:v>13.65</c:v>
                </c:pt>
                <c:pt idx="18">
                  <c:v>20.02</c:v>
                </c:pt>
                <c:pt idx="19">
                  <c:v>21.82</c:v>
                </c:pt>
                <c:pt idx="20">
                  <c:v>28.7</c:v>
                </c:pt>
                <c:pt idx="21">
                  <c:v>19.55</c:v>
                </c:pt>
                <c:pt idx="22">
                  <c:v>25.19</c:v>
                </c:pt>
                <c:pt idx="23">
                  <c:v>23.03</c:v>
                </c:pt>
                <c:pt idx="24">
                  <c:v>26.33</c:v>
                </c:pt>
                <c:pt idx="25">
                  <c:v>23.94</c:v>
                </c:pt>
                <c:pt idx="26">
                  <c:v>27.79</c:v>
                </c:pt>
                <c:pt idx="27">
                  <c:v>24.91</c:v>
                </c:pt>
                <c:pt idx="28">
                  <c:v>28.55</c:v>
                </c:pt>
                <c:pt idx="29">
                  <c:v>28.29</c:v>
                </c:pt>
                <c:pt idx="30">
                  <c:v>26.29</c:v>
                </c:pt>
                <c:pt idx="31">
                  <c:v>24</c:v>
                </c:pt>
                <c:pt idx="32">
                  <c:v>22.21</c:v>
                </c:pt>
                <c:pt idx="33">
                  <c:v>21.37</c:v>
                </c:pt>
                <c:pt idx="34">
                  <c:v>23.14</c:v>
                </c:pt>
                <c:pt idx="35">
                  <c:v>21.54</c:v>
                </c:pt>
                <c:pt idx="36">
                  <c:v>24.14</c:v>
                </c:pt>
                <c:pt idx="37">
                  <c:v>25.54</c:v>
                </c:pt>
                <c:pt idx="38">
                  <c:v>23.15</c:v>
                </c:pt>
                <c:pt idx="39">
                  <c:v>25.1</c:v>
                </c:pt>
                <c:pt idx="40">
                  <c:v>25.72</c:v>
                </c:pt>
                <c:pt idx="41">
                  <c:v>25.81</c:v>
                </c:pt>
                <c:pt idx="42">
                  <c:v>22.49</c:v>
                </c:pt>
                <c:pt idx="43">
                  <c:v>25.42</c:v>
                </c:pt>
                <c:pt idx="44">
                  <c:v>25.43</c:v>
                </c:pt>
                <c:pt idx="45">
                  <c:v>24.77</c:v>
                </c:pt>
                <c:pt idx="46">
                  <c:v>28.21</c:v>
                </c:pt>
                <c:pt idx="47">
                  <c:v>24.08</c:v>
                </c:pt>
                <c:pt idx="48">
                  <c:v>25.79</c:v>
                </c:pt>
                <c:pt idx="49">
                  <c:v>24.42</c:v>
                </c:pt>
                <c:pt idx="50">
                  <c:v>26.33</c:v>
                </c:pt>
                <c:pt idx="51">
                  <c:v>26.52</c:v>
                </c:pt>
                <c:pt idx="52">
                  <c:v>24.03</c:v>
                </c:pt>
                <c:pt idx="53">
                  <c:v>25.48</c:v>
                </c:pt>
                <c:pt idx="54">
                  <c:v>25.77</c:v>
                </c:pt>
                <c:pt idx="55">
                  <c:v>24.81</c:v>
                </c:pt>
                <c:pt idx="56">
                  <c:v>27.76</c:v>
                </c:pt>
                <c:pt idx="57">
                  <c:v>26.38</c:v>
                </c:pt>
                <c:pt idx="58">
                  <c:v>22.62</c:v>
                </c:pt>
                <c:pt idx="59">
                  <c:v>27.32</c:v>
                </c:pt>
                <c:pt idx="60">
                  <c:v>27.74</c:v>
                </c:pt>
                <c:pt idx="61">
                  <c:v>26.23</c:v>
                </c:pt>
                <c:pt idx="62">
                  <c:v>25.37</c:v>
                </c:pt>
                <c:pt idx="63">
                  <c:v>27.21</c:v>
                </c:pt>
                <c:pt idx="64">
                  <c:v>27.13</c:v>
                </c:pt>
                <c:pt idx="65">
                  <c:v>19.27</c:v>
                </c:pt>
                <c:pt idx="66">
                  <c:v>21.01</c:v>
                </c:pt>
                <c:pt idx="67">
                  <c:v>21.47</c:v>
                </c:pt>
                <c:pt idx="68">
                  <c:v>24.1</c:v>
                </c:pt>
                <c:pt idx="69">
                  <c:v>24.34</c:v>
                </c:pt>
                <c:pt idx="70">
                  <c:v>24.91</c:v>
                </c:pt>
                <c:pt idx="71">
                  <c:v>26.62</c:v>
                </c:pt>
                <c:pt idx="72">
                  <c:v>25.74</c:v>
                </c:pt>
                <c:pt idx="73">
                  <c:v>26.26</c:v>
                </c:pt>
                <c:pt idx="74">
                  <c:v>24.86</c:v>
                </c:pt>
                <c:pt idx="75">
                  <c:v>27.21</c:v>
                </c:pt>
                <c:pt idx="76">
                  <c:v>28.12</c:v>
                </c:pt>
                <c:pt idx="77">
                  <c:v>27.54</c:v>
                </c:pt>
                <c:pt idx="78">
                  <c:v>27.91</c:v>
                </c:pt>
                <c:pt idx="79">
                  <c:v>25.42</c:v>
                </c:pt>
                <c:pt idx="80">
                  <c:v>26.9</c:v>
                </c:pt>
                <c:pt idx="81">
                  <c:v>28.16</c:v>
                </c:pt>
                <c:pt idx="82">
                  <c:v>18.7</c:v>
                </c:pt>
                <c:pt idx="83">
                  <c:v>21.2</c:v>
                </c:pt>
                <c:pt idx="84">
                  <c:v>21.69</c:v>
                </c:pt>
                <c:pt idx="85">
                  <c:v>21.81</c:v>
                </c:pt>
                <c:pt idx="86">
                  <c:v>23.16</c:v>
                </c:pt>
                <c:pt idx="87">
                  <c:v>22.35</c:v>
                </c:pt>
                <c:pt idx="88">
                  <c:v>23.25</c:v>
                </c:pt>
                <c:pt idx="89">
                  <c:v>23.99</c:v>
                </c:pt>
                <c:pt idx="90">
                  <c:v>23.24</c:v>
                </c:pt>
                <c:pt idx="91">
                  <c:v>23.24</c:v>
                </c:pt>
                <c:pt idx="92">
                  <c:v>26.31</c:v>
                </c:pt>
                <c:pt idx="93">
                  <c:v>21.84</c:v>
                </c:pt>
                <c:pt idx="94">
                  <c:v>25.64</c:v>
                </c:pt>
                <c:pt idx="95">
                  <c:v>22.82</c:v>
                </c:pt>
                <c:pt idx="96">
                  <c:v>25.04</c:v>
                </c:pt>
                <c:pt idx="97">
                  <c:v>25.08</c:v>
                </c:pt>
                <c:pt idx="98">
                  <c:v>23.49</c:v>
                </c:pt>
                <c:pt idx="99">
                  <c:v>26.24</c:v>
                </c:pt>
                <c:pt idx="100">
                  <c:v>23.26</c:v>
                </c:pt>
                <c:pt idx="101">
                  <c:v>25.51</c:v>
                </c:pt>
                <c:pt idx="102">
                  <c:v>22.75</c:v>
                </c:pt>
                <c:pt idx="103">
                  <c:v>24.13</c:v>
                </c:pt>
                <c:pt idx="104">
                  <c:v>26.83</c:v>
                </c:pt>
                <c:pt idx="105">
                  <c:v>22.71</c:v>
                </c:pt>
                <c:pt idx="106">
                  <c:v>24.62</c:v>
                </c:pt>
                <c:pt idx="107">
                  <c:v>23.73</c:v>
                </c:pt>
                <c:pt idx="108">
                  <c:v>23.91</c:v>
                </c:pt>
                <c:pt idx="109">
                  <c:v>26.08</c:v>
                </c:pt>
                <c:pt idx="110">
                  <c:v>23.71</c:v>
                </c:pt>
                <c:pt idx="111">
                  <c:v>25.22</c:v>
                </c:pt>
                <c:pt idx="112">
                  <c:v>26.67</c:v>
                </c:pt>
                <c:pt idx="113">
                  <c:v>25.97</c:v>
                </c:pt>
                <c:pt idx="114">
                  <c:v>24.93</c:v>
                </c:pt>
                <c:pt idx="115">
                  <c:v>26.87</c:v>
                </c:pt>
                <c:pt idx="116">
                  <c:v>25.03</c:v>
                </c:pt>
                <c:pt idx="117">
                  <c:v>28.51</c:v>
                </c:pt>
                <c:pt idx="118">
                  <c:v>27.45</c:v>
                </c:pt>
                <c:pt idx="119">
                  <c:v>28.16</c:v>
                </c:pt>
                <c:pt idx="120">
                  <c:v>26.83</c:v>
                </c:pt>
                <c:pt idx="121">
                  <c:v>25.57</c:v>
                </c:pt>
                <c:pt idx="122">
                  <c:v>21</c:v>
                </c:pt>
                <c:pt idx="123">
                  <c:v>26.53</c:v>
                </c:pt>
                <c:pt idx="124">
                  <c:v>24.42</c:v>
                </c:pt>
                <c:pt idx="125">
                  <c:v>23.35</c:v>
                </c:pt>
                <c:pt idx="126">
                  <c:v>27.81</c:v>
                </c:pt>
                <c:pt idx="127">
                  <c:v>25.84</c:v>
                </c:pt>
                <c:pt idx="128">
                  <c:v>27.82</c:v>
                </c:pt>
                <c:pt idx="129">
                  <c:v>27.48</c:v>
                </c:pt>
                <c:pt idx="130">
                  <c:v>27.39</c:v>
                </c:pt>
                <c:pt idx="131">
                  <c:v>28.32</c:v>
                </c:pt>
                <c:pt idx="132">
                  <c:v>18.05</c:v>
                </c:pt>
                <c:pt idx="133">
                  <c:v>23.38</c:v>
                </c:pt>
                <c:pt idx="134">
                  <c:v>22.61</c:v>
                </c:pt>
                <c:pt idx="135">
                  <c:v>23.15</c:v>
                </c:pt>
                <c:pt idx="136">
                  <c:v>22.86</c:v>
                </c:pt>
                <c:pt idx="137">
                  <c:v>25.05</c:v>
                </c:pt>
                <c:pt idx="138">
                  <c:v>26.06</c:v>
                </c:pt>
                <c:pt idx="139">
                  <c:v>23.4</c:v>
                </c:pt>
                <c:pt idx="140">
                  <c:v>24.25</c:v>
                </c:pt>
                <c:pt idx="141">
                  <c:v>26.71</c:v>
                </c:pt>
                <c:pt idx="142">
                  <c:v>24.37</c:v>
                </c:pt>
                <c:pt idx="143">
                  <c:v>28.06</c:v>
                </c:pt>
                <c:pt idx="144">
                  <c:v>25.01</c:v>
                </c:pt>
                <c:pt idx="145">
                  <c:v>26.74</c:v>
                </c:pt>
                <c:pt idx="146">
                  <c:v>25.66</c:v>
                </c:pt>
                <c:pt idx="147">
                  <c:v>24.94</c:v>
                </c:pt>
                <c:pt idx="148">
                  <c:v>28.39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9-486C-8770-B9FA36844C86}"/>
            </c:ext>
          </c:extLst>
        </c:ser>
        <c:ser>
          <c:idx val="0"/>
          <c:order val="1"/>
          <c:tx>
            <c:v>flow2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[0]!Tab42_flow_rate</c:f>
              <c:numCache>
                <c:formatCode>General</c:formatCode>
                <c:ptCount val="149"/>
                <c:pt idx="0">
                  <c:v>0.09</c:v>
                </c:pt>
                <c:pt idx="1">
                  <c:v>0.8</c:v>
                </c:pt>
                <c:pt idx="2">
                  <c:v>0.9</c:v>
                </c:pt>
                <c:pt idx="3">
                  <c:v>1.49</c:v>
                </c:pt>
                <c:pt idx="4">
                  <c:v>2.2000000000000002</c:v>
                </c:pt>
                <c:pt idx="5">
                  <c:v>3.33</c:v>
                </c:pt>
                <c:pt idx="6">
                  <c:v>4.25</c:v>
                </c:pt>
                <c:pt idx="7">
                  <c:v>6.96</c:v>
                </c:pt>
                <c:pt idx="8">
                  <c:v>9.51</c:v>
                </c:pt>
                <c:pt idx="9">
                  <c:v>16.09</c:v>
                </c:pt>
                <c:pt idx="10">
                  <c:v>16.78</c:v>
                </c:pt>
                <c:pt idx="11">
                  <c:v>22.8</c:v>
                </c:pt>
                <c:pt idx="12">
                  <c:v>26.58</c:v>
                </c:pt>
                <c:pt idx="13">
                  <c:v>26.54</c:v>
                </c:pt>
                <c:pt idx="14">
                  <c:v>26.21</c:v>
                </c:pt>
                <c:pt idx="15">
                  <c:v>24.36</c:v>
                </c:pt>
                <c:pt idx="16">
                  <c:v>25.83</c:v>
                </c:pt>
                <c:pt idx="17">
                  <c:v>23.68</c:v>
                </c:pt>
                <c:pt idx="18">
                  <c:v>26.41</c:v>
                </c:pt>
                <c:pt idx="19">
                  <c:v>24.36</c:v>
                </c:pt>
                <c:pt idx="20">
                  <c:v>22.28</c:v>
                </c:pt>
                <c:pt idx="21">
                  <c:v>20.27</c:v>
                </c:pt>
                <c:pt idx="22">
                  <c:v>20.9</c:v>
                </c:pt>
                <c:pt idx="23">
                  <c:v>24.5</c:v>
                </c:pt>
                <c:pt idx="24">
                  <c:v>22.26</c:v>
                </c:pt>
                <c:pt idx="25">
                  <c:v>26.02</c:v>
                </c:pt>
                <c:pt idx="26">
                  <c:v>23.11</c:v>
                </c:pt>
                <c:pt idx="27">
                  <c:v>27.11</c:v>
                </c:pt>
                <c:pt idx="28">
                  <c:v>24.95</c:v>
                </c:pt>
                <c:pt idx="29">
                  <c:v>25.38</c:v>
                </c:pt>
                <c:pt idx="30">
                  <c:v>27.67</c:v>
                </c:pt>
                <c:pt idx="31">
                  <c:v>19.03</c:v>
                </c:pt>
                <c:pt idx="32">
                  <c:v>22.21</c:v>
                </c:pt>
                <c:pt idx="33">
                  <c:v>21.29</c:v>
                </c:pt>
                <c:pt idx="34">
                  <c:v>20.48</c:v>
                </c:pt>
                <c:pt idx="35">
                  <c:v>19.920000000000002</c:v>
                </c:pt>
                <c:pt idx="36">
                  <c:v>24.91</c:v>
                </c:pt>
                <c:pt idx="37">
                  <c:v>21.86</c:v>
                </c:pt>
                <c:pt idx="38">
                  <c:v>21.31</c:v>
                </c:pt>
                <c:pt idx="39">
                  <c:v>25.57</c:v>
                </c:pt>
                <c:pt idx="40">
                  <c:v>22.31</c:v>
                </c:pt>
                <c:pt idx="41">
                  <c:v>24.67</c:v>
                </c:pt>
                <c:pt idx="42">
                  <c:v>22.93</c:v>
                </c:pt>
                <c:pt idx="43">
                  <c:v>23.68</c:v>
                </c:pt>
                <c:pt idx="44">
                  <c:v>24.79</c:v>
                </c:pt>
                <c:pt idx="45">
                  <c:v>22.58</c:v>
                </c:pt>
                <c:pt idx="46">
                  <c:v>25.38</c:v>
                </c:pt>
                <c:pt idx="47">
                  <c:v>23.47</c:v>
                </c:pt>
                <c:pt idx="48">
                  <c:v>24.93</c:v>
                </c:pt>
                <c:pt idx="49">
                  <c:v>23.15</c:v>
                </c:pt>
                <c:pt idx="50">
                  <c:v>24.66</c:v>
                </c:pt>
                <c:pt idx="51">
                  <c:v>23.53</c:v>
                </c:pt>
                <c:pt idx="52">
                  <c:v>22.53</c:v>
                </c:pt>
                <c:pt idx="53">
                  <c:v>25.56</c:v>
                </c:pt>
                <c:pt idx="54">
                  <c:v>24.39</c:v>
                </c:pt>
                <c:pt idx="55">
                  <c:v>22.59</c:v>
                </c:pt>
                <c:pt idx="56">
                  <c:v>26.7</c:v>
                </c:pt>
                <c:pt idx="57">
                  <c:v>24.36</c:v>
                </c:pt>
                <c:pt idx="58">
                  <c:v>22.11</c:v>
                </c:pt>
                <c:pt idx="59">
                  <c:v>27.05</c:v>
                </c:pt>
                <c:pt idx="60">
                  <c:v>23.25</c:v>
                </c:pt>
                <c:pt idx="61">
                  <c:v>26.7</c:v>
                </c:pt>
                <c:pt idx="62">
                  <c:v>25.7</c:v>
                </c:pt>
                <c:pt idx="63">
                  <c:v>25.72</c:v>
                </c:pt>
                <c:pt idx="64">
                  <c:v>26.41</c:v>
                </c:pt>
                <c:pt idx="65">
                  <c:v>16.25</c:v>
                </c:pt>
                <c:pt idx="66">
                  <c:v>22.25</c:v>
                </c:pt>
                <c:pt idx="67">
                  <c:v>21.17</c:v>
                </c:pt>
                <c:pt idx="68">
                  <c:v>21.24</c:v>
                </c:pt>
                <c:pt idx="69">
                  <c:v>25.22</c:v>
                </c:pt>
                <c:pt idx="70">
                  <c:v>23.36</c:v>
                </c:pt>
                <c:pt idx="71">
                  <c:v>24.31</c:v>
                </c:pt>
                <c:pt idx="72">
                  <c:v>25.18</c:v>
                </c:pt>
                <c:pt idx="73">
                  <c:v>23.72</c:v>
                </c:pt>
                <c:pt idx="74">
                  <c:v>28.02</c:v>
                </c:pt>
                <c:pt idx="75">
                  <c:v>26.01</c:v>
                </c:pt>
                <c:pt idx="76">
                  <c:v>23.88</c:v>
                </c:pt>
                <c:pt idx="77">
                  <c:v>28.02</c:v>
                </c:pt>
                <c:pt idx="78">
                  <c:v>25.86</c:v>
                </c:pt>
                <c:pt idx="79">
                  <c:v>25.43</c:v>
                </c:pt>
                <c:pt idx="80">
                  <c:v>26.15</c:v>
                </c:pt>
                <c:pt idx="81">
                  <c:v>27.95</c:v>
                </c:pt>
                <c:pt idx="82">
                  <c:v>16.09</c:v>
                </c:pt>
                <c:pt idx="83">
                  <c:v>19.78</c:v>
                </c:pt>
                <c:pt idx="84">
                  <c:v>22.01</c:v>
                </c:pt>
                <c:pt idx="85">
                  <c:v>21.5</c:v>
                </c:pt>
                <c:pt idx="86">
                  <c:v>21.96</c:v>
                </c:pt>
                <c:pt idx="87">
                  <c:v>21.89</c:v>
                </c:pt>
                <c:pt idx="88">
                  <c:v>19.78</c:v>
                </c:pt>
                <c:pt idx="89">
                  <c:v>24.95</c:v>
                </c:pt>
                <c:pt idx="90">
                  <c:v>20.6</c:v>
                </c:pt>
                <c:pt idx="91">
                  <c:v>25.61</c:v>
                </c:pt>
                <c:pt idx="92">
                  <c:v>20.91</c:v>
                </c:pt>
                <c:pt idx="93">
                  <c:v>24.73</c:v>
                </c:pt>
                <c:pt idx="94">
                  <c:v>23.47</c:v>
                </c:pt>
                <c:pt idx="95">
                  <c:v>23.4</c:v>
                </c:pt>
                <c:pt idx="96">
                  <c:v>23.51</c:v>
                </c:pt>
                <c:pt idx="97">
                  <c:v>22.32</c:v>
                </c:pt>
                <c:pt idx="98">
                  <c:v>26.24</c:v>
                </c:pt>
                <c:pt idx="99">
                  <c:v>21.3</c:v>
                </c:pt>
                <c:pt idx="100">
                  <c:v>23.42</c:v>
                </c:pt>
                <c:pt idx="101">
                  <c:v>25.04</c:v>
                </c:pt>
                <c:pt idx="102">
                  <c:v>24.29</c:v>
                </c:pt>
                <c:pt idx="103">
                  <c:v>22.49</c:v>
                </c:pt>
                <c:pt idx="104">
                  <c:v>24.4</c:v>
                </c:pt>
                <c:pt idx="105">
                  <c:v>22.25</c:v>
                </c:pt>
                <c:pt idx="106">
                  <c:v>24.91</c:v>
                </c:pt>
                <c:pt idx="107">
                  <c:v>22.06</c:v>
                </c:pt>
                <c:pt idx="108">
                  <c:v>26.12</c:v>
                </c:pt>
                <c:pt idx="109">
                  <c:v>25.38</c:v>
                </c:pt>
                <c:pt idx="110">
                  <c:v>22.84</c:v>
                </c:pt>
                <c:pt idx="111">
                  <c:v>26.01</c:v>
                </c:pt>
                <c:pt idx="112">
                  <c:v>25.44</c:v>
                </c:pt>
                <c:pt idx="113">
                  <c:v>26.55</c:v>
                </c:pt>
                <c:pt idx="114">
                  <c:v>26.22</c:v>
                </c:pt>
                <c:pt idx="115">
                  <c:v>25.76</c:v>
                </c:pt>
                <c:pt idx="116">
                  <c:v>28.18</c:v>
                </c:pt>
                <c:pt idx="117">
                  <c:v>24.21</c:v>
                </c:pt>
                <c:pt idx="118">
                  <c:v>28.11</c:v>
                </c:pt>
                <c:pt idx="119">
                  <c:v>26.21</c:v>
                </c:pt>
                <c:pt idx="120">
                  <c:v>24.2</c:v>
                </c:pt>
                <c:pt idx="121">
                  <c:v>23.96</c:v>
                </c:pt>
                <c:pt idx="122">
                  <c:v>19.96</c:v>
                </c:pt>
                <c:pt idx="123">
                  <c:v>20.37</c:v>
                </c:pt>
                <c:pt idx="124">
                  <c:v>22.48</c:v>
                </c:pt>
                <c:pt idx="125">
                  <c:v>22.56</c:v>
                </c:pt>
                <c:pt idx="126">
                  <c:v>27.18</c:v>
                </c:pt>
                <c:pt idx="127">
                  <c:v>22.72</c:v>
                </c:pt>
                <c:pt idx="128">
                  <c:v>26.17</c:v>
                </c:pt>
                <c:pt idx="129">
                  <c:v>25.41</c:v>
                </c:pt>
                <c:pt idx="130">
                  <c:v>26.69</c:v>
                </c:pt>
                <c:pt idx="131">
                  <c:v>25.75</c:v>
                </c:pt>
                <c:pt idx="132">
                  <c:v>20.2</c:v>
                </c:pt>
                <c:pt idx="133">
                  <c:v>20.440000000000001</c:v>
                </c:pt>
                <c:pt idx="134">
                  <c:v>18.29</c:v>
                </c:pt>
                <c:pt idx="135">
                  <c:v>22.26</c:v>
                </c:pt>
                <c:pt idx="136">
                  <c:v>21.34</c:v>
                </c:pt>
                <c:pt idx="137">
                  <c:v>22.58</c:v>
                </c:pt>
                <c:pt idx="138">
                  <c:v>22.26</c:v>
                </c:pt>
                <c:pt idx="139">
                  <c:v>21.81</c:v>
                </c:pt>
                <c:pt idx="140">
                  <c:v>23.53</c:v>
                </c:pt>
                <c:pt idx="141">
                  <c:v>22.87</c:v>
                </c:pt>
                <c:pt idx="142">
                  <c:v>20.92</c:v>
                </c:pt>
                <c:pt idx="143">
                  <c:v>24.88</c:v>
                </c:pt>
                <c:pt idx="144">
                  <c:v>22.98</c:v>
                </c:pt>
                <c:pt idx="145">
                  <c:v>22.89</c:v>
                </c:pt>
                <c:pt idx="146">
                  <c:v>22.46</c:v>
                </c:pt>
                <c:pt idx="147">
                  <c:v>25.38</c:v>
                </c:pt>
                <c:pt idx="148">
                  <c:v>23.65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9-486C-8770-B9FA36844C86}"/>
            </c:ext>
          </c:extLst>
        </c:ser>
        <c:ser>
          <c:idx val="2"/>
          <c:order val="2"/>
          <c:tx>
            <c:v>flow3</c:v>
          </c:tx>
          <c:spPr>
            <a:ln w="25400" cap="rnd">
              <a:noFill/>
              <a:round/>
            </a:ln>
            <a:effectLst/>
          </c:spPr>
          <c:marker>
            <c:symbol val="dot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[0]!Tab43_flow_rate</c:f>
              <c:numCache>
                <c:formatCode>General</c:formatCode>
                <c:ptCount val="149"/>
                <c:pt idx="0">
                  <c:v>0.08</c:v>
                </c:pt>
                <c:pt idx="1">
                  <c:v>0.81</c:v>
                </c:pt>
                <c:pt idx="2">
                  <c:v>0.91</c:v>
                </c:pt>
                <c:pt idx="3">
                  <c:v>1.5</c:v>
                </c:pt>
                <c:pt idx="4">
                  <c:v>2.21</c:v>
                </c:pt>
                <c:pt idx="5">
                  <c:v>3.34</c:v>
                </c:pt>
                <c:pt idx="6">
                  <c:v>4.9800000000000004</c:v>
                </c:pt>
                <c:pt idx="7">
                  <c:v>5.97</c:v>
                </c:pt>
                <c:pt idx="8">
                  <c:v>10.26</c:v>
                </c:pt>
                <c:pt idx="9">
                  <c:v>14.16</c:v>
                </c:pt>
                <c:pt idx="10">
                  <c:v>17.600000000000001</c:v>
                </c:pt>
                <c:pt idx="11">
                  <c:v>25.25</c:v>
                </c:pt>
                <c:pt idx="12">
                  <c:v>23.24</c:v>
                </c:pt>
                <c:pt idx="13">
                  <c:v>25.54</c:v>
                </c:pt>
                <c:pt idx="14">
                  <c:v>21.01</c:v>
                </c:pt>
                <c:pt idx="15">
                  <c:v>23.26</c:v>
                </c:pt>
                <c:pt idx="16">
                  <c:v>23.68</c:v>
                </c:pt>
                <c:pt idx="17">
                  <c:v>21.54</c:v>
                </c:pt>
                <c:pt idx="18">
                  <c:v>23.45</c:v>
                </c:pt>
                <c:pt idx="19">
                  <c:v>21.46</c:v>
                </c:pt>
                <c:pt idx="20">
                  <c:v>21.4</c:v>
                </c:pt>
                <c:pt idx="21">
                  <c:v>18.739999999999998</c:v>
                </c:pt>
                <c:pt idx="22">
                  <c:v>18.43</c:v>
                </c:pt>
                <c:pt idx="23">
                  <c:v>21.74</c:v>
                </c:pt>
                <c:pt idx="24">
                  <c:v>21.1</c:v>
                </c:pt>
                <c:pt idx="25">
                  <c:v>22.63</c:v>
                </c:pt>
                <c:pt idx="26">
                  <c:v>21.6</c:v>
                </c:pt>
                <c:pt idx="27">
                  <c:v>21.25</c:v>
                </c:pt>
                <c:pt idx="28">
                  <c:v>20.53</c:v>
                </c:pt>
                <c:pt idx="29">
                  <c:v>18.739999999999998</c:v>
                </c:pt>
                <c:pt idx="30">
                  <c:v>20.85</c:v>
                </c:pt>
                <c:pt idx="31">
                  <c:v>19.399999999999999</c:v>
                </c:pt>
                <c:pt idx="32">
                  <c:v>16.420000000000002</c:v>
                </c:pt>
                <c:pt idx="33">
                  <c:v>18</c:v>
                </c:pt>
                <c:pt idx="34">
                  <c:v>18.010000000000002</c:v>
                </c:pt>
                <c:pt idx="35">
                  <c:v>17.64</c:v>
                </c:pt>
                <c:pt idx="36">
                  <c:v>19.739999999999998</c:v>
                </c:pt>
                <c:pt idx="37">
                  <c:v>19.73</c:v>
                </c:pt>
                <c:pt idx="38">
                  <c:v>18.399999999999999</c:v>
                </c:pt>
                <c:pt idx="39">
                  <c:v>20.77</c:v>
                </c:pt>
                <c:pt idx="40">
                  <c:v>19.07</c:v>
                </c:pt>
                <c:pt idx="41">
                  <c:v>21.48</c:v>
                </c:pt>
                <c:pt idx="42">
                  <c:v>19.14</c:v>
                </c:pt>
                <c:pt idx="43">
                  <c:v>20.12</c:v>
                </c:pt>
                <c:pt idx="44">
                  <c:v>20.95</c:v>
                </c:pt>
                <c:pt idx="45">
                  <c:v>19.77</c:v>
                </c:pt>
                <c:pt idx="46">
                  <c:v>22.29</c:v>
                </c:pt>
                <c:pt idx="47">
                  <c:v>19.68</c:v>
                </c:pt>
                <c:pt idx="48">
                  <c:v>19.16</c:v>
                </c:pt>
                <c:pt idx="49">
                  <c:v>21.01</c:v>
                </c:pt>
                <c:pt idx="50">
                  <c:v>20.64</c:v>
                </c:pt>
                <c:pt idx="51">
                  <c:v>19.809999999999999</c:v>
                </c:pt>
                <c:pt idx="52">
                  <c:v>20.66</c:v>
                </c:pt>
                <c:pt idx="53">
                  <c:v>21.51</c:v>
                </c:pt>
                <c:pt idx="54">
                  <c:v>19.38</c:v>
                </c:pt>
                <c:pt idx="55">
                  <c:v>21.34</c:v>
                </c:pt>
                <c:pt idx="56">
                  <c:v>20.37</c:v>
                </c:pt>
                <c:pt idx="57">
                  <c:v>21.31</c:v>
                </c:pt>
                <c:pt idx="58">
                  <c:v>20.91</c:v>
                </c:pt>
                <c:pt idx="59">
                  <c:v>21.36</c:v>
                </c:pt>
                <c:pt idx="60">
                  <c:v>21.89</c:v>
                </c:pt>
                <c:pt idx="61">
                  <c:v>19.91</c:v>
                </c:pt>
                <c:pt idx="62">
                  <c:v>20.81</c:v>
                </c:pt>
                <c:pt idx="63">
                  <c:v>21.53</c:v>
                </c:pt>
                <c:pt idx="64">
                  <c:v>20.3</c:v>
                </c:pt>
                <c:pt idx="65">
                  <c:v>14.96</c:v>
                </c:pt>
                <c:pt idx="66">
                  <c:v>19.739999999999998</c:v>
                </c:pt>
                <c:pt idx="67">
                  <c:v>17.16</c:v>
                </c:pt>
                <c:pt idx="68">
                  <c:v>18.59</c:v>
                </c:pt>
                <c:pt idx="69">
                  <c:v>21.39</c:v>
                </c:pt>
                <c:pt idx="70">
                  <c:v>19.79</c:v>
                </c:pt>
                <c:pt idx="71">
                  <c:v>21.56</c:v>
                </c:pt>
                <c:pt idx="72">
                  <c:v>21.24</c:v>
                </c:pt>
                <c:pt idx="73">
                  <c:v>20.05</c:v>
                </c:pt>
                <c:pt idx="74">
                  <c:v>21.58</c:v>
                </c:pt>
                <c:pt idx="75">
                  <c:v>20.99</c:v>
                </c:pt>
                <c:pt idx="76">
                  <c:v>19.41</c:v>
                </c:pt>
                <c:pt idx="77">
                  <c:v>19.14</c:v>
                </c:pt>
                <c:pt idx="78">
                  <c:v>20.22</c:v>
                </c:pt>
                <c:pt idx="79">
                  <c:v>20.05</c:v>
                </c:pt>
                <c:pt idx="80">
                  <c:v>19.579999999999998</c:v>
                </c:pt>
                <c:pt idx="81">
                  <c:v>19.670000000000002</c:v>
                </c:pt>
                <c:pt idx="82">
                  <c:v>14.93</c:v>
                </c:pt>
                <c:pt idx="83">
                  <c:v>18.690000000000001</c:v>
                </c:pt>
                <c:pt idx="84">
                  <c:v>16.04</c:v>
                </c:pt>
                <c:pt idx="85">
                  <c:v>17.82</c:v>
                </c:pt>
                <c:pt idx="86">
                  <c:v>16.75</c:v>
                </c:pt>
                <c:pt idx="87">
                  <c:v>19.260000000000002</c:v>
                </c:pt>
                <c:pt idx="88">
                  <c:v>18.45</c:v>
                </c:pt>
                <c:pt idx="89">
                  <c:v>19.760000000000002</c:v>
                </c:pt>
                <c:pt idx="90">
                  <c:v>17.54</c:v>
                </c:pt>
                <c:pt idx="91">
                  <c:v>20.57</c:v>
                </c:pt>
                <c:pt idx="92">
                  <c:v>17.89</c:v>
                </c:pt>
                <c:pt idx="93">
                  <c:v>19.88</c:v>
                </c:pt>
                <c:pt idx="94">
                  <c:v>19.27</c:v>
                </c:pt>
                <c:pt idx="95">
                  <c:v>19.25</c:v>
                </c:pt>
                <c:pt idx="96">
                  <c:v>19.100000000000001</c:v>
                </c:pt>
                <c:pt idx="97">
                  <c:v>19.079999999999998</c:v>
                </c:pt>
                <c:pt idx="98">
                  <c:v>20.18</c:v>
                </c:pt>
                <c:pt idx="99">
                  <c:v>18.34</c:v>
                </c:pt>
                <c:pt idx="100">
                  <c:v>19.48</c:v>
                </c:pt>
                <c:pt idx="101">
                  <c:v>20.05</c:v>
                </c:pt>
                <c:pt idx="102">
                  <c:v>19.46</c:v>
                </c:pt>
                <c:pt idx="103">
                  <c:v>18.62</c:v>
                </c:pt>
                <c:pt idx="104">
                  <c:v>20.21</c:v>
                </c:pt>
                <c:pt idx="105">
                  <c:v>19.13</c:v>
                </c:pt>
                <c:pt idx="106">
                  <c:v>21.27</c:v>
                </c:pt>
                <c:pt idx="107">
                  <c:v>18.489999999999998</c:v>
                </c:pt>
                <c:pt idx="108">
                  <c:v>20.350000000000001</c:v>
                </c:pt>
                <c:pt idx="109">
                  <c:v>19.670000000000002</c:v>
                </c:pt>
                <c:pt idx="110">
                  <c:v>19.829999999999998</c:v>
                </c:pt>
                <c:pt idx="111">
                  <c:v>21.54</c:v>
                </c:pt>
                <c:pt idx="112">
                  <c:v>19.59</c:v>
                </c:pt>
                <c:pt idx="113">
                  <c:v>20.79</c:v>
                </c:pt>
                <c:pt idx="114">
                  <c:v>20.57</c:v>
                </c:pt>
                <c:pt idx="115">
                  <c:v>19.989999999999998</c:v>
                </c:pt>
                <c:pt idx="116">
                  <c:v>19.489999999999998</c:v>
                </c:pt>
                <c:pt idx="117">
                  <c:v>20.34</c:v>
                </c:pt>
                <c:pt idx="118">
                  <c:v>20.05</c:v>
                </c:pt>
                <c:pt idx="119">
                  <c:v>20.32</c:v>
                </c:pt>
                <c:pt idx="120">
                  <c:v>19.38</c:v>
                </c:pt>
                <c:pt idx="121">
                  <c:v>16.170000000000002</c:v>
                </c:pt>
                <c:pt idx="122">
                  <c:v>21.15</c:v>
                </c:pt>
                <c:pt idx="123">
                  <c:v>18.07</c:v>
                </c:pt>
                <c:pt idx="124">
                  <c:v>20.76</c:v>
                </c:pt>
                <c:pt idx="125">
                  <c:v>20.51</c:v>
                </c:pt>
                <c:pt idx="126">
                  <c:v>20.18</c:v>
                </c:pt>
                <c:pt idx="127">
                  <c:v>20.48</c:v>
                </c:pt>
                <c:pt idx="128">
                  <c:v>21.44</c:v>
                </c:pt>
                <c:pt idx="129">
                  <c:v>18.920000000000002</c:v>
                </c:pt>
                <c:pt idx="130">
                  <c:v>19.64</c:v>
                </c:pt>
                <c:pt idx="131">
                  <c:v>19.940000000000001</c:v>
                </c:pt>
                <c:pt idx="132">
                  <c:v>18.5</c:v>
                </c:pt>
                <c:pt idx="133">
                  <c:v>14.96</c:v>
                </c:pt>
                <c:pt idx="134">
                  <c:v>17.11</c:v>
                </c:pt>
                <c:pt idx="135">
                  <c:v>18.829999999999998</c:v>
                </c:pt>
                <c:pt idx="136">
                  <c:v>16.82</c:v>
                </c:pt>
                <c:pt idx="137">
                  <c:v>19.07</c:v>
                </c:pt>
                <c:pt idx="138">
                  <c:v>17.55</c:v>
                </c:pt>
                <c:pt idx="139">
                  <c:v>18.850000000000001</c:v>
                </c:pt>
                <c:pt idx="140">
                  <c:v>19.48</c:v>
                </c:pt>
                <c:pt idx="141">
                  <c:v>18.940000000000001</c:v>
                </c:pt>
                <c:pt idx="142">
                  <c:v>19.55</c:v>
                </c:pt>
                <c:pt idx="143">
                  <c:v>20.23</c:v>
                </c:pt>
                <c:pt idx="144">
                  <c:v>18.71</c:v>
                </c:pt>
                <c:pt idx="145">
                  <c:v>19.170000000000002</c:v>
                </c:pt>
                <c:pt idx="146">
                  <c:v>19.52</c:v>
                </c:pt>
                <c:pt idx="147">
                  <c:v>19.670000000000002</c:v>
                </c:pt>
                <c:pt idx="148">
                  <c:v>19.05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F9-486C-8770-B9FA36844C86}"/>
            </c:ext>
          </c:extLst>
        </c:ser>
        <c:ser>
          <c:idx val="3"/>
          <c:order val="3"/>
          <c:tx>
            <c:v>flow4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[0]!Tab44_flow_rate</c:f>
              <c:numCache>
                <c:formatCode>General</c:formatCode>
                <c:ptCount val="14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0.08</c:v>
                </c:pt>
                <c:pt idx="5">
                  <c:v>0.15</c:v>
                </c:pt>
                <c:pt idx="6">
                  <c:v>0.24</c:v>
                </c:pt>
                <c:pt idx="7">
                  <c:v>0.37</c:v>
                </c:pt>
                <c:pt idx="8">
                  <c:v>0.52</c:v>
                </c:pt>
                <c:pt idx="9">
                  <c:v>0.69</c:v>
                </c:pt>
                <c:pt idx="10">
                  <c:v>1.1299999999999999</c:v>
                </c:pt>
                <c:pt idx="11">
                  <c:v>1.62</c:v>
                </c:pt>
                <c:pt idx="12">
                  <c:v>2.44</c:v>
                </c:pt>
                <c:pt idx="13">
                  <c:v>3.48</c:v>
                </c:pt>
                <c:pt idx="14">
                  <c:v>5.1100000000000003</c:v>
                </c:pt>
                <c:pt idx="15">
                  <c:v>7.11</c:v>
                </c:pt>
                <c:pt idx="16">
                  <c:v>10.99</c:v>
                </c:pt>
                <c:pt idx="17">
                  <c:v>15</c:v>
                </c:pt>
                <c:pt idx="18">
                  <c:v>17.84</c:v>
                </c:pt>
                <c:pt idx="19">
                  <c:v>22.24</c:v>
                </c:pt>
                <c:pt idx="20">
                  <c:v>20.81</c:v>
                </c:pt>
                <c:pt idx="21">
                  <c:v>14.92</c:v>
                </c:pt>
                <c:pt idx="22">
                  <c:v>19.25</c:v>
                </c:pt>
                <c:pt idx="23">
                  <c:v>19.350000000000001</c:v>
                </c:pt>
                <c:pt idx="24">
                  <c:v>20.420000000000002</c:v>
                </c:pt>
                <c:pt idx="25">
                  <c:v>20.440000000000001</c:v>
                </c:pt>
                <c:pt idx="26">
                  <c:v>19.63</c:v>
                </c:pt>
                <c:pt idx="27">
                  <c:v>18.579999999999998</c:v>
                </c:pt>
                <c:pt idx="28">
                  <c:v>19.649999999999999</c:v>
                </c:pt>
                <c:pt idx="29">
                  <c:v>17.829999999999998</c:v>
                </c:pt>
                <c:pt idx="30">
                  <c:v>19.77</c:v>
                </c:pt>
                <c:pt idx="31">
                  <c:v>17.77</c:v>
                </c:pt>
                <c:pt idx="32">
                  <c:v>16.72</c:v>
                </c:pt>
                <c:pt idx="33">
                  <c:v>16.52</c:v>
                </c:pt>
                <c:pt idx="34">
                  <c:v>17.53</c:v>
                </c:pt>
                <c:pt idx="35">
                  <c:v>17.170000000000002</c:v>
                </c:pt>
                <c:pt idx="36">
                  <c:v>17.649999999999999</c:v>
                </c:pt>
                <c:pt idx="37">
                  <c:v>18.75</c:v>
                </c:pt>
                <c:pt idx="38">
                  <c:v>17.350000000000001</c:v>
                </c:pt>
                <c:pt idx="39">
                  <c:v>18.190000000000001</c:v>
                </c:pt>
                <c:pt idx="40">
                  <c:v>19.670000000000002</c:v>
                </c:pt>
                <c:pt idx="41">
                  <c:v>19.420000000000002</c:v>
                </c:pt>
                <c:pt idx="42">
                  <c:v>17.87</c:v>
                </c:pt>
                <c:pt idx="43">
                  <c:v>19.829999999999998</c:v>
                </c:pt>
                <c:pt idx="44">
                  <c:v>19.260000000000002</c:v>
                </c:pt>
                <c:pt idx="45">
                  <c:v>18.25</c:v>
                </c:pt>
                <c:pt idx="46">
                  <c:v>18.55</c:v>
                </c:pt>
                <c:pt idx="47">
                  <c:v>19.100000000000001</c:v>
                </c:pt>
                <c:pt idx="48">
                  <c:v>20.03</c:v>
                </c:pt>
                <c:pt idx="49">
                  <c:v>18.22</c:v>
                </c:pt>
                <c:pt idx="50">
                  <c:v>20.03</c:v>
                </c:pt>
                <c:pt idx="51">
                  <c:v>18.38</c:v>
                </c:pt>
                <c:pt idx="52">
                  <c:v>19.920000000000002</c:v>
                </c:pt>
                <c:pt idx="53">
                  <c:v>19.14</c:v>
                </c:pt>
                <c:pt idx="54">
                  <c:v>18.079999999999998</c:v>
                </c:pt>
                <c:pt idx="55">
                  <c:v>20.56</c:v>
                </c:pt>
                <c:pt idx="56">
                  <c:v>17.21</c:v>
                </c:pt>
                <c:pt idx="57">
                  <c:v>20.87</c:v>
                </c:pt>
                <c:pt idx="58">
                  <c:v>18.39</c:v>
                </c:pt>
                <c:pt idx="59">
                  <c:v>22.3</c:v>
                </c:pt>
                <c:pt idx="60">
                  <c:v>19.46</c:v>
                </c:pt>
                <c:pt idx="61">
                  <c:v>18.73</c:v>
                </c:pt>
                <c:pt idx="62">
                  <c:v>20.23</c:v>
                </c:pt>
                <c:pt idx="63">
                  <c:v>20.36</c:v>
                </c:pt>
                <c:pt idx="64">
                  <c:v>18.850000000000001</c:v>
                </c:pt>
                <c:pt idx="65">
                  <c:v>14.68</c:v>
                </c:pt>
                <c:pt idx="66">
                  <c:v>17.399999999999999</c:v>
                </c:pt>
                <c:pt idx="67">
                  <c:v>16.14</c:v>
                </c:pt>
                <c:pt idx="68">
                  <c:v>18.18</c:v>
                </c:pt>
                <c:pt idx="69">
                  <c:v>20.23</c:v>
                </c:pt>
                <c:pt idx="70">
                  <c:v>21.12</c:v>
                </c:pt>
                <c:pt idx="71">
                  <c:v>19.77</c:v>
                </c:pt>
                <c:pt idx="72">
                  <c:v>19.57</c:v>
                </c:pt>
                <c:pt idx="73">
                  <c:v>21.3</c:v>
                </c:pt>
                <c:pt idx="74">
                  <c:v>20.3</c:v>
                </c:pt>
                <c:pt idx="75">
                  <c:v>19.47</c:v>
                </c:pt>
                <c:pt idx="76">
                  <c:v>19.190000000000001</c:v>
                </c:pt>
                <c:pt idx="77">
                  <c:v>17.21</c:v>
                </c:pt>
                <c:pt idx="78">
                  <c:v>19.350000000000001</c:v>
                </c:pt>
                <c:pt idx="79">
                  <c:v>19</c:v>
                </c:pt>
                <c:pt idx="80">
                  <c:v>19.05</c:v>
                </c:pt>
                <c:pt idx="81">
                  <c:v>19.52</c:v>
                </c:pt>
                <c:pt idx="82">
                  <c:v>14.24</c:v>
                </c:pt>
                <c:pt idx="83">
                  <c:v>16.32</c:v>
                </c:pt>
                <c:pt idx="84">
                  <c:v>17.190000000000001</c:v>
                </c:pt>
                <c:pt idx="85">
                  <c:v>16.75</c:v>
                </c:pt>
                <c:pt idx="86">
                  <c:v>17.32</c:v>
                </c:pt>
                <c:pt idx="87">
                  <c:v>17.16</c:v>
                </c:pt>
                <c:pt idx="88">
                  <c:v>17.09</c:v>
                </c:pt>
                <c:pt idx="89">
                  <c:v>19.600000000000001</c:v>
                </c:pt>
                <c:pt idx="90">
                  <c:v>17.38</c:v>
                </c:pt>
                <c:pt idx="91">
                  <c:v>19.27</c:v>
                </c:pt>
                <c:pt idx="92">
                  <c:v>17.05</c:v>
                </c:pt>
                <c:pt idx="93">
                  <c:v>19.5</c:v>
                </c:pt>
                <c:pt idx="94">
                  <c:v>18.600000000000001</c:v>
                </c:pt>
                <c:pt idx="95">
                  <c:v>17.93</c:v>
                </c:pt>
                <c:pt idx="96">
                  <c:v>19.670000000000002</c:v>
                </c:pt>
                <c:pt idx="97">
                  <c:v>17.190000000000001</c:v>
                </c:pt>
                <c:pt idx="98">
                  <c:v>19.21</c:v>
                </c:pt>
                <c:pt idx="99">
                  <c:v>18.32</c:v>
                </c:pt>
                <c:pt idx="100">
                  <c:v>19.670000000000002</c:v>
                </c:pt>
                <c:pt idx="101">
                  <c:v>18.18</c:v>
                </c:pt>
                <c:pt idx="102">
                  <c:v>19.079999999999998</c:v>
                </c:pt>
                <c:pt idx="103">
                  <c:v>18</c:v>
                </c:pt>
                <c:pt idx="104">
                  <c:v>19.23</c:v>
                </c:pt>
                <c:pt idx="105">
                  <c:v>18.940000000000001</c:v>
                </c:pt>
                <c:pt idx="106">
                  <c:v>18.2</c:v>
                </c:pt>
                <c:pt idx="107">
                  <c:v>18.309999999999999</c:v>
                </c:pt>
                <c:pt idx="108">
                  <c:v>19.329999999999998</c:v>
                </c:pt>
                <c:pt idx="109">
                  <c:v>21.15</c:v>
                </c:pt>
                <c:pt idx="110">
                  <c:v>19.64</c:v>
                </c:pt>
                <c:pt idx="111">
                  <c:v>20.079999999999998</c:v>
                </c:pt>
                <c:pt idx="112">
                  <c:v>19.21</c:v>
                </c:pt>
                <c:pt idx="113">
                  <c:v>18.68</c:v>
                </c:pt>
                <c:pt idx="114">
                  <c:v>20.68</c:v>
                </c:pt>
                <c:pt idx="115">
                  <c:v>20.5</c:v>
                </c:pt>
                <c:pt idx="116">
                  <c:v>18.34</c:v>
                </c:pt>
                <c:pt idx="117">
                  <c:v>18.72</c:v>
                </c:pt>
                <c:pt idx="118">
                  <c:v>18.25</c:v>
                </c:pt>
                <c:pt idx="119">
                  <c:v>19.27</c:v>
                </c:pt>
                <c:pt idx="120">
                  <c:v>20.059999999999999</c:v>
                </c:pt>
                <c:pt idx="121">
                  <c:v>15.4</c:v>
                </c:pt>
                <c:pt idx="122">
                  <c:v>18.059999999999999</c:v>
                </c:pt>
                <c:pt idx="123">
                  <c:v>19.43</c:v>
                </c:pt>
                <c:pt idx="124">
                  <c:v>22.09</c:v>
                </c:pt>
                <c:pt idx="125">
                  <c:v>18.989999999999998</c:v>
                </c:pt>
                <c:pt idx="126">
                  <c:v>20.97</c:v>
                </c:pt>
                <c:pt idx="127">
                  <c:v>21.09</c:v>
                </c:pt>
                <c:pt idx="128">
                  <c:v>20.54</c:v>
                </c:pt>
                <c:pt idx="129">
                  <c:v>19.170000000000002</c:v>
                </c:pt>
                <c:pt idx="130">
                  <c:v>18.399999999999999</c:v>
                </c:pt>
                <c:pt idx="131">
                  <c:v>18.7</c:v>
                </c:pt>
                <c:pt idx="132">
                  <c:v>15.28</c:v>
                </c:pt>
                <c:pt idx="133">
                  <c:v>18.440000000000001</c:v>
                </c:pt>
                <c:pt idx="134">
                  <c:v>17.13</c:v>
                </c:pt>
                <c:pt idx="135">
                  <c:v>18.23</c:v>
                </c:pt>
                <c:pt idx="136">
                  <c:v>18.55</c:v>
                </c:pt>
                <c:pt idx="137">
                  <c:v>18.850000000000001</c:v>
                </c:pt>
                <c:pt idx="138">
                  <c:v>17.21</c:v>
                </c:pt>
                <c:pt idx="139">
                  <c:v>18.75</c:v>
                </c:pt>
                <c:pt idx="140">
                  <c:v>20.66</c:v>
                </c:pt>
                <c:pt idx="141">
                  <c:v>20.350000000000001</c:v>
                </c:pt>
                <c:pt idx="142">
                  <c:v>18</c:v>
                </c:pt>
                <c:pt idx="143">
                  <c:v>19.82</c:v>
                </c:pt>
                <c:pt idx="144">
                  <c:v>20.86</c:v>
                </c:pt>
                <c:pt idx="145">
                  <c:v>20.149999999999999</c:v>
                </c:pt>
                <c:pt idx="146">
                  <c:v>19.25</c:v>
                </c:pt>
                <c:pt idx="147">
                  <c:v>20.28</c:v>
                </c:pt>
                <c:pt idx="148">
                  <c:v>19.55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F9-486C-8770-B9FA36844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335424173673207"/>
          <c:y val="0.18701011349690502"/>
          <c:w val="8.4875513442175671E-2"/>
          <c:h val="0.544352476418263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Plots!$AQ$1</c:f>
          <c:strCache>
            <c:ptCount val="1"/>
            <c:pt idx="0">
              <c:v>AARnetCBR-CamDTN1_tcpmon_tseries_22Feb24 3 Flows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4387650696206"/>
          <c:y val="0.18572241183162685"/>
          <c:w val="0.78975358482732028"/>
          <c:h val="0.57263936291240047"/>
        </c:manualLayout>
      </c:layout>
      <c:scatterChart>
        <c:scatterStyle val="lineMarker"/>
        <c:varyColors val="0"/>
        <c:ser>
          <c:idx val="1"/>
          <c:order val="0"/>
          <c:tx>
            <c:v>flow1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[0]!Tab31_elapsed_time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[0]!Tab31_flow_rate</c:f>
              <c:numCache>
                <c:formatCode>General</c:formatCode>
                <c:ptCount val="149"/>
                <c:pt idx="0">
                  <c:v>0.11</c:v>
                </c:pt>
                <c:pt idx="1">
                  <c:v>0.59</c:v>
                </c:pt>
                <c:pt idx="2">
                  <c:v>0.67</c:v>
                </c:pt>
                <c:pt idx="3">
                  <c:v>1.0900000000000001</c:v>
                </c:pt>
                <c:pt idx="4">
                  <c:v>1.61</c:v>
                </c:pt>
                <c:pt idx="5">
                  <c:v>2.41</c:v>
                </c:pt>
                <c:pt idx="6">
                  <c:v>3.57</c:v>
                </c:pt>
                <c:pt idx="7">
                  <c:v>4.88</c:v>
                </c:pt>
                <c:pt idx="8">
                  <c:v>7.36</c:v>
                </c:pt>
                <c:pt idx="9">
                  <c:v>11.29</c:v>
                </c:pt>
                <c:pt idx="10">
                  <c:v>15.08</c:v>
                </c:pt>
                <c:pt idx="11">
                  <c:v>17.89</c:v>
                </c:pt>
                <c:pt idx="12">
                  <c:v>25.68</c:v>
                </c:pt>
                <c:pt idx="13">
                  <c:v>23.23</c:v>
                </c:pt>
                <c:pt idx="14">
                  <c:v>23.53</c:v>
                </c:pt>
                <c:pt idx="15">
                  <c:v>24.1</c:v>
                </c:pt>
                <c:pt idx="16">
                  <c:v>23</c:v>
                </c:pt>
                <c:pt idx="17">
                  <c:v>21.35</c:v>
                </c:pt>
                <c:pt idx="18">
                  <c:v>24.5</c:v>
                </c:pt>
                <c:pt idx="19">
                  <c:v>19.29</c:v>
                </c:pt>
                <c:pt idx="20">
                  <c:v>25.25</c:v>
                </c:pt>
                <c:pt idx="21">
                  <c:v>20.57</c:v>
                </c:pt>
                <c:pt idx="22">
                  <c:v>23.32</c:v>
                </c:pt>
                <c:pt idx="23">
                  <c:v>20.32</c:v>
                </c:pt>
                <c:pt idx="24">
                  <c:v>24.39</c:v>
                </c:pt>
                <c:pt idx="25">
                  <c:v>21.94</c:v>
                </c:pt>
                <c:pt idx="26">
                  <c:v>19.84</c:v>
                </c:pt>
                <c:pt idx="27">
                  <c:v>23.73</c:v>
                </c:pt>
                <c:pt idx="28">
                  <c:v>21.45</c:v>
                </c:pt>
                <c:pt idx="29">
                  <c:v>23.34</c:v>
                </c:pt>
                <c:pt idx="30">
                  <c:v>19.54</c:v>
                </c:pt>
                <c:pt idx="31">
                  <c:v>24.63</c:v>
                </c:pt>
                <c:pt idx="32">
                  <c:v>19.5</c:v>
                </c:pt>
                <c:pt idx="33">
                  <c:v>24.4</c:v>
                </c:pt>
                <c:pt idx="34">
                  <c:v>19.61</c:v>
                </c:pt>
                <c:pt idx="35">
                  <c:v>24.19</c:v>
                </c:pt>
                <c:pt idx="36">
                  <c:v>19.850000000000001</c:v>
                </c:pt>
                <c:pt idx="37">
                  <c:v>24.61</c:v>
                </c:pt>
                <c:pt idx="38">
                  <c:v>19.239999999999998</c:v>
                </c:pt>
                <c:pt idx="39">
                  <c:v>23.42</c:v>
                </c:pt>
                <c:pt idx="40">
                  <c:v>22.64</c:v>
                </c:pt>
                <c:pt idx="41">
                  <c:v>20.83</c:v>
                </c:pt>
                <c:pt idx="42">
                  <c:v>23.75</c:v>
                </c:pt>
                <c:pt idx="43">
                  <c:v>19.47</c:v>
                </c:pt>
                <c:pt idx="44">
                  <c:v>24.33</c:v>
                </c:pt>
                <c:pt idx="45">
                  <c:v>20.239999999999998</c:v>
                </c:pt>
                <c:pt idx="46">
                  <c:v>23.8</c:v>
                </c:pt>
                <c:pt idx="47">
                  <c:v>19.920000000000002</c:v>
                </c:pt>
                <c:pt idx="48">
                  <c:v>24.3</c:v>
                </c:pt>
                <c:pt idx="49">
                  <c:v>20.07</c:v>
                </c:pt>
                <c:pt idx="50">
                  <c:v>23.71</c:v>
                </c:pt>
                <c:pt idx="51">
                  <c:v>20.239999999999998</c:v>
                </c:pt>
                <c:pt idx="52">
                  <c:v>24.08</c:v>
                </c:pt>
                <c:pt idx="53">
                  <c:v>20.09</c:v>
                </c:pt>
                <c:pt idx="54">
                  <c:v>23.51</c:v>
                </c:pt>
                <c:pt idx="55">
                  <c:v>20.34</c:v>
                </c:pt>
                <c:pt idx="56">
                  <c:v>24.62</c:v>
                </c:pt>
                <c:pt idx="57">
                  <c:v>19.39</c:v>
                </c:pt>
                <c:pt idx="58">
                  <c:v>24.16</c:v>
                </c:pt>
                <c:pt idx="59">
                  <c:v>19.850000000000001</c:v>
                </c:pt>
                <c:pt idx="60">
                  <c:v>24.55</c:v>
                </c:pt>
                <c:pt idx="61">
                  <c:v>19.7</c:v>
                </c:pt>
                <c:pt idx="62">
                  <c:v>24.32</c:v>
                </c:pt>
                <c:pt idx="63">
                  <c:v>21.66</c:v>
                </c:pt>
                <c:pt idx="64">
                  <c:v>20.67</c:v>
                </c:pt>
                <c:pt idx="65">
                  <c:v>23.79</c:v>
                </c:pt>
                <c:pt idx="66">
                  <c:v>19.399999999999999</c:v>
                </c:pt>
                <c:pt idx="67">
                  <c:v>24.66</c:v>
                </c:pt>
                <c:pt idx="68">
                  <c:v>19.559999999999999</c:v>
                </c:pt>
                <c:pt idx="69">
                  <c:v>24.03</c:v>
                </c:pt>
                <c:pt idx="70">
                  <c:v>19.739999999999998</c:v>
                </c:pt>
                <c:pt idx="71">
                  <c:v>24.87</c:v>
                </c:pt>
                <c:pt idx="72">
                  <c:v>19.899999999999999</c:v>
                </c:pt>
                <c:pt idx="73">
                  <c:v>23.75</c:v>
                </c:pt>
                <c:pt idx="74">
                  <c:v>19.95</c:v>
                </c:pt>
                <c:pt idx="75">
                  <c:v>24.1</c:v>
                </c:pt>
                <c:pt idx="76">
                  <c:v>20.72</c:v>
                </c:pt>
                <c:pt idx="77">
                  <c:v>23.72</c:v>
                </c:pt>
                <c:pt idx="78">
                  <c:v>19.39</c:v>
                </c:pt>
                <c:pt idx="79">
                  <c:v>24.73</c:v>
                </c:pt>
                <c:pt idx="80">
                  <c:v>19.38</c:v>
                </c:pt>
                <c:pt idx="81">
                  <c:v>24.16</c:v>
                </c:pt>
                <c:pt idx="82">
                  <c:v>20.07</c:v>
                </c:pt>
                <c:pt idx="83">
                  <c:v>23.46</c:v>
                </c:pt>
                <c:pt idx="84">
                  <c:v>20.66</c:v>
                </c:pt>
                <c:pt idx="85">
                  <c:v>24.4</c:v>
                </c:pt>
                <c:pt idx="86">
                  <c:v>19.670000000000002</c:v>
                </c:pt>
                <c:pt idx="87">
                  <c:v>24.27</c:v>
                </c:pt>
                <c:pt idx="88">
                  <c:v>19.79</c:v>
                </c:pt>
                <c:pt idx="89">
                  <c:v>23.98</c:v>
                </c:pt>
                <c:pt idx="90">
                  <c:v>19.829999999999998</c:v>
                </c:pt>
                <c:pt idx="91">
                  <c:v>24.57</c:v>
                </c:pt>
                <c:pt idx="92">
                  <c:v>19.260000000000002</c:v>
                </c:pt>
                <c:pt idx="93">
                  <c:v>23.7</c:v>
                </c:pt>
                <c:pt idx="94">
                  <c:v>21.51</c:v>
                </c:pt>
                <c:pt idx="95">
                  <c:v>23.53</c:v>
                </c:pt>
                <c:pt idx="96">
                  <c:v>19.37</c:v>
                </c:pt>
                <c:pt idx="97">
                  <c:v>24.76</c:v>
                </c:pt>
                <c:pt idx="98">
                  <c:v>19.63</c:v>
                </c:pt>
                <c:pt idx="99">
                  <c:v>23.8</c:v>
                </c:pt>
                <c:pt idx="100">
                  <c:v>20.03</c:v>
                </c:pt>
                <c:pt idx="101">
                  <c:v>23.96</c:v>
                </c:pt>
                <c:pt idx="102">
                  <c:v>20.440000000000001</c:v>
                </c:pt>
                <c:pt idx="103">
                  <c:v>23.62</c:v>
                </c:pt>
                <c:pt idx="104">
                  <c:v>20.02</c:v>
                </c:pt>
                <c:pt idx="105">
                  <c:v>24.56</c:v>
                </c:pt>
                <c:pt idx="106">
                  <c:v>20.02</c:v>
                </c:pt>
                <c:pt idx="107">
                  <c:v>23.43</c:v>
                </c:pt>
                <c:pt idx="108">
                  <c:v>20.100000000000001</c:v>
                </c:pt>
                <c:pt idx="109">
                  <c:v>24.52</c:v>
                </c:pt>
                <c:pt idx="110">
                  <c:v>19.850000000000001</c:v>
                </c:pt>
                <c:pt idx="111">
                  <c:v>23.08</c:v>
                </c:pt>
                <c:pt idx="112">
                  <c:v>21.34</c:v>
                </c:pt>
                <c:pt idx="113">
                  <c:v>23.18</c:v>
                </c:pt>
                <c:pt idx="114">
                  <c:v>21.43</c:v>
                </c:pt>
                <c:pt idx="115">
                  <c:v>22.89</c:v>
                </c:pt>
                <c:pt idx="116">
                  <c:v>19.77</c:v>
                </c:pt>
                <c:pt idx="117">
                  <c:v>24.38</c:v>
                </c:pt>
                <c:pt idx="118">
                  <c:v>20.079999999999998</c:v>
                </c:pt>
                <c:pt idx="119">
                  <c:v>23.52</c:v>
                </c:pt>
                <c:pt idx="120">
                  <c:v>20.190000000000001</c:v>
                </c:pt>
                <c:pt idx="121">
                  <c:v>24.39</c:v>
                </c:pt>
                <c:pt idx="122">
                  <c:v>19.97</c:v>
                </c:pt>
                <c:pt idx="123">
                  <c:v>24.21</c:v>
                </c:pt>
                <c:pt idx="124">
                  <c:v>19.61</c:v>
                </c:pt>
                <c:pt idx="125">
                  <c:v>24.41</c:v>
                </c:pt>
                <c:pt idx="126">
                  <c:v>19.440000000000001</c:v>
                </c:pt>
                <c:pt idx="127">
                  <c:v>23.99</c:v>
                </c:pt>
                <c:pt idx="128">
                  <c:v>19.920000000000002</c:v>
                </c:pt>
                <c:pt idx="129">
                  <c:v>24.73</c:v>
                </c:pt>
                <c:pt idx="130">
                  <c:v>20.260000000000002</c:v>
                </c:pt>
                <c:pt idx="131">
                  <c:v>21.8</c:v>
                </c:pt>
                <c:pt idx="132">
                  <c:v>23.75</c:v>
                </c:pt>
                <c:pt idx="133">
                  <c:v>19.59</c:v>
                </c:pt>
                <c:pt idx="134">
                  <c:v>24.61</c:v>
                </c:pt>
                <c:pt idx="135">
                  <c:v>19.41</c:v>
                </c:pt>
                <c:pt idx="136">
                  <c:v>24.16</c:v>
                </c:pt>
                <c:pt idx="137">
                  <c:v>20.16</c:v>
                </c:pt>
                <c:pt idx="138">
                  <c:v>23.34</c:v>
                </c:pt>
                <c:pt idx="139">
                  <c:v>21</c:v>
                </c:pt>
                <c:pt idx="140">
                  <c:v>23.53</c:v>
                </c:pt>
                <c:pt idx="141">
                  <c:v>19.68</c:v>
                </c:pt>
                <c:pt idx="142">
                  <c:v>24.05</c:v>
                </c:pt>
                <c:pt idx="143">
                  <c:v>20.03</c:v>
                </c:pt>
                <c:pt idx="144">
                  <c:v>24.04</c:v>
                </c:pt>
                <c:pt idx="145">
                  <c:v>19.88</c:v>
                </c:pt>
                <c:pt idx="146">
                  <c:v>24.53</c:v>
                </c:pt>
                <c:pt idx="147">
                  <c:v>19.52</c:v>
                </c:pt>
                <c:pt idx="148">
                  <c:v>23.98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DA-4012-813B-1B2FBC08465A}"/>
            </c:ext>
          </c:extLst>
        </c:ser>
        <c:ser>
          <c:idx val="0"/>
          <c:order val="1"/>
          <c:tx>
            <c:v>flow2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[0]!Tab31_elapsed_time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[0]!Tab32_flow_rate</c:f>
              <c:numCache>
                <c:formatCode>General</c:formatCode>
                <c:ptCount val="149"/>
                <c:pt idx="0">
                  <c:v>0.11</c:v>
                </c:pt>
                <c:pt idx="1">
                  <c:v>0.59</c:v>
                </c:pt>
                <c:pt idx="2">
                  <c:v>0.66</c:v>
                </c:pt>
                <c:pt idx="3">
                  <c:v>1.0900000000000001</c:v>
                </c:pt>
                <c:pt idx="4">
                  <c:v>1.61</c:v>
                </c:pt>
                <c:pt idx="5">
                  <c:v>2.41</c:v>
                </c:pt>
                <c:pt idx="6">
                  <c:v>3.56</c:v>
                </c:pt>
                <c:pt idx="7">
                  <c:v>4.88</c:v>
                </c:pt>
                <c:pt idx="8">
                  <c:v>7.14</c:v>
                </c:pt>
                <c:pt idx="9">
                  <c:v>11.84</c:v>
                </c:pt>
                <c:pt idx="10">
                  <c:v>14.73</c:v>
                </c:pt>
                <c:pt idx="11">
                  <c:v>17.899999999999999</c:v>
                </c:pt>
                <c:pt idx="12">
                  <c:v>24.76</c:v>
                </c:pt>
                <c:pt idx="13">
                  <c:v>26.36</c:v>
                </c:pt>
                <c:pt idx="14">
                  <c:v>27.58</c:v>
                </c:pt>
                <c:pt idx="15">
                  <c:v>22.67</c:v>
                </c:pt>
                <c:pt idx="16">
                  <c:v>25.63</c:v>
                </c:pt>
                <c:pt idx="17">
                  <c:v>24.47</c:v>
                </c:pt>
                <c:pt idx="18">
                  <c:v>26.72</c:v>
                </c:pt>
                <c:pt idx="19">
                  <c:v>21.57</c:v>
                </c:pt>
                <c:pt idx="20">
                  <c:v>24.42</c:v>
                </c:pt>
                <c:pt idx="21">
                  <c:v>23.08</c:v>
                </c:pt>
                <c:pt idx="22">
                  <c:v>26.22</c:v>
                </c:pt>
                <c:pt idx="23">
                  <c:v>21</c:v>
                </c:pt>
                <c:pt idx="24">
                  <c:v>25.22</c:v>
                </c:pt>
                <c:pt idx="25">
                  <c:v>23.99</c:v>
                </c:pt>
                <c:pt idx="26">
                  <c:v>21.48</c:v>
                </c:pt>
                <c:pt idx="27">
                  <c:v>24.22</c:v>
                </c:pt>
                <c:pt idx="28">
                  <c:v>22.79</c:v>
                </c:pt>
                <c:pt idx="29">
                  <c:v>24.99</c:v>
                </c:pt>
                <c:pt idx="30">
                  <c:v>21.84</c:v>
                </c:pt>
                <c:pt idx="31">
                  <c:v>25.2</c:v>
                </c:pt>
                <c:pt idx="32">
                  <c:v>21.51</c:v>
                </c:pt>
                <c:pt idx="33">
                  <c:v>25.73</c:v>
                </c:pt>
                <c:pt idx="34">
                  <c:v>21.36</c:v>
                </c:pt>
                <c:pt idx="35">
                  <c:v>24.79</c:v>
                </c:pt>
                <c:pt idx="36">
                  <c:v>21.91</c:v>
                </c:pt>
                <c:pt idx="37">
                  <c:v>25.6</c:v>
                </c:pt>
                <c:pt idx="38">
                  <c:v>21.38</c:v>
                </c:pt>
                <c:pt idx="39">
                  <c:v>24.5</c:v>
                </c:pt>
                <c:pt idx="40">
                  <c:v>23.76</c:v>
                </c:pt>
                <c:pt idx="41">
                  <c:v>22.24</c:v>
                </c:pt>
                <c:pt idx="42">
                  <c:v>26</c:v>
                </c:pt>
                <c:pt idx="43">
                  <c:v>20.88</c:v>
                </c:pt>
                <c:pt idx="44">
                  <c:v>24.89</c:v>
                </c:pt>
                <c:pt idx="45">
                  <c:v>22.02</c:v>
                </c:pt>
                <c:pt idx="46">
                  <c:v>26.14</c:v>
                </c:pt>
                <c:pt idx="47">
                  <c:v>20.76</c:v>
                </c:pt>
                <c:pt idx="48">
                  <c:v>24.13</c:v>
                </c:pt>
                <c:pt idx="49">
                  <c:v>22.85</c:v>
                </c:pt>
                <c:pt idx="50">
                  <c:v>26.15</c:v>
                </c:pt>
                <c:pt idx="51">
                  <c:v>21.2</c:v>
                </c:pt>
                <c:pt idx="52">
                  <c:v>24.46</c:v>
                </c:pt>
                <c:pt idx="53">
                  <c:v>22.01</c:v>
                </c:pt>
                <c:pt idx="54">
                  <c:v>25.94</c:v>
                </c:pt>
                <c:pt idx="55">
                  <c:v>21.13</c:v>
                </c:pt>
                <c:pt idx="56">
                  <c:v>25.34</c:v>
                </c:pt>
                <c:pt idx="57">
                  <c:v>21.42</c:v>
                </c:pt>
                <c:pt idx="58">
                  <c:v>25.98</c:v>
                </c:pt>
                <c:pt idx="59">
                  <c:v>21.05</c:v>
                </c:pt>
                <c:pt idx="60">
                  <c:v>25.9</c:v>
                </c:pt>
                <c:pt idx="61">
                  <c:v>21.1</c:v>
                </c:pt>
                <c:pt idx="62">
                  <c:v>25.33</c:v>
                </c:pt>
                <c:pt idx="63">
                  <c:v>23.46</c:v>
                </c:pt>
                <c:pt idx="64">
                  <c:v>21.72</c:v>
                </c:pt>
                <c:pt idx="65">
                  <c:v>24.6</c:v>
                </c:pt>
                <c:pt idx="66">
                  <c:v>22.18</c:v>
                </c:pt>
                <c:pt idx="67">
                  <c:v>25.61</c:v>
                </c:pt>
                <c:pt idx="68">
                  <c:v>21.24</c:v>
                </c:pt>
                <c:pt idx="69">
                  <c:v>25.58</c:v>
                </c:pt>
                <c:pt idx="70">
                  <c:v>21.62</c:v>
                </c:pt>
                <c:pt idx="71">
                  <c:v>24.56</c:v>
                </c:pt>
                <c:pt idx="72">
                  <c:v>22.13</c:v>
                </c:pt>
                <c:pt idx="73">
                  <c:v>26.03</c:v>
                </c:pt>
                <c:pt idx="74">
                  <c:v>21.61</c:v>
                </c:pt>
                <c:pt idx="75">
                  <c:v>23.8</c:v>
                </c:pt>
                <c:pt idx="76">
                  <c:v>23</c:v>
                </c:pt>
                <c:pt idx="77">
                  <c:v>25.39</c:v>
                </c:pt>
                <c:pt idx="78">
                  <c:v>21.02</c:v>
                </c:pt>
                <c:pt idx="79">
                  <c:v>25.31</c:v>
                </c:pt>
                <c:pt idx="80">
                  <c:v>21.7</c:v>
                </c:pt>
                <c:pt idx="81">
                  <c:v>25.68</c:v>
                </c:pt>
                <c:pt idx="82">
                  <c:v>21.33</c:v>
                </c:pt>
                <c:pt idx="83">
                  <c:v>25.12</c:v>
                </c:pt>
                <c:pt idx="84">
                  <c:v>21.68</c:v>
                </c:pt>
                <c:pt idx="85">
                  <c:v>25.87</c:v>
                </c:pt>
                <c:pt idx="86">
                  <c:v>21.14</c:v>
                </c:pt>
                <c:pt idx="87">
                  <c:v>25.63</c:v>
                </c:pt>
                <c:pt idx="88">
                  <c:v>21.26</c:v>
                </c:pt>
                <c:pt idx="89">
                  <c:v>25.89</c:v>
                </c:pt>
                <c:pt idx="90">
                  <c:v>21.11</c:v>
                </c:pt>
                <c:pt idx="91">
                  <c:v>25.75</c:v>
                </c:pt>
                <c:pt idx="92">
                  <c:v>21.12</c:v>
                </c:pt>
                <c:pt idx="93">
                  <c:v>25.02</c:v>
                </c:pt>
                <c:pt idx="94">
                  <c:v>22.18</c:v>
                </c:pt>
                <c:pt idx="95">
                  <c:v>25.82</c:v>
                </c:pt>
                <c:pt idx="96">
                  <c:v>21.08</c:v>
                </c:pt>
                <c:pt idx="97">
                  <c:v>25.26</c:v>
                </c:pt>
                <c:pt idx="98">
                  <c:v>21.43</c:v>
                </c:pt>
                <c:pt idx="99">
                  <c:v>26.18</c:v>
                </c:pt>
                <c:pt idx="100">
                  <c:v>20.97</c:v>
                </c:pt>
                <c:pt idx="101">
                  <c:v>25.04</c:v>
                </c:pt>
                <c:pt idx="102">
                  <c:v>21.68</c:v>
                </c:pt>
                <c:pt idx="103">
                  <c:v>26.13</c:v>
                </c:pt>
                <c:pt idx="104">
                  <c:v>20.95</c:v>
                </c:pt>
                <c:pt idx="105">
                  <c:v>25.26</c:v>
                </c:pt>
                <c:pt idx="106">
                  <c:v>21.81</c:v>
                </c:pt>
                <c:pt idx="107">
                  <c:v>25.92</c:v>
                </c:pt>
                <c:pt idx="108">
                  <c:v>20.92</c:v>
                </c:pt>
                <c:pt idx="109">
                  <c:v>24.02</c:v>
                </c:pt>
                <c:pt idx="110">
                  <c:v>22.76</c:v>
                </c:pt>
                <c:pt idx="111">
                  <c:v>24.69</c:v>
                </c:pt>
                <c:pt idx="112">
                  <c:v>22.24</c:v>
                </c:pt>
                <c:pt idx="113">
                  <c:v>24.76</c:v>
                </c:pt>
                <c:pt idx="114">
                  <c:v>22.6</c:v>
                </c:pt>
                <c:pt idx="115">
                  <c:v>24.9</c:v>
                </c:pt>
                <c:pt idx="116">
                  <c:v>21.69</c:v>
                </c:pt>
                <c:pt idx="117">
                  <c:v>25.01</c:v>
                </c:pt>
                <c:pt idx="118">
                  <c:v>21.75</c:v>
                </c:pt>
                <c:pt idx="119">
                  <c:v>25.81</c:v>
                </c:pt>
                <c:pt idx="120">
                  <c:v>21.23</c:v>
                </c:pt>
                <c:pt idx="121">
                  <c:v>25.33</c:v>
                </c:pt>
                <c:pt idx="122">
                  <c:v>21.59</c:v>
                </c:pt>
                <c:pt idx="123">
                  <c:v>25.91</c:v>
                </c:pt>
                <c:pt idx="124">
                  <c:v>21.07</c:v>
                </c:pt>
                <c:pt idx="125">
                  <c:v>25.68</c:v>
                </c:pt>
                <c:pt idx="126">
                  <c:v>21.05</c:v>
                </c:pt>
                <c:pt idx="127">
                  <c:v>25.67</c:v>
                </c:pt>
                <c:pt idx="128">
                  <c:v>21.29</c:v>
                </c:pt>
                <c:pt idx="129">
                  <c:v>25.41</c:v>
                </c:pt>
                <c:pt idx="130">
                  <c:v>21.71</c:v>
                </c:pt>
                <c:pt idx="131">
                  <c:v>24.01</c:v>
                </c:pt>
                <c:pt idx="132">
                  <c:v>24.36</c:v>
                </c:pt>
                <c:pt idx="133">
                  <c:v>21.83</c:v>
                </c:pt>
                <c:pt idx="134">
                  <c:v>25.5</c:v>
                </c:pt>
                <c:pt idx="135">
                  <c:v>21.29</c:v>
                </c:pt>
                <c:pt idx="136">
                  <c:v>25.66</c:v>
                </c:pt>
                <c:pt idx="137">
                  <c:v>21.62</c:v>
                </c:pt>
                <c:pt idx="138">
                  <c:v>24.22</c:v>
                </c:pt>
                <c:pt idx="139">
                  <c:v>22.4</c:v>
                </c:pt>
                <c:pt idx="140">
                  <c:v>25.81</c:v>
                </c:pt>
                <c:pt idx="141">
                  <c:v>21.03</c:v>
                </c:pt>
                <c:pt idx="142">
                  <c:v>25.42</c:v>
                </c:pt>
                <c:pt idx="143">
                  <c:v>21.5</c:v>
                </c:pt>
                <c:pt idx="144">
                  <c:v>25.99</c:v>
                </c:pt>
                <c:pt idx="145">
                  <c:v>20.84</c:v>
                </c:pt>
                <c:pt idx="146">
                  <c:v>25.53</c:v>
                </c:pt>
                <c:pt idx="147">
                  <c:v>21.58</c:v>
                </c:pt>
                <c:pt idx="148">
                  <c:v>25.78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DA-4012-813B-1B2FBC08465A}"/>
            </c:ext>
          </c:extLst>
        </c:ser>
        <c:ser>
          <c:idx val="2"/>
          <c:order val="2"/>
          <c:tx>
            <c:v>flow3</c:v>
          </c:tx>
          <c:spPr>
            <a:ln w="25400" cap="rnd">
              <a:noFill/>
              <a:round/>
            </a:ln>
            <a:effectLst/>
          </c:spPr>
          <c:marker>
            <c:symbol val="dot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[0]!Tab31_elapsed_time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[0]!Tab33_flow_rate</c:f>
              <c:numCache>
                <c:formatCode>General</c:formatCode>
                <c:ptCount val="14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0.08</c:v>
                </c:pt>
                <c:pt idx="5">
                  <c:v>0.15</c:v>
                </c:pt>
                <c:pt idx="6">
                  <c:v>0.24</c:v>
                </c:pt>
                <c:pt idx="7">
                  <c:v>0.37</c:v>
                </c:pt>
                <c:pt idx="8">
                  <c:v>0.55000000000000004</c:v>
                </c:pt>
                <c:pt idx="9">
                  <c:v>0.79</c:v>
                </c:pt>
                <c:pt idx="10">
                  <c:v>1.1299999999999999</c:v>
                </c:pt>
                <c:pt idx="11">
                  <c:v>1.46</c:v>
                </c:pt>
                <c:pt idx="12">
                  <c:v>2.39</c:v>
                </c:pt>
                <c:pt idx="13">
                  <c:v>3.54</c:v>
                </c:pt>
                <c:pt idx="14">
                  <c:v>5.35</c:v>
                </c:pt>
                <c:pt idx="15">
                  <c:v>7.24</c:v>
                </c:pt>
                <c:pt idx="16">
                  <c:v>10.43</c:v>
                </c:pt>
                <c:pt idx="17">
                  <c:v>16.559999999999999</c:v>
                </c:pt>
                <c:pt idx="18">
                  <c:v>20.56</c:v>
                </c:pt>
                <c:pt idx="19">
                  <c:v>22.87</c:v>
                </c:pt>
                <c:pt idx="20">
                  <c:v>24.88</c:v>
                </c:pt>
                <c:pt idx="21">
                  <c:v>20.14</c:v>
                </c:pt>
                <c:pt idx="22">
                  <c:v>24.23</c:v>
                </c:pt>
                <c:pt idx="23">
                  <c:v>19.55</c:v>
                </c:pt>
                <c:pt idx="24">
                  <c:v>24.02</c:v>
                </c:pt>
                <c:pt idx="25">
                  <c:v>21.38</c:v>
                </c:pt>
                <c:pt idx="26">
                  <c:v>21.2</c:v>
                </c:pt>
                <c:pt idx="27">
                  <c:v>22.91</c:v>
                </c:pt>
                <c:pt idx="28">
                  <c:v>21.37</c:v>
                </c:pt>
                <c:pt idx="29">
                  <c:v>23.61</c:v>
                </c:pt>
                <c:pt idx="30">
                  <c:v>19.510000000000002</c:v>
                </c:pt>
                <c:pt idx="31">
                  <c:v>24.3</c:v>
                </c:pt>
                <c:pt idx="32">
                  <c:v>19.739999999999998</c:v>
                </c:pt>
                <c:pt idx="33">
                  <c:v>24.6</c:v>
                </c:pt>
                <c:pt idx="34">
                  <c:v>19.559999999999999</c:v>
                </c:pt>
                <c:pt idx="35">
                  <c:v>23.35</c:v>
                </c:pt>
                <c:pt idx="36">
                  <c:v>20.440000000000001</c:v>
                </c:pt>
                <c:pt idx="37">
                  <c:v>24.34</c:v>
                </c:pt>
                <c:pt idx="38">
                  <c:v>19.82</c:v>
                </c:pt>
                <c:pt idx="39">
                  <c:v>23.22</c:v>
                </c:pt>
                <c:pt idx="40">
                  <c:v>22.57</c:v>
                </c:pt>
                <c:pt idx="41">
                  <c:v>20.36</c:v>
                </c:pt>
                <c:pt idx="42">
                  <c:v>24.2</c:v>
                </c:pt>
                <c:pt idx="43">
                  <c:v>19.48</c:v>
                </c:pt>
                <c:pt idx="44">
                  <c:v>23.84</c:v>
                </c:pt>
                <c:pt idx="45">
                  <c:v>20.170000000000002</c:v>
                </c:pt>
                <c:pt idx="46">
                  <c:v>24.37</c:v>
                </c:pt>
                <c:pt idx="47">
                  <c:v>19.670000000000002</c:v>
                </c:pt>
                <c:pt idx="48">
                  <c:v>24.49</c:v>
                </c:pt>
                <c:pt idx="49">
                  <c:v>19.420000000000002</c:v>
                </c:pt>
                <c:pt idx="50">
                  <c:v>24.25</c:v>
                </c:pt>
                <c:pt idx="51">
                  <c:v>20.37</c:v>
                </c:pt>
                <c:pt idx="52">
                  <c:v>23.38</c:v>
                </c:pt>
                <c:pt idx="53">
                  <c:v>20.95</c:v>
                </c:pt>
                <c:pt idx="54">
                  <c:v>23.47</c:v>
                </c:pt>
                <c:pt idx="55">
                  <c:v>19.760000000000002</c:v>
                </c:pt>
                <c:pt idx="56">
                  <c:v>24.23</c:v>
                </c:pt>
                <c:pt idx="57">
                  <c:v>19.86</c:v>
                </c:pt>
                <c:pt idx="58">
                  <c:v>24.65</c:v>
                </c:pt>
                <c:pt idx="59">
                  <c:v>19.3</c:v>
                </c:pt>
                <c:pt idx="60">
                  <c:v>24.76</c:v>
                </c:pt>
                <c:pt idx="61">
                  <c:v>19.39</c:v>
                </c:pt>
                <c:pt idx="62">
                  <c:v>23.92</c:v>
                </c:pt>
                <c:pt idx="63">
                  <c:v>21.29</c:v>
                </c:pt>
                <c:pt idx="64">
                  <c:v>21.2</c:v>
                </c:pt>
                <c:pt idx="65">
                  <c:v>24.22</c:v>
                </c:pt>
                <c:pt idx="66">
                  <c:v>19.38</c:v>
                </c:pt>
                <c:pt idx="67">
                  <c:v>24.35</c:v>
                </c:pt>
                <c:pt idx="68">
                  <c:v>19.55</c:v>
                </c:pt>
                <c:pt idx="69">
                  <c:v>24.62</c:v>
                </c:pt>
                <c:pt idx="70">
                  <c:v>19.510000000000002</c:v>
                </c:pt>
                <c:pt idx="71">
                  <c:v>24.07</c:v>
                </c:pt>
                <c:pt idx="72">
                  <c:v>20.05</c:v>
                </c:pt>
                <c:pt idx="73">
                  <c:v>24.53</c:v>
                </c:pt>
                <c:pt idx="74">
                  <c:v>19.27</c:v>
                </c:pt>
                <c:pt idx="75">
                  <c:v>24.37</c:v>
                </c:pt>
                <c:pt idx="76">
                  <c:v>20.37</c:v>
                </c:pt>
                <c:pt idx="77">
                  <c:v>23.77</c:v>
                </c:pt>
                <c:pt idx="78">
                  <c:v>19.489999999999998</c:v>
                </c:pt>
                <c:pt idx="79">
                  <c:v>24.54</c:v>
                </c:pt>
                <c:pt idx="80">
                  <c:v>19.420000000000002</c:v>
                </c:pt>
                <c:pt idx="81">
                  <c:v>24.44</c:v>
                </c:pt>
                <c:pt idx="82">
                  <c:v>19.64</c:v>
                </c:pt>
                <c:pt idx="83">
                  <c:v>24.23</c:v>
                </c:pt>
                <c:pt idx="84">
                  <c:v>19.989999999999998</c:v>
                </c:pt>
                <c:pt idx="85">
                  <c:v>24.5</c:v>
                </c:pt>
                <c:pt idx="86">
                  <c:v>19.29</c:v>
                </c:pt>
                <c:pt idx="87">
                  <c:v>24.42</c:v>
                </c:pt>
                <c:pt idx="88">
                  <c:v>19.600000000000001</c:v>
                </c:pt>
                <c:pt idx="89">
                  <c:v>24.66</c:v>
                </c:pt>
                <c:pt idx="90">
                  <c:v>19.260000000000002</c:v>
                </c:pt>
                <c:pt idx="91">
                  <c:v>24.5</c:v>
                </c:pt>
                <c:pt idx="92">
                  <c:v>19.73</c:v>
                </c:pt>
                <c:pt idx="93">
                  <c:v>23.82</c:v>
                </c:pt>
                <c:pt idx="94">
                  <c:v>20.190000000000001</c:v>
                </c:pt>
                <c:pt idx="95">
                  <c:v>24.21</c:v>
                </c:pt>
                <c:pt idx="96">
                  <c:v>19.78</c:v>
                </c:pt>
                <c:pt idx="97">
                  <c:v>24.1</c:v>
                </c:pt>
                <c:pt idx="98">
                  <c:v>19.87</c:v>
                </c:pt>
                <c:pt idx="99">
                  <c:v>24.62</c:v>
                </c:pt>
                <c:pt idx="100">
                  <c:v>19.329999999999998</c:v>
                </c:pt>
                <c:pt idx="101">
                  <c:v>23.89</c:v>
                </c:pt>
                <c:pt idx="102">
                  <c:v>20.190000000000001</c:v>
                </c:pt>
                <c:pt idx="103">
                  <c:v>24.47</c:v>
                </c:pt>
                <c:pt idx="104">
                  <c:v>19.38</c:v>
                </c:pt>
                <c:pt idx="105">
                  <c:v>24.32</c:v>
                </c:pt>
                <c:pt idx="106">
                  <c:v>19.93</c:v>
                </c:pt>
                <c:pt idx="107">
                  <c:v>24.37</c:v>
                </c:pt>
                <c:pt idx="108">
                  <c:v>19.3</c:v>
                </c:pt>
                <c:pt idx="109">
                  <c:v>24.64</c:v>
                </c:pt>
                <c:pt idx="110">
                  <c:v>19.59</c:v>
                </c:pt>
                <c:pt idx="111">
                  <c:v>23.33</c:v>
                </c:pt>
                <c:pt idx="112">
                  <c:v>20.7</c:v>
                </c:pt>
                <c:pt idx="113">
                  <c:v>23.36</c:v>
                </c:pt>
                <c:pt idx="114">
                  <c:v>21.27</c:v>
                </c:pt>
                <c:pt idx="115">
                  <c:v>23.6</c:v>
                </c:pt>
                <c:pt idx="116">
                  <c:v>19.5</c:v>
                </c:pt>
                <c:pt idx="117">
                  <c:v>24.1</c:v>
                </c:pt>
                <c:pt idx="118">
                  <c:v>20.07</c:v>
                </c:pt>
                <c:pt idx="119">
                  <c:v>24.36</c:v>
                </c:pt>
                <c:pt idx="120">
                  <c:v>19.54</c:v>
                </c:pt>
                <c:pt idx="121">
                  <c:v>24</c:v>
                </c:pt>
                <c:pt idx="122">
                  <c:v>20.010000000000002</c:v>
                </c:pt>
                <c:pt idx="123">
                  <c:v>24.69</c:v>
                </c:pt>
                <c:pt idx="124">
                  <c:v>19.22</c:v>
                </c:pt>
                <c:pt idx="125">
                  <c:v>24.34</c:v>
                </c:pt>
                <c:pt idx="126">
                  <c:v>19.760000000000002</c:v>
                </c:pt>
                <c:pt idx="127">
                  <c:v>24.47</c:v>
                </c:pt>
                <c:pt idx="128">
                  <c:v>19.48</c:v>
                </c:pt>
                <c:pt idx="129">
                  <c:v>24.44</c:v>
                </c:pt>
                <c:pt idx="130">
                  <c:v>19.72</c:v>
                </c:pt>
                <c:pt idx="131">
                  <c:v>22.81</c:v>
                </c:pt>
                <c:pt idx="132">
                  <c:v>22.96</c:v>
                </c:pt>
                <c:pt idx="133">
                  <c:v>20.03</c:v>
                </c:pt>
                <c:pt idx="134">
                  <c:v>24.36</c:v>
                </c:pt>
                <c:pt idx="135">
                  <c:v>19.52</c:v>
                </c:pt>
                <c:pt idx="136">
                  <c:v>24.6</c:v>
                </c:pt>
                <c:pt idx="137">
                  <c:v>19.53</c:v>
                </c:pt>
                <c:pt idx="138">
                  <c:v>23.33</c:v>
                </c:pt>
                <c:pt idx="139">
                  <c:v>20.82</c:v>
                </c:pt>
                <c:pt idx="140">
                  <c:v>24.44</c:v>
                </c:pt>
                <c:pt idx="141">
                  <c:v>19.22</c:v>
                </c:pt>
                <c:pt idx="142">
                  <c:v>24.41</c:v>
                </c:pt>
                <c:pt idx="143">
                  <c:v>19.579999999999998</c:v>
                </c:pt>
                <c:pt idx="144">
                  <c:v>24.6</c:v>
                </c:pt>
                <c:pt idx="145">
                  <c:v>19.45</c:v>
                </c:pt>
                <c:pt idx="146">
                  <c:v>24.26</c:v>
                </c:pt>
                <c:pt idx="147">
                  <c:v>19.579999999999998</c:v>
                </c:pt>
                <c:pt idx="148">
                  <c:v>24.53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DA-4012-813B-1B2FBC084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335424173673207"/>
          <c:y val="0.18701011349690502"/>
          <c:w val="8.4875513442175671E-2"/>
          <c:h val="0.544352476418263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Plots!$AH$1</c:f>
          <c:strCache>
            <c:ptCount val="1"/>
            <c:pt idx="0">
              <c:v>AARnetCBR-CamDTN1_tcpmon_tseries_22Feb24 2 Flows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4387650696206"/>
          <c:y val="0.18572241183162685"/>
          <c:w val="0.78975358482732028"/>
          <c:h val="0.57263936291240047"/>
        </c:manualLayout>
      </c:layout>
      <c:scatterChart>
        <c:scatterStyle val="lineMarker"/>
        <c:varyColors val="0"/>
        <c:ser>
          <c:idx val="1"/>
          <c:order val="0"/>
          <c:tx>
            <c:v>flow1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[0]!Tab21_elapsed_time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[0]!Tab21_flow_rate</c:f>
              <c:numCache>
                <c:formatCode>General</c:formatCode>
                <c:ptCount val="149"/>
                <c:pt idx="0">
                  <c:v>0.11</c:v>
                </c:pt>
                <c:pt idx="1">
                  <c:v>0.56999999999999995</c:v>
                </c:pt>
                <c:pt idx="2">
                  <c:v>0.62</c:v>
                </c:pt>
                <c:pt idx="3">
                  <c:v>1.03</c:v>
                </c:pt>
                <c:pt idx="4">
                  <c:v>1.52</c:v>
                </c:pt>
                <c:pt idx="5">
                  <c:v>2.29</c:v>
                </c:pt>
                <c:pt idx="6">
                  <c:v>3.38</c:v>
                </c:pt>
                <c:pt idx="7">
                  <c:v>5.07</c:v>
                </c:pt>
                <c:pt idx="8">
                  <c:v>6.31</c:v>
                </c:pt>
                <c:pt idx="9">
                  <c:v>10.34</c:v>
                </c:pt>
                <c:pt idx="10">
                  <c:v>13.5</c:v>
                </c:pt>
                <c:pt idx="11">
                  <c:v>19.14</c:v>
                </c:pt>
                <c:pt idx="12">
                  <c:v>21.75</c:v>
                </c:pt>
                <c:pt idx="13">
                  <c:v>27</c:v>
                </c:pt>
                <c:pt idx="14">
                  <c:v>27.88</c:v>
                </c:pt>
                <c:pt idx="15">
                  <c:v>28.06</c:v>
                </c:pt>
                <c:pt idx="16">
                  <c:v>29.11</c:v>
                </c:pt>
                <c:pt idx="17">
                  <c:v>31.95</c:v>
                </c:pt>
                <c:pt idx="18">
                  <c:v>27.75</c:v>
                </c:pt>
                <c:pt idx="19">
                  <c:v>28.54</c:v>
                </c:pt>
                <c:pt idx="20">
                  <c:v>30.27</c:v>
                </c:pt>
                <c:pt idx="21">
                  <c:v>32.200000000000003</c:v>
                </c:pt>
                <c:pt idx="22">
                  <c:v>28.85</c:v>
                </c:pt>
                <c:pt idx="23">
                  <c:v>28.18</c:v>
                </c:pt>
                <c:pt idx="24">
                  <c:v>30.61</c:v>
                </c:pt>
                <c:pt idx="25">
                  <c:v>28.46</c:v>
                </c:pt>
                <c:pt idx="26">
                  <c:v>31.27</c:v>
                </c:pt>
                <c:pt idx="27">
                  <c:v>29.53</c:v>
                </c:pt>
                <c:pt idx="28">
                  <c:v>28.21</c:v>
                </c:pt>
                <c:pt idx="29">
                  <c:v>28.21</c:v>
                </c:pt>
                <c:pt idx="30">
                  <c:v>29.37</c:v>
                </c:pt>
                <c:pt idx="31">
                  <c:v>28.35</c:v>
                </c:pt>
                <c:pt idx="32">
                  <c:v>29.19</c:v>
                </c:pt>
                <c:pt idx="33">
                  <c:v>31.06</c:v>
                </c:pt>
                <c:pt idx="34">
                  <c:v>31.2</c:v>
                </c:pt>
                <c:pt idx="35">
                  <c:v>28.21</c:v>
                </c:pt>
                <c:pt idx="36">
                  <c:v>28.11</c:v>
                </c:pt>
                <c:pt idx="37">
                  <c:v>28.6</c:v>
                </c:pt>
                <c:pt idx="38">
                  <c:v>30.06</c:v>
                </c:pt>
                <c:pt idx="39">
                  <c:v>29.5</c:v>
                </c:pt>
                <c:pt idx="40">
                  <c:v>29.53</c:v>
                </c:pt>
                <c:pt idx="41">
                  <c:v>28.5</c:v>
                </c:pt>
                <c:pt idx="42">
                  <c:v>30.28</c:v>
                </c:pt>
                <c:pt idx="43">
                  <c:v>31.73</c:v>
                </c:pt>
                <c:pt idx="44">
                  <c:v>29.83</c:v>
                </c:pt>
                <c:pt idx="45">
                  <c:v>28.25</c:v>
                </c:pt>
                <c:pt idx="46">
                  <c:v>27.86</c:v>
                </c:pt>
                <c:pt idx="47">
                  <c:v>28.44</c:v>
                </c:pt>
                <c:pt idx="48">
                  <c:v>30.06</c:v>
                </c:pt>
                <c:pt idx="49">
                  <c:v>32.659999999999997</c:v>
                </c:pt>
                <c:pt idx="50">
                  <c:v>28.13</c:v>
                </c:pt>
                <c:pt idx="51">
                  <c:v>28.12</c:v>
                </c:pt>
                <c:pt idx="52">
                  <c:v>30.24</c:v>
                </c:pt>
                <c:pt idx="53">
                  <c:v>28.43</c:v>
                </c:pt>
                <c:pt idx="54">
                  <c:v>28.66</c:v>
                </c:pt>
                <c:pt idx="55">
                  <c:v>29.21</c:v>
                </c:pt>
                <c:pt idx="56">
                  <c:v>30.53</c:v>
                </c:pt>
                <c:pt idx="57">
                  <c:v>30.41</c:v>
                </c:pt>
                <c:pt idx="58">
                  <c:v>29.21</c:v>
                </c:pt>
                <c:pt idx="59">
                  <c:v>28.26</c:v>
                </c:pt>
                <c:pt idx="60">
                  <c:v>31.3</c:v>
                </c:pt>
                <c:pt idx="61">
                  <c:v>28.55</c:v>
                </c:pt>
                <c:pt idx="62">
                  <c:v>28.97</c:v>
                </c:pt>
                <c:pt idx="63">
                  <c:v>30.11</c:v>
                </c:pt>
                <c:pt idx="64">
                  <c:v>30.03</c:v>
                </c:pt>
                <c:pt idx="65">
                  <c:v>28.5</c:v>
                </c:pt>
                <c:pt idx="66">
                  <c:v>29.47</c:v>
                </c:pt>
                <c:pt idx="67">
                  <c:v>28.94</c:v>
                </c:pt>
                <c:pt idx="68">
                  <c:v>29.72</c:v>
                </c:pt>
                <c:pt idx="69">
                  <c:v>29.22</c:v>
                </c:pt>
                <c:pt idx="70">
                  <c:v>29.95</c:v>
                </c:pt>
                <c:pt idx="71">
                  <c:v>28.61</c:v>
                </c:pt>
                <c:pt idx="72">
                  <c:v>29.7</c:v>
                </c:pt>
                <c:pt idx="73">
                  <c:v>29.48</c:v>
                </c:pt>
                <c:pt idx="74">
                  <c:v>29.35</c:v>
                </c:pt>
                <c:pt idx="75">
                  <c:v>29.24</c:v>
                </c:pt>
                <c:pt idx="76">
                  <c:v>29.16</c:v>
                </c:pt>
                <c:pt idx="77">
                  <c:v>30.36</c:v>
                </c:pt>
                <c:pt idx="78">
                  <c:v>30.24</c:v>
                </c:pt>
                <c:pt idx="79">
                  <c:v>28.39</c:v>
                </c:pt>
                <c:pt idx="80">
                  <c:v>29.13</c:v>
                </c:pt>
                <c:pt idx="81">
                  <c:v>31</c:v>
                </c:pt>
                <c:pt idx="82">
                  <c:v>28.8</c:v>
                </c:pt>
                <c:pt idx="83">
                  <c:v>28.56</c:v>
                </c:pt>
                <c:pt idx="84">
                  <c:v>29.8</c:v>
                </c:pt>
                <c:pt idx="85">
                  <c:v>29.03</c:v>
                </c:pt>
                <c:pt idx="86">
                  <c:v>30.05</c:v>
                </c:pt>
                <c:pt idx="87">
                  <c:v>28.39</c:v>
                </c:pt>
                <c:pt idx="88">
                  <c:v>30.04</c:v>
                </c:pt>
                <c:pt idx="89">
                  <c:v>28.25</c:v>
                </c:pt>
                <c:pt idx="90">
                  <c:v>28.53</c:v>
                </c:pt>
                <c:pt idx="91">
                  <c:v>30.4</c:v>
                </c:pt>
                <c:pt idx="92">
                  <c:v>31.74</c:v>
                </c:pt>
                <c:pt idx="93">
                  <c:v>28.23</c:v>
                </c:pt>
                <c:pt idx="94">
                  <c:v>28.62</c:v>
                </c:pt>
                <c:pt idx="95">
                  <c:v>28.43</c:v>
                </c:pt>
                <c:pt idx="96">
                  <c:v>30.53</c:v>
                </c:pt>
                <c:pt idx="97">
                  <c:v>31.89</c:v>
                </c:pt>
                <c:pt idx="98">
                  <c:v>28.76</c:v>
                </c:pt>
                <c:pt idx="99">
                  <c:v>28.62</c:v>
                </c:pt>
                <c:pt idx="100">
                  <c:v>29.09</c:v>
                </c:pt>
                <c:pt idx="101">
                  <c:v>29.87</c:v>
                </c:pt>
                <c:pt idx="102">
                  <c:v>28.34</c:v>
                </c:pt>
                <c:pt idx="103">
                  <c:v>28.65</c:v>
                </c:pt>
                <c:pt idx="104">
                  <c:v>29.42</c:v>
                </c:pt>
                <c:pt idx="105">
                  <c:v>31.23</c:v>
                </c:pt>
                <c:pt idx="106">
                  <c:v>29.65</c:v>
                </c:pt>
                <c:pt idx="107">
                  <c:v>27.76</c:v>
                </c:pt>
                <c:pt idx="108">
                  <c:v>32.200000000000003</c:v>
                </c:pt>
                <c:pt idx="109">
                  <c:v>28.32</c:v>
                </c:pt>
                <c:pt idx="110">
                  <c:v>29.64</c:v>
                </c:pt>
                <c:pt idx="111">
                  <c:v>28.23</c:v>
                </c:pt>
                <c:pt idx="112">
                  <c:v>30.44</c:v>
                </c:pt>
                <c:pt idx="113">
                  <c:v>28.26</c:v>
                </c:pt>
                <c:pt idx="114">
                  <c:v>28.17</c:v>
                </c:pt>
                <c:pt idx="115">
                  <c:v>29.52</c:v>
                </c:pt>
                <c:pt idx="116">
                  <c:v>29.41</c:v>
                </c:pt>
                <c:pt idx="117">
                  <c:v>30.45</c:v>
                </c:pt>
                <c:pt idx="118">
                  <c:v>30.89</c:v>
                </c:pt>
                <c:pt idx="119">
                  <c:v>28.02</c:v>
                </c:pt>
                <c:pt idx="120">
                  <c:v>29.99</c:v>
                </c:pt>
                <c:pt idx="121">
                  <c:v>28.71</c:v>
                </c:pt>
                <c:pt idx="122">
                  <c:v>29.25</c:v>
                </c:pt>
                <c:pt idx="123">
                  <c:v>31.12</c:v>
                </c:pt>
                <c:pt idx="124">
                  <c:v>30.32</c:v>
                </c:pt>
                <c:pt idx="125">
                  <c:v>28.74</c:v>
                </c:pt>
                <c:pt idx="126">
                  <c:v>29.97</c:v>
                </c:pt>
                <c:pt idx="127">
                  <c:v>28.4</c:v>
                </c:pt>
                <c:pt idx="128">
                  <c:v>29.21</c:v>
                </c:pt>
                <c:pt idx="129">
                  <c:v>28.4</c:v>
                </c:pt>
                <c:pt idx="130">
                  <c:v>29.17</c:v>
                </c:pt>
                <c:pt idx="131">
                  <c:v>28.78</c:v>
                </c:pt>
                <c:pt idx="132">
                  <c:v>29.75</c:v>
                </c:pt>
                <c:pt idx="133">
                  <c:v>29.85</c:v>
                </c:pt>
                <c:pt idx="134">
                  <c:v>29.01</c:v>
                </c:pt>
                <c:pt idx="135">
                  <c:v>30.56</c:v>
                </c:pt>
                <c:pt idx="136">
                  <c:v>28.2</c:v>
                </c:pt>
                <c:pt idx="137">
                  <c:v>28.59</c:v>
                </c:pt>
                <c:pt idx="138">
                  <c:v>28.77</c:v>
                </c:pt>
                <c:pt idx="139">
                  <c:v>30.67</c:v>
                </c:pt>
                <c:pt idx="140">
                  <c:v>31.21</c:v>
                </c:pt>
                <c:pt idx="141">
                  <c:v>28.04</c:v>
                </c:pt>
                <c:pt idx="142">
                  <c:v>29.53</c:v>
                </c:pt>
                <c:pt idx="143">
                  <c:v>29.19</c:v>
                </c:pt>
                <c:pt idx="144">
                  <c:v>29.14</c:v>
                </c:pt>
                <c:pt idx="145">
                  <c:v>28.4</c:v>
                </c:pt>
                <c:pt idx="146">
                  <c:v>29.01</c:v>
                </c:pt>
                <c:pt idx="147">
                  <c:v>30.79</c:v>
                </c:pt>
                <c:pt idx="148">
                  <c:v>30.33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16-4AC5-A75E-7C09191A4ACF}"/>
            </c:ext>
          </c:extLst>
        </c:ser>
        <c:ser>
          <c:idx val="0"/>
          <c:order val="1"/>
          <c:tx>
            <c:v>flow2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[0]!Tab21_elapsed_time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[0]!Tab22_flow_rate</c:f>
              <c:numCache>
                <c:formatCode>General</c:formatCode>
                <c:ptCount val="149"/>
                <c:pt idx="0">
                  <c:v>0.09</c:v>
                </c:pt>
                <c:pt idx="1">
                  <c:v>0.8</c:v>
                </c:pt>
                <c:pt idx="2">
                  <c:v>0.9</c:v>
                </c:pt>
                <c:pt idx="3">
                  <c:v>1.49</c:v>
                </c:pt>
                <c:pt idx="4">
                  <c:v>2.2000000000000002</c:v>
                </c:pt>
                <c:pt idx="5">
                  <c:v>3.32</c:v>
                </c:pt>
                <c:pt idx="6">
                  <c:v>4.96</c:v>
                </c:pt>
                <c:pt idx="7">
                  <c:v>6.02</c:v>
                </c:pt>
                <c:pt idx="8">
                  <c:v>10.9</c:v>
                </c:pt>
                <c:pt idx="9">
                  <c:v>12.67</c:v>
                </c:pt>
                <c:pt idx="10">
                  <c:v>17.670000000000002</c:v>
                </c:pt>
                <c:pt idx="11">
                  <c:v>25</c:v>
                </c:pt>
                <c:pt idx="12">
                  <c:v>27.75</c:v>
                </c:pt>
                <c:pt idx="13">
                  <c:v>26.53</c:v>
                </c:pt>
                <c:pt idx="14">
                  <c:v>30.06</c:v>
                </c:pt>
                <c:pt idx="15">
                  <c:v>26.36</c:v>
                </c:pt>
                <c:pt idx="16">
                  <c:v>26.98</c:v>
                </c:pt>
                <c:pt idx="17">
                  <c:v>28.17</c:v>
                </c:pt>
                <c:pt idx="18">
                  <c:v>29.8</c:v>
                </c:pt>
                <c:pt idx="19">
                  <c:v>25.42</c:v>
                </c:pt>
                <c:pt idx="20">
                  <c:v>27.26</c:v>
                </c:pt>
                <c:pt idx="21">
                  <c:v>29.97</c:v>
                </c:pt>
                <c:pt idx="22">
                  <c:v>25.59</c:v>
                </c:pt>
                <c:pt idx="23">
                  <c:v>29.12</c:v>
                </c:pt>
                <c:pt idx="24">
                  <c:v>26.29</c:v>
                </c:pt>
                <c:pt idx="25">
                  <c:v>28.37</c:v>
                </c:pt>
                <c:pt idx="26">
                  <c:v>27.23</c:v>
                </c:pt>
                <c:pt idx="27">
                  <c:v>27.79</c:v>
                </c:pt>
                <c:pt idx="28">
                  <c:v>28.39</c:v>
                </c:pt>
                <c:pt idx="29">
                  <c:v>26.47</c:v>
                </c:pt>
                <c:pt idx="30">
                  <c:v>29.91</c:v>
                </c:pt>
                <c:pt idx="31">
                  <c:v>25.78</c:v>
                </c:pt>
                <c:pt idx="32">
                  <c:v>27.34</c:v>
                </c:pt>
                <c:pt idx="33">
                  <c:v>28.67</c:v>
                </c:pt>
                <c:pt idx="34">
                  <c:v>28.71</c:v>
                </c:pt>
                <c:pt idx="35">
                  <c:v>25.79</c:v>
                </c:pt>
                <c:pt idx="36">
                  <c:v>30.2</c:v>
                </c:pt>
                <c:pt idx="37">
                  <c:v>25.6</c:v>
                </c:pt>
                <c:pt idx="38">
                  <c:v>27.14</c:v>
                </c:pt>
                <c:pt idx="39">
                  <c:v>29.55</c:v>
                </c:pt>
                <c:pt idx="40">
                  <c:v>26.37</c:v>
                </c:pt>
                <c:pt idx="41">
                  <c:v>27.37</c:v>
                </c:pt>
                <c:pt idx="42">
                  <c:v>28.3</c:v>
                </c:pt>
                <c:pt idx="43">
                  <c:v>29.31</c:v>
                </c:pt>
                <c:pt idx="44">
                  <c:v>25.89</c:v>
                </c:pt>
                <c:pt idx="45">
                  <c:v>27.72</c:v>
                </c:pt>
                <c:pt idx="46">
                  <c:v>30.38</c:v>
                </c:pt>
                <c:pt idx="47">
                  <c:v>25.77</c:v>
                </c:pt>
                <c:pt idx="48">
                  <c:v>27.11</c:v>
                </c:pt>
                <c:pt idx="49">
                  <c:v>30.03</c:v>
                </c:pt>
                <c:pt idx="50">
                  <c:v>25.68</c:v>
                </c:pt>
                <c:pt idx="51">
                  <c:v>29.23</c:v>
                </c:pt>
                <c:pt idx="52">
                  <c:v>26.17</c:v>
                </c:pt>
                <c:pt idx="53">
                  <c:v>30.04</c:v>
                </c:pt>
                <c:pt idx="54">
                  <c:v>26.02</c:v>
                </c:pt>
                <c:pt idx="55">
                  <c:v>27.41</c:v>
                </c:pt>
                <c:pt idx="56">
                  <c:v>27.99</c:v>
                </c:pt>
                <c:pt idx="57">
                  <c:v>29</c:v>
                </c:pt>
                <c:pt idx="58">
                  <c:v>26.09</c:v>
                </c:pt>
                <c:pt idx="59">
                  <c:v>29.8</c:v>
                </c:pt>
                <c:pt idx="60">
                  <c:v>26.94</c:v>
                </c:pt>
                <c:pt idx="61">
                  <c:v>26.99</c:v>
                </c:pt>
                <c:pt idx="62">
                  <c:v>29.11</c:v>
                </c:pt>
                <c:pt idx="63">
                  <c:v>26.16</c:v>
                </c:pt>
                <c:pt idx="64">
                  <c:v>28.78</c:v>
                </c:pt>
                <c:pt idx="65">
                  <c:v>28.08</c:v>
                </c:pt>
                <c:pt idx="66">
                  <c:v>27.08</c:v>
                </c:pt>
                <c:pt idx="67">
                  <c:v>28.61</c:v>
                </c:pt>
                <c:pt idx="68">
                  <c:v>26.84</c:v>
                </c:pt>
                <c:pt idx="69">
                  <c:v>28.71</c:v>
                </c:pt>
                <c:pt idx="70">
                  <c:v>26.31</c:v>
                </c:pt>
                <c:pt idx="71">
                  <c:v>29.75</c:v>
                </c:pt>
                <c:pt idx="72">
                  <c:v>26</c:v>
                </c:pt>
                <c:pt idx="73">
                  <c:v>28.61</c:v>
                </c:pt>
                <c:pt idx="74">
                  <c:v>27.73</c:v>
                </c:pt>
                <c:pt idx="75">
                  <c:v>28.4</c:v>
                </c:pt>
                <c:pt idx="76">
                  <c:v>26.38</c:v>
                </c:pt>
                <c:pt idx="77">
                  <c:v>27.52</c:v>
                </c:pt>
                <c:pt idx="78">
                  <c:v>28.65</c:v>
                </c:pt>
                <c:pt idx="79">
                  <c:v>27.92</c:v>
                </c:pt>
                <c:pt idx="80">
                  <c:v>28</c:v>
                </c:pt>
                <c:pt idx="81">
                  <c:v>27.15</c:v>
                </c:pt>
                <c:pt idx="82">
                  <c:v>26.9</c:v>
                </c:pt>
                <c:pt idx="83">
                  <c:v>29.27</c:v>
                </c:pt>
                <c:pt idx="84">
                  <c:v>26.42</c:v>
                </c:pt>
                <c:pt idx="85">
                  <c:v>28.7</c:v>
                </c:pt>
                <c:pt idx="86">
                  <c:v>27.14</c:v>
                </c:pt>
                <c:pt idx="87">
                  <c:v>29</c:v>
                </c:pt>
                <c:pt idx="88">
                  <c:v>26.46</c:v>
                </c:pt>
                <c:pt idx="89">
                  <c:v>30.12</c:v>
                </c:pt>
                <c:pt idx="90">
                  <c:v>25.6</c:v>
                </c:pt>
                <c:pt idx="91">
                  <c:v>27.32</c:v>
                </c:pt>
                <c:pt idx="92">
                  <c:v>29.65</c:v>
                </c:pt>
                <c:pt idx="93">
                  <c:v>26.41</c:v>
                </c:pt>
                <c:pt idx="94">
                  <c:v>29.97</c:v>
                </c:pt>
                <c:pt idx="95">
                  <c:v>25.55</c:v>
                </c:pt>
                <c:pt idx="96">
                  <c:v>27.44</c:v>
                </c:pt>
                <c:pt idx="97">
                  <c:v>30.23</c:v>
                </c:pt>
                <c:pt idx="98">
                  <c:v>25.76</c:v>
                </c:pt>
                <c:pt idx="99">
                  <c:v>28.06</c:v>
                </c:pt>
                <c:pt idx="100">
                  <c:v>28.61</c:v>
                </c:pt>
                <c:pt idx="101">
                  <c:v>26.34</c:v>
                </c:pt>
                <c:pt idx="102">
                  <c:v>30.12</c:v>
                </c:pt>
                <c:pt idx="103">
                  <c:v>25.93</c:v>
                </c:pt>
                <c:pt idx="104">
                  <c:v>26.92</c:v>
                </c:pt>
                <c:pt idx="105">
                  <c:v>28.93</c:v>
                </c:pt>
                <c:pt idx="106">
                  <c:v>28.2</c:v>
                </c:pt>
                <c:pt idx="107">
                  <c:v>26.52</c:v>
                </c:pt>
                <c:pt idx="108">
                  <c:v>29.63</c:v>
                </c:pt>
                <c:pt idx="109">
                  <c:v>25.86</c:v>
                </c:pt>
                <c:pt idx="110">
                  <c:v>28.27</c:v>
                </c:pt>
                <c:pt idx="111">
                  <c:v>29.23</c:v>
                </c:pt>
                <c:pt idx="112">
                  <c:v>25.79</c:v>
                </c:pt>
                <c:pt idx="113">
                  <c:v>29.84</c:v>
                </c:pt>
                <c:pt idx="114">
                  <c:v>26.82</c:v>
                </c:pt>
                <c:pt idx="115">
                  <c:v>26.76</c:v>
                </c:pt>
                <c:pt idx="116">
                  <c:v>28.03</c:v>
                </c:pt>
                <c:pt idx="117">
                  <c:v>28.45</c:v>
                </c:pt>
                <c:pt idx="118">
                  <c:v>28.41</c:v>
                </c:pt>
                <c:pt idx="119">
                  <c:v>28.24</c:v>
                </c:pt>
                <c:pt idx="120">
                  <c:v>26.11</c:v>
                </c:pt>
                <c:pt idx="121">
                  <c:v>29.85</c:v>
                </c:pt>
                <c:pt idx="122">
                  <c:v>26.26</c:v>
                </c:pt>
                <c:pt idx="123">
                  <c:v>27.69</c:v>
                </c:pt>
                <c:pt idx="124">
                  <c:v>26.99</c:v>
                </c:pt>
                <c:pt idx="125">
                  <c:v>29.52</c:v>
                </c:pt>
                <c:pt idx="126">
                  <c:v>26.97</c:v>
                </c:pt>
                <c:pt idx="127">
                  <c:v>27</c:v>
                </c:pt>
                <c:pt idx="128">
                  <c:v>27.96</c:v>
                </c:pt>
                <c:pt idx="129">
                  <c:v>28.67</c:v>
                </c:pt>
                <c:pt idx="130">
                  <c:v>27.88</c:v>
                </c:pt>
                <c:pt idx="131">
                  <c:v>26.65</c:v>
                </c:pt>
                <c:pt idx="132">
                  <c:v>27.39</c:v>
                </c:pt>
                <c:pt idx="133">
                  <c:v>28.84</c:v>
                </c:pt>
                <c:pt idx="134">
                  <c:v>28.34</c:v>
                </c:pt>
                <c:pt idx="135">
                  <c:v>25.98</c:v>
                </c:pt>
                <c:pt idx="136">
                  <c:v>29.9</c:v>
                </c:pt>
                <c:pt idx="137">
                  <c:v>26.02</c:v>
                </c:pt>
                <c:pt idx="138">
                  <c:v>27.26</c:v>
                </c:pt>
                <c:pt idx="139">
                  <c:v>28.3</c:v>
                </c:pt>
                <c:pt idx="140">
                  <c:v>29.05</c:v>
                </c:pt>
                <c:pt idx="141">
                  <c:v>27.29</c:v>
                </c:pt>
                <c:pt idx="142">
                  <c:v>27.78</c:v>
                </c:pt>
                <c:pt idx="143">
                  <c:v>26.51</c:v>
                </c:pt>
                <c:pt idx="144">
                  <c:v>30.32</c:v>
                </c:pt>
                <c:pt idx="145">
                  <c:v>25.86</c:v>
                </c:pt>
                <c:pt idx="146">
                  <c:v>27.03</c:v>
                </c:pt>
                <c:pt idx="147">
                  <c:v>28.54</c:v>
                </c:pt>
                <c:pt idx="148">
                  <c:v>29.02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16-4AC5-A75E-7C09191A4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335424173673207"/>
          <c:y val="0.18701011349690502"/>
          <c:w val="8.4875513442175671E-2"/>
          <c:h val="0.544352476418263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Plots!$AI$4</c:f>
          <c:strCache>
            <c:ptCount val="1"/>
            <c:pt idx="0">
              <c:v>AARnetCBR-CamDTN1_tcpmon_tseries_22Feb24 2 Flows flow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[0]!Tab21_elapsed_time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[0]!Tab21_flow_rate</c:f>
              <c:numCache>
                <c:formatCode>General</c:formatCode>
                <c:ptCount val="149"/>
                <c:pt idx="0">
                  <c:v>0.11</c:v>
                </c:pt>
                <c:pt idx="1">
                  <c:v>0.56999999999999995</c:v>
                </c:pt>
                <c:pt idx="2">
                  <c:v>0.62</c:v>
                </c:pt>
                <c:pt idx="3">
                  <c:v>1.03</c:v>
                </c:pt>
                <c:pt idx="4">
                  <c:v>1.52</c:v>
                </c:pt>
                <c:pt idx="5">
                  <c:v>2.29</c:v>
                </c:pt>
                <c:pt idx="6">
                  <c:v>3.38</c:v>
                </c:pt>
                <c:pt idx="7">
                  <c:v>5.07</c:v>
                </c:pt>
                <c:pt idx="8">
                  <c:v>6.31</c:v>
                </c:pt>
                <c:pt idx="9">
                  <c:v>10.34</c:v>
                </c:pt>
                <c:pt idx="10">
                  <c:v>13.5</c:v>
                </c:pt>
                <c:pt idx="11">
                  <c:v>19.14</c:v>
                </c:pt>
                <c:pt idx="12">
                  <c:v>21.75</c:v>
                </c:pt>
                <c:pt idx="13">
                  <c:v>27</c:v>
                </c:pt>
                <c:pt idx="14">
                  <c:v>27.88</c:v>
                </c:pt>
                <c:pt idx="15">
                  <c:v>28.06</c:v>
                </c:pt>
                <c:pt idx="16">
                  <c:v>29.11</c:v>
                </c:pt>
                <c:pt idx="17">
                  <c:v>31.95</c:v>
                </c:pt>
                <c:pt idx="18">
                  <c:v>27.75</c:v>
                </c:pt>
                <c:pt idx="19">
                  <c:v>28.54</c:v>
                </c:pt>
                <c:pt idx="20">
                  <c:v>30.27</c:v>
                </c:pt>
                <c:pt idx="21">
                  <c:v>32.200000000000003</c:v>
                </c:pt>
                <c:pt idx="22">
                  <c:v>28.85</c:v>
                </c:pt>
                <c:pt idx="23">
                  <c:v>28.18</c:v>
                </c:pt>
                <c:pt idx="24">
                  <c:v>30.61</c:v>
                </c:pt>
                <c:pt idx="25">
                  <c:v>28.46</c:v>
                </c:pt>
                <c:pt idx="26">
                  <c:v>31.27</c:v>
                </c:pt>
                <c:pt idx="27">
                  <c:v>29.53</c:v>
                </c:pt>
                <c:pt idx="28">
                  <c:v>28.21</c:v>
                </c:pt>
                <c:pt idx="29">
                  <c:v>28.21</c:v>
                </c:pt>
                <c:pt idx="30">
                  <c:v>29.37</c:v>
                </c:pt>
                <c:pt idx="31">
                  <c:v>28.35</c:v>
                </c:pt>
                <c:pt idx="32">
                  <c:v>29.19</c:v>
                </c:pt>
                <c:pt idx="33">
                  <c:v>31.06</c:v>
                </c:pt>
                <c:pt idx="34">
                  <c:v>31.2</c:v>
                </c:pt>
                <c:pt idx="35">
                  <c:v>28.21</c:v>
                </c:pt>
                <c:pt idx="36">
                  <c:v>28.11</c:v>
                </c:pt>
                <c:pt idx="37">
                  <c:v>28.6</c:v>
                </c:pt>
                <c:pt idx="38">
                  <c:v>30.06</c:v>
                </c:pt>
                <c:pt idx="39">
                  <c:v>29.5</c:v>
                </c:pt>
                <c:pt idx="40">
                  <c:v>29.53</c:v>
                </c:pt>
                <c:pt idx="41">
                  <c:v>28.5</c:v>
                </c:pt>
                <c:pt idx="42">
                  <c:v>30.28</c:v>
                </c:pt>
                <c:pt idx="43">
                  <c:v>31.73</c:v>
                </c:pt>
                <c:pt idx="44">
                  <c:v>29.83</c:v>
                </c:pt>
                <c:pt idx="45">
                  <c:v>28.25</c:v>
                </c:pt>
                <c:pt idx="46">
                  <c:v>27.86</c:v>
                </c:pt>
                <c:pt idx="47">
                  <c:v>28.44</c:v>
                </c:pt>
                <c:pt idx="48">
                  <c:v>30.06</c:v>
                </c:pt>
                <c:pt idx="49">
                  <c:v>32.659999999999997</c:v>
                </c:pt>
                <c:pt idx="50">
                  <c:v>28.13</c:v>
                </c:pt>
                <c:pt idx="51">
                  <c:v>28.12</c:v>
                </c:pt>
                <c:pt idx="52">
                  <c:v>30.24</c:v>
                </c:pt>
                <c:pt idx="53">
                  <c:v>28.43</c:v>
                </c:pt>
                <c:pt idx="54">
                  <c:v>28.66</c:v>
                </c:pt>
                <c:pt idx="55">
                  <c:v>29.21</c:v>
                </c:pt>
                <c:pt idx="56">
                  <c:v>30.53</c:v>
                </c:pt>
                <c:pt idx="57">
                  <c:v>30.41</c:v>
                </c:pt>
                <c:pt idx="58">
                  <c:v>29.21</c:v>
                </c:pt>
                <c:pt idx="59">
                  <c:v>28.26</c:v>
                </c:pt>
                <c:pt idx="60">
                  <c:v>31.3</c:v>
                </c:pt>
                <c:pt idx="61">
                  <c:v>28.55</c:v>
                </c:pt>
                <c:pt idx="62">
                  <c:v>28.97</c:v>
                </c:pt>
                <c:pt idx="63">
                  <c:v>30.11</c:v>
                </c:pt>
                <c:pt idx="64">
                  <c:v>30.03</c:v>
                </c:pt>
                <c:pt idx="65">
                  <c:v>28.5</c:v>
                </c:pt>
                <c:pt idx="66">
                  <c:v>29.47</c:v>
                </c:pt>
                <c:pt idx="67">
                  <c:v>28.94</c:v>
                </c:pt>
                <c:pt idx="68">
                  <c:v>29.72</c:v>
                </c:pt>
                <c:pt idx="69">
                  <c:v>29.22</c:v>
                </c:pt>
                <c:pt idx="70">
                  <c:v>29.95</c:v>
                </c:pt>
                <c:pt idx="71">
                  <c:v>28.61</c:v>
                </c:pt>
                <c:pt idx="72">
                  <c:v>29.7</c:v>
                </c:pt>
                <c:pt idx="73">
                  <c:v>29.48</c:v>
                </c:pt>
                <c:pt idx="74">
                  <c:v>29.35</c:v>
                </c:pt>
                <c:pt idx="75">
                  <c:v>29.24</c:v>
                </c:pt>
                <c:pt idx="76">
                  <c:v>29.16</c:v>
                </c:pt>
                <c:pt idx="77">
                  <c:v>30.36</c:v>
                </c:pt>
                <c:pt idx="78">
                  <c:v>30.24</c:v>
                </c:pt>
                <c:pt idx="79">
                  <c:v>28.39</c:v>
                </c:pt>
                <c:pt idx="80">
                  <c:v>29.13</c:v>
                </c:pt>
                <c:pt idx="81">
                  <c:v>31</c:v>
                </c:pt>
                <c:pt idx="82">
                  <c:v>28.8</c:v>
                </c:pt>
                <c:pt idx="83">
                  <c:v>28.56</c:v>
                </c:pt>
                <c:pt idx="84">
                  <c:v>29.8</c:v>
                </c:pt>
                <c:pt idx="85">
                  <c:v>29.03</c:v>
                </c:pt>
                <c:pt idx="86">
                  <c:v>30.05</c:v>
                </c:pt>
                <c:pt idx="87">
                  <c:v>28.39</c:v>
                </c:pt>
                <c:pt idx="88">
                  <c:v>30.04</c:v>
                </c:pt>
                <c:pt idx="89">
                  <c:v>28.25</c:v>
                </c:pt>
                <c:pt idx="90">
                  <c:v>28.53</c:v>
                </c:pt>
                <c:pt idx="91">
                  <c:v>30.4</c:v>
                </c:pt>
                <c:pt idx="92">
                  <c:v>31.74</c:v>
                </c:pt>
                <c:pt idx="93">
                  <c:v>28.23</c:v>
                </c:pt>
                <c:pt idx="94">
                  <c:v>28.62</c:v>
                </c:pt>
                <c:pt idx="95">
                  <c:v>28.43</c:v>
                </c:pt>
                <c:pt idx="96">
                  <c:v>30.53</c:v>
                </c:pt>
                <c:pt idx="97">
                  <c:v>31.89</c:v>
                </c:pt>
                <c:pt idx="98">
                  <c:v>28.76</c:v>
                </c:pt>
                <c:pt idx="99">
                  <c:v>28.62</c:v>
                </c:pt>
                <c:pt idx="100">
                  <c:v>29.09</c:v>
                </c:pt>
                <c:pt idx="101">
                  <c:v>29.87</c:v>
                </c:pt>
                <c:pt idx="102">
                  <c:v>28.34</c:v>
                </c:pt>
                <c:pt idx="103">
                  <c:v>28.65</c:v>
                </c:pt>
                <c:pt idx="104">
                  <c:v>29.42</c:v>
                </c:pt>
                <c:pt idx="105">
                  <c:v>31.23</c:v>
                </c:pt>
                <c:pt idx="106">
                  <c:v>29.65</c:v>
                </c:pt>
                <c:pt idx="107">
                  <c:v>27.76</c:v>
                </c:pt>
                <c:pt idx="108">
                  <c:v>32.200000000000003</c:v>
                </c:pt>
                <c:pt idx="109">
                  <c:v>28.32</c:v>
                </c:pt>
                <c:pt idx="110">
                  <c:v>29.64</c:v>
                </c:pt>
                <c:pt idx="111">
                  <c:v>28.23</c:v>
                </c:pt>
                <c:pt idx="112">
                  <c:v>30.44</c:v>
                </c:pt>
                <c:pt idx="113">
                  <c:v>28.26</c:v>
                </c:pt>
                <c:pt idx="114">
                  <c:v>28.17</c:v>
                </c:pt>
                <c:pt idx="115">
                  <c:v>29.52</c:v>
                </c:pt>
                <c:pt idx="116">
                  <c:v>29.41</c:v>
                </c:pt>
                <c:pt idx="117">
                  <c:v>30.45</c:v>
                </c:pt>
                <c:pt idx="118">
                  <c:v>30.89</c:v>
                </c:pt>
                <c:pt idx="119">
                  <c:v>28.02</c:v>
                </c:pt>
                <c:pt idx="120">
                  <c:v>29.99</c:v>
                </c:pt>
                <c:pt idx="121">
                  <c:v>28.71</c:v>
                </c:pt>
                <c:pt idx="122">
                  <c:v>29.25</c:v>
                </c:pt>
                <c:pt idx="123">
                  <c:v>31.12</c:v>
                </c:pt>
                <c:pt idx="124">
                  <c:v>30.32</c:v>
                </c:pt>
                <c:pt idx="125">
                  <c:v>28.74</c:v>
                </c:pt>
                <c:pt idx="126">
                  <c:v>29.97</c:v>
                </c:pt>
                <c:pt idx="127">
                  <c:v>28.4</c:v>
                </c:pt>
                <c:pt idx="128">
                  <c:v>29.21</c:v>
                </c:pt>
                <c:pt idx="129">
                  <c:v>28.4</c:v>
                </c:pt>
                <c:pt idx="130">
                  <c:v>29.17</c:v>
                </c:pt>
                <c:pt idx="131">
                  <c:v>28.78</c:v>
                </c:pt>
                <c:pt idx="132">
                  <c:v>29.75</c:v>
                </c:pt>
                <c:pt idx="133">
                  <c:v>29.85</c:v>
                </c:pt>
                <c:pt idx="134">
                  <c:v>29.01</c:v>
                </c:pt>
                <c:pt idx="135">
                  <c:v>30.56</c:v>
                </c:pt>
                <c:pt idx="136">
                  <c:v>28.2</c:v>
                </c:pt>
                <c:pt idx="137">
                  <c:v>28.59</c:v>
                </c:pt>
                <c:pt idx="138">
                  <c:v>28.77</c:v>
                </c:pt>
                <c:pt idx="139">
                  <c:v>30.67</c:v>
                </c:pt>
                <c:pt idx="140">
                  <c:v>31.21</c:v>
                </c:pt>
                <c:pt idx="141">
                  <c:v>28.04</c:v>
                </c:pt>
                <c:pt idx="142">
                  <c:v>29.53</c:v>
                </c:pt>
                <c:pt idx="143">
                  <c:v>29.19</c:v>
                </c:pt>
                <c:pt idx="144">
                  <c:v>29.14</c:v>
                </c:pt>
                <c:pt idx="145">
                  <c:v>28.4</c:v>
                </c:pt>
                <c:pt idx="146">
                  <c:v>29.01</c:v>
                </c:pt>
                <c:pt idx="147">
                  <c:v>30.79</c:v>
                </c:pt>
                <c:pt idx="148">
                  <c:v>30.33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19-4482-B5DA-8E09A7E2D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[0]!Tab21_elapsed_time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[0]!Tab21_flow_retrans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19-4482-B5DA-8E09A7E2D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3.2959969735295101E-2"/>
              <c:y val="0.348482983481480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Plots!$AI$5</c:f>
          <c:strCache>
            <c:ptCount val="1"/>
            <c:pt idx="0">
              <c:v>AARnetCBR-CamDTN1_tcpmon_tseries_22Feb24 2 Flows flow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[0]!Tab21_elapsed_time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[0]!Tab22_flow_rate</c:f>
              <c:numCache>
                <c:formatCode>General</c:formatCode>
                <c:ptCount val="149"/>
                <c:pt idx="0">
                  <c:v>0.09</c:v>
                </c:pt>
                <c:pt idx="1">
                  <c:v>0.8</c:v>
                </c:pt>
                <c:pt idx="2">
                  <c:v>0.9</c:v>
                </c:pt>
                <c:pt idx="3">
                  <c:v>1.49</c:v>
                </c:pt>
                <c:pt idx="4">
                  <c:v>2.2000000000000002</c:v>
                </c:pt>
                <c:pt idx="5">
                  <c:v>3.32</c:v>
                </c:pt>
                <c:pt idx="6">
                  <c:v>4.96</c:v>
                </c:pt>
                <c:pt idx="7">
                  <c:v>6.02</c:v>
                </c:pt>
                <c:pt idx="8">
                  <c:v>10.9</c:v>
                </c:pt>
                <c:pt idx="9">
                  <c:v>12.67</c:v>
                </c:pt>
                <c:pt idx="10">
                  <c:v>17.670000000000002</c:v>
                </c:pt>
                <c:pt idx="11">
                  <c:v>25</c:v>
                </c:pt>
                <c:pt idx="12">
                  <c:v>27.75</c:v>
                </c:pt>
                <c:pt idx="13">
                  <c:v>26.53</c:v>
                </c:pt>
                <c:pt idx="14">
                  <c:v>30.06</c:v>
                </c:pt>
                <c:pt idx="15">
                  <c:v>26.36</c:v>
                </c:pt>
                <c:pt idx="16">
                  <c:v>26.98</c:v>
                </c:pt>
                <c:pt idx="17">
                  <c:v>28.17</c:v>
                </c:pt>
                <c:pt idx="18">
                  <c:v>29.8</c:v>
                </c:pt>
                <c:pt idx="19">
                  <c:v>25.42</c:v>
                </c:pt>
                <c:pt idx="20">
                  <c:v>27.26</c:v>
                </c:pt>
                <c:pt idx="21">
                  <c:v>29.97</c:v>
                </c:pt>
                <c:pt idx="22">
                  <c:v>25.59</c:v>
                </c:pt>
                <c:pt idx="23">
                  <c:v>29.12</c:v>
                </c:pt>
                <c:pt idx="24">
                  <c:v>26.29</c:v>
                </c:pt>
                <c:pt idx="25">
                  <c:v>28.37</c:v>
                </c:pt>
                <c:pt idx="26">
                  <c:v>27.23</c:v>
                </c:pt>
                <c:pt idx="27">
                  <c:v>27.79</c:v>
                </c:pt>
                <c:pt idx="28">
                  <c:v>28.39</c:v>
                </c:pt>
                <c:pt idx="29">
                  <c:v>26.47</c:v>
                </c:pt>
                <c:pt idx="30">
                  <c:v>29.91</c:v>
                </c:pt>
                <c:pt idx="31">
                  <c:v>25.78</c:v>
                </c:pt>
                <c:pt idx="32">
                  <c:v>27.34</c:v>
                </c:pt>
                <c:pt idx="33">
                  <c:v>28.67</c:v>
                </c:pt>
                <c:pt idx="34">
                  <c:v>28.71</c:v>
                </c:pt>
                <c:pt idx="35">
                  <c:v>25.79</c:v>
                </c:pt>
                <c:pt idx="36">
                  <c:v>30.2</c:v>
                </c:pt>
                <c:pt idx="37">
                  <c:v>25.6</c:v>
                </c:pt>
                <c:pt idx="38">
                  <c:v>27.14</c:v>
                </c:pt>
                <c:pt idx="39">
                  <c:v>29.55</c:v>
                </c:pt>
                <c:pt idx="40">
                  <c:v>26.37</c:v>
                </c:pt>
                <c:pt idx="41">
                  <c:v>27.37</c:v>
                </c:pt>
                <c:pt idx="42">
                  <c:v>28.3</c:v>
                </c:pt>
                <c:pt idx="43">
                  <c:v>29.31</c:v>
                </c:pt>
                <c:pt idx="44">
                  <c:v>25.89</c:v>
                </c:pt>
                <c:pt idx="45">
                  <c:v>27.72</c:v>
                </c:pt>
                <c:pt idx="46">
                  <c:v>30.38</c:v>
                </c:pt>
                <c:pt idx="47">
                  <c:v>25.77</c:v>
                </c:pt>
                <c:pt idx="48">
                  <c:v>27.11</c:v>
                </c:pt>
                <c:pt idx="49">
                  <c:v>30.03</c:v>
                </c:pt>
                <c:pt idx="50">
                  <c:v>25.68</c:v>
                </c:pt>
                <c:pt idx="51">
                  <c:v>29.23</c:v>
                </c:pt>
                <c:pt idx="52">
                  <c:v>26.17</c:v>
                </c:pt>
                <c:pt idx="53">
                  <c:v>30.04</c:v>
                </c:pt>
                <c:pt idx="54">
                  <c:v>26.02</c:v>
                </c:pt>
                <c:pt idx="55">
                  <c:v>27.41</c:v>
                </c:pt>
                <c:pt idx="56">
                  <c:v>27.99</c:v>
                </c:pt>
                <c:pt idx="57">
                  <c:v>29</c:v>
                </c:pt>
                <c:pt idx="58">
                  <c:v>26.09</c:v>
                </c:pt>
                <c:pt idx="59">
                  <c:v>29.8</c:v>
                </c:pt>
                <c:pt idx="60">
                  <c:v>26.94</c:v>
                </c:pt>
                <c:pt idx="61">
                  <c:v>26.99</c:v>
                </c:pt>
                <c:pt idx="62">
                  <c:v>29.11</c:v>
                </c:pt>
                <c:pt idx="63">
                  <c:v>26.16</c:v>
                </c:pt>
                <c:pt idx="64">
                  <c:v>28.78</c:v>
                </c:pt>
                <c:pt idx="65">
                  <c:v>28.08</c:v>
                </c:pt>
                <c:pt idx="66">
                  <c:v>27.08</c:v>
                </c:pt>
                <c:pt idx="67">
                  <c:v>28.61</c:v>
                </c:pt>
                <c:pt idx="68">
                  <c:v>26.84</c:v>
                </c:pt>
                <c:pt idx="69">
                  <c:v>28.71</c:v>
                </c:pt>
                <c:pt idx="70">
                  <c:v>26.31</c:v>
                </c:pt>
                <c:pt idx="71">
                  <c:v>29.75</c:v>
                </c:pt>
                <c:pt idx="72">
                  <c:v>26</c:v>
                </c:pt>
                <c:pt idx="73">
                  <c:v>28.61</c:v>
                </c:pt>
                <c:pt idx="74">
                  <c:v>27.73</c:v>
                </c:pt>
                <c:pt idx="75">
                  <c:v>28.4</c:v>
                </c:pt>
                <c:pt idx="76">
                  <c:v>26.38</c:v>
                </c:pt>
                <c:pt idx="77">
                  <c:v>27.52</c:v>
                </c:pt>
                <c:pt idx="78">
                  <c:v>28.65</c:v>
                </c:pt>
                <c:pt idx="79">
                  <c:v>27.92</c:v>
                </c:pt>
                <c:pt idx="80">
                  <c:v>28</c:v>
                </c:pt>
                <c:pt idx="81">
                  <c:v>27.15</c:v>
                </c:pt>
                <c:pt idx="82">
                  <c:v>26.9</c:v>
                </c:pt>
                <c:pt idx="83">
                  <c:v>29.27</c:v>
                </c:pt>
                <c:pt idx="84">
                  <c:v>26.42</c:v>
                </c:pt>
                <c:pt idx="85">
                  <c:v>28.7</c:v>
                </c:pt>
                <c:pt idx="86">
                  <c:v>27.14</c:v>
                </c:pt>
                <c:pt idx="87">
                  <c:v>29</c:v>
                </c:pt>
                <c:pt idx="88">
                  <c:v>26.46</c:v>
                </c:pt>
                <c:pt idx="89">
                  <c:v>30.12</c:v>
                </c:pt>
                <c:pt idx="90">
                  <c:v>25.6</c:v>
                </c:pt>
                <c:pt idx="91">
                  <c:v>27.32</c:v>
                </c:pt>
                <c:pt idx="92">
                  <c:v>29.65</c:v>
                </c:pt>
                <c:pt idx="93">
                  <c:v>26.41</c:v>
                </c:pt>
                <c:pt idx="94">
                  <c:v>29.97</c:v>
                </c:pt>
                <c:pt idx="95">
                  <c:v>25.55</c:v>
                </c:pt>
                <c:pt idx="96">
                  <c:v>27.44</c:v>
                </c:pt>
                <c:pt idx="97">
                  <c:v>30.23</c:v>
                </c:pt>
                <c:pt idx="98">
                  <c:v>25.76</c:v>
                </c:pt>
                <c:pt idx="99">
                  <c:v>28.06</c:v>
                </c:pt>
                <c:pt idx="100">
                  <c:v>28.61</c:v>
                </c:pt>
                <c:pt idx="101">
                  <c:v>26.34</c:v>
                </c:pt>
                <c:pt idx="102">
                  <c:v>30.12</c:v>
                </c:pt>
                <c:pt idx="103">
                  <c:v>25.93</c:v>
                </c:pt>
                <c:pt idx="104">
                  <c:v>26.92</c:v>
                </c:pt>
                <c:pt idx="105">
                  <c:v>28.93</c:v>
                </c:pt>
                <c:pt idx="106">
                  <c:v>28.2</c:v>
                </c:pt>
                <c:pt idx="107">
                  <c:v>26.52</c:v>
                </c:pt>
                <c:pt idx="108">
                  <c:v>29.63</c:v>
                </c:pt>
                <c:pt idx="109">
                  <c:v>25.86</c:v>
                </c:pt>
                <c:pt idx="110">
                  <c:v>28.27</c:v>
                </c:pt>
                <c:pt idx="111">
                  <c:v>29.23</c:v>
                </c:pt>
                <c:pt idx="112">
                  <c:v>25.79</c:v>
                </c:pt>
                <c:pt idx="113">
                  <c:v>29.84</c:v>
                </c:pt>
                <c:pt idx="114">
                  <c:v>26.82</c:v>
                </c:pt>
                <c:pt idx="115">
                  <c:v>26.76</c:v>
                </c:pt>
                <c:pt idx="116">
                  <c:v>28.03</c:v>
                </c:pt>
                <c:pt idx="117">
                  <c:v>28.45</c:v>
                </c:pt>
                <c:pt idx="118">
                  <c:v>28.41</c:v>
                </c:pt>
                <c:pt idx="119">
                  <c:v>28.24</c:v>
                </c:pt>
                <c:pt idx="120">
                  <c:v>26.11</c:v>
                </c:pt>
                <c:pt idx="121">
                  <c:v>29.85</c:v>
                </c:pt>
                <c:pt idx="122">
                  <c:v>26.26</c:v>
                </c:pt>
                <c:pt idx="123">
                  <c:v>27.69</c:v>
                </c:pt>
                <c:pt idx="124">
                  <c:v>26.99</c:v>
                </c:pt>
                <c:pt idx="125">
                  <c:v>29.52</c:v>
                </c:pt>
                <c:pt idx="126">
                  <c:v>26.97</c:v>
                </c:pt>
                <c:pt idx="127">
                  <c:v>27</c:v>
                </c:pt>
                <c:pt idx="128">
                  <c:v>27.96</c:v>
                </c:pt>
                <c:pt idx="129">
                  <c:v>28.67</c:v>
                </c:pt>
                <c:pt idx="130">
                  <c:v>27.88</c:v>
                </c:pt>
                <c:pt idx="131">
                  <c:v>26.65</c:v>
                </c:pt>
                <c:pt idx="132">
                  <c:v>27.39</c:v>
                </c:pt>
                <c:pt idx="133">
                  <c:v>28.84</c:v>
                </c:pt>
                <c:pt idx="134">
                  <c:v>28.34</c:v>
                </c:pt>
                <c:pt idx="135">
                  <c:v>25.98</c:v>
                </c:pt>
                <c:pt idx="136">
                  <c:v>29.9</c:v>
                </c:pt>
                <c:pt idx="137">
                  <c:v>26.02</c:v>
                </c:pt>
                <c:pt idx="138">
                  <c:v>27.26</c:v>
                </c:pt>
                <c:pt idx="139">
                  <c:v>28.3</c:v>
                </c:pt>
                <c:pt idx="140">
                  <c:v>29.05</c:v>
                </c:pt>
                <c:pt idx="141">
                  <c:v>27.29</c:v>
                </c:pt>
                <c:pt idx="142">
                  <c:v>27.78</c:v>
                </c:pt>
                <c:pt idx="143">
                  <c:v>26.51</c:v>
                </c:pt>
                <c:pt idx="144">
                  <c:v>30.32</c:v>
                </c:pt>
                <c:pt idx="145">
                  <c:v>25.86</c:v>
                </c:pt>
                <c:pt idx="146">
                  <c:v>27.03</c:v>
                </c:pt>
                <c:pt idx="147">
                  <c:v>28.54</c:v>
                </c:pt>
                <c:pt idx="148">
                  <c:v>29.02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51-48DE-8AAA-A50F772CA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[0]!Tab21_elapsed_time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[0]!Tab22_flow_retrans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51-48DE-8AAA-A50F772CA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Plots!$BA$5</c:f>
          <c:strCache>
            <c:ptCount val="1"/>
            <c:pt idx="0">
              <c:v>AARnetCBR-CamDTN1_tcpmon_tseries_22Feb24 4 Flows flow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[0]!Tab41_flow_rate</c:f>
              <c:numCache>
                <c:formatCode>General</c:formatCode>
                <c:ptCount val="14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0.08</c:v>
                </c:pt>
                <c:pt idx="5">
                  <c:v>0.15</c:v>
                </c:pt>
                <c:pt idx="6">
                  <c:v>0.24</c:v>
                </c:pt>
                <c:pt idx="7">
                  <c:v>0.37</c:v>
                </c:pt>
                <c:pt idx="8">
                  <c:v>0.54</c:v>
                </c:pt>
                <c:pt idx="9">
                  <c:v>0.79</c:v>
                </c:pt>
                <c:pt idx="10">
                  <c:v>1.1499999999999999</c:v>
                </c:pt>
                <c:pt idx="11">
                  <c:v>1.54</c:v>
                </c:pt>
                <c:pt idx="12">
                  <c:v>2.2599999999999998</c:v>
                </c:pt>
                <c:pt idx="13">
                  <c:v>3.55</c:v>
                </c:pt>
                <c:pt idx="14">
                  <c:v>5.25</c:v>
                </c:pt>
                <c:pt idx="15">
                  <c:v>7.76</c:v>
                </c:pt>
                <c:pt idx="16">
                  <c:v>10.35</c:v>
                </c:pt>
                <c:pt idx="17">
                  <c:v>13.65</c:v>
                </c:pt>
                <c:pt idx="18">
                  <c:v>20.02</c:v>
                </c:pt>
                <c:pt idx="19">
                  <c:v>21.82</c:v>
                </c:pt>
                <c:pt idx="20">
                  <c:v>28.7</c:v>
                </c:pt>
                <c:pt idx="21">
                  <c:v>19.55</c:v>
                </c:pt>
                <c:pt idx="22">
                  <c:v>25.19</c:v>
                </c:pt>
                <c:pt idx="23">
                  <c:v>23.03</c:v>
                </c:pt>
                <c:pt idx="24">
                  <c:v>26.33</c:v>
                </c:pt>
                <c:pt idx="25">
                  <c:v>23.94</c:v>
                </c:pt>
                <c:pt idx="26">
                  <c:v>27.79</c:v>
                </c:pt>
                <c:pt idx="27">
                  <c:v>24.91</c:v>
                </c:pt>
                <c:pt idx="28">
                  <c:v>28.55</c:v>
                </c:pt>
                <c:pt idx="29">
                  <c:v>28.29</c:v>
                </c:pt>
                <c:pt idx="30">
                  <c:v>26.29</c:v>
                </c:pt>
                <c:pt idx="31">
                  <c:v>24</c:v>
                </c:pt>
                <c:pt idx="32">
                  <c:v>22.21</c:v>
                </c:pt>
                <c:pt idx="33">
                  <c:v>21.37</c:v>
                </c:pt>
                <c:pt idx="34">
                  <c:v>23.14</c:v>
                </c:pt>
                <c:pt idx="35">
                  <c:v>21.54</c:v>
                </c:pt>
                <c:pt idx="36">
                  <c:v>24.14</c:v>
                </c:pt>
                <c:pt idx="37">
                  <c:v>25.54</c:v>
                </c:pt>
                <c:pt idx="38">
                  <c:v>23.15</c:v>
                </c:pt>
                <c:pt idx="39">
                  <c:v>25.1</c:v>
                </c:pt>
                <c:pt idx="40">
                  <c:v>25.72</c:v>
                </c:pt>
                <c:pt idx="41">
                  <c:v>25.81</c:v>
                </c:pt>
                <c:pt idx="42">
                  <c:v>22.49</c:v>
                </c:pt>
                <c:pt idx="43">
                  <c:v>25.42</c:v>
                </c:pt>
                <c:pt idx="44">
                  <c:v>25.43</c:v>
                </c:pt>
                <c:pt idx="45">
                  <c:v>24.77</c:v>
                </c:pt>
                <c:pt idx="46">
                  <c:v>28.21</c:v>
                </c:pt>
                <c:pt idx="47">
                  <c:v>24.08</c:v>
                </c:pt>
                <c:pt idx="48">
                  <c:v>25.79</c:v>
                </c:pt>
                <c:pt idx="49">
                  <c:v>24.42</c:v>
                </c:pt>
                <c:pt idx="50">
                  <c:v>26.33</c:v>
                </c:pt>
                <c:pt idx="51">
                  <c:v>26.52</c:v>
                </c:pt>
                <c:pt idx="52">
                  <c:v>24.03</c:v>
                </c:pt>
                <c:pt idx="53">
                  <c:v>25.48</c:v>
                </c:pt>
                <c:pt idx="54">
                  <c:v>25.77</c:v>
                </c:pt>
                <c:pt idx="55">
                  <c:v>24.81</c:v>
                </c:pt>
                <c:pt idx="56">
                  <c:v>27.76</c:v>
                </c:pt>
                <c:pt idx="57">
                  <c:v>26.38</c:v>
                </c:pt>
                <c:pt idx="58">
                  <c:v>22.62</c:v>
                </c:pt>
                <c:pt idx="59">
                  <c:v>27.32</c:v>
                </c:pt>
                <c:pt idx="60">
                  <c:v>27.74</c:v>
                </c:pt>
                <c:pt idx="61">
                  <c:v>26.23</c:v>
                </c:pt>
                <c:pt idx="62">
                  <c:v>25.37</c:v>
                </c:pt>
                <c:pt idx="63">
                  <c:v>27.21</c:v>
                </c:pt>
                <c:pt idx="64">
                  <c:v>27.13</c:v>
                </c:pt>
                <c:pt idx="65">
                  <c:v>19.27</c:v>
                </c:pt>
                <c:pt idx="66">
                  <c:v>21.01</c:v>
                </c:pt>
                <c:pt idx="67">
                  <c:v>21.47</c:v>
                </c:pt>
                <c:pt idx="68">
                  <c:v>24.1</c:v>
                </c:pt>
                <c:pt idx="69">
                  <c:v>24.34</c:v>
                </c:pt>
                <c:pt idx="70">
                  <c:v>24.91</c:v>
                </c:pt>
                <c:pt idx="71">
                  <c:v>26.62</c:v>
                </c:pt>
                <c:pt idx="72">
                  <c:v>25.74</c:v>
                </c:pt>
                <c:pt idx="73">
                  <c:v>26.26</c:v>
                </c:pt>
                <c:pt idx="74">
                  <c:v>24.86</c:v>
                </c:pt>
                <c:pt idx="75">
                  <c:v>27.21</c:v>
                </c:pt>
                <c:pt idx="76">
                  <c:v>28.12</c:v>
                </c:pt>
                <c:pt idx="77">
                  <c:v>27.54</c:v>
                </c:pt>
                <c:pt idx="78">
                  <c:v>27.91</c:v>
                </c:pt>
                <c:pt idx="79">
                  <c:v>25.42</c:v>
                </c:pt>
                <c:pt idx="80">
                  <c:v>26.9</c:v>
                </c:pt>
                <c:pt idx="81">
                  <c:v>28.16</c:v>
                </c:pt>
                <c:pt idx="82">
                  <c:v>18.7</c:v>
                </c:pt>
                <c:pt idx="83">
                  <c:v>21.2</c:v>
                </c:pt>
                <c:pt idx="84">
                  <c:v>21.69</c:v>
                </c:pt>
                <c:pt idx="85">
                  <c:v>21.81</c:v>
                </c:pt>
                <c:pt idx="86">
                  <c:v>23.16</c:v>
                </c:pt>
                <c:pt idx="87">
                  <c:v>22.35</c:v>
                </c:pt>
                <c:pt idx="88">
                  <c:v>23.25</c:v>
                </c:pt>
                <c:pt idx="89">
                  <c:v>23.99</c:v>
                </c:pt>
                <c:pt idx="90">
                  <c:v>23.24</c:v>
                </c:pt>
                <c:pt idx="91">
                  <c:v>23.24</c:v>
                </c:pt>
                <c:pt idx="92">
                  <c:v>26.31</c:v>
                </c:pt>
                <c:pt idx="93">
                  <c:v>21.84</c:v>
                </c:pt>
                <c:pt idx="94">
                  <c:v>25.64</c:v>
                </c:pt>
                <c:pt idx="95">
                  <c:v>22.82</c:v>
                </c:pt>
                <c:pt idx="96">
                  <c:v>25.04</c:v>
                </c:pt>
                <c:pt idx="97">
                  <c:v>25.08</c:v>
                </c:pt>
                <c:pt idx="98">
                  <c:v>23.49</c:v>
                </c:pt>
                <c:pt idx="99">
                  <c:v>26.24</c:v>
                </c:pt>
                <c:pt idx="100">
                  <c:v>23.26</c:v>
                </c:pt>
                <c:pt idx="101">
                  <c:v>25.51</c:v>
                </c:pt>
                <c:pt idx="102">
                  <c:v>22.75</c:v>
                </c:pt>
                <c:pt idx="103">
                  <c:v>24.13</c:v>
                </c:pt>
                <c:pt idx="104">
                  <c:v>26.83</c:v>
                </c:pt>
                <c:pt idx="105">
                  <c:v>22.71</c:v>
                </c:pt>
                <c:pt idx="106">
                  <c:v>24.62</c:v>
                </c:pt>
                <c:pt idx="107">
                  <c:v>23.73</c:v>
                </c:pt>
                <c:pt idx="108">
                  <c:v>23.91</c:v>
                </c:pt>
                <c:pt idx="109">
                  <c:v>26.08</c:v>
                </c:pt>
                <c:pt idx="110">
                  <c:v>23.71</c:v>
                </c:pt>
                <c:pt idx="111">
                  <c:v>25.22</c:v>
                </c:pt>
                <c:pt idx="112">
                  <c:v>26.67</c:v>
                </c:pt>
                <c:pt idx="113">
                  <c:v>25.97</c:v>
                </c:pt>
                <c:pt idx="114">
                  <c:v>24.93</c:v>
                </c:pt>
                <c:pt idx="115">
                  <c:v>26.87</c:v>
                </c:pt>
                <c:pt idx="116">
                  <c:v>25.03</c:v>
                </c:pt>
                <c:pt idx="117">
                  <c:v>28.51</c:v>
                </c:pt>
                <c:pt idx="118">
                  <c:v>27.45</c:v>
                </c:pt>
                <c:pt idx="119">
                  <c:v>28.16</c:v>
                </c:pt>
                <c:pt idx="120">
                  <c:v>26.83</c:v>
                </c:pt>
                <c:pt idx="121">
                  <c:v>25.57</c:v>
                </c:pt>
                <c:pt idx="122">
                  <c:v>21</c:v>
                </c:pt>
                <c:pt idx="123">
                  <c:v>26.53</c:v>
                </c:pt>
                <c:pt idx="124">
                  <c:v>24.42</c:v>
                </c:pt>
                <c:pt idx="125">
                  <c:v>23.35</c:v>
                </c:pt>
                <c:pt idx="126">
                  <c:v>27.81</c:v>
                </c:pt>
                <c:pt idx="127">
                  <c:v>25.84</c:v>
                </c:pt>
                <c:pt idx="128">
                  <c:v>27.82</c:v>
                </c:pt>
                <c:pt idx="129">
                  <c:v>27.48</c:v>
                </c:pt>
                <c:pt idx="130">
                  <c:v>27.39</c:v>
                </c:pt>
                <c:pt idx="131">
                  <c:v>28.32</c:v>
                </c:pt>
                <c:pt idx="132">
                  <c:v>18.05</c:v>
                </c:pt>
                <c:pt idx="133">
                  <c:v>23.38</c:v>
                </c:pt>
                <c:pt idx="134">
                  <c:v>22.61</c:v>
                </c:pt>
                <c:pt idx="135">
                  <c:v>23.15</c:v>
                </c:pt>
                <c:pt idx="136">
                  <c:v>22.86</c:v>
                </c:pt>
                <c:pt idx="137">
                  <c:v>25.05</c:v>
                </c:pt>
                <c:pt idx="138">
                  <c:v>26.06</c:v>
                </c:pt>
                <c:pt idx="139">
                  <c:v>23.4</c:v>
                </c:pt>
                <c:pt idx="140">
                  <c:v>24.25</c:v>
                </c:pt>
                <c:pt idx="141">
                  <c:v>26.71</c:v>
                </c:pt>
                <c:pt idx="142">
                  <c:v>24.37</c:v>
                </c:pt>
                <c:pt idx="143">
                  <c:v>28.06</c:v>
                </c:pt>
                <c:pt idx="144">
                  <c:v>25.01</c:v>
                </c:pt>
                <c:pt idx="145">
                  <c:v>26.74</c:v>
                </c:pt>
                <c:pt idx="146">
                  <c:v>25.66</c:v>
                </c:pt>
                <c:pt idx="147">
                  <c:v>24.94</c:v>
                </c:pt>
                <c:pt idx="148">
                  <c:v>28.39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A3-4463-8A4A-38233ECF8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[0]!Tab41_flow_retrans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218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482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9196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531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216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A3-4463-8A4A-38233ECF8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  <c:dispUnits>
          <c:builtInUnit val="millions"/>
        </c:dispUnits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Plots!$AR$6</c:f>
          <c:strCache>
            <c:ptCount val="1"/>
            <c:pt idx="0">
              <c:v>AARnetCBR-CamDTN1_tcpmon_tseries_22Feb24 3 Flows flow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[0]!Tab31_elapsed_time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[0]!Tab32_flow_rate</c:f>
              <c:numCache>
                <c:formatCode>General</c:formatCode>
                <c:ptCount val="149"/>
                <c:pt idx="0">
                  <c:v>0.11</c:v>
                </c:pt>
                <c:pt idx="1">
                  <c:v>0.59</c:v>
                </c:pt>
                <c:pt idx="2">
                  <c:v>0.66</c:v>
                </c:pt>
                <c:pt idx="3">
                  <c:v>1.0900000000000001</c:v>
                </c:pt>
                <c:pt idx="4">
                  <c:v>1.61</c:v>
                </c:pt>
                <c:pt idx="5">
                  <c:v>2.41</c:v>
                </c:pt>
                <c:pt idx="6">
                  <c:v>3.56</c:v>
                </c:pt>
                <c:pt idx="7">
                  <c:v>4.88</c:v>
                </c:pt>
                <c:pt idx="8">
                  <c:v>7.14</c:v>
                </c:pt>
                <c:pt idx="9">
                  <c:v>11.84</c:v>
                </c:pt>
                <c:pt idx="10">
                  <c:v>14.73</c:v>
                </c:pt>
                <c:pt idx="11">
                  <c:v>17.899999999999999</c:v>
                </c:pt>
                <c:pt idx="12">
                  <c:v>24.76</c:v>
                </c:pt>
                <c:pt idx="13">
                  <c:v>26.36</c:v>
                </c:pt>
                <c:pt idx="14">
                  <c:v>27.58</c:v>
                </c:pt>
                <c:pt idx="15">
                  <c:v>22.67</c:v>
                </c:pt>
                <c:pt idx="16">
                  <c:v>25.63</c:v>
                </c:pt>
                <c:pt idx="17">
                  <c:v>24.47</c:v>
                </c:pt>
                <c:pt idx="18">
                  <c:v>26.72</c:v>
                </c:pt>
                <c:pt idx="19">
                  <c:v>21.57</c:v>
                </c:pt>
                <c:pt idx="20">
                  <c:v>24.42</c:v>
                </c:pt>
                <c:pt idx="21">
                  <c:v>23.08</c:v>
                </c:pt>
                <c:pt idx="22">
                  <c:v>26.22</c:v>
                </c:pt>
                <c:pt idx="23">
                  <c:v>21</c:v>
                </c:pt>
                <c:pt idx="24">
                  <c:v>25.22</c:v>
                </c:pt>
                <c:pt idx="25">
                  <c:v>23.99</c:v>
                </c:pt>
                <c:pt idx="26">
                  <c:v>21.48</c:v>
                </c:pt>
                <c:pt idx="27">
                  <c:v>24.22</c:v>
                </c:pt>
                <c:pt idx="28">
                  <c:v>22.79</c:v>
                </c:pt>
                <c:pt idx="29">
                  <c:v>24.99</c:v>
                </c:pt>
                <c:pt idx="30">
                  <c:v>21.84</c:v>
                </c:pt>
                <c:pt idx="31">
                  <c:v>25.2</c:v>
                </c:pt>
                <c:pt idx="32">
                  <c:v>21.51</c:v>
                </c:pt>
                <c:pt idx="33">
                  <c:v>25.73</c:v>
                </c:pt>
                <c:pt idx="34">
                  <c:v>21.36</c:v>
                </c:pt>
                <c:pt idx="35">
                  <c:v>24.79</c:v>
                </c:pt>
                <c:pt idx="36">
                  <c:v>21.91</c:v>
                </c:pt>
                <c:pt idx="37">
                  <c:v>25.6</c:v>
                </c:pt>
                <c:pt idx="38">
                  <c:v>21.38</c:v>
                </c:pt>
                <c:pt idx="39">
                  <c:v>24.5</c:v>
                </c:pt>
                <c:pt idx="40">
                  <c:v>23.76</c:v>
                </c:pt>
                <c:pt idx="41">
                  <c:v>22.24</c:v>
                </c:pt>
                <c:pt idx="42">
                  <c:v>26</c:v>
                </c:pt>
                <c:pt idx="43">
                  <c:v>20.88</c:v>
                </c:pt>
                <c:pt idx="44">
                  <c:v>24.89</c:v>
                </c:pt>
                <c:pt idx="45">
                  <c:v>22.02</c:v>
                </c:pt>
                <c:pt idx="46">
                  <c:v>26.14</c:v>
                </c:pt>
                <c:pt idx="47">
                  <c:v>20.76</c:v>
                </c:pt>
                <c:pt idx="48">
                  <c:v>24.13</c:v>
                </c:pt>
                <c:pt idx="49">
                  <c:v>22.85</c:v>
                </c:pt>
                <c:pt idx="50">
                  <c:v>26.15</c:v>
                </c:pt>
                <c:pt idx="51">
                  <c:v>21.2</c:v>
                </c:pt>
                <c:pt idx="52">
                  <c:v>24.46</c:v>
                </c:pt>
                <c:pt idx="53">
                  <c:v>22.01</c:v>
                </c:pt>
                <c:pt idx="54">
                  <c:v>25.94</c:v>
                </c:pt>
                <c:pt idx="55">
                  <c:v>21.13</c:v>
                </c:pt>
                <c:pt idx="56">
                  <c:v>25.34</c:v>
                </c:pt>
                <c:pt idx="57">
                  <c:v>21.42</c:v>
                </c:pt>
                <c:pt idx="58">
                  <c:v>25.98</c:v>
                </c:pt>
                <c:pt idx="59">
                  <c:v>21.05</c:v>
                </c:pt>
                <c:pt idx="60">
                  <c:v>25.9</c:v>
                </c:pt>
                <c:pt idx="61">
                  <c:v>21.1</c:v>
                </c:pt>
                <c:pt idx="62">
                  <c:v>25.33</c:v>
                </c:pt>
                <c:pt idx="63">
                  <c:v>23.46</c:v>
                </c:pt>
                <c:pt idx="64">
                  <c:v>21.72</c:v>
                </c:pt>
                <c:pt idx="65">
                  <c:v>24.6</c:v>
                </c:pt>
                <c:pt idx="66">
                  <c:v>22.18</c:v>
                </c:pt>
                <c:pt idx="67">
                  <c:v>25.61</c:v>
                </c:pt>
                <c:pt idx="68">
                  <c:v>21.24</c:v>
                </c:pt>
                <c:pt idx="69">
                  <c:v>25.58</c:v>
                </c:pt>
                <c:pt idx="70">
                  <c:v>21.62</c:v>
                </c:pt>
                <c:pt idx="71">
                  <c:v>24.56</c:v>
                </c:pt>
                <c:pt idx="72">
                  <c:v>22.13</c:v>
                </c:pt>
                <c:pt idx="73">
                  <c:v>26.03</c:v>
                </c:pt>
                <c:pt idx="74">
                  <c:v>21.61</c:v>
                </c:pt>
                <c:pt idx="75">
                  <c:v>23.8</c:v>
                </c:pt>
                <c:pt idx="76">
                  <c:v>23</c:v>
                </c:pt>
                <c:pt idx="77">
                  <c:v>25.39</c:v>
                </c:pt>
                <c:pt idx="78">
                  <c:v>21.02</c:v>
                </c:pt>
                <c:pt idx="79">
                  <c:v>25.31</c:v>
                </c:pt>
                <c:pt idx="80">
                  <c:v>21.7</c:v>
                </c:pt>
                <c:pt idx="81">
                  <c:v>25.68</c:v>
                </c:pt>
                <c:pt idx="82">
                  <c:v>21.33</c:v>
                </c:pt>
                <c:pt idx="83">
                  <c:v>25.12</c:v>
                </c:pt>
                <c:pt idx="84">
                  <c:v>21.68</c:v>
                </c:pt>
                <c:pt idx="85">
                  <c:v>25.87</c:v>
                </c:pt>
                <c:pt idx="86">
                  <c:v>21.14</c:v>
                </c:pt>
                <c:pt idx="87">
                  <c:v>25.63</c:v>
                </c:pt>
                <c:pt idx="88">
                  <c:v>21.26</c:v>
                </c:pt>
                <c:pt idx="89">
                  <c:v>25.89</c:v>
                </c:pt>
                <c:pt idx="90">
                  <c:v>21.11</c:v>
                </c:pt>
                <c:pt idx="91">
                  <c:v>25.75</c:v>
                </c:pt>
                <c:pt idx="92">
                  <c:v>21.12</c:v>
                </c:pt>
                <c:pt idx="93">
                  <c:v>25.02</c:v>
                </c:pt>
                <c:pt idx="94">
                  <c:v>22.18</c:v>
                </c:pt>
                <c:pt idx="95">
                  <c:v>25.82</c:v>
                </c:pt>
                <c:pt idx="96">
                  <c:v>21.08</c:v>
                </c:pt>
                <c:pt idx="97">
                  <c:v>25.26</c:v>
                </c:pt>
                <c:pt idx="98">
                  <c:v>21.43</c:v>
                </c:pt>
                <c:pt idx="99">
                  <c:v>26.18</c:v>
                </c:pt>
                <c:pt idx="100">
                  <c:v>20.97</c:v>
                </c:pt>
                <c:pt idx="101">
                  <c:v>25.04</c:v>
                </c:pt>
                <c:pt idx="102">
                  <c:v>21.68</c:v>
                </c:pt>
                <c:pt idx="103">
                  <c:v>26.13</c:v>
                </c:pt>
                <c:pt idx="104">
                  <c:v>20.95</c:v>
                </c:pt>
                <c:pt idx="105">
                  <c:v>25.26</c:v>
                </c:pt>
                <c:pt idx="106">
                  <c:v>21.81</c:v>
                </c:pt>
                <c:pt idx="107">
                  <c:v>25.92</c:v>
                </c:pt>
                <c:pt idx="108">
                  <c:v>20.92</c:v>
                </c:pt>
                <c:pt idx="109">
                  <c:v>24.02</c:v>
                </c:pt>
                <c:pt idx="110">
                  <c:v>22.76</c:v>
                </c:pt>
                <c:pt idx="111">
                  <c:v>24.69</c:v>
                </c:pt>
                <c:pt idx="112">
                  <c:v>22.24</c:v>
                </c:pt>
                <c:pt idx="113">
                  <c:v>24.76</c:v>
                </c:pt>
                <c:pt idx="114">
                  <c:v>22.6</c:v>
                </c:pt>
                <c:pt idx="115">
                  <c:v>24.9</c:v>
                </c:pt>
                <c:pt idx="116">
                  <c:v>21.69</c:v>
                </c:pt>
                <c:pt idx="117">
                  <c:v>25.01</c:v>
                </c:pt>
                <c:pt idx="118">
                  <c:v>21.75</c:v>
                </c:pt>
                <c:pt idx="119">
                  <c:v>25.81</c:v>
                </c:pt>
                <c:pt idx="120">
                  <c:v>21.23</c:v>
                </c:pt>
                <c:pt idx="121">
                  <c:v>25.33</c:v>
                </c:pt>
                <c:pt idx="122">
                  <c:v>21.59</c:v>
                </c:pt>
                <c:pt idx="123">
                  <c:v>25.91</c:v>
                </c:pt>
                <c:pt idx="124">
                  <c:v>21.07</c:v>
                </c:pt>
                <c:pt idx="125">
                  <c:v>25.68</c:v>
                </c:pt>
                <c:pt idx="126">
                  <c:v>21.05</c:v>
                </c:pt>
                <c:pt idx="127">
                  <c:v>25.67</c:v>
                </c:pt>
                <c:pt idx="128">
                  <c:v>21.29</c:v>
                </c:pt>
                <c:pt idx="129">
                  <c:v>25.41</c:v>
                </c:pt>
                <c:pt idx="130">
                  <c:v>21.71</c:v>
                </c:pt>
                <c:pt idx="131">
                  <c:v>24.01</c:v>
                </c:pt>
                <c:pt idx="132">
                  <c:v>24.36</c:v>
                </c:pt>
                <c:pt idx="133">
                  <c:v>21.83</c:v>
                </c:pt>
                <c:pt idx="134">
                  <c:v>25.5</c:v>
                </c:pt>
                <c:pt idx="135">
                  <c:v>21.29</c:v>
                </c:pt>
                <c:pt idx="136">
                  <c:v>25.66</c:v>
                </c:pt>
                <c:pt idx="137">
                  <c:v>21.62</c:v>
                </c:pt>
                <c:pt idx="138">
                  <c:v>24.22</c:v>
                </c:pt>
                <c:pt idx="139">
                  <c:v>22.4</c:v>
                </c:pt>
                <c:pt idx="140">
                  <c:v>25.81</c:v>
                </c:pt>
                <c:pt idx="141">
                  <c:v>21.03</c:v>
                </c:pt>
                <c:pt idx="142">
                  <c:v>25.42</c:v>
                </c:pt>
                <c:pt idx="143">
                  <c:v>21.5</c:v>
                </c:pt>
                <c:pt idx="144">
                  <c:v>25.99</c:v>
                </c:pt>
                <c:pt idx="145">
                  <c:v>20.84</c:v>
                </c:pt>
                <c:pt idx="146">
                  <c:v>25.53</c:v>
                </c:pt>
                <c:pt idx="147">
                  <c:v>21.58</c:v>
                </c:pt>
                <c:pt idx="148">
                  <c:v>25.78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A1-47E4-AC78-EA6265974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[0]!Tab31_elapsed_time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[0]!Tab32_flow_retrans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A1-47E4-AC78-EA6265974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Plots!$BA$6</c:f>
          <c:strCache>
            <c:ptCount val="1"/>
            <c:pt idx="0">
              <c:v>AARnetCBR-CamDTN1_tcpmon_tseries_22Feb24 4 Flows flow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[0]!Tab42_flow_rate</c:f>
              <c:numCache>
                <c:formatCode>General</c:formatCode>
                <c:ptCount val="149"/>
                <c:pt idx="0">
                  <c:v>0.09</c:v>
                </c:pt>
                <c:pt idx="1">
                  <c:v>0.8</c:v>
                </c:pt>
                <c:pt idx="2">
                  <c:v>0.9</c:v>
                </c:pt>
                <c:pt idx="3">
                  <c:v>1.49</c:v>
                </c:pt>
                <c:pt idx="4">
                  <c:v>2.2000000000000002</c:v>
                </c:pt>
                <c:pt idx="5">
                  <c:v>3.33</c:v>
                </c:pt>
                <c:pt idx="6">
                  <c:v>4.25</c:v>
                </c:pt>
                <c:pt idx="7">
                  <c:v>6.96</c:v>
                </c:pt>
                <c:pt idx="8">
                  <c:v>9.51</c:v>
                </c:pt>
                <c:pt idx="9">
                  <c:v>16.09</c:v>
                </c:pt>
                <c:pt idx="10">
                  <c:v>16.78</c:v>
                </c:pt>
                <c:pt idx="11">
                  <c:v>22.8</c:v>
                </c:pt>
                <c:pt idx="12">
                  <c:v>26.58</c:v>
                </c:pt>
                <c:pt idx="13">
                  <c:v>26.54</c:v>
                </c:pt>
                <c:pt idx="14">
                  <c:v>26.21</c:v>
                </c:pt>
                <c:pt idx="15">
                  <c:v>24.36</c:v>
                </c:pt>
                <c:pt idx="16">
                  <c:v>25.83</c:v>
                </c:pt>
                <c:pt idx="17">
                  <c:v>23.68</c:v>
                </c:pt>
                <c:pt idx="18">
                  <c:v>26.41</c:v>
                </c:pt>
                <c:pt idx="19">
                  <c:v>24.36</c:v>
                </c:pt>
                <c:pt idx="20">
                  <c:v>22.28</c:v>
                </c:pt>
                <c:pt idx="21">
                  <c:v>20.27</c:v>
                </c:pt>
                <c:pt idx="22">
                  <c:v>20.9</c:v>
                </c:pt>
                <c:pt idx="23">
                  <c:v>24.5</c:v>
                </c:pt>
                <c:pt idx="24">
                  <c:v>22.26</c:v>
                </c:pt>
                <c:pt idx="25">
                  <c:v>26.02</c:v>
                </c:pt>
                <c:pt idx="26">
                  <c:v>23.11</c:v>
                </c:pt>
                <c:pt idx="27">
                  <c:v>27.11</c:v>
                </c:pt>
                <c:pt idx="28">
                  <c:v>24.95</c:v>
                </c:pt>
                <c:pt idx="29">
                  <c:v>25.38</c:v>
                </c:pt>
                <c:pt idx="30">
                  <c:v>27.67</c:v>
                </c:pt>
                <c:pt idx="31">
                  <c:v>19.03</c:v>
                </c:pt>
                <c:pt idx="32">
                  <c:v>22.21</c:v>
                </c:pt>
                <c:pt idx="33">
                  <c:v>21.29</c:v>
                </c:pt>
                <c:pt idx="34">
                  <c:v>20.48</c:v>
                </c:pt>
                <c:pt idx="35">
                  <c:v>19.920000000000002</c:v>
                </c:pt>
                <c:pt idx="36">
                  <c:v>24.91</c:v>
                </c:pt>
                <c:pt idx="37">
                  <c:v>21.86</c:v>
                </c:pt>
                <c:pt idx="38">
                  <c:v>21.31</c:v>
                </c:pt>
                <c:pt idx="39">
                  <c:v>25.57</c:v>
                </c:pt>
                <c:pt idx="40">
                  <c:v>22.31</c:v>
                </c:pt>
                <c:pt idx="41">
                  <c:v>24.67</c:v>
                </c:pt>
                <c:pt idx="42">
                  <c:v>22.93</c:v>
                </c:pt>
                <c:pt idx="43">
                  <c:v>23.68</c:v>
                </c:pt>
                <c:pt idx="44">
                  <c:v>24.79</c:v>
                </c:pt>
                <c:pt idx="45">
                  <c:v>22.58</c:v>
                </c:pt>
                <c:pt idx="46">
                  <c:v>25.38</c:v>
                </c:pt>
                <c:pt idx="47">
                  <c:v>23.47</c:v>
                </c:pt>
                <c:pt idx="48">
                  <c:v>24.93</c:v>
                </c:pt>
                <c:pt idx="49">
                  <c:v>23.15</c:v>
                </c:pt>
                <c:pt idx="50">
                  <c:v>24.66</c:v>
                </c:pt>
                <c:pt idx="51">
                  <c:v>23.53</c:v>
                </c:pt>
                <c:pt idx="52">
                  <c:v>22.53</c:v>
                </c:pt>
                <c:pt idx="53">
                  <c:v>25.56</c:v>
                </c:pt>
                <c:pt idx="54">
                  <c:v>24.39</c:v>
                </c:pt>
                <c:pt idx="55">
                  <c:v>22.59</c:v>
                </c:pt>
                <c:pt idx="56">
                  <c:v>26.7</c:v>
                </c:pt>
                <c:pt idx="57">
                  <c:v>24.36</c:v>
                </c:pt>
                <c:pt idx="58">
                  <c:v>22.11</c:v>
                </c:pt>
                <c:pt idx="59">
                  <c:v>27.05</c:v>
                </c:pt>
                <c:pt idx="60">
                  <c:v>23.25</c:v>
                </c:pt>
                <c:pt idx="61">
                  <c:v>26.7</c:v>
                </c:pt>
                <c:pt idx="62">
                  <c:v>25.7</c:v>
                </c:pt>
                <c:pt idx="63">
                  <c:v>25.72</c:v>
                </c:pt>
                <c:pt idx="64">
                  <c:v>26.41</c:v>
                </c:pt>
                <c:pt idx="65">
                  <c:v>16.25</c:v>
                </c:pt>
                <c:pt idx="66">
                  <c:v>22.25</c:v>
                </c:pt>
                <c:pt idx="67">
                  <c:v>21.17</c:v>
                </c:pt>
                <c:pt idx="68">
                  <c:v>21.24</c:v>
                </c:pt>
                <c:pt idx="69">
                  <c:v>25.22</c:v>
                </c:pt>
                <c:pt idx="70">
                  <c:v>23.36</c:v>
                </c:pt>
                <c:pt idx="71">
                  <c:v>24.31</c:v>
                </c:pt>
                <c:pt idx="72">
                  <c:v>25.18</c:v>
                </c:pt>
                <c:pt idx="73">
                  <c:v>23.72</c:v>
                </c:pt>
                <c:pt idx="74">
                  <c:v>28.02</c:v>
                </c:pt>
                <c:pt idx="75">
                  <c:v>26.01</c:v>
                </c:pt>
                <c:pt idx="76">
                  <c:v>23.88</c:v>
                </c:pt>
                <c:pt idx="77">
                  <c:v>28.02</c:v>
                </c:pt>
                <c:pt idx="78">
                  <c:v>25.86</c:v>
                </c:pt>
                <c:pt idx="79">
                  <c:v>25.43</c:v>
                </c:pt>
                <c:pt idx="80">
                  <c:v>26.15</c:v>
                </c:pt>
                <c:pt idx="81">
                  <c:v>27.95</c:v>
                </c:pt>
                <c:pt idx="82">
                  <c:v>16.09</c:v>
                </c:pt>
                <c:pt idx="83">
                  <c:v>19.78</c:v>
                </c:pt>
                <c:pt idx="84">
                  <c:v>22.01</c:v>
                </c:pt>
                <c:pt idx="85">
                  <c:v>21.5</c:v>
                </c:pt>
                <c:pt idx="86">
                  <c:v>21.96</c:v>
                </c:pt>
                <c:pt idx="87">
                  <c:v>21.89</c:v>
                </c:pt>
                <c:pt idx="88">
                  <c:v>19.78</c:v>
                </c:pt>
                <c:pt idx="89">
                  <c:v>24.95</c:v>
                </c:pt>
                <c:pt idx="90">
                  <c:v>20.6</c:v>
                </c:pt>
                <c:pt idx="91">
                  <c:v>25.61</c:v>
                </c:pt>
                <c:pt idx="92">
                  <c:v>20.91</c:v>
                </c:pt>
                <c:pt idx="93">
                  <c:v>24.73</c:v>
                </c:pt>
                <c:pt idx="94">
                  <c:v>23.47</c:v>
                </c:pt>
                <c:pt idx="95">
                  <c:v>23.4</c:v>
                </c:pt>
                <c:pt idx="96">
                  <c:v>23.51</c:v>
                </c:pt>
                <c:pt idx="97">
                  <c:v>22.32</c:v>
                </c:pt>
                <c:pt idx="98">
                  <c:v>26.24</c:v>
                </c:pt>
                <c:pt idx="99">
                  <c:v>21.3</c:v>
                </c:pt>
                <c:pt idx="100">
                  <c:v>23.42</c:v>
                </c:pt>
                <c:pt idx="101">
                  <c:v>25.04</c:v>
                </c:pt>
                <c:pt idx="102">
                  <c:v>24.29</c:v>
                </c:pt>
                <c:pt idx="103">
                  <c:v>22.49</c:v>
                </c:pt>
                <c:pt idx="104">
                  <c:v>24.4</c:v>
                </c:pt>
                <c:pt idx="105">
                  <c:v>22.25</c:v>
                </c:pt>
                <c:pt idx="106">
                  <c:v>24.91</c:v>
                </c:pt>
                <c:pt idx="107">
                  <c:v>22.06</c:v>
                </c:pt>
                <c:pt idx="108">
                  <c:v>26.12</c:v>
                </c:pt>
                <c:pt idx="109">
                  <c:v>25.38</c:v>
                </c:pt>
                <c:pt idx="110">
                  <c:v>22.84</c:v>
                </c:pt>
                <c:pt idx="111">
                  <c:v>26.01</c:v>
                </c:pt>
                <c:pt idx="112">
                  <c:v>25.44</c:v>
                </c:pt>
                <c:pt idx="113">
                  <c:v>26.55</c:v>
                </c:pt>
                <c:pt idx="114">
                  <c:v>26.22</c:v>
                </c:pt>
                <c:pt idx="115">
                  <c:v>25.76</c:v>
                </c:pt>
                <c:pt idx="116">
                  <c:v>28.18</c:v>
                </c:pt>
                <c:pt idx="117">
                  <c:v>24.21</c:v>
                </c:pt>
                <c:pt idx="118">
                  <c:v>28.11</c:v>
                </c:pt>
                <c:pt idx="119">
                  <c:v>26.21</c:v>
                </c:pt>
                <c:pt idx="120">
                  <c:v>24.2</c:v>
                </c:pt>
                <c:pt idx="121">
                  <c:v>23.96</c:v>
                </c:pt>
                <c:pt idx="122">
                  <c:v>19.96</c:v>
                </c:pt>
                <c:pt idx="123">
                  <c:v>20.37</c:v>
                </c:pt>
                <c:pt idx="124">
                  <c:v>22.48</c:v>
                </c:pt>
                <c:pt idx="125">
                  <c:v>22.56</c:v>
                </c:pt>
                <c:pt idx="126">
                  <c:v>27.18</c:v>
                </c:pt>
                <c:pt idx="127">
                  <c:v>22.72</c:v>
                </c:pt>
                <c:pt idx="128">
                  <c:v>26.17</c:v>
                </c:pt>
                <c:pt idx="129">
                  <c:v>25.41</c:v>
                </c:pt>
                <c:pt idx="130">
                  <c:v>26.69</c:v>
                </c:pt>
                <c:pt idx="131">
                  <c:v>25.75</c:v>
                </c:pt>
                <c:pt idx="132">
                  <c:v>20.2</c:v>
                </c:pt>
                <c:pt idx="133">
                  <c:v>20.440000000000001</c:v>
                </c:pt>
                <c:pt idx="134">
                  <c:v>18.29</c:v>
                </c:pt>
                <c:pt idx="135">
                  <c:v>22.26</c:v>
                </c:pt>
                <c:pt idx="136">
                  <c:v>21.34</c:v>
                </c:pt>
                <c:pt idx="137">
                  <c:v>22.58</c:v>
                </c:pt>
                <c:pt idx="138">
                  <c:v>22.26</c:v>
                </c:pt>
                <c:pt idx="139">
                  <c:v>21.81</c:v>
                </c:pt>
                <c:pt idx="140">
                  <c:v>23.53</c:v>
                </c:pt>
                <c:pt idx="141">
                  <c:v>22.87</c:v>
                </c:pt>
                <c:pt idx="142">
                  <c:v>20.92</c:v>
                </c:pt>
                <c:pt idx="143">
                  <c:v>24.88</c:v>
                </c:pt>
                <c:pt idx="144">
                  <c:v>22.98</c:v>
                </c:pt>
                <c:pt idx="145">
                  <c:v>22.89</c:v>
                </c:pt>
                <c:pt idx="146">
                  <c:v>22.46</c:v>
                </c:pt>
                <c:pt idx="147">
                  <c:v>25.38</c:v>
                </c:pt>
                <c:pt idx="148">
                  <c:v>23.65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4-4429-8AA7-738FD579E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[0]!Tab42_flow_retrans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247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179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774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196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153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4-4429-8AA7-738FD579E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  <c:majorUnit val="2000000"/>
        <c:dispUnits>
          <c:builtInUnit val="millions"/>
        </c:dispUnits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Plots!$BA$7</c:f>
          <c:strCache>
            <c:ptCount val="1"/>
            <c:pt idx="0">
              <c:v>AARnetCBR-CamDTN1_tcpmon_tseries_22Feb24 4 Flows flow 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[0]!Tab43_flow_rate</c:f>
              <c:numCache>
                <c:formatCode>General</c:formatCode>
                <c:ptCount val="149"/>
                <c:pt idx="0">
                  <c:v>0.08</c:v>
                </c:pt>
                <c:pt idx="1">
                  <c:v>0.81</c:v>
                </c:pt>
                <c:pt idx="2">
                  <c:v>0.91</c:v>
                </c:pt>
                <c:pt idx="3">
                  <c:v>1.5</c:v>
                </c:pt>
                <c:pt idx="4">
                  <c:v>2.21</c:v>
                </c:pt>
                <c:pt idx="5">
                  <c:v>3.34</c:v>
                </c:pt>
                <c:pt idx="6">
                  <c:v>4.9800000000000004</c:v>
                </c:pt>
                <c:pt idx="7">
                  <c:v>5.97</c:v>
                </c:pt>
                <c:pt idx="8">
                  <c:v>10.26</c:v>
                </c:pt>
                <c:pt idx="9">
                  <c:v>14.16</c:v>
                </c:pt>
                <c:pt idx="10">
                  <c:v>17.600000000000001</c:v>
                </c:pt>
                <c:pt idx="11">
                  <c:v>25.25</c:v>
                </c:pt>
                <c:pt idx="12">
                  <c:v>23.24</c:v>
                </c:pt>
                <c:pt idx="13">
                  <c:v>25.54</c:v>
                </c:pt>
                <c:pt idx="14">
                  <c:v>21.01</c:v>
                </c:pt>
                <c:pt idx="15">
                  <c:v>23.26</c:v>
                </c:pt>
                <c:pt idx="16">
                  <c:v>23.68</c:v>
                </c:pt>
                <c:pt idx="17">
                  <c:v>21.54</c:v>
                </c:pt>
                <c:pt idx="18">
                  <c:v>23.45</c:v>
                </c:pt>
                <c:pt idx="19">
                  <c:v>21.46</c:v>
                </c:pt>
                <c:pt idx="20">
                  <c:v>21.4</c:v>
                </c:pt>
                <c:pt idx="21">
                  <c:v>18.739999999999998</c:v>
                </c:pt>
                <c:pt idx="22">
                  <c:v>18.43</c:v>
                </c:pt>
                <c:pt idx="23">
                  <c:v>21.74</c:v>
                </c:pt>
                <c:pt idx="24">
                  <c:v>21.1</c:v>
                </c:pt>
                <c:pt idx="25">
                  <c:v>22.63</c:v>
                </c:pt>
                <c:pt idx="26">
                  <c:v>21.6</c:v>
                </c:pt>
                <c:pt idx="27">
                  <c:v>21.25</c:v>
                </c:pt>
                <c:pt idx="28">
                  <c:v>20.53</c:v>
                </c:pt>
                <c:pt idx="29">
                  <c:v>18.739999999999998</c:v>
                </c:pt>
                <c:pt idx="30">
                  <c:v>20.85</c:v>
                </c:pt>
                <c:pt idx="31">
                  <c:v>19.399999999999999</c:v>
                </c:pt>
                <c:pt idx="32">
                  <c:v>16.420000000000002</c:v>
                </c:pt>
                <c:pt idx="33">
                  <c:v>18</c:v>
                </c:pt>
                <c:pt idx="34">
                  <c:v>18.010000000000002</c:v>
                </c:pt>
                <c:pt idx="35">
                  <c:v>17.64</c:v>
                </c:pt>
                <c:pt idx="36">
                  <c:v>19.739999999999998</c:v>
                </c:pt>
                <c:pt idx="37">
                  <c:v>19.73</c:v>
                </c:pt>
                <c:pt idx="38">
                  <c:v>18.399999999999999</c:v>
                </c:pt>
                <c:pt idx="39">
                  <c:v>20.77</c:v>
                </c:pt>
                <c:pt idx="40">
                  <c:v>19.07</c:v>
                </c:pt>
                <c:pt idx="41">
                  <c:v>21.48</c:v>
                </c:pt>
                <c:pt idx="42">
                  <c:v>19.14</c:v>
                </c:pt>
                <c:pt idx="43">
                  <c:v>20.12</c:v>
                </c:pt>
                <c:pt idx="44">
                  <c:v>20.95</c:v>
                </c:pt>
                <c:pt idx="45">
                  <c:v>19.77</c:v>
                </c:pt>
                <c:pt idx="46">
                  <c:v>22.29</c:v>
                </c:pt>
                <c:pt idx="47">
                  <c:v>19.68</c:v>
                </c:pt>
                <c:pt idx="48">
                  <c:v>19.16</c:v>
                </c:pt>
                <c:pt idx="49">
                  <c:v>21.01</c:v>
                </c:pt>
                <c:pt idx="50">
                  <c:v>20.64</c:v>
                </c:pt>
                <c:pt idx="51">
                  <c:v>19.809999999999999</c:v>
                </c:pt>
                <c:pt idx="52">
                  <c:v>20.66</c:v>
                </c:pt>
                <c:pt idx="53">
                  <c:v>21.51</c:v>
                </c:pt>
                <c:pt idx="54">
                  <c:v>19.38</c:v>
                </c:pt>
                <c:pt idx="55">
                  <c:v>21.34</c:v>
                </c:pt>
                <c:pt idx="56">
                  <c:v>20.37</c:v>
                </c:pt>
                <c:pt idx="57">
                  <c:v>21.31</c:v>
                </c:pt>
                <c:pt idx="58">
                  <c:v>20.91</c:v>
                </c:pt>
                <c:pt idx="59">
                  <c:v>21.36</c:v>
                </c:pt>
                <c:pt idx="60">
                  <c:v>21.89</c:v>
                </c:pt>
                <c:pt idx="61">
                  <c:v>19.91</c:v>
                </c:pt>
                <c:pt idx="62">
                  <c:v>20.81</c:v>
                </c:pt>
                <c:pt idx="63">
                  <c:v>21.53</c:v>
                </c:pt>
                <c:pt idx="64">
                  <c:v>20.3</c:v>
                </c:pt>
                <c:pt idx="65">
                  <c:v>14.96</c:v>
                </c:pt>
                <c:pt idx="66">
                  <c:v>19.739999999999998</c:v>
                </c:pt>
                <c:pt idx="67">
                  <c:v>17.16</c:v>
                </c:pt>
                <c:pt idx="68">
                  <c:v>18.59</c:v>
                </c:pt>
                <c:pt idx="69">
                  <c:v>21.39</c:v>
                </c:pt>
                <c:pt idx="70">
                  <c:v>19.79</c:v>
                </c:pt>
                <c:pt idx="71">
                  <c:v>21.56</c:v>
                </c:pt>
                <c:pt idx="72">
                  <c:v>21.24</c:v>
                </c:pt>
                <c:pt idx="73">
                  <c:v>20.05</c:v>
                </c:pt>
                <c:pt idx="74">
                  <c:v>21.58</c:v>
                </c:pt>
                <c:pt idx="75">
                  <c:v>20.99</c:v>
                </c:pt>
                <c:pt idx="76">
                  <c:v>19.41</c:v>
                </c:pt>
                <c:pt idx="77">
                  <c:v>19.14</c:v>
                </c:pt>
                <c:pt idx="78">
                  <c:v>20.22</c:v>
                </c:pt>
                <c:pt idx="79">
                  <c:v>20.05</c:v>
                </c:pt>
                <c:pt idx="80">
                  <c:v>19.579999999999998</c:v>
                </c:pt>
                <c:pt idx="81">
                  <c:v>19.670000000000002</c:v>
                </c:pt>
                <c:pt idx="82">
                  <c:v>14.93</c:v>
                </c:pt>
                <c:pt idx="83">
                  <c:v>18.690000000000001</c:v>
                </c:pt>
                <c:pt idx="84">
                  <c:v>16.04</c:v>
                </c:pt>
                <c:pt idx="85">
                  <c:v>17.82</c:v>
                </c:pt>
                <c:pt idx="86">
                  <c:v>16.75</c:v>
                </c:pt>
                <c:pt idx="87">
                  <c:v>19.260000000000002</c:v>
                </c:pt>
                <c:pt idx="88">
                  <c:v>18.45</c:v>
                </c:pt>
                <c:pt idx="89">
                  <c:v>19.760000000000002</c:v>
                </c:pt>
                <c:pt idx="90">
                  <c:v>17.54</c:v>
                </c:pt>
                <c:pt idx="91">
                  <c:v>20.57</c:v>
                </c:pt>
                <c:pt idx="92">
                  <c:v>17.89</c:v>
                </c:pt>
                <c:pt idx="93">
                  <c:v>19.88</c:v>
                </c:pt>
                <c:pt idx="94">
                  <c:v>19.27</c:v>
                </c:pt>
                <c:pt idx="95">
                  <c:v>19.25</c:v>
                </c:pt>
                <c:pt idx="96">
                  <c:v>19.100000000000001</c:v>
                </c:pt>
                <c:pt idx="97">
                  <c:v>19.079999999999998</c:v>
                </c:pt>
                <c:pt idx="98">
                  <c:v>20.18</c:v>
                </c:pt>
                <c:pt idx="99">
                  <c:v>18.34</c:v>
                </c:pt>
                <c:pt idx="100">
                  <c:v>19.48</c:v>
                </c:pt>
                <c:pt idx="101">
                  <c:v>20.05</c:v>
                </c:pt>
                <c:pt idx="102">
                  <c:v>19.46</c:v>
                </c:pt>
                <c:pt idx="103">
                  <c:v>18.62</c:v>
                </c:pt>
                <c:pt idx="104">
                  <c:v>20.21</c:v>
                </c:pt>
                <c:pt idx="105">
                  <c:v>19.13</c:v>
                </c:pt>
                <c:pt idx="106">
                  <c:v>21.27</c:v>
                </c:pt>
                <c:pt idx="107">
                  <c:v>18.489999999999998</c:v>
                </c:pt>
                <c:pt idx="108">
                  <c:v>20.350000000000001</c:v>
                </c:pt>
                <c:pt idx="109">
                  <c:v>19.670000000000002</c:v>
                </c:pt>
                <c:pt idx="110">
                  <c:v>19.829999999999998</c:v>
                </c:pt>
                <c:pt idx="111">
                  <c:v>21.54</c:v>
                </c:pt>
                <c:pt idx="112">
                  <c:v>19.59</c:v>
                </c:pt>
                <c:pt idx="113">
                  <c:v>20.79</c:v>
                </c:pt>
                <c:pt idx="114">
                  <c:v>20.57</c:v>
                </c:pt>
                <c:pt idx="115">
                  <c:v>19.989999999999998</c:v>
                </c:pt>
                <c:pt idx="116">
                  <c:v>19.489999999999998</c:v>
                </c:pt>
                <c:pt idx="117">
                  <c:v>20.34</c:v>
                </c:pt>
                <c:pt idx="118">
                  <c:v>20.05</c:v>
                </c:pt>
                <c:pt idx="119">
                  <c:v>20.32</c:v>
                </c:pt>
                <c:pt idx="120">
                  <c:v>19.38</c:v>
                </c:pt>
                <c:pt idx="121">
                  <c:v>16.170000000000002</c:v>
                </c:pt>
                <c:pt idx="122">
                  <c:v>21.15</c:v>
                </c:pt>
                <c:pt idx="123">
                  <c:v>18.07</c:v>
                </c:pt>
                <c:pt idx="124">
                  <c:v>20.76</c:v>
                </c:pt>
                <c:pt idx="125">
                  <c:v>20.51</c:v>
                </c:pt>
                <c:pt idx="126">
                  <c:v>20.18</c:v>
                </c:pt>
                <c:pt idx="127">
                  <c:v>20.48</c:v>
                </c:pt>
                <c:pt idx="128">
                  <c:v>21.44</c:v>
                </c:pt>
                <c:pt idx="129">
                  <c:v>18.920000000000002</c:v>
                </c:pt>
                <c:pt idx="130">
                  <c:v>19.64</c:v>
                </c:pt>
                <c:pt idx="131">
                  <c:v>19.940000000000001</c:v>
                </c:pt>
                <c:pt idx="132">
                  <c:v>18.5</c:v>
                </c:pt>
                <c:pt idx="133">
                  <c:v>14.96</c:v>
                </c:pt>
                <c:pt idx="134">
                  <c:v>17.11</c:v>
                </c:pt>
                <c:pt idx="135">
                  <c:v>18.829999999999998</c:v>
                </c:pt>
                <c:pt idx="136">
                  <c:v>16.82</c:v>
                </c:pt>
                <c:pt idx="137">
                  <c:v>19.07</c:v>
                </c:pt>
                <c:pt idx="138">
                  <c:v>17.55</c:v>
                </c:pt>
                <c:pt idx="139">
                  <c:v>18.850000000000001</c:v>
                </c:pt>
                <c:pt idx="140">
                  <c:v>19.48</c:v>
                </c:pt>
                <c:pt idx="141">
                  <c:v>18.940000000000001</c:v>
                </c:pt>
                <c:pt idx="142">
                  <c:v>19.55</c:v>
                </c:pt>
                <c:pt idx="143">
                  <c:v>20.23</c:v>
                </c:pt>
                <c:pt idx="144">
                  <c:v>18.71</c:v>
                </c:pt>
                <c:pt idx="145">
                  <c:v>19.170000000000002</c:v>
                </c:pt>
                <c:pt idx="146">
                  <c:v>19.52</c:v>
                </c:pt>
                <c:pt idx="147">
                  <c:v>19.670000000000002</c:v>
                </c:pt>
                <c:pt idx="148">
                  <c:v>19.05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65-45DD-A857-930B4D9BE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[0]!Tab43_flow_retrans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222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112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1629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208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138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65-45DD-A857-930B4D9BE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  <c:dispUnits>
          <c:builtInUnit val="millions"/>
        </c:dispUnits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Plots!$BA$8</c:f>
          <c:strCache>
            <c:ptCount val="1"/>
            <c:pt idx="0">
              <c:v>AARnetCBR-CamDTN1_tcpmon_tseries_22Feb24 4 Flows flow 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[0]!Tab44_flow_rate</c:f>
              <c:numCache>
                <c:formatCode>General</c:formatCode>
                <c:ptCount val="14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0.08</c:v>
                </c:pt>
                <c:pt idx="5">
                  <c:v>0.15</c:v>
                </c:pt>
                <c:pt idx="6">
                  <c:v>0.24</c:v>
                </c:pt>
                <c:pt idx="7">
                  <c:v>0.37</c:v>
                </c:pt>
                <c:pt idx="8">
                  <c:v>0.52</c:v>
                </c:pt>
                <c:pt idx="9">
                  <c:v>0.69</c:v>
                </c:pt>
                <c:pt idx="10">
                  <c:v>1.1299999999999999</c:v>
                </c:pt>
                <c:pt idx="11">
                  <c:v>1.62</c:v>
                </c:pt>
                <c:pt idx="12">
                  <c:v>2.44</c:v>
                </c:pt>
                <c:pt idx="13">
                  <c:v>3.48</c:v>
                </c:pt>
                <c:pt idx="14">
                  <c:v>5.1100000000000003</c:v>
                </c:pt>
                <c:pt idx="15">
                  <c:v>7.11</c:v>
                </c:pt>
                <c:pt idx="16">
                  <c:v>10.99</c:v>
                </c:pt>
                <c:pt idx="17">
                  <c:v>15</c:v>
                </c:pt>
                <c:pt idx="18">
                  <c:v>17.84</c:v>
                </c:pt>
                <c:pt idx="19">
                  <c:v>22.24</c:v>
                </c:pt>
                <c:pt idx="20">
                  <c:v>20.81</c:v>
                </c:pt>
                <c:pt idx="21">
                  <c:v>14.92</c:v>
                </c:pt>
                <c:pt idx="22">
                  <c:v>19.25</c:v>
                </c:pt>
                <c:pt idx="23">
                  <c:v>19.350000000000001</c:v>
                </c:pt>
                <c:pt idx="24">
                  <c:v>20.420000000000002</c:v>
                </c:pt>
                <c:pt idx="25">
                  <c:v>20.440000000000001</c:v>
                </c:pt>
                <c:pt idx="26">
                  <c:v>19.63</c:v>
                </c:pt>
                <c:pt idx="27">
                  <c:v>18.579999999999998</c:v>
                </c:pt>
                <c:pt idx="28">
                  <c:v>19.649999999999999</c:v>
                </c:pt>
                <c:pt idx="29">
                  <c:v>17.829999999999998</c:v>
                </c:pt>
                <c:pt idx="30">
                  <c:v>19.77</c:v>
                </c:pt>
                <c:pt idx="31">
                  <c:v>17.77</c:v>
                </c:pt>
                <c:pt idx="32">
                  <c:v>16.72</c:v>
                </c:pt>
                <c:pt idx="33">
                  <c:v>16.52</c:v>
                </c:pt>
                <c:pt idx="34">
                  <c:v>17.53</c:v>
                </c:pt>
                <c:pt idx="35">
                  <c:v>17.170000000000002</c:v>
                </c:pt>
                <c:pt idx="36">
                  <c:v>17.649999999999999</c:v>
                </c:pt>
                <c:pt idx="37">
                  <c:v>18.75</c:v>
                </c:pt>
                <c:pt idx="38">
                  <c:v>17.350000000000001</c:v>
                </c:pt>
                <c:pt idx="39">
                  <c:v>18.190000000000001</c:v>
                </c:pt>
                <c:pt idx="40">
                  <c:v>19.670000000000002</c:v>
                </c:pt>
                <c:pt idx="41">
                  <c:v>19.420000000000002</c:v>
                </c:pt>
                <c:pt idx="42">
                  <c:v>17.87</c:v>
                </c:pt>
                <c:pt idx="43">
                  <c:v>19.829999999999998</c:v>
                </c:pt>
                <c:pt idx="44">
                  <c:v>19.260000000000002</c:v>
                </c:pt>
                <c:pt idx="45">
                  <c:v>18.25</c:v>
                </c:pt>
                <c:pt idx="46">
                  <c:v>18.55</c:v>
                </c:pt>
                <c:pt idx="47">
                  <c:v>19.100000000000001</c:v>
                </c:pt>
                <c:pt idx="48">
                  <c:v>20.03</c:v>
                </c:pt>
                <c:pt idx="49">
                  <c:v>18.22</c:v>
                </c:pt>
                <c:pt idx="50">
                  <c:v>20.03</c:v>
                </c:pt>
                <c:pt idx="51">
                  <c:v>18.38</c:v>
                </c:pt>
                <c:pt idx="52">
                  <c:v>19.920000000000002</c:v>
                </c:pt>
                <c:pt idx="53">
                  <c:v>19.14</c:v>
                </c:pt>
                <c:pt idx="54">
                  <c:v>18.079999999999998</c:v>
                </c:pt>
                <c:pt idx="55">
                  <c:v>20.56</c:v>
                </c:pt>
                <c:pt idx="56">
                  <c:v>17.21</c:v>
                </c:pt>
                <c:pt idx="57">
                  <c:v>20.87</c:v>
                </c:pt>
                <c:pt idx="58">
                  <c:v>18.39</c:v>
                </c:pt>
                <c:pt idx="59">
                  <c:v>22.3</c:v>
                </c:pt>
                <c:pt idx="60">
                  <c:v>19.46</c:v>
                </c:pt>
                <c:pt idx="61">
                  <c:v>18.73</c:v>
                </c:pt>
                <c:pt idx="62">
                  <c:v>20.23</c:v>
                </c:pt>
                <c:pt idx="63">
                  <c:v>20.36</c:v>
                </c:pt>
                <c:pt idx="64">
                  <c:v>18.850000000000001</c:v>
                </c:pt>
                <c:pt idx="65">
                  <c:v>14.68</c:v>
                </c:pt>
                <c:pt idx="66">
                  <c:v>17.399999999999999</c:v>
                </c:pt>
                <c:pt idx="67">
                  <c:v>16.14</c:v>
                </c:pt>
                <c:pt idx="68">
                  <c:v>18.18</c:v>
                </c:pt>
                <c:pt idx="69">
                  <c:v>20.23</c:v>
                </c:pt>
                <c:pt idx="70">
                  <c:v>21.12</c:v>
                </c:pt>
                <c:pt idx="71">
                  <c:v>19.77</c:v>
                </c:pt>
                <c:pt idx="72">
                  <c:v>19.57</c:v>
                </c:pt>
                <c:pt idx="73">
                  <c:v>21.3</c:v>
                </c:pt>
                <c:pt idx="74">
                  <c:v>20.3</c:v>
                </c:pt>
                <c:pt idx="75">
                  <c:v>19.47</c:v>
                </c:pt>
                <c:pt idx="76">
                  <c:v>19.190000000000001</c:v>
                </c:pt>
                <c:pt idx="77">
                  <c:v>17.21</c:v>
                </c:pt>
                <c:pt idx="78">
                  <c:v>19.350000000000001</c:v>
                </c:pt>
                <c:pt idx="79">
                  <c:v>19</c:v>
                </c:pt>
                <c:pt idx="80">
                  <c:v>19.05</c:v>
                </c:pt>
                <c:pt idx="81">
                  <c:v>19.52</c:v>
                </c:pt>
                <c:pt idx="82">
                  <c:v>14.24</c:v>
                </c:pt>
                <c:pt idx="83">
                  <c:v>16.32</c:v>
                </c:pt>
                <c:pt idx="84">
                  <c:v>17.190000000000001</c:v>
                </c:pt>
                <c:pt idx="85">
                  <c:v>16.75</c:v>
                </c:pt>
                <c:pt idx="86">
                  <c:v>17.32</c:v>
                </c:pt>
                <c:pt idx="87">
                  <c:v>17.16</c:v>
                </c:pt>
                <c:pt idx="88">
                  <c:v>17.09</c:v>
                </c:pt>
                <c:pt idx="89">
                  <c:v>19.600000000000001</c:v>
                </c:pt>
                <c:pt idx="90">
                  <c:v>17.38</c:v>
                </c:pt>
                <c:pt idx="91">
                  <c:v>19.27</c:v>
                </c:pt>
                <c:pt idx="92">
                  <c:v>17.05</c:v>
                </c:pt>
                <c:pt idx="93">
                  <c:v>19.5</c:v>
                </c:pt>
                <c:pt idx="94">
                  <c:v>18.600000000000001</c:v>
                </c:pt>
                <c:pt idx="95">
                  <c:v>17.93</c:v>
                </c:pt>
                <c:pt idx="96">
                  <c:v>19.670000000000002</c:v>
                </c:pt>
                <c:pt idx="97">
                  <c:v>17.190000000000001</c:v>
                </c:pt>
                <c:pt idx="98">
                  <c:v>19.21</c:v>
                </c:pt>
                <c:pt idx="99">
                  <c:v>18.32</c:v>
                </c:pt>
                <c:pt idx="100">
                  <c:v>19.670000000000002</c:v>
                </c:pt>
                <c:pt idx="101">
                  <c:v>18.18</c:v>
                </c:pt>
                <c:pt idx="102">
                  <c:v>19.079999999999998</c:v>
                </c:pt>
                <c:pt idx="103">
                  <c:v>18</c:v>
                </c:pt>
                <c:pt idx="104">
                  <c:v>19.23</c:v>
                </c:pt>
                <c:pt idx="105">
                  <c:v>18.940000000000001</c:v>
                </c:pt>
                <c:pt idx="106">
                  <c:v>18.2</c:v>
                </c:pt>
                <c:pt idx="107">
                  <c:v>18.309999999999999</c:v>
                </c:pt>
                <c:pt idx="108">
                  <c:v>19.329999999999998</c:v>
                </c:pt>
                <c:pt idx="109">
                  <c:v>21.15</c:v>
                </c:pt>
                <c:pt idx="110">
                  <c:v>19.64</c:v>
                </c:pt>
                <c:pt idx="111">
                  <c:v>20.079999999999998</c:v>
                </c:pt>
                <c:pt idx="112">
                  <c:v>19.21</c:v>
                </c:pt>
                <c:pt idx="113">
                  <c:v>18.68</c:v>
                </c:pt>
                <c:pt idx="114">
                  <c:v>20.68</c:v>
                </c:pt>
                <c:pt idx="115">
                  <c:v>20.5</c:v>
                </c:pt>
                <c:pt idx="116">
                  <c:v>18.34</c:v>
                </c:pt>
                <c:pt idx="117">
                  <c:v>18.72</c:v>
                </c:pt>
                <c:pt idx="118">
                  <c:v>18.25</c:v>
                </c:pt>
                <c:pt idx="119">
                  <c:v>19.27</c:v>
                </c:pt>
                <c:pt idx="120">
                  <c:v>20.059999999999999</c:v>
                </c:pt>
                <c:pt idx="121">
                  <c:v>15.4</c:v>
                </c:pt>
                <c:pt idx="122">
                  <c:v>18.059999999999999</c:v>
                </c:pt>
                <c:pt idx="123">
                  <c:v>19.43</c:v>
                </c:pt>
                <c:pt idx="124">
                  <c:v>22.09</c:v>
                </c:pt>
                <c:pt idx="125">
                  <c:v>18.989999999999998</c:v>
                </c:pt>
                <c:pt idx="126">
                  <c:v>20.97</c:v>
                </c:pt>
                <c:pt idx="127">
                  <c:v>21.09</c:v>
                </c:pt>
                <c:pt idx="128">
                  <c:v>20.54</c:v>
                </c:pt>
                <c:pt idx="129">
                  <c:v>19.170000000000002</c:v>
                </c:pt>
                <c:pt idx="130">
                  <c:v>18.399999999999999</c:v>
                </c:pt>
                <c:pt idx="131">
                  <c:v>18.7</c:v>
                </c:pt>
                <c:pt idx="132">
                  <c:v>15.28</c:v>
                </c:pt>
                <c:pt idx="133">
                  <c:v>18.440000000000001</c:v>
                </c:pt>
                <c:pt idx="134">
                  <c:v>17.13</c:v>
                </c:pt>
                <c:pt idx="135">
                  <c:v>18.23</c:v>
                </c:pt>
                <c:pt idx="136">
                  <c:v>18.55</c:v>
                </c:pt>
                <c:pt idx="137">
                  <c:v>18.850000000000001</c:v>
                </c:pt>
                <c:pt idx="138">
                  <c:v>17.21</c:v>
                </c:pt>
                <c:pt idx="139">
                  <c:v>18.75</c:v>
                </c:pt>
                <c:pt idx="140">
                  <c:v>20.66</c:v>
                </c:pt>
                <c:pt idx="141">
                  <c:v>20.350000000000001</c:v>
                </c:pt>
                <c:pt idx="142">
                  <c:v>18</c:v>
                </c:pt>
                <c:pt idx="143">
                  <c:v>19.82</c:v>
                </c:pt>
                <c:pt idx="144">
                  <c:v>20.86</c:v>
                </c:pt>
                <c:pt idx="145">
                  <c:v>20.149999999999999</c:v>
                </c:pt>
                <c:pt idx="146">
                  <c:v>19.25</c:v>
                </c:pt>
                <c:pt idx="147">
                  <c:v>20.28</c:v>
                </c:pt>
                <c:pt idx="148">
                  <c:v>19.55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F1-4103-AF65-66CA42F64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[0]!Tab44_flow_retrans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392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6461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494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120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F1-4103-AF65-66CA42F64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  <c:dispUnits>
          <c:builtInUnit val="millions"/>
        </c:dispUnits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Plots!$Y$1</c:f>
          <c:strCache>
            <c:ptCount val="1"/>
            <c:pt idx="0">
              <c:v>AARnetCBR-CamDTN1_tcpmon_tseries_22Feb24 1 Flows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[0]!Tab11_elapsed_time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[0]!Tab11_flow_rate</c:f>
              <c:numCache>
                <c:formatCode>General</c:formatCode>
                <c:ptCount val="14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0.08</c:v>
                </c:pt>
                <c:pt idx="5">
                  <c:v>0.15</c:v>
                </c:pt>
                <c:pt idx="6">
                  <c:v>0.24</c:v>
                </c:pt>
                <c:pt idx="7">
                  <c:v>0.37</c:v>
                </c:pt>
                <c:pt idx="8">
                  <c:v>0.55000000000000004</c:v>
                </c:pt>
                <c:pt idx="9">
                  <c:v>0.75</c:v>
                </c:pt>
                <c:pt idx="10">
                  <c:v>1.01</c:v>
                </c:pt>
                <c:pt idx="11">
                  <c:v>1.64</c:v>
                </c:pt>
                <c:pt idx="12">
                  <c:v>2.39</c:v>
                </c:pt>
                <c:pt idx="13">
                  <c:v>3.53</c:v>
                </c:pt>
                <c:pt idx="14">
                  <c:v>5.57</c:v>
                </c:pt>
                <c:pt idx="15">
                  <c:v>6.6</c:v>
                </c:pt>
                <c:pt idx="16">
                  <c:v>11.02</c:v>
                </c:pt>
                <c:pt idx="17">
                  <c:v>16.899999999999999</c:v>
                </c:pt>
                <c:pt idx="18">
                  <c:v>20.03</c:v>
                </c:pt>
                <c:pt idx="19">
                  <c:v>24.32</c:v>
                </c:pt>
                <c:pt idx="20">
                  <c:v>31.68</c:v>
                </c:pt>
                <c:pt idx="21">
                  <c:v>28.09</c:v>
                </c:pt>
                <c:pt idx="22">
                  <c:v>29.16</c:v>
                </c:pt>
                <c:pt idx="23">
                  <c:v>30.98</c:v>
                </c:pt>
                <c:pt idx="24">
                  <c:v>29.87</c:v>
                </c:pt>
                <c:pt idx="25">
                  <c:v>27.24</c:v>
                </c:pt>
                <c:pt idx="26">
                  <c:v>30.4</c:v>
                </c:pt>
                <c:pt idx="27">
                  <c:v>29.3</c:v>
                </c:pt>
                <c:pt idx="28">
                  <c:v>31.91</c:v>
                </c:pt>
                <c:pt idx="29">
                  <c:v>27.36</c:v>
                </c:pt>
                <c:pt idx="30">
                  <c:v>29.61</c:v>
                </c:pt>
                <c:pt idx="31">
                  <c:v>31.48</c:v>
                </c:pt>
                <c:pt idx="32">
                  <c:v>26.99</c:v>
                </c:pt>
                <c:pt idx="33">
                  <c:v>29.42</c:v>
                </c:pt>
                <c:pt idx="34">
                  <c:v>26.23</c:v>
                </c:pt>
                <c:pt idx="35">
                  <c:v>26.09</c:v>
                </c:pt>
                <c:pt idx="36">
                  <c:v>27.86</c:v>
                </c:pt>
                <c:pt idx="37">
                  <c:v>26.1</c:v>
                </c:pt>
                <c:pt idx="38">
                  <c:v>24.33</c:v>
                </c:pt>
                <c:pt idx="39">
                  <c:v>26.75</c:v>
                </c:pt>
                <c:pt idx="40">
                  <c:v>27.34</c:v>
                </c:pt>
                <c:pt idx="41">
                  <c:v>25.43</c:v>
                </c:pt>
                <c:pt idx="42">
                  <c:v>26.22</c:v>
                </c:pt>
                <c:pt idx="43">
                  <c:v>26.38</c:v>
                </c:pt>
                <c:pt idx="44">
                  <c:v>26.35</c:v>
                </c:pt>
                <c:pt idx="45">
                  <c:v>25.08</c:v>
                </c:pt>
                <c:pt idx="46">
                  <c:v>23.76</c:v>
                </c:pt>
                <c:pt idx="47">
                  <c:v>26.2</c:v>
                </c:pt>
                <c:pt idx="48">
                  <c:v>27.49</c:v>
                </c:pt>
                <c:pt idx="49">
                  <c:v>26.07</c:v>
                </c:pt>
                <c:pt idx="50">
                  <c:v>24.66</c:v>
                </c:pt>
                <c:pt idx="51">
                  <c:v>25.6</c:v>
                </c:pt>
                <c:pt idx="52">
                  <c:v>25.83</c:v>
                </c:pt>
                <c:pt idx="53">
                  <c:v>25.9</c:v>
                </c:pt>
                <c:pt idx="54">
                  <c:v>25.98</c:v>
                </c:pt>
                <c:pt idx="55">
                  <c:v>25.97</c:v>
                </c:pt>
                <c:pt idx="56">
                  <c:v>26.11</c:v>
                </c:pt>
                <c:pt idx="57">
                  <c:v>27.6</c:v>
                </c:pt>
                <c:pt idx="58">
                  <c:v>25.96</c:v>
                </c:pt>
                <c:pt idx="59">
                  <c:v>25.03</c:v>
                </c:pt>
                <c:pt idx="60">
                  <c:v>25.35</c:v>
                </c:pt>
                <c:pt idx="61">
                  <c:v>25.82</c:v>
                </c:pt>
                <c:pt idx="62">
                  <c:v>25.92</c:v>
                </c:pt>
                <c:pt idx="63">
                  <c:v>26.28</c:v>
                </c:pt>
                <c:pt idx="64">
                  <c:v>26.18</c:v>
                </c:pt>
                <c:pt idx="65">
                  <c:v>27</c:v>
                </c:pt>
                <c:pt idx="66">
                  <c:v>26.33</c:v>
                </c:pt>
                <c:pt idx="67">
                  <c:v>26</c:v>
                </c:pt>
                <c:pt idx="68">
                  <c:v>26.21</c:v>
                </c:pt>
                <c:pt idx="69">
                  <c:v>26.35</c:v>
                </c:pt>
                <c:pt idx="70">
                  <c:v>26.23</c:v>
                </c:pt>
                <c:pt idx="71">
                  <c:v>26</c:v>
                </c:pt>
                <c:pt idx="72">
                  <c:v>26.33</c:v>
                </c:pt>
                <c:pt idx="73">
                  <c:v>25.59</c:v>
                </c:pt>
                <c:pt idx="74">
                  <c:v>26.47</c:v>
                </c:pt>
                <c:pt idx="75">
                  <c:v>25.48</c:v>
                </c:pt>
                <c:pt idx="76">
                  <c:v>26.06</c:v>
                </c:pt>
                <c:pt idx="77">
                  <c:v>26.2</c:v>
                </c:pt>
                <c:pt idx="78">
                  <c:v>25.8</c:v>
                </c:pt>
                <c:pt idx="79">
                  <c:v>25.91</c:v>
                </c:pt>
                <c:pt idx="80">
                  <c:v>26.45</c:v>
                </c:pt>
                <c:pt idx="81">
                  <c:v>25.11</c:v>
                </c:pt>
                <c:pt idx="82">
                  <c:v>25.22</c:v>
                </c:pt>
                <c:pt idx="83">
                  <c:v>26.39</c:v>
                </c:pt>
                <c:pt idx="84">
                  <c:v>26.47</c:v>
                </c:pt>
                <c:pt idx="85">
                  <c:v>26.33</c:v>
                </c:pt>
                <c:pt idx="86">
                  <c:v>25.84</c:v>
                </c:pt>
                <c:pt idx="87">
                  <c:v>26.12</c:v>
                </c:pt>
                <c:pt idx="88">
                  <c:v>26.14</c:v>
                </c:pt>
                <c:pt idx="89">
                  <c:v>26.12</c:v>
                </c:pt>
                <c:pt idx="90">
                  <c:v>25.53</c:v>
                </c:pt>
                <c:pt idx="91">
                  <c:v>25.85</c:v>
                </c:pt>
                <c:pt idx="92">
                  <c:v>26.61</c:v>
                </c:pt>
                <c:pt idx="93">
                  <c:v>26.18</c:v>
                </c:pt>
                <c:pt idx="94">
                  <c:v>25.14</c:v>
                </c:pt>
                <c:pt idx="95">
                  <c:v>26.3</c:v>
                </c:pt>
                <c:pt idx="96">
                  <c:v>26.54</c:v>
                </c:pt>
                <c:pt idx="97">
                  <c:v>25.91</c:v>
                </c:pt>
                <c:pt idx="98">
                  <c:v>26.04</c:v>
                </c:pt>
                <c:pt idx="99">
                  <c:v>25.2</c:v>
                </c:pt>
                <c:pt idx="100">
                  <c:v>24.84</c:v>
                </c:pt>
                <c:pt idx="101">
                  <c:v>25.91</c:v>
                </c:pt>
                <c:pt idx="102">
                  <c:v>26.29</c:v>
                </c:pt>
                <c:pt idx="103">
                  <c:v>26.75</c:v>
                </c:pt>
                <c:pt idx="104">
                  <c:v>25.81</c:v>
                </c:pt>
                <c:pt idx="105">
                  <c:v>26.57</c:v>
                </c:pt>
                <c:pt idx="106">
                  <c:v>26.24</c:v>
                </c:pt>
                <c:pt idx="107">
                  <c:v>26.23</c:v>
                </c:pt>
                <c:pt idx="108">
                  <c:v>26.12</c:v>
                </c:pt>
                <c:pt idx="109">
                  <c:v>26.02</c:v>
                </c:pt>
                <c:pt idx="110">
                  <c:v>26.11</c:v>
                </c:pt>
                <c:pt idx="111">
                  <c:v>25.77</c:v>
                </c:pt>
                <c:pt idx="112">
                  <c:v>26.21</c:v>
                </c:pt>
                <c:pt idx="113">
                  <c:v>25.03</c:v>
                </c:pt>
                <c:pt idx="114">
                  <c:v>25.39</c:v>
                </c:pt>
                <c:pt idx="115">
                  <c:v>26.47</c:v>
                </c:pt>
                <c:pt idx="116">
                  <c:v>26.35</c:v>
                </c:pt>
                <c:pt idx="117">
                  <c:v>26.51</c:v>
                </c:pt>
                <c:pt idx="118">
                  <c:v>26.13</c:v>
                </c:pt>
                <c:pt idx="119">
                  <c:v>25.73</c:v>
                </c:pt>
                <c:pt idx="120">
                  <c:v>25.66</c:v>
                </c:pt>
                <c:pt idx="121">
                  <c:v>26.02</c:v>
                </c:pt>
                <c:pt idx="122">
                  <c:v>25.9</c:v>
                </c:pt>
                <c:pt idx="123">
                  <c:v>25.37</c:v>
                </c:pt>
                <c:pt idx="124">
                  <c:v>26.75</c:v>
                </c:pt>
                <c:pt idx="125">
                  <c:v>26.07</c:v>
                </c:pt>
                <c:pt idx="126">
                  <c:v>26.35</c:v>
                </c:pt>
                <c:pt idx="127">
                  <c:v>26.15</c:v>
                </c:pt>
                <c:pt idx="128">
                  <c:v>25.61</c:v>
                </c:pt>
                <c:pt idx="129">
                  <c:v>25.3</c:v>
                </c:pt>
                <c:pt idx="130">
                  <c:v>26.3</c:v>
                </c:pt>
                <c:pt idx="131">
                  <c:v>26.43</c:v>
                </c:pt>
                <c:pt idx="132">
                  <c:v>26.16</c:v>
                </c:pt>
                <c:pt idx="133">
                  <c:v>25.9</c:v>
                </c:pt>
                <c:pt idx="134">
                  <c:v>26.09</c:v>
                </c:pt>
                <c:pt idx="135">
                  <c:v>25.88</c:v>
                </c:pt>
                <c:pt idx="136">
                  <c:v>26.03</c:v>
                </c:pt>
                <c:pt idx="137">
                  <c:v>26.15</c:v>
                </c:pt>
                <c:pt idx="138">
                  <c:v>25.86</c:v>
                </c:pt>
                <c:pt idx="139">
                  <c:v>24.53</c:v>
                </c:pt>
                <c:pt idx="140">
                  <c:v>26.42</c:v>
                </c:pt>
                <c:pt idx="141">
                  <c:v>26.24</c:v>
                </c:pt>
                <c:pt idx="142">
                  <c:v>26.2</c:v>
                </c:pt>
                <c:pt idx="143">
                  <c:v>26.48</c:v>
                </c:pt>
                <c:pt idx="144">
                  <c:v>25.88</c:v>
                </c:pt>
                <c:pt idx="145">
                  <c:v>26.05</c:v>
                </c:pt>
                <c:pt idx="146">
                  <c:v>26.27</c:v>
                </c:pt>
                <c:pt idx="147">
                  <c:v>26</c:v>
                </c:pt>
                <c:pt idx="148">
                  <c:v>25.9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D-4207-A106-8A85F7FE9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[0]!Tab11_elapsed_time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[0]!Tab11_flow_retrans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D-4207-A106-8A85F7FE9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  <c:dispUnits>
          <c:builtInUnit val="millions"/>
        </c:dispUnits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Plots!$BA$7</c:f>
          <c:strCache>
            <c:ptCount val="1"/>
            <c:pt idx="0">
              <c:v>AARnetCBR-CamDTN1_tcpmon_tseries_22Feb24 4 Flows flow 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[0]!Tab43_flow_rate</c:f>
              <c:numCache>
                <c:formatCode>General</c:formatCode>
                <c:ptCount val="149"/>
                <c:pt idx="0">
                  <c:v>0.08</c:v>
                </c:pt>
                <c:pt idx="1">
                  <c:v>0.81</c:v>
                </c:pt>
                <c:pt idx="2">
                  <c:v>0.91</c:v>
                </c:pt>
                <c:pt idx="3">
                  <c:v>1.5</c:v>
                </c:pt>
                <c:pt idx="4">
                  <c:v>2.21</c:v>
                </c:pt>
                <c:pt idx="5">
                  <c:v>3.34</c:v>
                </c:pt>
                <c:pt idx="6">
                  <c:v>4.9800000000000004</c:v>
                </c:pt>
                <c:pt idx="7">
                  <c:v>5.97</c:v>
                </c:pt>
                <c:pt idx="8">
                  <c:v>10.26</c:v>
                </c:pt>
                <c:pt idx="9">
                  <c:v>14.16</c:v>
                </c:pt>
                <c:pt idx="10">
                  <c:v>17.600000000000001</c:v>
                </c:pt>
                <c:pt idx="11">
                  <c:v>25.25</c:v>
                </c:pt>
                <c:pt idx="12">
                  <c:v>23.24</c:v>
                </c:pt>
                <c:pt idx="13">
                  <c:v>25.54</c:v>
                </c:pt>
                <c:pt idx="14">
                  <c:v>21.01</c:v>
                </c:pt>
                <c:pt idx="15">
                  <c:v>23.26</c:v>
                </c:pt>
                <c:pt idx="16">
                  <c:v>23.68</c:v>
                </c:pt>
                <c:pt idx="17">
                  <c:v>21.54</c:v>
                </c:pt>
                <c:pt idx="18">
                  <c:v>23.45</c:v>
                </c:pt>
                <c:pt idx="19">
                  <c:v>21.46</c:v>
                </c:pt>
                <c:pt idx="20">
                  <c:v>21.4</c:v>
                </c:pt>
                <c:pt idx="21">
                  <c:v>18.739999999999998</c:v>
                </c:pt>
                <c:pt idx="22">
                  <c:v>18.43</c:v>
                </c:pt>
                <c:pt idx="23">
                  <c:v>21.74</c:v>
                </c:pt>
                <c:pt idx="24">
                  <c:v>21.1</c:v>
                </c:pt>
                <c:pt idx="25">
                  <c:v>22.63</c:v>
                </c:pt>
                <c:pt idx="26">
                  <c:v>21.6</c:v>
                </c:pt>
                <c:pt idx="27">
                  <c:v>21.25</c:v>
                </c:pt>
                <c:pt idx="28">
                  <c:v>20.53</c:v>
                </c:pt>
                <c:pt idx="29">
                  <c:v>18.739999999999998</c:v>
                </c:pt>
                <c:pt idx="30">
                  <c:v>20.85</c:v>
                </c:pt>
                <c:pt idx="31">
                  <c:v>19.399999999999999</c:v>
                </c:pt>
                <c:pt idx="32">
                  <c:v>16.420000000000002</c:v>
                </c:pt>
                <c:pt idx="33">
                  <c:v>18</c:v>
                </c:pt>
                <c:pt idx="34">
                  <c:v>18.010000000000002</c:v>
                </c:pt>
                <c:pt idx="35">
                  <c:v>17.64</c:v>
                </c:pt>
                <c:pt idx="36">
                  <c:v>19.739999999999998</c:v>
                </c:pt>
                <c:pt idx="37">
                  <c:v>19.73</c:v>
                </c:pt>
                <c:pt idx="38">
                  <c:v>18.399999999999999</c:v>
                </c:pt>
                <c:pt idx="39">
                  <c:v>20.77</c:v>
                </c:pt>
                <c:pt idx="40">
                  <c:v>19.07</c:v>
                </c:pt>
                <c:pt idx="41">
                  <c:v>21.48</c:v>
                </c:pt>
                <c:pt idx="42">
                  <c:v>19.14</c:v>
                </c:pt>
                <c:pt idx="43">
                  <c:v>20.12</c:v>
                </c:pt>
                <c:pt idx="44">
                  <c:v>20.95</c:v>
                </c:pt>
                <c:pt idx="45">
                  <c:v>19.77</c:v>
                </c:pt>
                <c:pt idx="46">
                  <c:v>22.29</c:v>
                </c:pt>
                <c:pt idx="47">
                  <c:v>19.68</c:v>
                </c:pt>
                <c:pt idx="48">
                  <c:v>19.16</c:v>
                </c:pt>
                <c:pt idx="49">
                  <c:v>21.01</c:v>
                </c:pt>
                <c:pt idx="50">
                  <c:v>20.64</c:v>
                </c:pt>
                <c:pt idx="51">
                  <c:v>19.809999999999999</c:v>
                </c:pt>
                <c:pt idx="52">
                  <c:v>20.66</c:v>
                </c:pt>
                <c:pt idx="53">
                  <c:v>21.51</c:v>
                </c:pt>
                <c:pt idx="54">
                  <c:v>19.38</c:v>
                </c:pt>
                <c:pt idx="55">
                  <c:v>21.34</c:v>
                </c:pt>
                <c:pt idx="56">
                  <c:v>20.37</c:v>
                </c:pt>
                <c:pt idx="57">
                  <c:v>21.31</c:v>
                </c:pt>
                <c:pt idx="58">
                  <c:v>20.91</c:v>
                </c:pt>
                <c:pt idx="59">
                  <c:v>21.36</c:v>
                </c:pt>
                <c:pt idx="60">
                  <c:v>21.89</c:v>
                </c:pt>
                <c:pt idx="61">
                  <c:v>19.91</c:v>
                </c:pt>
                <c:pt idx="62">
                  <c:v>20.81</c:v>
                </c:pt>
                <c:pt idx="63">
                  <c:v>21.53</c:v>
                </c:pt>
                <c:pt idx="64">
                  <c:v>20.3</c:v>
                </c:pt>
                <c:pt idx="65">
                  <c:v>14.96</c:v>
                </c:pt>
                <c:pt idx="66">
                  <c:v>19.739999999999998</c:v>
                </c:pt>
                <c:pt idx="67">
                  <c:v>17.16</c:v>
                </c:pt>
                <c:pt idx="68">
                  <c:v>18.59</c:v>
                </c:pt>
                <c:pt idx="69">
                  <c:v>21.39</c:v>
                </c:pt>
                <c:pt idx="70">
                  <c:v>19.79</c:v>
                </c:pt>
                <c:pt idx="71">
                  <c:v>21.56</c:v>
                </c:pt>
                <c:pt idx="72">
                  <c:v>21.24</c:v>
                </c:pt>
                <c:pt idx="73">
                  <c:v>20.05</c:v>
                </c:pt>
                <c:pt idx="74">
                  <c:v>21.58</c:v>
                </c:pt>
                <c:pt idx="75">
                  <c:v>20.99</c:v>
                </c:pt>
                <c:pt idx="76">
                  <c:v>19.41</c:v>
                </c:pt>
                <c:pt idx="77">
                  <c:v>19.14</c:v>
                </c:pt>
                <c:pt idx="78">
                  <c:v>20.22</c:v>
                </c:pt>
                <c:pt idx="79">
                  <c:v>20.05</c:v>
                </c:pt>
                <c:pt idx="80">
                  <c:v>19.579999999999998</c:v>
                </c:pt>
                <c:pt idx="81">
                  <c:v>19.670000000000002</c:v>
                </c:pt>
                <c:pt idx="82">
                  <c:v>14.93</c:v>
                </c:pt>
                <c:pt idx="83">
                  <c:v>18.690000000000001</c:v>
                </c:pt>
                <c:pt idx="84">
                  <c:v>16.04</c:v>
                </c:pt>
                <c:pt idx="85">
                  <c:v>17.82</c:v>
                </c:pt>
                <c:pt idx="86">
                  <c:v>16.75</c:v>
                </c:pt>
                <c:pt idx="87">
                  <c:v>19.260000000000002</c:v>
                </c:pt>
                <c:pt idx="88">
                  <c:v>18.45</c:v>
                </c:pt>
                <c:pt idx="89">
                  <c:v>19.760000000000002</c:v>
                </c:pt>
                <c:pt idx="90">
                  <c:v>17.54</c:v>
                </c:pt>
                <c:pt idx="91">
                  <c:v>20.57</c:v>
                </c:pt>
                <c:pt idx="92">
                  <c:v>17.89</c:v>
                </c:pt>
                <c:pt idx="93">
                  <c:v>19.88</c:v>
                </c:pt>
                <c:pt idx="94">
                  <c:v>19.27</c:v>
                </c:pt>
                <c:pt idx="95">
                  <c:v>19.25</c:v>
                </c:pt>
                <c:pt idx="96">
                  <c:v>19.100000000000001</c:v>
                </c:pt>
                <c:pt idx="97">
                  <c:v>19.079999999999998</c:v>
                </c:pt>
                <c:pt idx="98">
                  <c:v>20.18</c:v>
                </c:pt>
                <c:pt idx="99">
                  <c:v>18.34</c:v>
                </c:pt>
                <c:pt idx="100">
                  <c:v>19.48</c:v>
                </c:pt>
                <c:pt idx="101">
                  <c:v>20.05</c:v>
                </c:pt>
                <c:pt idx="102">
                  <c:v>19.46</c:v>
                </c:pt>
                <c:pt idx="103">
                  <c:v>18.62</c:v>
                </c:pt>
                <c:pt idx="104">
                  <c:v>20.21</c:v>
                </c:pt>
                <c:pt idx="105">
                  <c:v>19.13</c:v>
                </c:pt>
                <c:pt idx="106">
                  <c:v>21.27</c:v>
                </c:pt>
                <c:pt idx="107">
                  <c:v>18.489999999999998</c:v>
                </c:pt>
                <c:pt idx="108">
                  <c:v>20.350000000000001</c:v>
                </c:pt>
                <c:pt idx="109">
                  <c:v>19.670000000000002</c:v>
                </c:pt>
                <c:pt idx="110">
                  <c:v>19.829999999999998</c:v>
                </c:pt>
                <c:pt idx="111">
                  <c:v>21.54</c:v>
                </c:pt>
                <c:pt idx="112">
                  <c:v>19.59</c:v>
                </c:pt>
                <c:pt idx="113">
                  <c:v>20.79</c:v>
                </c:pt>
                <c:pt idx="114">
                  <c:v>20.57</c:v>
                </c:pt>
                <c:pt idx="115">
                  <c:v>19.989999999999998</c:v>
                </c:pt>
                <c:pt idx="116">
                  <c:v>19.489999999999998</c:v>
                </c:pt>
                <c:pt idx="117">
                  <c:v>20.34</c:v>
                </c:pt>
                <c:pt idx="118">
                  <c:v>20.05</c:v>
                </c:pt>
                <c:pt idx="119">
                  <c:v>20.32</c:v>
                </c:pt>
                <c:pt idx="120">
                  <c:v>19.38</c:v>
                </c:pt>
                <c:pt idx="121">
                  <c:v>16.170000000000002</c:v>
                </c:pt>
                <c:pt idx="122">
                  <c:v>21.15</c:v>
                </c:pt>
                <c:pt idx="123">
                  <c:v>18.07</c:v>
                </c:pt>
                <c:pt idx="124">
                  <c:v>20.76</c:v>
                </c:pt>
                <c:pt idx="125">
                  <c:v>20.51</c:v>
                </c:pt>
                <c:pt idx="126">
                  <c:v>20.18</c:v>
                </c:pt>
                <c:pt idx="127">
                  <c:v>20.48</c:v>
                </c:pt>
                <c:pt idx="128">
                  <c:v>21.44</c:v>
                </c:pt>
                <c:pt idx="129">
                  <c:v>18.920000000000002</c:v>
                </c:pt>
                <c:pt idx="130">
                  <c:v>19.64</c:v>
                </c:pt>
                <c:pt idx="131">
                  <c:v>19.940000000000001</c:v>
                </c:pt>
                <c:pt idx="132">
                  <c:v>18.5</c:v>
                </c:pt>
                <c:pt idx="133">
                  <c:v>14.96</c:v>
                </c:pt>
                <c:pt idx="134">
                  <c:v>17.11</c:v>
                </c:pt>
                <c:pt idx="135">
                  <c:v>18.829999999999998</c:v>
                </c:pt>
                <c:pt idx="136">
                  <c:v>16.82</c:v>
                </c:pt>
                <c:pt idx="137">
                  <c:v>19.07</c:v>
                </c:pt>
                <c:pt idx="138">
                  <c:v>17.55</c:v>
                </c:pt>
                <c:pt idx="139">
                  <c:v>18.850000000000001</c:v>
                </c:pt>
                <c:pt idx="140">
                  <c:v>19.48</c:v>
                </c:pt>
                <c:pt idx="141">
                  <c:v>18.940000000000001</c:v>
                </c:pt>
                <c:pt idx="142">
                  <c:v>19.55</c:v>
                </c:pt>
                <c:pt idx="143">
                  <c:v>20.23</c:v>
                </c:pt>
                <c:pt idx="144">
                  <c:v>18.71</c:v>
                </c:pt>
                <c:pt idx="145">
                  <c:v>19.170000000000002</c:v>
                </c:pt>
                <c:pt idx="146">
                  <c:v>19.52</c:v>
                </c:pt>
                <c:pt idx="147">
                  <c:v>19.670000000000002</c:v>
                </c:pt>
                <c:pt idx="148">
                  <c:v>19.05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43-4F0A-B9BD-EF496460C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'AARnetCBR-CamDTN1_tcpmon_ts_43'!$E$16:$E$611</c:f>
              <c:numCache>
                <c:formatCode>General</c:formatCode>
                <c:ptCount val="596"/>
                <c:pt idx="0">
                  <c:v>51.72</c:v>
                </c:pt>
                <c:pt idx="1">
                  <c:v>75.97</c:v>
                </c:pt>
                <c:pt idx="2">
                  <c:v>110.78</c:v>
                </c:pt>
                <c:pt idx="3">
                  <c:v>161.51</c:v>
                </c:pt>
                <c:pt idx="4">
                  <c:v>235.51</c:v>
                </c:pt>
                <c:pt idx="5">
                  <c:v>344.41</c:v>
                </c:pt>
                <c:pt idx="6">
                  <c:v>496.78</c:v>
                </c:pt>
                <c:pt idx="7">
                  <c:v>663.86</c:v>
                </c:pt>
                <c:pt idx="8">
                  <c:v>852.47</c:v>
                </c:pt>
                <c:pt idx="9">
                  <c:v>874.14</c:v>
                </c:pt>
                <c:pt idx="10">
                  <c:v>874.14</c:v>
                </c:pt>
                <c:pt idx="11">
                  <c:v>874.14</c:v>
                </c:pt>
                <c:pt idx="12">
                  <c:v>874.14</c:v>
                </c:pt>
                <c:pt idx="13">
                  <c:v>874.14</c:v>
                </c:pt>
                <c:pt idx="14">
                  <c:v>874.14</c:v>
                </c:pt>
                <c:pt idx="15">
                  <c:v>874.14</c:v>
                </c:pt>
                <c:pt idx="16">
                  <c:v>874.14</c:v>
                </c:pt>
                <c:pt idx="17">
                  <c:v>874.14</c:v>
                </c:pt>
                <c:pt idx="18">
                  <c:v>636.16</c:v>
                </c:pt>
                <c:pt idx="19">
                  <c:v>670.46</c:v>
                </c:pt>
                <c:pt idx="20">
                  <c:v>700.54</c:v>
                </c:pt>
                <c:pt idx="21">
                  <c:v>727.65</c:v>
                </c:pt>
                <c:pt idx="22">
                  <c:v>748.38</c:v>
                </c:pt>
                <c:pt idx="23">
                  <c:v>757.13</c:v>
                </c:pt>
                <c:pt idx="24">
                  <c:v>757.13</c:v>
                </c:pt>
                <c:pt idx="25">
                  <c:v>757.13</c:v>
                </c:pt>
                <c:pt idx="26">
                  <c:v>757.13</c:v>
                </c:pt>
                <c:pt idx="27">
                  <c:v>769.47</c:v>
                </c:pt>
                <c:pt idx="28">
                  <c:v>542.11</c:v>
                </c:pt>
                <c:pt idx="29">
                  <c:v>560.71</c:v>
                </c:pt>
                <c:pt idx="30">
                  <c:v>579.21</c:v>
                </c:pt>
                <c:pt idx="31">
                  <c:v>595</c:v>
                </c:pt>
                <c:pt idx="32">
                  <c:v>608.41</c:v>
                </c:pt>
                <c:pt idx="33">
                  <c:v>619.83000000000004</c:v>
                </c:pt>
                <c:pt idx="34">
                  <c:v>629.41</c:v>
                </c:pt>
                <c:pt idx="35">
                  <c:v>637.17999999999995</c:v>
                </c:pt>
                <c:pt idx="36">
                  <c:v>643.4</c:v>
                </c:pt>
                <c:pt idx="37">
                  <c:v>648.26</c:v>
                </c:pt>
                <c:pt idx="38">
                  <c:v>651.91999999999996</c:v>
                </c:pt>
                <c:pt idx="39">
                  <c:v>654.54999999999995</c:v>
                </c:pt>
                <c:pt idx="40">
                  <c:v>656.31</c:v>
                </c:pt>
                <c:pt idx="41">
                  <c:v>657.37</c:v>
                </c:pt>
                <c:pt idx="42">
                  <c:v>657.93</c:v>
                </c:pt>
                <c:pt idx="43">
                  <c:v>658.13</c:v>
                </c:pt>
                <c:pt idx="44">
                  <c:v>658.16</c:v>
                </c:pt>
                <c:pt idx="45">
                  <c:v>658.19</c:v>
                </c:pt>
                <c:pt idx="46">
                  <c:v>658.38</c:v>
                </c:pt>
                <c:pt idx="47">
                  <c:v>658.92</c:v>
                </c:pt>
                <c:pt idx="48">
                  <c:v>659.98</c:v>
                </c:pt>
                <c:pt idx="49">
                  <c:v>661.71</c:v>
                </c:pt>
                <c:pt idx="50">
                  <c:v>664.32</c:v>
                </c:pt>
                <c:pt idx="51">
                  <c:v>667.94</c:v>
                </c:pt>
                <c:pt idx="52">
                  <c:v>672.77</c:v>
                </c:pt>
                <c:pt idx="53">
                  <c:v>678.97</c:v>
                </c:pt>
                <c:pt idx="54">
                  <c:v>686.71</c:v>
                </c:pt>
                <c:pt idx="55">
                  <c:v>696.16</c:v>
                </c:pt>
                <c:pt idx="56">
                  <c:v>705.21</c:v>
                </c:pt>
                <c:pt idx="57">
                  <c:v>716.42</c:v>
                </c:pt>
                <c:pt idx="58">
                  <c:v>729.52</c:v>
                </c:pt>
                <c:pt idx="59">
                  <c:v>734.77</c:v>
                </c:pt>
                <c:pt idx="60">
                  <c:v>769.67</c:v>
                </c:pt>
                <c:pt idx="61">
                  <c:v>769.67</c:v>
                </c:pt>
                <c:pt idx="62">
                  <c:v>553.25</c:v>
                </c:pt>
                <c:pt idx="63">
                  <c:v>584.47</c:v>
                </c:pt>
                <c:pt idx="64">
                  <c:v>613.16999999999996</c:v>
                </c:pt>
                <c:pt idx="65">
                  <c:v>638.54999999999995</c:v>
                </c:pt>
                <c:pt idx="66">
                  <c:v>660.79</c:v>
                </c:pt>
                <c:pt idx="67">
                  <c:v>680.41</c:v>
                </c:pt>
                <c:pt idx="68">
                  <c:v>697.37</c:v>
                </c:pt>
                <c:pt idx="69">
                  <c:v>705.39</c:v>
                </c:pt>
                <c:pt idx="70">
                  <c:v>711.37</c:v>
                </c:pt>
                <c:pt idx="71">
                  <c:v>732.21</c:v>
                </c:pt>
                <c:pt idx="72">
                  <c:v>740.73</c:v>
                </c:pt>
                <c:pt idx="73">
                  <c:v>740.73</c:v>
                </c:pt>
                <c:pt idx="74">
                  <c:v>740.73</c:v>
                </c:pt>
                <c:pt idx="75">
                  <c:v>740.73</c:v>
                </c:pt>
                <c:pt idx="76">
                  <c:v>740.73</c:v>
                </c:pt>
                <c:pt idx="77">
                  <c:v>740.73</c:v>
                </c:pt>
                <c:pt idx="78">
                  <c:v>740.73</c:v>
                </c:pt>
                <c:pt idx="79">
                  <c:v>524.64</c:v>
                </c:pt>
                <c:pt idx="80">
                  <c:v>544.30999999999995</c:v>
                </c:pt>
                <c:pt idx="81">
                  <c:v>561.17999999999995</c:v>
                </c:pt>
                <c:pt idx="82">
                  <c:v>575.52</c:v>
                </c:pt>
                <c:pt idx="83">
                  <c:v>587.70000000000005</c:v>
                </c:pt>
                <c:pt idx="84">
                  <c:v>597.97</c:v>
                </c:pt>
                <c:pt idx="85">
                  <c:v>606.48</c:v>
                </c:pt>
                <c:pt idx="86">
                  <c:v>613.29999999999995</c:v>
                </c:pt>
                <c:pt idx="87">
                  <c:v>618.72</c:v>
                </c:pt>
                <c:pt idx="88">
                  <c:v>622.86</c:v>
                </c:pt>
                <c:pt idx="89">
                  <c:v>625.88</c:v>
                </c:pt>
                <c:pt idx="90">
                  <c:v>627.97</c:v>
                </c:pt>
                <c:pt idx="91">
                  <c:v>629.29999999999995</c:v>
                </c:pt>
                <c:pt idx="92">
                  <c:v>630.04999999999995</c:v>
                </c:pt>
                <c:pt idx="93">
                  <c:v>630.38</c:v>
                </c:pt>
                <c:pt idx="94">
                  <c:v>630.46</c:v>
                </c:pt>
                <c:pt idx="95">
                  <c:v>630.47</c:v>
                </c:pt>
                <c:pt idx="96">
                  <c:v>630.57000000000005</c:v>
                </c:pt>
                <c:pt idx="97">
                  <c:v>630.95000000000005</c:v>
                </c:pt>
                <c:pt idx="98">
                  <c:v>631.76</c:v>
                </c:pt>
                <c:pt idx="99">
                  <c:v>633.21</c:v>
                </c:pt>
                <c:pt idx="100">
                  <c:v>635.42999999999995</c:v>
                </c:pt>
                <c:pt idx="101">
                  <c:v>638.61</c:v>
                </c:pt>
                <c:pt idx="102">
                  <c:v>642.91999999999996</c:v>
                </c:pt>
                <c:pt idx="103">
                  <c:v>648.52</c:v>
                </c:pt>
                <c:pt idx="104">
                  <c:v>655.61</c:v>
                </c:pt>
                <c:pt idx="105">
                  <c:v>664.36</c:v>
                </c:pt>
                <c:pt idx="106">
                  <c:v>674.8</c:v>
                </c:pt>
                <c:pt idx="107">
                  <c:v>687.32</c:v>
                </c:pt>
                <c:pt idx="108">
                  <c:v>701.41</c:v>
                </c:pt>
                <c:pt idx="109">
                  <c:v>715.47</c:v>
                </c:pt>
                <c:pt idx="110">
                  <c:v>726.7</c:v>
                </c:pt>
                <c:pt idx="111">
                  <c:v>727.23</c:v>
                </c:pt>
                <c:pt idx="112">
                  <c:v>762.22</c:v>
                </c:pt>
                <c:pt idx="113">
                  <c:v>762.22</c:v>
                </c:pt>
                <c:pt idx="114">
                  <c:v>762.22</c:v>
                </c:pt>
                <c:pt idx="115">
                  <c:v>835.4</c:v>
                </c:pt>
                <c:pt idx="116">
                  <c:v>835.4</c:v>
                </c:pt>
                <c:pt idx="117">
                  <c:v>835.4</c:v>
                </c:pt>
                <c:pt idx="118">
                  <c:v>588.71</c:v>
                </c:pt>
                <c:pt idx="119">
                  <c:v>624.6</c:v>
                </c:pt>
                <c:pt idx="120">
                  <c:v>656.05</c:v>
                </c:pt>
                <c:pt idx="121">
                  <c:v>684.2</c:v>
                </c:pt>
                <c:pt idx="122">
                  <c:v>706.02</c:v>
                </c:pt>
                <c:pt idx="123">
                  <c:v>724.42</c:v>
                </c:pt>
                <c:pt idx="124">
                  <c:v>743.05</c:v>
                </c:pt>
                <c:pt idx="125">
                  <c:v>743.05</c:v>
                </c:pt>
                <c:pt idx="126">
                  <c:v>743.05</c:v>
                </c:pt>
                <c:pt idx="127">
                  <c:v>743.05</c:v>
                </c:pt>
                <c:pt idx="128">
                  <c:v>743.05</c:v>
                </c:pt>
                <c:pt idx="129">
                  <c:v>528.91</c:v>
                </c:pt>
                <c:pt idx="130">
                  <c:v>547.87</c:v>
                </c:pt>
                <c:pt idx="131">
                  <c:v>564.48</c:v>
                </c:pt>
                <c:pt idx="132">
                  <c:v>578.49</c:v>
                </c:pt>
                <c:pt idx="133">
                  <c:v>590.4</c:v>
                </c:pt>
                <c:pt idx="134">
                  <c:v>600.42999999999995</c:v>
                </c:pt>
                <c:pt idx="135">
                  <c:v>608.71</c:v>
                </c:pt>
                <c:pt idx="136">
                  <c:v>615.33000000000004</c:v>
                </c:pt>
                <c:pt idx="137">
                  <c:v>620.54999999999995</c:v>
                </c:pt>
                <c:pt idx="138">
                  <c:v>624.53</c:v>
                </c:pt>
                <c:pt idx="139">
                  <c:v>627.41</c:v>
                </c:pt>
                <c:pt idx="140">
                  <c:v>629.39</c:v>
                </c:pt>
                <c:pt idx="141">
                  <c:v>630.64</c:v>
                </c:pt>
                <c:pt idx="142">
                  <c:v>631.32000000000005</c:v>
                </c:pt>
                <c:pt idx="143">
                  <c:v>631.6</c:v>
                </c:pt>
                <c:pt idx="144">
                  <c:v>631.66</c:v>
                </c:pt>
                <c:pt idx="145">
                  <c:v>631.66999999999996</c:v>
                </c:pt>
                <c:pt idx="147">
                  <c:v>0</c:v>
                </c:pt>
                <c:pt idx="148">
                  <c:v>41.882100000000001</c:v>
                </c:pt>
                <c:pt idx="149">
                  <c:v>0</c:v>
                </c:pt>
                <c:pt idx="150">
                  <c:v>35</c:v>
                </c:pt>
                <c:pt idx="151">
                  <c:v>20</c:v>
                </c:pt>
                <c:pt idx="152">
                  <c:v>30</c:v>
                </c:pt>
                <c:pt idx="153">
                  <c:v>53</c:v>
                </c:pt>
                <c:pt idx="154">
                  <c:v>36</c:v>
                </c:pt>
                <c:pt idx="155">
                  <c:v>0</c:v>
                </c:pt>
                <c:pt idx="156">
                  <c:v>93</c:v>
                </c:pt>
                <c:pt idx="157">
                  <c:v>99</c:v>
                </c:pt>
                <c:pt idx="158">
                  <c:v>99</c:v>
                </c:pt>
                <c:pt idx="159">
                  <c:v>99</c:v>
                </c:pt>
                <c:pt idx="160">
                  <c:v>99</c:v>
                </c:pt>
                <c:pt idx="161">
                  <c:v>99</c:v>
                </c:pt>
                <c:pt idx="162">
                  <c:v>99</c:v>
                </c:pt>
                <c:pt idx="163">
                  <c:v>13</c:v>
                </c:pt>
                <c:pt idx="164">
                  <c:v>7</c:v>
                </c:pt>
                <c:pt idx="165">
                  <c:v>7</c:v>
                </c:pt>
                <c:pt idx="166">
                  <c:v>11</c:v>
                </c:pt>
                <c:pt idx="167">
                  <c:v>99</c:v>
                </c:pt>
                <c:pt idx="168">
                  <c:v>99</c:v>
                </c:pt>
                <c:pt idx="169">
                  <c:v>99</c:v>
                </c:pt>
                <c:pt idx="170">
                  <c:v>99</c:v>
                </c:pt>
                <c:pt idx="171">
                  <c:v>99</c:v>
                </c:pt>
                <c:pt idx="172">
                  <c:v>99</c:v>
                </c:pt>
                <c:pt idx="173">
                  <c:v>99</c:v>
                </c:pt>
                <c:pt idx="174">
                  <c:v>99</c:v>
                </c:pt>
                <c:pt idx="175">
                  <c:v>99</c:v>
                </c:pt>
                <c:pt idx="176">
                  <c:v>99</c:v>
                </c:pt>
                <c:pt idx="177">
                  <c:v>99</c:v>
                </c:pt>
                <c:pt idx="178">
                  <c:v>99</c:v>
                </c:pt>
                <c:pt idx="179">
                  <c:v>99</c:v>
                </c:pt>
                <c:pt idx="180">
                  <c:v>99</c:v>
                </c:pt>
                <c:pt idx="181">
                  <c:v>96</c:v>
                </c:pt>
                <c:pt idx="182">
                  <c:v>99</c:v>
                </c:pt>
                <c:pt idx="183">
                  <c:v>99</c:v>
                </c:pt>
                <c:pt idx="184">
                  <c:v>99</c:v>
                </c:pt>
                <c:pt idx="185">
                  <c:v>99</c:v>
                </c:pt>
                <c:pt idx="186">
                  <c:v>99</c:v>
                </c:pt>
                <c:pt idx="187">
                  <c:v>99</c:v>
                </c:pt>
                <c:pt idx="188">
                  <c:v>99</c:v>
                </c:pt>
                <c:pt idx="189">
                  <c:v>99</c:v>
                </c:pt>
                <c:pt idx="190">
                  <c:v>99</c:v>
                </c:pt>
                <c:pt idx="191">
                  <c:v>99</c:v>
                </c:pt>
                <c:pt idx="192">
                  <c:v>99</c:v>
                </c:pt>
                <c:pt idx="193">
                  <c:v>99</c:v>
                </c:pt>
                <c:pt idx="194">
                  <c:v>99</c:v>
                </c:pt>
                <c:pt idx="195">
                  <c:v>99</c:v>
                </c:pt>
                <c:pt idx="196">
                  <c:v>99</c:v>
                </c:pt>
                <c:pt idx="197">
                  <c:v>99</c:v>
                </c:pt>
                <c:pt idx="198">
                  <c:v>99</c:v>
                </c:pt>
                <c:pt idx="199">
                  <c:v>99</c:v>
                </c:pt>
                <c:pt idx="200">
                  <c:v>99</c:v>
                </c:pt>
                <c:pt idx="201">
                  <c:v>99</c:v>
                </c:pt>
                <c:pt idx="202">
                  <c:v>99</c:v>
                </c:pt>
                <c:pt idx="203">
                  <c:v>99</c:v>
                </c:pt>
                <c:pt idx="204">
                  <c:v>99</c:v>
                </c:pt>
                <c:pt idx="205">
                  <c:v>99</c:v>
                </c:pt>
                <c:pt idx="206">
                  <c:v>99</c:v>
                </c:pt>
                <c:pt idx="207">
                  <c:v>99</c:v>
                </c:pt>
                <c:pt idx="208">
                  <c:v>99</c:v>
                </c:pt>
                <c:pt idx="209">
                  <c:v>99</c:v>
                </c:pt>
                <c:pt idx="210">
                  <c:v>99</c:v>
                </c:pt>
                <c:pt idx="211">
                  <c:v>99</c:v>
                </c:pt>
                <c:pt idx="212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43-4F0A-B9BD-EF496460C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cwnd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Plots!$BI$1</c:f>
          <c:strCache>
            <c:ptCount val="1"/>
            <c:pt idx="0">
              <c:v>AARnetCBR-CamDTN1_tcpmon_tseries_22Feb24 5 Flows</c:v>
            </c:pt>
          </c:strCache>
        </c:strRef>
      </c:tx>
      <c:layout>
        <c:manualLayout>
          <c:xMode val="edge"/>
          <c:yMode val="edge"/>
          <c:x val="0.22945489864614385"/>
          <c:y val="2.99940011997600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4387650696206"/>
          <c:y val="0.18572241183162685"/>
          <c:w val="0.78975358482732028"/>
          <c:h val="0.57263936291240047"/>
        </c:manualLayout>
      </c:layout>
      <c:scatterChart>
        <c:scatterStyle val="lineMarker"/>
        <c:varyColors val="0"/>
        <c:ser>
          <c:idx val="1"/>
          <c:order val="0"/>
          <c:tx>
            <c:v>flow1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[0]!Tab51_flow_rate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D-4D34-A8AC-A683D53B88AF}"/>
            </c:ext>
          </c:extLst>
        </c:ser>
        <c:ser>
          <c:idx val="0"/>
          <c:order val="1"/>
          <c:tx>
            <c:v>flow2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[0]!Tab52_flow_rate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D-4D34-A8AC-A683D53B88AF}"/>
            </c:ext>
          </c:extLst>
        </c:ser>
        <c:ser>
          <c:idx val="2"/>
          <c:order val="2"/>
          <c:tx>
            <c:v>flow3</c:v>
          </c:tx>
          <c:spPr>
            <a:ln w="25400" cap="rnd">
              <a:noFill/>
              <a:round/>
            </a:ln>
            <a:effectLst/>
          </c:spPr>
          <c:marker>
            <c:symbol val="dot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[0]!Tab53_flow_rate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CD-4D34-A8AC-A683D53B88AF}"/>
            </c:ext>
          </c:extLst>
        </c:ser>
        <c:ser>
          <c:idx val="3"/>
          <c:order val="3"/>
          <c:tx>
            <c:v>flow4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[0]!Tab54_flow_rate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CD-4D34-A8AC-A683D53B88AF}"/>
            </c:ext>
          </c:extLst>
        </c:ser>
        <c:ser>
          <c:idx val="4"/>
          <c:order val="4"/>
          <c:tx>
            <c:v>flow5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[0]!Tab55_flow_rate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CD-4D34-A8AC-A683D53B8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335424173673207"/>
          <c:y val="0.18701011349690502"/>
          <c:w val="8.4915492487602981E-2"/>
          <c:h val="0.475821227895439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Plots!$BJ$4</c:f>
          <c:strCache>
            <c:ptCount val="1"/>
            <c:pt idx="0">
              <c:v>AARnetCBR-CamDTN1_tcpmon_tseries_22Feb24 5 Flows flow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[0]!Tab51_flow_rate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6-47CB-A22B-A40899F4D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[0]!Tab51_flow_retrans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6-47CB-A22B-A40899F4D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Plots!$BJ$5</c:f>
          <c:strCache>
            <c:ptCount val="1"/>
            <c:pt idx="0">
              <c:v>AARnetCBR-CamDTN1_tcpmon_tseries_22Feb24 5 Flows flow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[0]!Tab52_flow_rate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3A-4A83-86C4-E674F82F2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[0]!Tab52_flow_retrans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3A-4A83-86C4-E674F82F2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Plots!$BJ$6</c:f>
          <c:strCache>
            <c:ptCount val="1"/>
            <c:pt idx="0">
              <c:v>AARnetCBR-CamDTN1_tcpmon_tseries_22Feb24 5 Flows flow 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[0]!Tab53_flow_rate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B0-4DE6-9468-14F967BD0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[0]!Tab53_flow_retrans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B0-4DE6-9468-14F967BD0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Plots!$BJ$7</c:f>
          <c:strCache>
            <c:ptCount val="1"/>
            <c:pt idx="0">
              <c:v>AARnetCBR-CamDTN1_tcpmon_tseries_22Feb24 5 Flows flow 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[0]!Tab54_flow_rate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41-4A11-B74D-40EF2305B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[0]!Tab54_flow_retrans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41-4A11-B74D-40EF2305B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Plots!$BJ$8</c:f>
          <c:strCache>
            <c:ptCount val="1"/>
            <c:pt idx="0">
              <c:v>AARnetCBR-CamDTN1_tcpmon_tseries_22Feb24 5 Flows flow 5</c:v>
            </c:pt>
          </c:strCache>
        </c:strRef>
      </c:tx>
      <c:layout>
        <c:manualLayout>
          <c:xMode val="edge"/>
          <c:yMode val="edge"/>
          <c:x val="0.19203145157702745"/>
          <c:y val="2.3995200959808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[0]!Tab55_flow_rate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A9-407E-9AB1-40A2144A6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[0]!Tab55_flow_retrans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A9-407E-9AB1-40A2144A6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Plots!$A$1</c:f>
          <c:strCache>
            <c:ptCount val="1"/>
            <c:pt idx="0">
              <c:v>AARnetCBR-CamDTN1_tcpmon_tseries_22Feb24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Summary!$C$1</c:f>
              <c:strCache>
                <c:ptCount val="1"/>
                <c:pt idx="0">
                  <c:v>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[0]!TabSum_elapsed_time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[0]!TabSum_sum1</c:f>
              <c:numCache>
                <c:formatCode>General</c:formatCode>
                <c:ptCount val="14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0.08</c:v>
                </c:pt>
                <c:pt idx="5">
                  <c:v>0.15</c:v>
                </c:pt>
                <c:pt idx="6">
                  <c:v>0.24</c:v>
                </c:pt>
                <c:pt idx="7">
                  <c:v>0.37</c:v>
                </c:pt>
                <c:pt idx="8">
                  <c:v>0.55000000000000004</c:v>
                </c:pt>
                <c:pt idx="9">
                  <c:v>0.75</c:v>
                </c:pt>
                <c:pt idx="10">
                  <c:v>1.01</c:v>
                </c:pt>
                <c:pt idx="11">
                  <c:v>1.64</c:v>
                </c:pt>
                <c:pt idx="12">
                  <c:v>2.39</c:v>
                </c:pt>
                <c:pt idx="13">
                  <c:v>3.53</c:v>
                </c:pt>
                <c:pt idx="14">
                  <c:v>5.57</c:v>
                </c:pt>
                <c:pt idx="15">
                  <c:v>6.6</c:v>
                </c:pt>
                <c:pt idx="16">
                  <c:v>11.02</c:v>
                </c:pt>
                <c:pt idx="17">
                  <c:v>16.899999999999999</c:v>
                </c:pt>
                <c:pt idx="18">
                  <c:v>20.03</c:v>
                </c:pt>
                <c:pt idx="19">
                  <c:v>24.32</c:v>
                </c:pt>
                <c:pt idx="20">
                  <c:v>31.68</c:v>
                </c:pt>
                <c:pt idx="21">
                  <c:v>28.09</c:v>
                </c:pt>
                <c:pt idx="22">
                  <c:v>29.16</c:v>
                </c:pt>
                <c:pt idx="23">
                  <c:v>30.98</c:v>
                </c:pt>
                <c:pt idx="24">
                  <c:v>29.87</c:v>
                </c:pt>
                <c:pt idx="25">
                  <c:v>27.24</c:v>
                </c:pt>
                <c:pt idx="26">
                  <c:v>30.4</c:v>
                </c:pt>
                <c:pt idx="27">
                  <c:v>29.3</c:v>
                </c:pt>
                <c:pt idx="28">
                  <c:v>31.91</c:v>
                </c:pt>
                <c:pt idx="29">
                  <c:v>27.36</c:v>
                </c:pt>
                <c:pt idx="30">
                  <c:v>29.61</c:v>
                </c:pt>
                <c:pt idx="31">
                  <c:v>31.48</c:v>
                </c:pt>
                <c:pt idx="32">
                  <c:v>26.99</c:v>
                </c:pt>
                <c:pt idx="33">
                  <c:v>29.42</c:v>
                </c:pt>
                <c:pt idx="34">
                  <c:v>26.23</c:v>
                </c:pt>
                <c:pt idx="35">
                  <c:v>26.09</c:v>
                </c:pt>
                <c:pt idx="36">
                  <c:v>27.86</c:v>
                </c:pt>
                <c:pt idx="37">
                  <c:v>26.1</c:v>
                </c:pt>
                <c:pt idx="38">
                  <c:v>24.33</c:v>
                </c:pt>
                <c:pt idx="39">
                  <c:v>26.75</c:v>
                </c:pt>
                <c:pt idx="40">
                  <c:v>27.34</c:v>
                </c:pt>
                <c:pt idx="41">
                  <c:v>25.43</c:v>
                </c:pt>
                <c:pt idx="42">
                  <c:v>26.22</c:v>
                </c:pt>
                <c:pt idx="43">
                  <c:v>26.38</c:v>
                </c:pt>
                <c:pt idx="44">
                  <c:v>26.35</c:v>
                </c:pt>
                <c:pt idx="45">
                  <c:v>25.08</c:v>
                </c:pt>
                <c:pt idx="46">
                  <c:v>23.76</c:v>
                </c:pt>
                <c:pt idx="47">
                  <c:v>26.2</c:v>
                </c:pt>
                <c:pt idx="48">
                  <c:v>27.49</c:v>
                </c:pt>
                <c:pt idx="49">
                  <c:v>26.07</c:v>
                </c:pt>
                <c:pt idx="50">
                  <c:v>24.66</c:v>
                </c:pt>
                <c:pt idx="51">
                  <c:v>25.6</c:v>
                </c:pt>
                <c:pt idx="52">
                  <c:v>25.83</c:v>
                </c:pt>
                <c:pt idx="53">
                  <c:v>25.9</c:v>
                </c:pt>
                <c:pt idx="54">
                  <c:v>25.98</c:v>
                </c:pt>
                <c:pt idx="55">
                  <c:v>25.97</c:v>
                </c:pt>
                <c:pt idx="56">
                  <c:v>26.11</c:v>
                </c:pt>
                <c:pt idx="57">
                  <c:v>27.6</c:v>
                </c:pt>
                <c:pt idx="58">
                  <c:v>25.96</c:v>
                </c:pt>
                <c:pt idx="59">
                  <c:v>25.03</c:v>
                </c:pt>
                <c:pt idx="60">
                  <c:v>25.35</c:v>
                </c:pt>
                <c:pt idx="61">
                  <c:v>25.82</c:v>
                </c:pt>
                <c:pt idx="62">
                  <c:v>25.92</c:v>
                </c:pt>
                <c:pt idx="63">
                  <c:v>26.28</c:v>
                </c:pt>
                <c:pt idx="64">
                  <c:v>26.18</c:v>
                </c:pt>
                <c:pt idx="65">
                  <c:v>27</c:v>
                </c:pt>
                <c:pt idx="66">
                  <c:v>26.33</c:v>
                </c:pt>
                <c:pt idx="67">
                  <c:v>26</c:v>
                </c:pt>
                <c:pt idx="68">
                  <c:v>26.21</c:v>
                </c:pt>
                <c:pt idx="69">
                  <c:v>26.35</c:v>
                </c:pt>
                <c:pt idx="70">
                  <c:v>26.23</c:v>
                </c:pt>
                <c:pt idx="71">
                  <c:v>26</c:v>
                </c:pt>
                <c:pt idx="72">
                  <c:v>26.33</c:v>
                </c:pt>
                <c:pt idx="73">
                  <c:v>25.59</c:v>
                </c:pt>
                <c:pt idx="74">
                  <c:v>26.47</c:v>
                </c:pt>
                <c:pt idx="75">
                  <c:v>25.48</c:v>
                </c:pt>
                <c:pt idx="76">
                  <c:v>26.06</c:v>
                </c:pt>
                <c:pt idx="77">
                  <c:v>26.2</c:v>
                </c:pt>
                <c:pt idx="78">
                  <c:v>25.8</c:v>
                </c:pt>
                <c:pt idx="79">
                  <c:v>25.91</c:v>
                </c:pt>
                <c:pt idx="80">
                  <c:v>26.45</c:v>
                </c:pt>
                <c:pt idx="81">
                  <c:v>25.11</c:v>
                </c:pt>
                <c:pt idx="82">
                  <c:v>25.22</c:v>
                </c:pt>
                <c:pt idx="83">
                  <c:v>26.39</c:v>
                </c:pt>
                <c:pt idx="84">
                  <c:v>26.47</c:v>
                </c:pt>
                <c:pt idx="85">
                  <c:v>26.33</c:v>
                </c:pt>
                <c:pt idx="86">
                  <c:v>25.84</c:v>
                </c:pt>
                <c:pt idx="87">
                  <c:v>26.12</c:v>
                </c:pt>
                <c:pt idx="88">
                  <c:v>26.14</c:v>
                </c:pt>
                <c:pt idx="89">
                  <c:v>26.12</c:v>
                </c:pt>
                <c:pt idx="90">
                  <c:v>25.53</c:v>
                </c:pt>
                <c:pt idx="91">
                  <c:v>25.85</c:v>
                </c:pt>
                <c:pt idx="92">
                  <c:v>26.61</c:v>
                </c:pt>
                <c:pt idx="93">
                  <c:v>26.18</c:v>
                </c:pt>
                <c:pt idx="94">
                  <c:v>25.14</c:v>
                </c:pt>
                <c:pt idx="95">
                  <c:v>26.3</c:v>
                </c:pt>
                <c:pt idx="96">
                  <c:v>26.54</c:v>
                </c:pt>
                <c:pt idx="97">
                  <c:v>25.91</c:v>
                </c:pt>
                <c:pt idx="98">
                  <c:v>26.04</c:v>
                </c:pt>
                <c:pt idx="99">
                  <c:v>25.2</c:v>
                </c:pt>
                <c:pt idx="100">
                  <c:v>24.84</c:v>
                </c:pt>
                <c:pt idx="101">
                  <c:v>25.91</c:v>
                </c:pt>
                <c:pt idx="102">
                  <c:v>26.29</c:v>
                </c:pt>
                <c:pt idx="103">
                  <c:v>26.75</c:v>
                </c:pt>
                <c:pt idx="104">
                  <c:v>25.81</c:v>
                </c:pt>
                <c:pt idx="105">
                  <c:v>26.57</c:v>
                </c:pt>
                <c:pt idx="106">
                  <c:v>26.24</c:v>
                </c:pt>
                <c:pt idx="107">
                  <c:v>26.23</c:v>
                </c:pt>
                <c:pt idx="108">
                  <c:v>26.12</c:v>
                </c:pt>
                <c:pt idx="109">
                  <c:v>26.02</c:v>
                </c:pt>
                <c:pt idx="110">
                  <c:v>26.11</c:v>
                </c:pt>
                <c:pt idx="111">
                  <c:v>25.77</c:v>
                </c:pt>
                <c:pt idx="112">
                  <c:v>26.21</c:v>
                </c:pt>
                <c:pt idx="113">
                  <c:v>25.03</c:v>
                </c:pt>
                <c:pt idx="114">
                  <c:v>25.39</c:v>
                </c:pt>
                <c:pt idx="115">
                  <c:v>26.47</c:v>
                </c:pt>
                <c:pt idx="116">
                  <c:v>26.35</c:v>
                </c:pt>
                <c:pt idx="117">
                  <c:v>26.51</c:v>
                </c:pt>
                <c:pt idx="118">
                  <c:v>26.13</c:v>
                </c:pt>
                <c:pt idx="119">
                  <c:v>25.73</c:v>
                </c:pt>
                <c:pt idx="120">
                  <c:v>25.66</c:v>
                </c:pt>
                <c:pt idx="121">
                  <c:v>26.02</c:v>
                </c:pt>
                <c:pt idx="122">
                  <c:v>25.9</c:v>
                </c:pt>
                <c:pt idx="123">
                  <c:v>25.37</c:v>
                </c:pt>
                <c:pt idx="124">
                  <c:v>26.75</c:v>
                </c:pt>
                <c:pt idx="125">
                  <c:v>26.07</c:v>
                </c:pt>
                <c:pt idx="126">
                  <c:v>26.35</c:v>
                </c:pt>
                <c:pt idx="127">
                  <c:v>26.15</c:v>
                </c:pt>
                <c:pt idx="128">
                  <c:v>25.61</c:v>
                </c:pt>
                <c:pt idx="129">
                  <c:v>25.3</c:v>
                </c:pt>
                <c:pt idx="130">
                  <c:v>26.3</c:v>
                </c:pt>
                <c:pt idx="131">
                  <c:v>26.43</c:v>
                </c:pt>
                <c:pt idx="132">
                  <c:v>26.16</c:v>
                </c:pt>
                <c:pt idx="133">
                  <c:v>25.9</c:v>
                </c:pt>
                <c:pt idx="134">
                  <c:v>26.09</c:v>
                </c:pt>
                <c:pt idx="135">
                  <c:v>25.88</c:v>
                </c:pt>
                <c:pt idx="136">
                  <c:v>26.03</c:v>
                </c:pt>
                <c:pt idx="137">
                  <c:v>26.15</c:v>
                </c:pt>
                <c:pt idx="138">
                  <c:v>25.86</c:v>
                </c:pt>
                <c:pt idx="139">
                  <c:v>24.53</c:v>
                </c:pt>
                <c:pt idx="140">
                  <c:v>26.42</c:v>
                </c:pt>
                <c:pt idx="141">
                  <c:v>26.24</c:v>
                </c:pt>
                <c:pt idx="142">
                  <c:v>26.2</c:v>
                </c:pt>
                <c:pt idx="143">
                  <c:v>26.48</c:v>
                </c:pt>
                <c:pt idx="144">
                  <c:v>25.88</c:v>
                </c:pt>
                <c:pt idx="145">
                  <c:v>26.05</c:v>
                </c:pt>
                <c:pt idx="146">
                  <c:v>26.27</c:v>
                </c:pt>
                <c:pt idx="147">
                  <c:v>26</c:v>
                </c:pt>
                <c:pt idx="148">
                  <c:v>25.9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E9-4EA0-9B3B-FC4DFAA8A8CB}"/>
            </c:ext>
          </c:extLst>
        </c:ser>
        <c:ser>
          <c:idx val="1"/>
          <c:order val="1"/>
          <c:tx>
            <c:strRef>
              <c:f>Summary!$D$1</c:f>
              <c:strCache>
                <c:ptCount val="1"/>
                <c:pt idx="0">
                  <c:v>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[0]!TabSum_elapsed_time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[0]!TabSum_sum2</c:f>
              <c:numCache>
                <c:formatCode>General</c:formatCode>
                <c:ptCount val="149"/>
                <c:pt idx="0">
                  <c:v>0.2</c:v>
                </c:pt>
                <c:pt idx="1">
                  <c:v>1.37</c:v>
                </c:pt>
                <c:pt idx="2">
                  <c:v>1.52</c:v>
                </c:pt>
                <c:pt idx="3">
                  <c:v>2.52</c:v>
                </c:pt>
                <c:pt idx="4">
                  <c:v>3.72</c:v>
                </c:pt>
                <c:pt idx="5">
                  <c:v>5.6099999999999994</c:v>
                </c:pt>
                <c:pt idx="6">
                  <c:v>8.34</c:v>
                </c:pt>
                <c:pt idx="7">
                  <c:v>11.09</c:v>
                </c:pt>
                <c:pt idx="8">
                  <c:v>17.21</c:v>
                </c:pt>
                <c:pt idx="9">
                  <c:v>23.009999999999998</c:v>
                </c:pt>
                <c:pt idx="10">
                  <c:v>31.17</c:v>
                </c:pt>
                <c:pt idx="11">
                  <c:v>44.14</c:v>
                </c:pt>
                <c:pt idx="12">
                  <c:v>49.5</c:v>
                </c:pt>
                <c:pt idx="13">
                  <c:v>53.53</c:v>
                </c:pt>
                <c:pt idx="14">
                  <c:v>57.94</c:v>
                </c:pt>
                <c:pt idx="15">
                  <c:v>54.42</c:v>
                </c:pt>
                <c:pt idx="16">
                  <c:v>56.09</c:v>
                </c:pt>
                <c:pt idx="17">
                  <c:v>60.120000000000005</c:v>
                </c:pt>
                <c:pt idx="18">
                  <c:v>57.55</c:v>
                </c:pt>
                <c:pt idx="19">
                  <c:v>53.96</c:v>
                </c:pt>
                <c:pt idx="20">
                  <c:v>57.53</c:v>
                </c:pt>
                <c:pt idx="21">
                  <c:v>62.17</c:v>
                </c:pt>
                <c:pt idx="22">
                  <c:v>54.44</c:v>
                </c:pt>
                <c:pt idx="23">
                  <c:v>57.3</c:v>
                </c:pt>
                <c:pt idx="24">
                  <c:v>56.9</c:v>
                </c:pt>
                <c:pt idx="25">
                  <c:v>56.83</c:v>
                </c:pt>
                <c:pt idx="26">
                  <c:v>58.5</c:v>
                </c:pt>
                <c:pt idx="27">
                  <c:v>57.32</c:v>
                </c:pt>
                <c:pt idx="28">
                  <c:v>56.6</c:v>
                </c:pt>
                <c:pt idx="29">
                  <c:v>54.68</c:v>
                </c:pt>
                <c:pt idx="30">
                  <c:v>59.28</c:v>
                </c:pt>
                <c:pt idx="31">
                  <c:v>54.13</c:v>
                </c:pt>
                <c:pt idx="32">
                  <c:v>56.53</c:v>
                </c:pt>
                <c:pt idx="33">
                  <c:v>59.730000000000004</c:v>
                </c:pt>
                <c:pt idx="34">
                  <c:v>59.91</c:v>
                </c:pt>
                <c:pt idx="35">
                  <c:v>54</c:v>
                </c:pt>
                <c:pt idx="36">
                  <c:v>58.31</c:v>
                </c:pt>
                <c:pt idx="37">
                  <c:v>54.2</c:v>
                </c:pt>
                <c:pt idx="38">
                  <c:v>57.2</c:v>
                </c:pt>
                <c:pt idx="39">
                  <c:v>59.05</c:v>
                </c:pt>
                <c:pt idx="40">
                  <c:v>55.900000000000006</c:v>
                </c:pt>
                <c:pt idx="41">
                  <c:v>55.870000000000005</c:v>
                </c:pt>
                <c:pt idx="42">
                  <c:v>58.58</c:v>
                </c:pt>
                <c:pt idx="43">
                  <c:v>61.04</c:v>
                </c:pt>
                <c:pt idx="44">
                  <c:v>55.72</c:v>
                </c:pt>
                <c:pt idx="45">
                  <c:v>55.97</c:v>
                </c:pt>
                <c:pt idx="46">
                  <c:v>58.239999999999995</c:v>
                </c:pt>
                <c:pt idx="47">
                  <c:v>54.21</c:v>
                </c:pt>
                <c:pt idx="48">
                  <c:v>57.17</c:v>
                </c:pt>
                <c:pt idx="49">
                  <c:v>62.69</c:v>
                </c:pt>
                <c:pt idx="50">
                  <c:v>53.81</c:v>
                </c:pt>
                <c:pt idx="51">
                  <c:v>57.35</c:v>
                </c:pt>
                <c:pt idx="52">
                  <c:v>56.41</c:v>
                </c:pt>
                <c:pt idx="53">
                  <c:v>58.47</c:v>
                </c:pt>
                <c:pt idx="54">
                  <c:v>54.68</c:v>
                </c:pt>
                <c:pt idx="55">
                  <c:v>56.620000000000005</c:v>
                </c:pt>
                <c:pt idx="56">
                  <c:v>58.519999999999996</c:v>
                </c:pt>
                <c:pt idx="57">
                  <c:v>59.41</c:v>
                </c:pt>
                <c:pt idx="58">
                  <c:v>55.3</c:v>
                </c:pt>
                <c:pt idx="59">
                  <c:v>58.06</c:v>
                </c:pt>
                <c:pt idx="60">
                  <c:v>58.24</c:v>
                </c:pt>
                <c:pt idx="61">
                  <c:v>55.54</c:v>
                </c:pt>
                <c:pt idx="62">
                  <c:v>58.08</c:v>
                </c:pt>
                <c:pt idx="63">
                  <c:v>56.269999999999996</c:v>
                </c:pt>
                <c:pt idx="64">
                  <c:v>58.81</c:v>
                </c:pt>
                <c:pt idx="65">
                  <c:v>56.58</c:v>
                </c:pt>
                <c:pt idx="66">
                  <c:v>56.55</c:v>
                </c:pt>
                <c:pt idx="67">
                  <c:v>57.55</c:v>
                </c:pt>
                <c:pt idx="68">
                  <c:v>56.56</c:v>
                </c:pt>
                <c:pt idx="69">
                  <c:v>57.93</c:v>
                </c:pt>
                <c:pt idx="70">
                  <c:v>56.26</c:v>
                </c:pt>
                <c:pt idx="71">
                  <c:v>58.36</c:v>
                </c:pt>
                <c:pt idx="72">
                  <c:v>55.7</c:v>
                </c:pt>
                <c:pt idx="73">
                  <c:v>58.09</c:v>
                </c:pt>
                <c:pt idx="74">
                  <c:v>57.08</c:v>
                </c:pt>
                <c:pt idx="75">
                  <c:v>57.64</c:v>
                </c:pt>
                <c:pt idx="76">
                  <c:v>55.54</c:v>
                </c:pt>
                <c:pt idx="77">
                  <c:v>57.879999999999995</c:v>
                </c:pt>
                <c:pt idx="78">
                  <c:v>58.89</c:v>
                </c:pt>
                <c:pt idx="79">
                  <c:v>56.31</c:v>
                </c:pt>
                <c:pt idx="80">
                  <c:v>57.129999999999995</c:v>
                </c:pt>
                <c:pt idx="81">
                  <c:v>58.15</c:v>
                </c:pt>
                <c:pt idx="82">
                  <c:v>55.7</c:v>
                </c:pt>
                <c:pt idx="83">
                  <c:v>57.83</c:v>
                </c:pt>
                <c:pt idx="84">
                  <c:v>56.22</c:v>
                </c:pt>
                <c:pt idx="85">
                  <c:v>57.730000000000004</c:v>
                </c:pt>
                <c:pt idx="86">
                  <c:v>57.19</c:v>
                </c:pt>
                <c:pt idx="87">
                  <c:v>57.39</c:v>
                </c:pt>
                <c:pt idx="88">
                  <c:v>56.5</c:v>
                </c:pt>
                <c:pt idx="89">
                  <c:v>58.370000000000005</c:v>
                </c:pt>
                <c:pt idx="90">
                  <c:v>54.13</c:v>
                </c:pt>
                <c:pt idx="91">
                  <c:v>57.72</c:v>
                </c:pt>
                <c:pt idx="92">
                  <c:v>61.39</c:v>
                </c:pt>
                <c:pt idx="93">
                  <c:v>54.64</c:v>
                </c:pt>
                <c:pt idx="94">
                  <c:v>58.59</c:v>
                </c:pt>
                <c:pt idx="95">
                  <c:v>53.980000000000004</c:v>
                </c:pt>
                <c:pt idx="96">
                  <c:v>57.97</c:v>
                </c:pt>
                <c:pt idx="97">
                  <c:v>62.120000000000005</c:v>
                </c:pt>
                <c:pt idx="98">
                  <c:v>54.52</c:v>
                </c:pt>
                <c:pt idx="99">
                  <c:v>56.68</c:v>
                </c:pt>
                <c:pt idx="100">
                  <c:v>57.7</c:v>
                </c:pt>
                <c:pt idx="101">
                  <c:v>56.21</c:v>
                </c:pt>
                <c:pt idx="102">
                  <c:v>58.46</c:v>
                </c:pt>
                <c:pt idx="103">
                  <c:v>54.58</c:v>
                </c:pt>
                <c:pt idx="104">
                  <c:v>56.34</c:v>
                </c:pt>
                <c:pt idx="105">
                  <c:v>60.16</c:v>
                </c:pt>
                <c:pt idx="106">
                  <c:v>57.849999999999994</c:v>
                </c:pt>
                <c:pt idx="107">
                  <c:v>54.28</c:v>
                </c:pt>
                <c:pt idx="108">
                  <c:v>61.83</c:v>
                </c:pt>
                <c:pt idx="109">
                  <c:v>54.18</c:v>
                </c:pt>
                <c:pt idx="110">
                  <c:v>57.91</c:v>
                </c:pt>
                <c:pt idx="111">
                  <c:v>57.46</c:v>
                </c:pt>
                <c:pt idx="112">
                  <c:v>56.230000000000004</c:v>
                </c:pt>
                <c:pt idx="113">
                  <c:v>58.1</c:v>
                </c:pt>
                <c:pt idx="114">
                  <c:v>54.99</c:v>
                </c:pt>
                <c:pt idx="115">
                  <c:v>56.28</c:v>
                </c:pt>
                <c:pt idx="116">
                  <c:v>57.44</c:v>
                </c:pt>
                <c:pt idx="117">
                  <c:v>58.9</c:v>
                </c:pt>
                <c:pt idx="118">
                  <c:v>59.3</c:v>
                </c:pt>
                <c:pt idx="119">
                  <c:v>56.26</c:v>
                </c:pt>
                <c:pt idx="120">
                  <c:v>56.099999999999994</c:v>
                </c:pt>
                <c:pt idx="121">
                  <c:v>58.56</c:v>
                </c:pt>
                <c:pt idx="122">
                  <c:v>55.510000000000005</c:v>
                </c:pt>
                <c:pt idx="123">
                  <c:v>58.81</c:v>
                </c:pt>
                <c:pt idx="124">
                  <c:v>57.31</c:v>
                </c:pt>
                <c:pt idx="125">
                  <c:v>58.26</c:v>
                </c:pt>
                <c:pt idx="126">
                  <c:v>56.94</c:v>
                </c:pt>
                <c:pt idx="127">
                  <c:v>55.4</c:v>
                </c:pt>
                <c:pt idx="128">
                  <c:v>57.17</c:v>
                </c:pt>
                <c:pt idx="129">
                  <c:v>57.07</c:v>
                </c:pt>
                <c:pt idx="130">
                  <c:v>57.05</c:v>
                </c:pt>
                <c:pt idx="131">
                  <c:v>55.43</c:v>
                </c:pt>
                <c:pt idx="132">
                  <c:v>57.14</c:v>
                </c:pt>
                <c:pt idx="133">
                  <c:v>58.69</c:v>
                </c:pt>
                <c:pt idx="134">
                  <c:v>57.35</c:v>
                </c:pt>
                <c:pt idx="135">
                  <c:v>56.54</c:v>
                </c:pt>
                <c:pt idx="136">
                  <c:v>58.099999999999994</c:v>
                </c:pt>
                <c:pt idx="137">
                  <c:v>54.61</c:v>
                </c:pt>
                <c:pt idx="138">
                  <c:v>56.03</c:v>
                </c:pt>
                <c:pt idx="139">
                  <c:v>58.97</c:v>
                </c:pt>
                <c:pt idx="140">
                  <c:v>60.260000000000005</c:v>
                </c:pt>
                <c:pt idx="141">
                  <c:v>55.33</c:v>
                </c:pt>
                <c:pt idx="142">
                  <c:v>57.31</c:v>
                </c:pt>
                <c:pt idx="143">
                  <c:v>55.7</c:v>
                </c:pt>
                <c:pt idx="144">
                  <c:v>59.46</c:v>
                </c:pt>
                <c:pt idx="145">
                  <c:v>54.26</c:v>
                </c:pt>
                <c:pt idx="146">
                  <c:v>56.040000000000006</c:v>
                </c:pt>
                <c:pt idx="147">
                  <c:v>59.33</c:v>
                </c:pt>
                <c:pt idx="148">
                  <c:v>59.349999999999994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E9-4EA0-9B3B-FC4DFAA8A8CB}"/>
            </c:ext>
          </c:extLst>
        </c:ser>
        <c:ser>
          <c:idx val="2"/>
          <c:order val="2"/>
          <c:tx>
            <c:strRef>
              <c:f>Summary!$E$1</c:f>
              <c:strCache>
                <c:ptCount val="1"/>
                <c:pt idx="0">
                  <c:v>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[0]!TabSum_elapsed_time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[0]!TabSum_sum3</c:f>
              <c:numCache>
                <c:formatCode>General</c:formatCode>
                <c:ptCount val="149"/>
                <c:pt idx="0">
                  <c:v>0.23</c:v>
                </c:pt>
                <c:pt idx="1">
                  <c:v>1.2</c:v>
                </c:pt>
                <c:pt idx="2">
                  <c:v>1.36</c:v>
                </c:pt>
                <c:pt idx="3">
                  <c:v>2.23</c:v>
                </c:pt>
                <c:pt idx="4">
                  <c:v>3.3000000000000003</c:v>
                </c:pt>
                <c:pt idx="5">
                  <c:v>4.9700000000000006</c:v>
                </c:pt>
                <c:pt idx="6">
                  <c:v>7.37</c:v>
                </c:pt>
                <c:pt idx="7">
                  <c:v>10.129999999999999</c:v>
                </c:pt>
                <c:pt idx="8">
                  <c:v>15.05</c:v>
                </c:pt>
                <c:pt idx="9">
                  <c:v>23.919999999999998</c:v>
                </c:pt>
                <c:pt idx="10">
                  <c:v>30.94</c:v>
                </c:pt>
                <c:pt idx="11">
                  <c:v>37.25</c:v>
                </c:pt>
                <c:pt idx="12">
                  <c:v>52.83</c:v>
                </c:pt>
                <c:pt idx="13">
                  <c:v>53.13</c:v>
                </c:pt>
                <c:pt idx="14">
                  <c:v>56.46</c:v>
                </c:pt>
                <c:pt idx="15">
                  <c:v>54.010000000000005</c:v>
                </c:pt>
                <c:pt idx="16">
                  <c:v>59.059999999999995</c:v>
                </c:pt>
                <c:pt idx="17">
                  <c:v>62.379999999999995</c:v>
                </c:pt>
                <c:pt idx="18">
                  <c:v>71.78</c:v>
                </c:pt>
                <c:pt idx="19">
                  <c:v>63.730000000000004</c:v>
                </c:pt>
                <c:pt idx="20">
                  <c:v>74.55</c:v>
                </c:pt>
                <c:pt idx="21">
                  <c:v>63.79</c:v>
                </c:pt>
                <c:pt idx="22">
                  <c:v>73.77</c:v>
                </c:pt>
                <c:pt idx="23">
                  <c:v>60.870000000000005</c:v>
                </c:pt>
                <c:pt idx="24">
                  <c:v>73.63</c:v>
                </c:pt>
                <c:pt idx="25">
                  <c:v>67.31</c:v>
                </c:pt>
                <c:pt idx="26">
                  <c:v>62.519999999999996</c:v>
                </c:pt>
                <c:pt idx="27">
                  <c:v>70.86</c:v>
                </c:pt>
                <c:pt idx="28">
                  <c:v>65.61</c:v>
                </c:pt>
                <c:pt idx="29">
                  <c:v>71.94</c:v>
                </c:pt>
                <c:pt idx="30">
                  <c:v>60.89</c:v>
                </c:pt>
                <c:pt idx="31">
                  <c:v>74.13</c:v>
                </c:pt>
                <c:pt idx="32">
                  <c:v>60.75</c:v>
                </c:pt>
                <c:pt idx="33">
                  <c:v>74.72999999999999</c:v>
                </c:pt>
                <c:pt idx="34">
                  <c:v>60.53</c:v>
                </c:pt>
                <c:pt idx="35">
                  <c:v>72.330000000000013</c:v>
                </c:pt>
                <c:pt idx="36">
                  <c:v>62.2</c:v>
                </c:pt>
                <c:pt idx="37">
                  <c:v>74.55</c:v>
                </c:pt>
                <c:pt idx="38">
                  <c:v>60.44</c:v>
                </c:pt>
                <c:pt idx="39">
                  <c:v>71.14</c:v>
                </c:pt>
                <c:pt idx="40">
                  <c:v>68.97</c:v>
                </c:pt>
                <c:pt idx="41">
                  <c:v>63.429999999999993</c:v>
                </c:pt>
                <c:pt idx="42">
                  <c:v>73.95</c:v>
                </c:pt>
                <c:pt idx="43">
                  <c:v>59.83</c:v>
                </c:pt>
                <c:pt idx="44">
                  <c:v>73.06</c:v>
                </c:pt>
                <c:pt idx="45">
                  <c:v>62.43</c:v>
                </c:pt>
                <c:pt idx="46">
                  <c:v>74.31</c:v>
                </c:pt>
                <c:pt idx="47">
                  <c:v>60.350000000000009</c:v>
                </c:pt>
                <c:pt idx="48">
                  <c:v>72.92</c:v>
                </c:pt>
                <c:pt idx="49">
                  <c:v>62.34</c:v>
                </c:pt>
                <c:pt idx="50">
                  <c:v>74.11</c:v>
                </c:pt>
                <c:pt idx="51">
                  <c:v>61.81</c:v>
                </c:pt>
                <c:pt idx="52">
                  <c:v>71.92</c:v>
                </c:pt>
                <c:pt idx="53">
                  <c:v>63.05</c:v>
                </c:pt>
                <c:pt idx="54">
                  <c:v>72.92</c:v>
                </c:pt>
                <c:pt idx="55">
                  <c:v>61.230000000000004</c:v>
                </c:pt>
                <c:pt idx="56">
                  <c:v>74.19</c:v>
                </c:pt>
                <c:pt idx="57">
                  <c:v>60.67</c:v>
                </c:pt>
                <c:pt idx="58">
                  <c:v>74.789999999999992</c:v>
                </c:pt>
                <c:pt idx="59">
                  <c:v>60.2</c:v>
                </c:pt>
                <c:pt idx="60">
                  <c:v>75.210000000000008</c:v>
                </c:pt>
                <c:pt idx="61">
                  <c:v>60.19</c:v>
                </c:pt>
                <c:pt idx="62">
                  <c:v>73.569999999999993</c:v>
                </c:pt>
                <c:pt idx="63">
                  <c:v>66.41</c:v>
                </c:pt>
                <c:pt idx="64">
                  <c:v>63.59</c:v>
                </c:pt>
                <c:pt idx="65">
                  <c:v>72.61</c:v>
                </c:pt>
                <c:pt idx="66">
                  <c:v>60.959999999999994</c:v>
                </c:pt>
                <c:pt idx="67">
                  <c:v>74.62</c:v>
                </c:pt>
                <c:pt idx="68">
                  <c:v>60.349999999999994</c:v>
                </c:pt>
                <c:pt idx="69">
                  <c:v>74.23</c:v>
                </c:pt>
                <c:pt idx="70">
                  <c:v>60.870000000000005</c:v>
                </c:pt>
                <c:pt idx="71">
                  <c:v>73.5</c:v>
                </c:pt>
                <c:pt idx="72">
                  <c:v>62.08</c:v>
                </c:pt>
                <c:pt idx="73">
                  <c:v>74.31</c:v>
                </c:pt>
                <c:pt idx="74">
                  <c:v>60.83</c:v>
                </c:pt>
                <c:pt idx="75">
                  <c:v>72.27000000000001</c:v>
                </c:pt>
                <c:pt idx="76">
                  <c:v>64.09</c:v>
                </c:pt>
                <c:pt idx="77">
                  <c:v>72.88</c:v>
                </c:pt>
                <c:pt idx="78">
                  <c:v>59.899999999999991</c:v>
                </c:pt>
                <c:pt idx="79">
                  <c:v>74.58</c:v>
                </c:pt>
                <c:pt idx="80">
                  <c:v>60.5</c:v>
                </c:pt>
                <c:pt idx="81">
                  <c:v>74.28</c:v>
                </c:pt>
                <c:pt idx="82">
                  <c:v>61.04</c:v>
                </c:pt>
                <c:pt idx="83">
                  <c:v>72.81</c:v>
                </c:pt>
                <c:pt idx="84">
                  <c:v>62.33</c:v>
                </c:pt>
                <c:pt idx="85">
                  <c:v>74.77</c:v>
                </c:pt>
                <c:pt idx="86">
                  <c:v>60.1</c:v>
                </c:pt>
                <c:pt idx="87">
                  <c:v>74.319999999999993</c:v>
                </c:pt>
                <c:pt idx="88">
                  <c:v>60.65</c:v>
                </c:pt>
                <c:pt idx="89">
                  <c:v>74.53</c:v>
                </c:pt>
                <c:pt idx="90">
                  <c:v>60.2</c:v>
                </c:pt>
                <c:pt idx="91">
                  <c:v>74.819999999999993</c:v>
                </c:pt>
                <c:pt idx="92">
                  <c:v>60.11</c:v>
                </c:pt>
                <c:pt idx="93">
                  <c:v>72.539999999999992</c:v>
                </c:pt>
                <c:pt idx="94">
                  <c:v>63.879999999999995</c:v>
                </c:pt>
                <c:pt idx="95">
                  <c:v>73.56</c:v>
                </c:pt>
                <c:pt idx="96">
                  <c:v>60.230000000000004</c:v>
                </c:pt>
                <c:pt idx="97">
                  <c:v>74.12</c:v>
                </c:pt>
                <c:pt idx="98">
                  <c:v>60.930000000000007</c:v>
                </c:pt>
                <c:pt idx="99">
                  <c:v>74.600000000000009</c:v>
                </c:pt>
                <c:pt idx="100">
                  <c:v>60.33</c:v>
                </c:pt>
                <c:pt idx="101">
                  <c:v>72.89</c:v>
                </c:pt>
                <c:pt idx="102">
                  <c:v>62.31</c:v>
                </c:pt>
                <c:pt idx="103">
                  <c:v>74.22</c:v>
                </c:pt>
                <c:pt idx="104">
                  <c:v>60.349999999999994</c:v>
                </c:pt>
                <c:pt idx="105">
                  <c:v>74.14</c:v>
                </c:pt>
                <c:pt idx="106">
                  <c:v>61.76</c:v>
                </c:pt>
                <c:pt idx="107">
                  <c:v>73.72</c:v>
                </c:pt>
                <c:pt idx="108">
                  <c:v>60.320000000000007</c:v>
                </c:pt>
                <c:pt idx="109">
                  <c:v>73.180000000000007</c:v>
                </c:pt>
                <c:pt idx="110">
                  <c:v>62.2</c:v>
                </c:pt>
                <c:pt idx="111">
                  <c:v>71.099999999999994</c:v>
                </c:pt>
                <c:pt idx="112">
                  <c:v>64.28</c:v>
                </c:pt>
                <c:pt idx="113">
                  <c:v>71.3</c:v>
                </c:pt>
                <c:pt idx="114">
                  <c:v>65.3</c:v>
                </c:pt>
                <c:pt idx="115">
                  <c:v>71.39</c:v>
                </c:pt>
                <c:pt idx="116">
                  <c:v>60.96</c:v>
                </c:pt>
                <c:pt idx="117">
                  <c:v>73.490000000000009</c:v>
                </c:pt>
                <c:pt idx="118">
                  <c:v>61.9</c:v>
                </c:pt>
                <c:pt idx="119">
                  <c:v>73.69</c:v>
                </c:pt>
                <c:pt idx="120">
                  <c:v>60.96</c:v>
                </c:pt>
                <c:pt idx="121">
                  <c:v>73.72</c:v>
                </c:pt>
                <c:pt idx="122">
                  <c:v>61.570000000000007</c:v>
                </c:pt>
                <c:pt idx="123">
                  <c:v>74.81</c:v>
                </c:pt>
                <c:pt idx="124">
                  <c:v>59.9</c:v>
                </c:pt>
                <c:pt idx="125">
                  <c:v>74.430000000000007</c:v>
                </c:pt>
                <c:pt idx="126">
                  <c:v>60.25</c:v>
                </c:pt>
                <c:pt idx="127">
                  <c:v>74.13</c:v>
                </c:pt>
                <c:pt idx="128">
                  <c:v>60.69</c:v>
                </c:pt>
                <c:pt idx="129">
                  <c:v>74.58</c:v>
                </c:pt>
                <c:pt idx="130">
                  <c:v>61.69</c:v>
                </c:pt>
                <c:pt idx="131">
                  <c:v>68.62</c:v>
                </c:pt>
                <c:pt idx="132">
                  <c:v>71.069999999999993</c:v>
                </c:pt>
                <c:pt idx="133">
                  <c:v>61.45</c:v>
                </c:pt>
                <c:pt idx="134">
                  <c:v>74.47</c:v>
                </c:pt>
                <c:pt idx="135">
                  <c:v>60.22</c:v>
                </c:pt>
                <c:pt idx="136">
                  <c:v>74.42</c:v>
                </c:pt>
                <c:pt idx="137">
                  <c:v>61.31</c:v>
                </c:pt>
                <c:pt idx="138">
                  <c:v>70.89</c:v>
                </c:pt>
                <c:pt idx="139">
                  <c:v>64.22</c:v>
                </c:pt>
                <c:pt idx="140">
                  <c:v>73.78</c:v>
                </c:pt>
                <c:pt idx="141">
                  <c:v>59.93</c:v>
                </c:pt>
                <c:pt idx="142">
                  <c:v>73.88</c:v>
                </c:pt>
                <c:pt idx="143">
                  <c:v>61.11</c:v>
                </c:pt>
                <c:pt idx="144">
                  <c:v>74.63</c:v>
                </c:pt>
                <c:pt idx="145">
                  <c:v>60.17</c:v>
                </c:pt>
                <c:pt idx="146">
                  <c:v>74.320000000000007</c:v>
                </c:pt>
                <c:pt idx="147">
                  <c:v>60.679999999999993</c:v>
                </c:pt>
                <c:pt idx="148">
                  <c:v>74.290000000000006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E9-4EA0-9B3B-FC4DFAA8A8CB}"/>
            </c:ext>
          </c:extLst>
        </c:ser>
        <c:ser>
          <c:idx val="3"/>
          <c:order val="3"/>
          <c:tx>
            <c:strRef>
              <c:f>Summary!$F$1</c:f>
              <c:strCache>
                <c:ptCount val="1"/>
                <c:pt idx="0">
                  <c:v>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[0]!TabSum_elapsed_time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[0]!TabSum_sum4</c:f>
              <c:numCache>
                <c:formatCode>General</c:formatCode>
                <c:ptCount val="149"/>
                <c:pt idx="0">
                  <c:v>0.19</c:v>
                </c:pt>
                <c:pt idx="1">
                  <c:v>1.6500000000000001</c:v>
                </c:pt>
                <c:pt idx="2">
                  <c:v>1.87</c:v>
                </c:pt>
                <c:pt idx="3">
                  <c:v>3.09</c:v>
                </c:pt>
                <c:pt idx="4">
                  <c:v>4.57</c:v>
                </c:pt>
                <c:pt idx="5">
                  <c:v>6.9700000000000006</c:v>
                </c:pt>
                <c:pt idx="6">
                  <c:v>9.7100000000000009</c:v>
                </c:pt>
                <c:pt idx="7">
                  <c:v>13.67</c:v>
                </c:pt>
                <c:pt idx="8">
                  <c:v>20.830000000000002</c:v>
                </c:pt>
                <c:pt idx="9">
                  <c:v>31.73</c:v>
                </c:pt>
                <c:pt idx="10">
                  <c:v>36.660000000000004</c:v>
                </c:pt>
                <c:pt idx="11">
                  <c:v>51.21</c:v>
                </c:pt>
                <c:pt idx="12">
                  <c:v>54.519999999999996</c:v>
                </c:pt>
                <c:pt idx="13">
                  <c:v>59.109999999999992</c:v>
                </c:pt>
                <c:pt idx="14">
                  <c:v>57.58</c:v>
                </c:pt>
                <c:pt idx="15">
                  <c:v>62.489999999999995</c:v>
                </c:pt>
                <c:pt idx="16">
                  <c:v>70.849999999999994</c:v>
                </c:pt>
                <c:pt idx="17">
                  <c:v>73.87</c:v>
                </c:pt>
                <c:pt idx="18">
                  <c:v>87.72</c:v>
                </c:pt>
                <c:pt idx="19">
                  <c:v>89.88</c:v>
                </c:pt>
                <c:pt idx="20">
                  <c:v>93.19</c:v>
                </c:pt>
                <c:pt idx="21">
                  <c:v>73.48</c:v>
                </c:pt>
                <c:pt idx="22">
                  <c:v>83.77000000000001</c:v>
                </c:pt>
                <c:pt idx="23">
                  <c:v>88.62</c:v>
                </c:pt>
                <c:pt idx="24">
                  <c:v>90.11</c:v>
                </c:pt>
                <c:pt idx="25">
                  <c:v>93.03</c:v>
                </c:pt>
                <c:pt idx="26">
                  <c:v>92.13</c:v>
                </c:pt>
                <c:pt idx="27">
                  <c:v>91.85</c:v>
                </c:pt>
                <c:pt idx="28">
                  <c:v>93.68</c:v>
                </c:pt>
                <c:pt idx="29">
                  <c:v>90.24</c:v>
                </c:pt>
                <c:pt idx="30">
                  <c:v>94.58</c:v>
                </c:pt>
                <c:pt idx="31">
                  <c:v>80.2</c:v>
                </c:pt>
                <c:pt idx="32">
                  <c:v>77.56</c:v>
                </c:pt>
                <c:pt idx="33">
                  <c:v>77.179999999999993</c:v>
                </c:pt>
                <c:pt idx="34">
                  <c:v>79.160000000000011</c:v>
                </c:pt>
                <c:pt idx="35">
                  <c:v>76.27000000000001</c:v>
                </c:pt>
                <c:pt idx="36">
                  <c:v>86.44</c:v>
                </c:pt>
                <c:pt idx="37">
                  <c:v>85.88</c:v>
                </c:pt>
                <c:pt idx="38">
                  <c:v>80.209999999999994</c:v>
                </c:pt>
                <c:pt idx="39">
                  <c:v>89.63</c:v>
                </c:pt>
                <c:pt idx="40">
                  <c:v>86.77</c:v>
                </c:pt>
                <c:pt idx="41">
                  <c:v>91.38000000000001</c:v>
                </c:pt>
                <c:pt idx="42">
                  <c:v>82.43</c:v>
                </c:pt>
                <c:pt idx="43">
                  <c:v>89.05</c:v>
                </c:pt>
                <c:pt idx="44">
                  <c:v>90.43</c:v>
                </c:pt>
                <c:pt idx="45">
                  <c:v>85.36999999999999</c:v>
                </c:pt>
                <c:pt idx="46">
                  <c:v>94.429999999999993</c:v>
                </c:pt>
                <c:pt idx="47">
                  <c:v>86.329999999999984</c:v>
                </c:pt>
                <c:pt idx="48">
                  <c:v>89.91</c:v>
                </c:pt>
                <c:pt idx="49">
                  <c:v>86.8</c:v>
                </c:pt>
                <c:pt idx="50">
                  <c:v>91.66</c:v>
                </c:pt>
                <c:pt idx="51">
                  <c:v>88.24</c:v>
                </c:pt>
                <c:pt idx="52">
                  <c:v>87.14</c:v>
                </c:pt>
                <c:pt idx="53">
                  <c:v>91.69</c:v>
                </c:pt>
                <c:pt idx="54">
                  <c:v>87.61999999999999</c:v>
                </c:pt>
                <c:pt idx="55">
                  <c:v>89.3</c:v>
                </c:pt>
                <c:pt idx="56">
                  <c:v>92.039999999999992</c:v>
                </c:pt>
                <c:pt idx="57">
                  <c:v>92.92</c:v>
                </c:pt>
                <c:pt idx="58">
                  <c:v>84.03</c:v>
                </c:pt>
                <c:pt idx="59">
                  <c:v>98.03</c:v>
                </c:pt>
                <c:pt idx="60">
                  <c:v>92.34</c:v>
                </c:pt>
                <c:pt idx="61">
                  <c:v>91.570000000000007</c:v>
                </c:pt>
                <c:pt idx="62">
                  <c:v>92.11</c:v>
                </c:pt>
                <c:pt idx="63">
                  <c:v>94.820000000000007</c:v>
                </c:pt>
                <c:pt idx="64">
                  <c:v>92.69</c:v>
                </c:pt>
                <c:pt idx="65">
                  <c:v>65.16</c:v>
                </c:pt>
                <c:pt idx="66">
                  <c:v>80.400000000000006</c:v>
                </c:pt>
                <c:pt idx="67">
                  <c:v>75.94</c:v>
                </c:pt>
                <c:pt idx="68">
                  <c:v>82.110000000000014</c:v>
                </c:pt>
                <c:pt idx="69">
                  <c:v>91.18</c:v>
                </c:pt>
                <c:pt idx="70">
                  <c:v>89.18</c:v>
                </c:pt>
                <c:pt idx="71">
                  <c:v>92.259999999999991</c:v>
                </c:pt>
                <c:pt idx="72">
                  <c:v>91.72999999999999</c:v>
                </c:pt>
                <c:pt idx="73">
                  <c:v>91.33</c:v>
                </c:pt>
                <c:pt idx="74">
                  <c:v>94.759999999999991</c:v>
                </c:pt>
                <c:pt idx="75">
                  <c:v>93.679999999999993</c:v>
                </c:pt>
                <c:pt idx="76">
                  <c:v>90.6</c:v>
                </c:pt>
                <c:pt idx="77">
                  <c:v>91.91</c:v>
                </c:pt>
                <c:pt idx="78">
                  <c:v>93.34</c:v>
                </c:pt>
                <c:pt idx="79">
                  <c:v>89.9</c:v>
                </c:pt>
                <c:pt idx="80">
                  <c:v>91.679999999999993</c:v>
                </c:pt>
                <c:pt idx="81">
                  <c:v>95.3</c:v>
                </c:pt>
                <c:pt idx="82">
                  <c:v>63.96</c:v>
                </c:pt>
                <c:pt idx="83">
                  <c:v>75.990000000000009</c:v>
                </c:pt>
                <c:pt idx="84">
                  <c:v>76.930000000000007</c:v>
                </c:pt>
                <c:pt idx="85">
                  <c:v>77.88</c:v>
                </c:pt>
                <c:pt idx="86">
                  <c:v>79.19</c:v>
                </c:pt>
                <c:pt idx="87">
                  <c:v>80.66</c:v>
                </c:pt>
                <c:pt idx="88">
                  <c:v>78.570000000000007</c:v>
                </c:pt>
                <c:pt idx="89">
                  <c:v>88.300000000000011</c:v>
                </c:pt>
                <c:pt idx="90">
                  <c:v>78.760000000000005</c:v>
                </c:pt>
                <c:pt idx="91">
                  <c:v>88.689999999999984</c:v>
                </c:pt>
                <c:pt idx="92">
                  <c:v>82.16</c:v>
                </c:pt>
                <c:pt idx="93">
                  <c:v>85.95</c:v>
                </c:pt>
                <c:pt idx="94">
                  <c:v>86.97999999999999</c:v>
                </c:pt>
                <c:pt idx="95">
                  <c:v>83.4</c:v>
                </c:pt>
                <c:pt idx="96">
                  <c:v>87.320000000000007</c:v>
                </c:pt>
                <c:pt idx="97">
                  <c:v>83.669999999999987</c:v>
                </c:pt>
                <c:pt idx="98">
                  <c:v>89.12</c:v>
                </c:pt>
                <c:pt idx="99">
                  <c:v>84.199999999999989</c:v>
                </c:pt>
                <c:pt idx="100">
                  <c:v>85.830000000000013</c:v>
                </c:pt>
                <c:pt idx="101">
                  <c:v>88.78</c:v>
                </c:pt>
                <c:pt idx="102">
                  <c:v>85.58</c:v>
                </c:pt>
                <c:pt idx="103">
                  <c:v>83.24</c:v>
                </c:pt>
                <c:pt idx="104">
                  <c:v>90.67</c:v>
                </c:pt>
                <c:pt idx="105">
                  <c:v>83.03</c:v>
                </c:pt>
                <c:pt idx="106">
                  <c:v>89</c:v>
                </c:pt>
                <c:pt idx="107">
                  <c:v>82.59</c:v>
                </c:pt>
                <c:pt idx="108">
                  <c:v>89.71</c:v>
                </c:pt>
                <c:pt idx="109">
                  <c:v>92.28</c:v>
                </c:pt>
                <c:pt idx="110">
                  <c:v>86.02</c:v>
                </c:pt>
                <c:pt idx="111">
                  <c:v>92.850000000000009</c:v>
                </c:pt>
                <c:pt idx="112">
                  <c:v>90.91</c:v>
                </c:pt>
                <c:pt idx="113">
                  <c:v>91.990000000000009</c:v>
                </c:pt>
                <c:pt idx="114">
                  <c:v>92.4</c:v>
                </c:pt>
                <c:pt idx="115">
                  <c:v>93.12</c:v>
                </c:pt>
                <c:pt idx="116">
                  <c:v>91.04</c:v>
                </c:pt>
                <c:pt idx="117">
                  <c:v>91.78</c:v>
                </c:pt>
                <c:pt idx="118">
                  <c:v>93.86</c:v>
                </c:pt>
                <c:pt idx="119">
                  <c:v>93.96</c:v>
                </c:pt>
                <c:pt idx="120">
                  <c:v>90.47</c:v>
                </c:pt>
                <c:pt idx="121">
                  <c:v>81.100000000000009</c:v>
                </c:pt>
                <c:pt idx="122">
                  <c:v>80.17</c:v>
                </c:pt>
                <c:pt idx="123">
                  <c:v>84.4</c:v>
                </c:pt>
                <c:pt idx="124">
                  <c:v>89.750000000000014</c:v>
                </c:pt>
                <c:pt idx="125">
                  <c:v>85.41</c:v>
                </c:pt>
                <c:pt idx="126">
                  <c:v>96.139999999999986</c:v>
                </c:pt>
                <c:pt idx="127">
                  <c:v>90.13000000000001</c:v>
                </c:pt>
                <c:pt idx="128">
                  <c:v>95.97</c:v>
                </c:pt>
                <c:pt idx="129">
                  <c:v>90.98</c:v>
                </c:pt>
                <c:pt idx="130">
                  <c:v>92.12</c:v>
                </c:pt>
                <c:pt idx="131">
                  <c:v>92.710000000000008</c:v>
                </c:pt>
                <c:pt idx="132">
                  <c:v>72.03</c:v>
                </c:pt>
                <c:pt idx="133">
                  <c:v>77.22</c:v>
                </c:pt>
                <c:pt idx="134">
                  <c:v>75.14</c:v>
                </c:pt>
                <c:pt idx="135">
                  <c:v>82.47</c:v>
                </c:pt>
                <c:pt idx="136">
                  <c:v>79.570000000000007</c:v>
                </c:pt>
                <c:pt idx="137">
                  <c:v>85.549999999999983</c:v>
                </c:pt>
                <c:pt idx="138">
                  <c:v>83.080000000000013</c:v>
                </c:pt>
                <c:pt idx="139">
                  <c:v>82.81</c:v>
                </c:pt>
                <c:pt idx="140">
                  <c:v>87.92</c:v>
                </c:pt>
                <c:pt idx="141">
                  <c:v>88.87</c:v>
                </c:pt>
                <c:pt idx="142">
                  <c:v>82.84</c:v>
                </c:pt>
                <c:pt idx="143">
                  <c:v>92.990000000000009</c:v>
                </c:pt>
                <c:pt idx="144">
                  <c:v>87.56</c:v>
                </c:pt>
                <c:pt idx="145">
                  <c:v>88.949999999999989</c:v>
                </c:pt>
                <c:pt idx="146">
                  <c:v>86.89</c:v>
                </c:pt>
                <c:pt idx="147">
                  <c:v>90.27000000000001</c:v>
                </c:pt>
                <c:pt idx="148">
                  <c:v>90.64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E9-4EA0-9B3B-FC4DFAA8A8CB}"/>
            </c:ext>
          </c:extLst>
        </c:ser>
        <c:ser>
          <c:idx val="5"/>
          <c:order val="4"/>
          <c:tx>
            <c:v>5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[0]!TabSum_elapsed_time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[0]!TabSum_sum5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8E9-4EA0-9B3B-FC4DFAA8A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5"/>
                <c:tx>
                  <c:v>6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[0]!Tab61_elapsed_time</c15:sqref>
                        </c15:formulaRef>
                      </c:ext>
                    </c:extLst>
                    <c:numCache>
                      <c:formatCode>General</c:formatCode>
                      <c:ptCount val="149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Summary!$H$4:$H$145</c15:sqref>
                        </c15:formulaRef>
                      </c:ext>
                    </c:extLst>
                    <c:numCache>
                      <c:formatCode>General</c:formatCode>
                      <c:ptCount val="14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8E5-49F7-B8C4-E33168BDEBFC}"/>
                  </c:ext>
                </c:extLst>
              </c15:ser>
            </c15:filteredScatterSeries>
          </c:ext>
        </c:extLst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Plots!$Y$1</c:f>
          <c:strCache>
            <c:ptCount val="1"/>
            <c:pt idx="0">
              <c:v>AARnetCBR-CamDTN1_tcpmon_tseries_22Feb24 1 Flows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Summary!$C$1:$G$1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Summary!$C$75:$G$75</c:f>
              <c:numCache>
                <c:formatCode>General</c:formatCode>
                <c:ptCount val="5"/>
                <c:pt idx="0">
                  <c:v>26</c:v>
                </c:pt>
                <c:pt idx="1">
                  <c:v>58.36</c:v>
                </c:pt>
                <c:pt idx="2">
                  <c:v>73.5</c:v>
                </c:pt>
                <c:pt idx="3">
                  <c:v>92.259999999999991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8F-46D6-9BED-4CEE24D5B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Summary!$C$1:$G$1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Summary!$L$53:$P$53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8F-46D6-9BED-4CEE24D5B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Number of Concurrent Transfers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Plots!$BR$1</c:f>
          <c:strCache>
            <c:ptCount val="1"/>
            <c:pt idx="0">
              <c:v>AARnetCBR-CamDTN1_tcpmon_tseries_22Feb24 6 Flows</c:v>
            </c:pt>
          </c:strCache>
        </c:strRef>
      </c:tx>
      <c:layout>
        <c:manualLayout>
          <c:xMode val="edge"/>
          <c:yMode val="edge"/>
          <c:x val="0.22945489864614385"/>
          <c:y val="2.99940011997600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4387650696206"/>
          <c:y val="0.18572241183162685"/>
          <c:w val="0.78975358482732028"/>
          <c:h val="0.57263936291240047"/>
        </c:manualLayout>
      </c:layout>
      <c:scatterChart>
        <c:scatterStyle val="lineMarker"/>
        <c:varyColors val="0"/>
        <c:ser>
          <c:idx val="1"/>
          <c:order val="0"/>
          <c:tx>
            <c:v>flow1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[0]!Tab61_flow_rate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47-4AE9-881D-891B2679305E}"/>
            </c:ext>
          </c:extLst>
        </c:ser>
        <c:ser>
          <c:idx val="0"/>
          <c:order val="1"/>
          <c:tx>
            <c:v>flow2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[0]!Tab62_flow_rate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47-4AE9-881D-891B2679305E}"/>
            </c:ext>
          </c:extLst>
        </c:ser>
        <c:ser>
          <c:idx val="2"/>
          <c:order val="2"/>
          <c:tx>
            <c:v>flow3</c:v>
          </c:tx>
          <c:spPr>
            <a:ln w="25400" cap="rnd">
              <a:noFill/>
              <a:round/>
            </a:ln>
            <a:effectLst/>
          </c:spPr>
          <c:marker>
            <c:symbol val="dot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[0]!Tab63_flow_rate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47-4AE9-881D-891B2679305E}"/>
            </c:ext>
          </c:extLst>
        </c:ser>
        <c:ser>
          <c:idx val="3"/>
          <c:order val="3"/>
          <c:tx>
            <c:v>flow4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[0]!Tab64_flow_rate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47-4AE9-881D-891B2679305E}"/>
            </c:ext>
          </c:extLst>
        </c:ser>
        <c:ser>
          <c:idx val="4"/>
          <c:order val="4"/>
          <c:tx>
            <c:v>flow5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[0]!Tab65_flow_rate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47-4AE9-881D-891B2679305E}"/>
            </c:ext>
          </c:extLst>
        </c:ser>
        <c:ser>
          <c:idx val="5"/>
          <c:order val="5"/>
          <c:tx>
            <c:v>flow6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[0]!Tab66_flow_rate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47-4AE9-881D-891B26793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335424173673207"/>
          <c:y val="0.18701011349690502"/>
          <c:w val="8.4915492487602981E-2"/>
          <c:h val="0.570985473474526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Plots!$BS$4</c:f>
          <c:strCache>
            <c:ptCount val="1"/>
            <c:pt idx="0">
              <c:v>AARnetCBR-CamDTN1_tcpmon_tseries_22Feb24 6 Flows flow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[0]!Tab61_flow_rate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A7-4675-95BC-850F6765E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[0]!Tab61_flow_retrans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A7-4675-95BC-850F6765E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Plots!$BS$5</c:f>
          <c:strCache>
            <c:ptCount val="1"/>
            <c:pt idx="0">
              <c:v>AARnetCBR-CamDTN1_tcpmon_tseries_22Feb24 6 Flows flow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[0]!Tab62_flow_rate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82-4901-8F19-241595BE7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[0]!Tab62_flow_retrans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82-4901-8F19-241595BE7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Plots!$BS$6</c:f>
          <c:strCache>
            <c:ptCount val="1"/>
            <c:pt idx="0">
              <c:v>AARnetCBR-CamDTN1_tcpmon_tseries_22Feb24 6 Flows flow 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[0]!Tab63_flow_rate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E2-4D98-B470-9CC77DB31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[0]!Tab63_flow_retrans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E2-4D98-B470-9CC77DB31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Plots!$BS$7</c:f>
          <c:strCache>
            <c:ptCount val="1"/>
            <c:pt idx="0">
              <c:v>AARnetCBR-CamDTN1_tcpmon_tseries_22Feb24 6 Flows flow 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[0]!Tab64_flow_rate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B0-4882-AB2E-05E0BD608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[0]!Tab64_flow_retrans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B0-4882-AB2E-05E0BD608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Plots!$BS$8</c:f>
          <c:strCache>
            <c:ptCount val="1"/>
            <c:pt idx="0">
              <c:v>AARnetCBR-CamDTN1_tcpmon_tseries_22Feb24 6 Flows flow 5</c:v>
            </c:pt>
          </c:strCache>
        </c:strRef>
      </c:tx>
      <c:layout>
        <c:manualLayout>
          <c:xMode val="edge"/>
          <c:yMode val="edge"/>
          <c:x val="0.19203145157702745"/>
          <c:y val="2.3995200959808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[0]!Tab65_flow_rate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19-4917-8F2E-843E47BC5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[0]!Tab65_flow_retrans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19-4917-8F2E-843E47BC5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Plots!$BS$9</c:f>
          <c:strCache>
            <c:ptCount val="1"/>
            <c:pt idx="0">
              <c:v>AARnetCBR-CamDTN1_tcpmon_tseries_22Feb24 6 Flows flow 6</c:v>
            </c:pt>
          </c:strCache>
        </c:strRef>
      </c:tx>
      <c:layout>
        <c:manualLayout>
          <c:xMode val="edge"/>
          <c:yMode val="edge"/>
          <c:x val="0.19203145157702745"/>
          <c:y val="2.3995200959808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[0]!Tab66_flow_rate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C0-4421-BF76-EDCB9A012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[0]!Tab66_flow_retrans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C0-4421-BF76-EDCB9A012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Plots!$A$1</c:f>
          <c:strCache>
            <c:ptCount val="1"/>
            <c:pt idx="0">
              <c:v>AARnetCBR-CamDTN1_tcpmon_tseries_22Feb24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Summary!$C$1</c:f>
              <c:strCache>
                <c:ptCount val="1"/>
                <c:pt idx="0">
                  <c:v>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[0]!Tab11_elapsed_time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[0]!TabSum_retrans1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8-4B29-A4F0-E904B797ED6F}"/>
            </c:ext>
          </c:extLst>
        </c:ser>
        <c:ser>
          <c:idx val="1"/>
          <c:order val="1"/>
          <c:tx>
            <c:strRef>
              <c:f>Summary!$D$1</c:f>
              <c:strCache>
                <c:ptCount val="1"/>
                <c:pt idx="0">
                  <c:v>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[0]!Tab21_elapsed_time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[0]!TabSum_retrans2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A8-4B29-A4F0-E904B797ED6F}"/>
            </c:ext>
          </c:extLst>
        </c:ser>
        <c:ser>
          <c:idx val="2"/>
          <c:order val="2"/>
          <c:tx>
            <c:strRef>
              <c:f>Summary!$E$1</c:f>
              <c:strCache>
                <c:ptCount val="1"/>
                <c:pt idx="0">
                  <c:v>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[0]!Tab31_elapsed_time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[0]!TabSum_retrans3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A8-4B29-A4F0-E904B797ED6F}"/>
            </c:ext>
          </c:extLst>
        </c:ser>
        <c:ser>
          <c:idx val="3"/>
          <c:order val="3"/>
          <c:tx>
            <c:strRef>
              <c:f>Summary!$F$1</c:f>
              <c:strCache>
                <c:ptCount val="1"/>
                <c:pt idx="0">
                  <c:v>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[0]!TabSum_retrans4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118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862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1165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18060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1429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627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A8-4B29-A4F0-E904B797ED6F}"/>
            </c:ext>
          </c:extLst>
        </c:ser>
        <c:ser>
          <c:idx val="5"/>
          <c:order val="4"/>
          <c:tx>
            <c:v>5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[0]!TabSum_retrans5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FA8-4B29-A4F0-E904B797E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5"/>
                <c:tx>
                  <c:v>6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[0]!Tab61_elapsed_time</c15:sqref>
                        </c15:formulaRef>
                      </c:ext>
                    </c:extLst>
                    <c:numCache>
                      <c:formatCode>General</c:formatCode>
                      <c:ptCount val="149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Summary!$Q$4:$Q$145</c15:sqref>
                        </c15:formulaRef>
                      </c:ext>
                    </c:extLst>
                    <c:numCache>
                      <c:formatCode>General</c:formatCode>
                      <c:ptCount val="14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FA8-4B29-A4F0-E904B797ED6F}"/>
                  </c:ext>
                </c:extLst>
              </c15:ser>
            </c15:filteredScatterSeries>
          </c:ext>
        </c:extLst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layout>
            <c:manualLayout>
              <c:xMode val="edge"/>
              <c:yMode val="edge"/>
              <c:x val="1.8847326959394346E-2"/>
              <c:y val="0.2165883041598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Plots!$CB$4</c:f>
          <c:strCache>
            <c:ptCount val="1"/>
            <c:pt idx="0">
              <c:v>AARnetCBR-CamDTN1_tcpmon_tseries_22Feb24 8 Flows flow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[0]!Tab81_flow_rate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90-42DB-96AD-718EA698A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[0]!Tab81_flow_retrans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90-42DB-96AD-718EA698A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Plots!$CB$5</c:f>
          <c:strCache>
            <c:ptCount val="1"/>
            <c:pt idx="0">
              <c:v>AARnetCBR-CamDTN1_tcpmon_tseries_22Feb24 8 Flows flow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[0]!Tab82_flow_rate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9-47FA-853E-9916CA2D5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[0]!Tab82_flow_retrans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39-47FA-853E-9916CA2D5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Plots!$CB$6</c:f>
          <c:strCache>
            <c:ptCount val="1"/>
            <c:pt idx="0">
              <c:v>AARnetCBR-CamDTN1_tcpmon_tseries_22Feb24 8 Flows flow 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[0]!Tab83_flow_rate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7A-4D6F-BE50-F00F8B54D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[0]!Tab83_flow_retrans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7A-4D6F-BE50-F00F8B54D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Plots!$CB$7</c:f>
          <c:strCache>
            <c:ptCount val="1"/>
            <c:pt idx="0">
              <c:v>AARnetCBR-CamDTN1_tcpmon_tseries_22Feb24 8 Flows flow 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[0]!Tab84_flow_rate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67-4CE7-BB5D-03F3AA4F5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[0]!Tab84_flow_retrans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67-4CE7-BB5D-03F3AA4F5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Plots!$CB$8</c:f>
          <c:strCache>
            <c:ptCount val="1"/>
            <c:pt idx="0">
              <c:v>AARnetCBR-CamDTN1_tcpmon_tseries_22Feb24 8 Flows flow 5</c:v>
            </c:pt>
          </c:strCache>
        </c:strRef>
      </c:tx>
      <c:layout>
        <c:manualLayout>
          <c:xMode val="edge"/>
          <c:yMode val="edge"/>
          <c:x val="0.13318022747156605"/>
          <c:y val="2.3995200959808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[0]!Tab85_flow_rate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B-465C-BCAD-3C5BB78A0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[0]!Tab85_flow_retrans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B-465C-BCAD-3C5BB78A0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Plots!$CB$9</c:f>
          <c:strCache>
            <c:ptCount val="1"/>
            <c:pt idx="0">
              <c:v>AARnetCBR-CamDTN1_tcpmon_tseries_22Feb24 8 Flows flow 6</c:v>
            </c:pt>
          </c:strCache>
        </c:strRef>
      </c:tx>
      <c:layout>
        <c:manualLayout>
          <c:xMode val="edge"/>
          <c:yMode val="edge"/>
          <c:x val="0.11905593368625535"/>
          <c:y val="1.79964007198560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[0]!Tab86_flow_rate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6F-4A34-BC67-EC41EDBAD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[0]!Tab86_flow_retrans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6F-4A34-BC67-EC41EDBAD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Plots!$CB$10</c:f>
          <c:strCache>
            <c:ptCount val="1"/>
            <c:pt idx="0">
              <c:v>AARnetCBR-CamDTN1_tcpmon_tseries_22Feb24 8 Flows flow 7</c:v>
            </c:pt>
          </c:strCache>
        </c:strRef>
      </c:tx>
      <c:layout>
        <c:manualLayout>
          <c:xMode val="edge"/>
          <c:yMode val="edge"/>
          <c:x val="0.19203145157702745"/>
          <c:y val="2.3995200959808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[0]!Tab87_flow_rate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E-4624-956E-56216E8D8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[0]!Tab87_flow_retrans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8E-4624-956E-56216E8D8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Plots!$CB$11</c:f>
          <c:strCache>
            <c:ptCount val="1"/>
            <c:pt idx="0">
              <c:v>AARnetCBR-CamDTN1_tcpmon_tseries_22Feb24 8 Flows flow 8</c:v>
            </c:pt>
          </c:strCache>
        </c:strRef>
      </c:tx>
      <c:layout>
        <c:manualLayout>
          <c:xMode val="edge"/>
          <c:yMode val="edge"/>
          <c:x val="0.19203145157702745"/>
          <c:y val="2.3995200959808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[0]!Tab88_flow_rate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07-4660-B2E3-9012612FC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[0]!Tab88_flow_retrans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07-4660-B2E3-9012612FC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strRef>
              <c:f>Plots!$P$6</c:f>
              <c:strCache>
                <c:ptCount val="1"/>
                <c:pt idx="0">
                  <c:v>TCP re-transmits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Plots!$CA$1</c:f>
          <c:strCache>
            <c:ptCount val="1"/>
            <c:pt idx="0">
              <c:v>AARnetCBR-CamDTN1_tcpmon_tseries_22Feb24 8 Flows</c:v>
            </c:pt>
          </c:strCache>
        </c:strRef>
      </c:tx>
      <c:layout>
        <c:manualLayout>
          <c:xMode val="edge"/>
          <c:yMode val="edge"/>
          <c:x val="0.22945489864614385"/>
          <c:y val="2.99940011997600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4387650696206"/>
          <c:y val="0.18572241183162685"/>
          <c:w val="0.78975358482732028"/>
          <c:h val="0.57263936291240047"/>
        </c:manualLayout>
      </c:layout>
      <c:scatterChart>
        <c:scatterStyle val="lineMarker"/>
        <c:varyColors val="0"/>
        <c:ser>
          <c:idx val="1"/>
          <c:order val="0"/>
          <c:tx>
            <c:v>flow1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[0]!Tab81_flow_rate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4F-4DC1-9AD9-04541F856D52}"/>
            </c:ext>
          </c:extLst>
        </c:ser>
        <c:ser>
          <c:idx val="0"/>
          <c:order val="1"/>
          <c:tx>
            <c:v>flow2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[0]!Tab82_flow_rate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F-4DC1-9AD9-04541F856D52}"/>
            </c:ext>
          </c:extLst>
        </c:ser>
        <c:ser>
          <c:idx val="2"/>
          <c:order val="2"/>
          <c:tx>
            <c:v>flow3</c:v>
          </c:tx>
          <c:spPr>
            <a:ln w="25400" cap="rnd">
              <a:noFill/>
              <a:round/>
            </a:ln>
            <a:effectLst/>
          </c:spPr>
          <c:marker>
            <c:symbol val="dot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[0]!Tab83_flow_rate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4F-4DC1-9AD9-04541F856D52}"/>
            </c:ext>
          </c:extLst>
        </c:ser>
        <c:ser>
          <c:idx val="3"/>
          <c:order val="3"/>
          <c:tx>
            <c:v>flow4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[0]!Tab84_flow_rate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F-4DC1-9AD9-04541F856D52}"/>
            </c:ext>
          </c:extLst>
        </c:ser>
        <c:ser>
          <c:idx val="4"/>
          <c:order val="4"/>
          <c:tx>
            <c:v>flow5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[0]!Tab85_flow_rate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4F-4DC1-9AD9-04541F856D52}"/>
            </c:ext>
          </c:extLst>
        </c:ser>
        <c:ser>
          <c:idx val="5"/>
          <c:order val="5"/>
          <c:tx>
            <c:v>flow6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[0]!Tab86_flow_rate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4F-4DC1-9AD9-04541F856D52}"/>
            </c:ext>
          </c:extLst>
        </c:ser>
        <c:ser>
          <c:idx val="6"/>
          <c:order val="6"/>
          <c:tx>
            <c:v>flow 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[0]!Tab87_flow_rate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4F-4DC1-9AD9-04541F856D52}"/>
            </c:ext>
          </c:extLst>
        </c:ser>
        <c:ser>
          <c:idx val="7"/>
          <c:order val="7"/>
          <c:tx>
            <c:v>flow 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[0]!Tab81_elapsed_time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[0]!Tab88_flow_rate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4F-4DC1-9AD9-04541F856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valAx>
        <c:axId val="1859002048"/>
        <c:scaling>
          <c:orientation val="minMax"/>
        </c:scaling>
        <c:delete val="0"/>
        <c:axPos val="b"/>
        <c:title>
          <c:tx>
            <c:strRef>
              <c:f>Plots!$P$4</c:f>
              <c:strCache>
                <c:ptCount val="1"/>
                <c:pt idx="0">
                  <c:v>Time through the flow sec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Plots!$P$5</c:f>
              <c:strCache>
                <c:ptCount val="1"/>
                <c:pt idx="0">
                  <c:v>BW Gbit/s</c:v>
                </c:pt>
              </c:strCache>
            </c:strRef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335424173673207"/>
          <c:y val="0.18701011349690502"/>
          <c:w val="9.0760635852721816E-2"/>
          <c:h val="0.765424237987048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Plots!$BA$5</c:f>
          <c:strCache>
            <c:ptCount val="1"/>
            <c:pt idx="0">
              <c:v>AARnetCBR-CamDTN1_tcpmon_tseries_22Feb24 4 Flows flow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time s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numRef>
              <c:f>'convert time'!$H$21:$H$65</c:f>
              <c:numCache>
                <c:formatCode>General</c:formatCode>
                <c:ptCount val="45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  <c:pt idx="31">
                  <c:v>31000000</c:v>
                </c:pt>
                <c:pt idx="32">
                  <c:v>32000000</c:v>
                </c:pt>
                <c:pt idx="33">
                  <c:v>33000000</c:v>
                </c:pt>
                <c:pt idx="34">
                  <c:v>34000000</c:v>
                </c:pt>
                <c:pt idx="35">
                  <c:v>35000000</c:v>
                </c:pt>
                <c:pt idx="36">
                  <c:v>36000000</c:v>
                </c:pt>
                <c:pt idx="37">
                  <c:v>37000000</c:v>
                </c:pt>
                <c:pt idx="38">
                  <c:v>38000000</c:v>
                </c:pt>
                <c:pt idx="39">
                  <c:v>39000000</c:v>
                </c:pt>
                <c:pt idx="40">
                  <c:v>40000000</c:v>
                </c:pt>
                <c:pt idx="41">
                  <c:v>41000000</c:v>
                </c:pt>
                <c:pt idx="42">
                  <c:v>42000000</c:v>
                </c:pt>
                <c:pt idx="43">
                  <c:v>43000000</c:v>
                </c:pt>
                <c:pt idx="44">
                  <c:v>44000000</c:v>
                </c:pt>
              </c:numCache>
            </c:numRef>
          </c:cat>
          <c:val>
            <c:numRef>
              <c:f>'convert time'!$I$21:$I$65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98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1-4231-A6DB-D7AA7DB834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9002048"/>
        <c:axId val="2123051440"/>
      </c:barChart>
      <c:cat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auto val="1"/>
        <c:lblAlgn val="ctr"/>
        <c:lblOffset val="100"/>
        <c:noMultiLvlLbl val="0"/>
      </c:cat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34290</xdr:colOff>
      <xdr:row>11</xdr:row>
      <xdr:rowOff>102870</xdr:rowOff>
    </xdr:from>
    <xdr:to>
      <xdr:col>32</xdr:col>
      <xdr:colOff>552450</xdr:colOff>
      <xdr:row>24</xdr:row>
      <xdr:rowOff>156210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50</xdr:col>
      <xdr:colOff>518160</xdr:colOff>
      <xdr:row>38</xdr:row>
      <xdr:rowOff>53340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25400</xdr:colOff>
      <xdr:row>53</xdr:row>
      <xdr:rowOff>25400</xdr:rowOff>
    </xdr:from>
    <xdr:to>
      <xdr:col>50</xdr:col>
      <xdr:colOff>543560</xdr:colOff>
      <xdr:row>66</xdr:row>
      <xdr:rowOff>78740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12700</xdr:colOff>
      <xdr:row>11</xdr:row>
      <xdr:rowOff>6350</xdr:rowOff>
    </xdr:from>
    <xdr:to>
      <xdr:col>59</xdr:col>
      <xdr:colOff>530860</xdr:colOff>
      <xdr:row>24</xdr:row>
      <xdr:rowOff>59690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12700</xdr:colOff>
      <xdr:row>11</xdr:row>
      <xdr:rowOff>0</xdr:rowOff>
    </xdr:from>
    <xdr:to>
      <xdr:col>50</xdr:col>
      <xdr:colOff>530860</xdr:colOff>
      <xdr:row>24</xdr:row>
      <xdr:rowOff>53340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19050</xdr:colOff>
      <xdr:row>11</xdr:row>
      <xdr:rowOff>6350</xdr:rowOff>
    </xdr:from>
    <xdr:to>
      <xdr:col>41</xdr:col>
      <xdr:colOff>537210</xdr:colOff>
      <xdr:row>24</xdr:row>
      <xdr:rowOff>59690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158750</xdr:colOff>
          <xdr:row>6</xdr:row>
          <xdr:rowOff>120650</xdr:rowOff>
        </xdr:from>
        <xdr:to>
          <xdr:col>2</xdr:col>
          <xdr:colOff>590550</xdr:colOff>
          <xdr:row>9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Sheet Names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0</xdr:colOff>
      <xdr:row>25</xdr:row>
      <xdr:rowOff>19050</xdr:rowOff>
    </xdr:from>
    <xdr:to>
      <xdr:col>41</xdr:col>
      <xdr:colOff>518160</xdr:colOff>
      <xdr:row>38</xdr:row>
      <xdr:rowOff>72390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25400</xdr:colOff>
      <xdr:row>39</xdr:row>
      <xdr:rowOff>6350</xdr:rowOff>
    </xdr:from>
    <xdr:to>
      <xdr:col>41</xdr:col>
      <xdr:colOff>543560</xdr:colOff>
      <xdr:row>52</xdr:row>
      <xdr:rowOff>59690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50</xdr:col>
      <xdr:colOff>603250</xdr:colOff>
      <xdr:row>24</xdr:row>
      <xdr:rowOff>133350</xdr:rowOff>
    </xdr:from>
    <xdr:to>
      <xdr:col>59</xdr:col>
      <xdr:colOff>511810</xdr:colOff>
      <xdr:row>38</xdr:row>
      <xdr:rowOff>27940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42</xdr:col>
      <xdr:colOff>0</xdr:colOff>
      <xdr:row>39</xdr:row>
      <xdr:rowOff>0</xdr:rowOff>
    </xdr:from>
    <xdr:to>
      <xdr:col>50</xdr:col>
      <xdr:colOff>518160</xdr:colOff>
      <xdr:row>52</xdr:row>
      <xdr:rowOff>53340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51</xdr:col>
      <xdr:colOff>31750</xdr:colOff>
      <xdr:row>39</xdr:row>
      <xdr:rowOff>6350</xdr:rowOff>
    </xdr:from>
    <xdr:to>
      <xdr:col>59</xdr:col>
      <xdr:colOff>549910</xdr:colOff>
      <xdr:row>52</xdr:row>
      <xdr:rowOff>59690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51</xdr:col>
      <xdr:colOff>6350</xdr:colOff>
      <xdr:row>53</xdr:row>
      <xdr:rowOff>12700</xdr:rowOff>
    </xdr:from>
    <xdr:to>
      <xdr:col>59</xdr:col>
      <xdr:colOff>524510</xdr:colOff>
      <xdr:row>66</xdr:row>
      <xdr:rowOff>66040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51</xdr:col>
      <xdr:colOff>0</xdr:colOff>
      <xdr:row>67</xdr:row>
      <xdr:rowOff>0</xdr:rowOff>
    </xdr:from>
    <xdr:to>
      <xdr:col>59</xdr:col>
      <xdr:colOff>518160</xdr:colOff>
      <xdr:row>80</xdr:row>
      <xdr:rowOff>53340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23</xdr:col>
      <xdr:colOff>584200</xdr:colOff>
      <xdr:row>25</xdr:row>
      <xdr:rowOff>63500</xdr:rowOff>
    </xdr:from>
    <xdr:to>
      <xdr:col>32</xdr:col>
      <xdr:colOff>492760</xdr:colOff>
      <xdr:row>38</xdr:row>
      <xdr:rowOff>116840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51</xdr:col>
      <xdr:colOff>0</xdr:colOff>
      <xdr:row>82</xdr:row>
      <xdr:rowOff>0</xdr:rowOff>
    </xdr:from>
    <xdr:to>
      <xdr:col>59</xdr:col>
      <xdr:colOff>518160</xdr:colOff>
      <xdr:row>95</xdr:row>
      <xdr:rowOff>53340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60</xdr:col>
      <xdr:colOff>19050</xdr:colOff>
      <xdr:row>11</xdr:row>
      <xdr:rowOff>19050</xdr:rowOff>
    </xdr:from>
    <xdr:to>
      <xdr:col>68</xdr:col>
      <xdr:colOff>537210</xdr:colOff>
      <xdr:row>24</xdr:row>
      <xdr:rowOff>72390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60</xdr:col>
      <xdr:colOff>12700</xdr:colOff>
      <xdr:row>24</xdr:row>
      <xdr:rowOff>152400</xdr:rowOff>
    </xdr:from>
    <xdr:to>
      <xdr:col>68</xdr:col>
      <xdr:colOff>530860</xdr:colOff>
      <xdr:row>38</xdr:row>
      <xdr:rowOff>46990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60</xdr:col>
      <xdr:colOff>57150</xdr:colOff>
      <xdr:row>39</xdr:row>
      <xdr:rowOff>0</xdr:rowOff>
    </xdr:from>
    <xdr:to>
      <xdr:col>68</xdr:col>
      <xdr:colOff>575310</xdr:colOff>
      <xdr:row>52</xdr:row>
      <xdr:rowOff>53340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60</xdr:col>
      <xdr:colOff>0</xdr:colOff>
      <xdr:row>53</xdr:row>
      <xdr:rowOff>0</xdr:rowOff>
    </xdr:from>
    <xdr:to>
      <xdr:col>68</xdr:col>
      <xdr:colOff>518160</xdr:colOff>
      <xdr:row>66</xdr:row>
      <xdr:rowOff>53340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60</xdr:col>
      <xdr:colOff>6350</xdr:colOff>
      <xdr:row>66</xdr:row>
      <xdr:rowOff>139700</xdr:rowOff>
    </xdr:from>
    <xdr:to>
      <xdr:col>68</xdr:col>
      <xdr:colOff>524510</xdr:colOff>
      <xdr:row>80</xdr:row>
      <xdr:rowOff>34290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60</xdr:col>
      <xdr:colOff>0</xdr:colOff>
      <xdr:row>81</xdr:row>
      <xdr:rowOff>0</xdr:rowOff>
    </xdr:from>
    <xdr:to>
      <xdr:col>68</xdr:col>
      <xdr:colOff>518160</xdr:colOff>
      <xdr:row>94</xdr:row>
      <xdr:rowOff>53340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35560</xdr:colOff>
      <xdr:row>11</xdr:row>
      <xdr:rowOff>71120</xdr:rowOff>
    </xdr:from>
    <xdr:to>
      <xdr:col>17</xdr:col>
      <xdr:colOff>565150</xdr:colOff>
      <xdr:row>24</xdr:row>
      <xdr:rowOff>125730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18</xdr:col>
      <xdr:colOff>330200</xdr:colOff>
      <xdr:row>1</xdr:row>
      <xdr:rowOff>44450</xdr:rowOff>
    </xdr:from>
    <xdr:to>
      <xdr:col>26</xdr:col>
      <xdr:colOff>323215</xdr:colOff>
      <xdr:row>12</xdr:row>
      <xdr:rowOff>38100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69</xdr:col>
      <xdr:colOff>19050</xdr:colOff>
      <xdr:row>11</xdr:row>
      <xdr:rowOff>19050</xdr:rowOff>
    </xdr:from>
    <xdr:to>
      <xdr:col>77</xdr:col>
      <xdr:colOff>537210</xdr:colOff>
      <xdr:row>24</xdr:row>
      <xdr:rowOff>72390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69</xdr:col>
      <xdr:colOff>6350</xdr:colOff>
      <xdr:row>24</xdr:row>
      <xdr:rowOff>152400</xdr:rowOff>
    </xdr:from>
    <xdr:to>
      <xdr:col>77</xdr:col>
      <xdr:colOff>524510</xdr:colOff>
      <xdr:row>38</xdr:row>
      <xdr:rowOff>46990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69</xdr:col>
      <xdr:colOff>0</xdr:colOff>
      <xdr:row>39</xdr:row>
      <xdr:rowOff>0</xdr:rowOff>
    </xdr:from>
    <xdr:to>
      <xdr:col>77</xdr:col>
      <xdr:colOff>518160</xdr:colOff>
      <xdr:row>52</xdr:row>
      <xdr:rowOff>53340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69</xdr:col>
      <xdr:colOff>0</xdr:colOff>
      <xdr:row>53</xdr:row>
      <xdr:rowOff>0</xdr:rowOff>
    </xdr:from>
    <xdr:to>
      <xdr:col>77</xdr:col>
      <xdr:colOff>518160</xdr:colOff>
      <xdr:row>66</xdr:row>
      <xdr:rowOff>53340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69</xdr:col>
      <xdr:colOff>0</xdr:colOff>
      <xdr:row>67</xdr:row>
      <xdr:rowOff>0</xdr:rowOff>
    </xdr:from>
    <xdr:to>
      <xdr:col>77</xdr:col>
      <xdr:colOff>518160</xdr:colOff>
      <xdr:row>80</xdr:row>
      <xdr:rowOff>53340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69</xdr:col>
      <xdr:colOff>0</xdr:colOff>
      <xdr:row>81</xdr:row>
      <xdr:rowOff>0</xdr:rowOff>
    </xdr:from>
    <xdr:to>
      <xdr:col>77</xdr:col>
      <xdr:colOff>518160</xdr:colOff>
      <xdr:row>94</xdr:row>
      <xdr:rowOff>53340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69</xdr:col>
      <xdr:colOff>0</xdr:colOff>
      <xdr:row>95</xdr:row>
      <xdr:rowOff>0</xdr:rowOff>
    </xdr:from>
    <xdr:to>
      <xdr:col>77</xdr:col>
      <xdr:colOff>518160</xdr:colOff>
      <xdr:row>108</xdr:row>
      <xdr:rowOff>53340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</xdr:col>
      <xdr:colOff>12700</xdr:colOff>
      <xdr:row>25</xdr:row>
      <xdr:rowOff>19050</xdr:rowOff>
    </xdr:from>
    <xdr:to>
      <xdr:col>17</xdr:col>
      <xdr:colOff>542290</xdr:colOff>
      <xdr:row>38</xdr:row>
      <xdr:rowOff>73660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78</xdr:col>
      <xdr:colOff>0</xdr:colOff>
      <xdr:row>25</xdr:row>
      <xdr:rowOff>0</xdr:rowOff>
    </xdr:from>
    <xdr:to>
      <xdr:col>86</xdr:col>
      <xdr:colOff>518160</xdr:colOff>
      <xdr:row>38</xdr:row>
      <xdr:rowOff>53340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78</xdr:col>
      <xdr:colOff>0</xdr:colOff>
      <xdr:row>39</xdr:row>
      <xdr:rowOff>0</xdr:rowOff>
    </xdr:from>
    <xdr:to>
      <xdr:col>86</xdr:col>
      <xdr:colOff>518160</xdr:colOff>
      <xdr:row>52</xdr:row>
      <xdr:rowOff>53340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78</xdr:col>
      <xdr:colOff>0</xdr:colOff>
      <xdr:row>53</xdr:row>
      <xdr:rowOff>0</xdr:rowOff>
    </xdr:from>
    <xdr:to>
      <xdr:col>86</xdr:col>
      <xdr:colOff>518160</xdr:colOff>
      <xdr:row>66</xdr:row>
      <xdr:rowOff>53340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78</xdr:col>
      <xdr:colOff>0</xdr:colOff>
      <xdr:row>67</xdr:row>
      <xdr:rowOff>0</xdr:rowOff>
    </xdr:from>
    <xdr:to>
      <xdr:col>86</xdr:col>
      <xdr:colOff>518160</xdr:colOff>
      <xdr:row>80</xdr:row>
      <xdr:rowOff>53340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78</xdr:col>
      <xdr:colOff>0</xdr:colOff>
      <xdr:row>81</xdr:row>
      <xdr:rowOff>0</xdr:rowOff>
    </xdr:from>
    <xdr:to>
      <xdr:col>86</xdr:col>
      <xdr:colOff>518160</xdr:colOff>
      <xdr:row>94</xdr:row>
      <xdr:rowOff>53340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78</xdr:col>
      <xdr:colOff>0</xdr:colOff>
      <xdr:row>95</xdr:row>
      <xdr:rowOff>0</xdr:rowOff>
    </xdr:from>
    <xdr:to>
      <xdr:col>86</xdr:col>
      <xdr:colOff>518160</xdr:colOff>
      <xdr:row>108</xdr:row>
      <xdr:rowOff>53340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78</xdr:col>
      <xdr:colOff>0</xdr:colOff>
      <xdr:row>109</xdr:row>
      <xdr:rowOff>0</xdr:rowOff>
    </xdr:from>
    <xdr:to>
      <xdr:col>86</xdr:col>
      <xdr:colOff>518160</xdr:colOff>
      <xdr:row>122</xdr:row>
      <xdr:rowOff>53340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78</xdr:col>
      <xdr:colOff>0</xdr:colOff>
      <xdr:row>123</xdr:row>
      <xdr:rowOff>0</xdr:rowOff>
    </xdr:from>
    <xdr:to>
      <xdr:col>86</xdr:col>
      <xdr:colOff>518160</xdr:colOff>
      <xdr:row>136</xdr:row>
      <xdr:rowOff>53340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78</xdr:col>
      <xdr:colOff>0</xdr:colOff>
      <xdr:row>11</xdr:row>
      <xdr:rowOff>0</xdr:rowOff>
    </xdr:from>
    <xdr:to>
      <xdr:col>86</xdr:col>
      <xdr:colOff>518160</xdr:colOff>
      <xdr:row>24</xdr:row>
      <xdr:rowOff>53340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14</xdr:col>
      <xdr:colOff>302260</xdr:colOff>
      <xdr:row>15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B182"/>
  <sheetViews>
    <sheetView tabSelected="1" topLeftCell="T19" zoomScaleNormal="100" workbookViewId="0">
      <selection activeCell="BY124" sqref="BY124"/>
    </sheetView>
  </sheetViews>
  <sheetFormatPr defaultRowHeight="12.5"/>
  <cols>
    <col min="1" max="1" width="8.90625" customWidth="1"/>
  </cols>
  <sheetData>
    <row r="1" spans="1:80">
      <c r="A1" s="1" t="s">
        <v>268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Y1" t="str">
        <f>_xlfn.CONCAT($A$1," 1 Flows")</f>
        <v>AARnetCBR-CamDTN1_tcpmon_tseries_22Feb24 1 Flows</v>
      </c>
      <c r="AH1" t="str">
        <f>_xlfn.CONCAT($A$1," 2 Flows")</f>
        <v>AARnetCBR-CamDTN1_tcpmon_tseries_22Feb24 2 Flows</v>
      </c>
      <c r="AQ1" t="str">
        <f>_xlfn.CONCAT($A$1," 3 Flows")</f>
        <v>AARnetCBR-CamDTN1_tcpmon_tseries_22Feb24 3 Flows</v>
      </c>
      <c r="AZ1" t="str">
        <f>_xlfn.CONCAT($A$1," 4 Flows")</f>
        <v>AARnetCBR-CamDTN1_tcpmon_tseries_22Feb24 4 Flows</v>
      </c>
      <c r="BI1" t="str">
        <f>_xlfn.CONCAT($A$1," 5 Flows")</f>
        <v>AARnetCBR-CamDTN1_tcpmon_tseries_22Feb24 5 Flows</v>
      </c>
      <c r="BR1" t="str">
        <f>_xlfn.CONCAT($A$1," 6 Flows")</f>
        <v>AARnetCBR-CamDTN1_tcpmon_tseries_22Feb24 6 Flows</v>
      </c>
      <c r="CA1" t="str">
        <f>_xlfn.CONCAT($A$1," 8 Flows")</f>
        <v>AARnetCBR-CamDTN1_tcpmon_tseries_22Feb24 8 Flows</v>
      </c>
    </row>
    <row r="2" spans="1:80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 t="s">
        <v>73</v>
      </c>
      <c r="O2" s="1"/>
      <c r="P2" s="1"/>
      <c r="Q2" s="1"/>
      <c r="R2" s="1"/>
      <c r="S2" s="1"/>
    </row>
    <row r="3" spans="1:80">
      <c r="A3" t="s">
        <v>18</v>
      </c>
      <c r="C3">
        <v>13</v>
      </c>
      <c r="E3" s="1" t="s">
        <v>37</v>
      </c>
      <c r="G3" s="1" t="s">
        <v>298</v>
      </c>
      <c r="H3" cm="1">
        <f t="array" aca="1" ref="H3" ca="1">COLUMN(INDIRECT(G3&amp;"1"))</f>
        <v>3</v>
      </c>
      <c r="J3" t="s">
        <v>7</v>
      </c>
      <c r="K3" s="1"/>
    </row>
    <row r="4" spans="1:80">
      <c r="A4" t="s">
        <v>19</v>
      </c>
      <c r="C4">
        <v>161</v>
      </c>
      <c r="E4" s="1" t="s">
        <v>38</v>
      </c>
      <c r="G4" s="1" t="s">
        <v>299</v>
      </c>
      <c r="H4" cm="1">
        <f t="array" aca="1" ref="H4" ca="1">COLUMN(INDIRECT(G4&amp;"1"))</f>
        <v>4</v>
      </c>
      <c r="J4" t="s">
        <v>8</v>
      </c>
      <c r="K4" s="1"/>
      <c r="N4" t="s">
        <v>72</v>
      </c>
      <c r="P4" s="1" t="s">
        <v>301</v>
      </c>
      <c r="AI4" t="str">
        <f>_xlfn.CONCAT($AH$1," flow 1")</f>
        <v>AARnetCBR-CamDTN1_tcpmon_tseries_22Feb24 2 Flows flow 1</v>
      </c>
      <c r="BJ4" t="str">
        <f>_xlfn.CONCAT(BI$1," flow 1")</f>
        <v>AARnetCBR-CamDTN1_tcpmon_tseries_22Feb24 5 Flows flow 1</v>
      </c>
      <c r="BS4" t="str">
        <f>_xlfn.CONCAT(BR$1," flow 1")</f>
        <v>AARnetCBR-CamDTN1_tcpmon_tseries_22Feb24 6 Flows flow 1</v>
      </c>
      <c r="CB4" t="str">
        <f>_xlfn.CONCAT(CA$1," flow 1")</f>
        <v>AARnetCBR-CamDTN1_tcpmon_tseries_22Feb24 8 Flows flow 1</v>
      </c>
    </row>
    <row r="5" spans="1:80">
      <c r="A5" s="1" t="s">
        <v>46</v>
      </c>
      <c r="C5">
        <v>4</v>
      </c>
      <c r="E5" s="1" t="s">
        <v>59</v>
      </c>
      <c r="G5" s="1" t="s">
        <v>70</v>
      </c>
      <c r="H5" cm="1">
        <f t="array" aca="1" ref="H5" ca="1">COLUMN(INDIRECT(G5&amp;"1"))</f>
        <v>9</v>
      </c>
      <c r="J5" s="1" t="s">
        <v>53</v>
      </c>
      <c r="K5" s="1"/>
      <c r="N5" t="s">
        <v>74</v>
      </c>
      <c r="P5" s="1" t="s">
        <v>76</v>
      </c>
      <c r="AI5" t="str">
        <f>_xlfn.CONCAT($AH$1," flow 2")</f>
        <v>AARnetCBR-CamDTN1_tcpmon_tseries_22Feb24 2 Flows flow 2</v>
      </c>
      <c r="AR5" t="str">
        <f>_xlfn.CONCAT(AQ$1," flow 1")</f>
        <v>AARnetCBR-CamDTN1_tcpmon_tseries_22Feb24 3 Flows flow 1</v>
      </c>
      <c r="BA5" t="str">
        <f>_xlfn.CONCAT(AZ$1," flow 1")</f>
        <v>AARnetCBR-CamDTN1_tcpmon_tseries_22Feb24 4 Flows flow 1</v>
      </c>
      <c r="BJ5" t="str">
        <f>_xlfn.CONCAT(BI$1," flow 2")</f>
        <v>AARnetCBR-CamDTN1_tcpmon_tseries_22Feb24 5 Flows flow 2</v>
      </c>
      <c r="BS5" t="str">
        <f>_xlfn.CONCAT(BR$1," flow 2")</f>
        <v>AARnetCBR-CamDTN1_tcpmon_tseries_22Feb24 6 Flows flow 2</v>
      </c>
      <c r="CB5" t="str">
        <f>_xlfn.CONCAT(CA$1," flow 2")</f>
        <v>AARnetCBR-CamDTN1_tcpmon_tseries_22Feb24 8 Flows flow 2</v>
      </c>
    </row>
    <row r="6" spans="1:80">
      <c r="A6" s="1" t="s">
        <v>47</v>
      </c>
      <c r="C6">
        <v>152</v>
      </c>
      <c r="E6" s="1" t="s">
        <v>6</v>
      </c>
      <c r="G6" s="1" t="s">
        <v>300</v>
      </c>
      <c r="H6" cm="1">
        <f t="array" aca="1" ref="H6" ca="1">COLUMN(INDIRECT(G6&amp;"1"))</f>
        <v>1</v>
      </c>
      <c r="J6" s="1" t="s">
        <v>6</v>
      </c>
      <c r="K6" s="1" t="s">
        <v>71</v>
      </c>
      <c r="L6" s="1" t="s">
        <v>72</v>
      </c>
      <c r="N6" t="s">
        <v>75</v>
      </c>
      <c r="P6" s="1" t="s">
        <v>78</v>
      </c>
      <c r="R6" s="1" t="s">
        <v>78</v>
      </c>
      <c r="AR6" t="str">
        <f>_xlfn.CONCAT(AQ$1," flow 2")</f>
        <v>AARnetCBR-CamDTN1_tcpmon_tseries_22Feb24 3 Flows flow 2</v>
      </c>
      <c r="BA6" t="str">
        <f>_xlfn.CONCAT(AZ$1," flow 2")</f>
        <v>AARnetCBR-CamDTN1_tcpmon_tseries_22Feb24 4 Flows flow 2</v>
      </c>
      <c r="BJ6" t="str">
        <f>_xlfn.CONCAT(BI$1," flow 3")</f>
        <v>AARnetCBR-CamDTN1_tcpmon_tseries_22Feb24 5 Flows flow 3</v>
      </c>
      <c r="BS6" t="str">
        <f>_xlfn.CONCAT(BR$1," flow 3")</f>
        <v>AARnetCBR-CamDTN1_tcpmon_tseries_22Feb24 6 Flows flow 3</v>
      </c>
      <c r="CB6" t="str">
        <f>_xlfn.CONCAT(CA$1," flow 3")</f>
        <v>AARnetCBR-CamDTN1_tcpmon_tseries_22Feb24 8 Flows flow 3</v>
      </c>
    </row>
    <row r="7" spans="1:80">
      <c r="E7" s="1"/>
      <c r="G7" s="1"/>
      <c r="J7" s="1"/>
      <c r="K7" s="1"/>
      <c r="R7" s="1" t="s">
        <v>77</v>
      </c>
      <c r="AR7" t="str">
        <f>_xlfn.CONCAT(AQ$1," flow 3")</f>
        <v>AARnetCBR-CamDTN1_tcpmon_tseries_22Feb24 3 Flows flow 3</v>
      </c>
      <c r="BA7" t="str">
        <f>_xlfn.CONCAT(AZ$1," flow 3")</f>
        <v>AARnetCBR-CamDTN1_tcpmon_tseries_22Feb24 4 Flows flow 3</v>
      </c>
      <c r="BJ7" t="str">
        <f>_xlfn.CONCAT(BI$1," flow 4")</f>
        <v>AARnetCBR-CamDTN1_tcpmon_tseries_22Feb24 5 Flows flow 4</v>
      </c>
      <c r="BS7" t="str">
        <f>_xlfn.CONCAT(BR$1," flow 4")</f>
        <v>AARnetCBR-CamDTN1_tcpmon_tseries_22Feb24 6 Flows flow 4</v>
      </c>
      <c r="CB7" t="str">
        <f>_xlfn.CONCAT(CA$1," flow 4")</f>
        <v>AARnetCBR-CamDTN1_tcpmon_tseries_22Feb24 8 Flows flow 4</v>
      </c>
    </row>
    <row r="8" spans="1:80">
      <c r="BA8" t="str">
        <f>_xlfn.CONCAT(AZ$1," flow 4")</f>
        <v>AARnetCBR-CamDTN1_tcpmon_tseries_22Feb24 4 Flows flow 4</v>
      </c>
      <c r="BJ8" t="str">
        <f>_xlfn.CONCAT(BI$1," flow 5")</f>
        <v>AARnetCBR-CamDTN1_tcpmon_tseries_22Feb24 5 Flows flow 5</v>
      </c>
      <c r="BS8" t="str">
        <f>_xlfn.CONCAT(BR$1," flow 5")</f>
        <v>AARnetCBR-CamDTN1_tcpmon_tseries_22Feb24 6 Flows flow 5</v>
      </c>
      <c r="CB8" t="str">
        <f>_xlfn.CONCAT(CA$1," flow 5")</f>
        <v>AARnetCBR-CamDTN1_tcpmon_tseries_22Feb24 8 Flows flow 5</v>
      </c>
    </row>
    <row r="9" spans="1:80">
      <c r="E9" s="1"/>
      <c r="G9" s="1"/>
      <c r="BS9" t="str">
        <f>_xlfn.CONCAT(BR$1," flow 6")</f>
        <v>AARnetCBR-CamDTN1_tcpmon_tseries_22Feb24 6 Flows flow 6</v>
      </c>
      <c r="CB9" t="str">
        <f>_xlfn.CONCAT(CA$1," flow 6")</f>
        <v>AARnetCBR-CamDTN1_tcpmon_tseries_22Feb24 8 Flows flow 6</v>
      </c>
    </row>
    <row r="10" spans="1:80">
      <c r="E10" s="1"/>
      <c r="G10" s="1"/>
      <c r="CB10" t="str">
        <f>_xlfn.CONCAT(CA$1," flow 7")</f>
        <v>AARnetCBR-CamDTN1_tcpmon_tseries_22Feb24 8 Flows flow 7</v>
      </c>
    </row>
    <row r="11" spans="1:80">
      <c r="E11" s="1"/>
      <c r="G11" s="1"/>
      <c r="CB11" t="str">
        <f>_xlfn.CONCAT(CA$1," flow 8")</f>
        <v>AARnetCBR-CamDTN1_tcpmon_tseries_22Feb24 8 Flows flow 8</v>
      </c>
    </row>
    <row r="12" spans="1:80">
      <c r="E12" s="1"/>
      <c r="G12" s="1"/>
    </row>
    <row r="26" spans="11:11">
      <c r="K26" s="1"/>
    </row>
    <row r="27" spans="11:11">
      <c r="K27" s="1"/>
    </row>
    <row r="40" spans="1:21">
      <c r="J40" s="1" t="s">
        <v>26</v>
      </c>
      <c r="K40" s="1" t="s">
        <v>6</v>
      </c>
      <c r="M40" t="str">
        <f xml:space="preserve"> "'" &amp; $A$45 &amp; "'!$a" &amp; "$" &amp; sumStartRow &amp; ":$a" &amp; "$" &amp; sumEndRow</f>
        <v>'Summary'!$a$4:$a$152</v>
      </c>
    </row>
    <row r="41" spans="1:21">
      <c r="K41" s="1" t="s">
        <v>52</v>
      </c>
      <c r="M41" t="str">
        <f xml:space="preserve"> "'" &amp; $A$45 &amp; "'!$c" &amp; "$" &amp; sumStartRow &amp; ":$c" &amp; "$" &amp; sumEndRow</f>
        <v>'Summary'!$c$4:$c$152</v>
      </c>
      <c r="P41" s="1" t="s">
        <v>48</v>
      </c>
      <c r="Q41" t="str">
        <f xml:space="preserve"> "'" &amp; $A$45 &amp; "'!$g" &amp; "$" &amp; sumStartRow &amp; ":$g" &amp; "$" &amp; sumEndRow</f>
        <v>'Summary'!$g$4:$g$152</v>
      </c>
      <c r="T41" s="1" t="s">
        <v>30</v>
      </c>
      <c r="U41" t="str">
        <f xml:space="preserve"> "'" &amp; $A$45 &amp; "'!$l" &amp; "$" &amp; sumStartRow &amp; ":$l" &amp; "$" &amp; sumEndRow</f>
        <v>'Summary'!$l$4:$l$152</v>
      </c>
    </row>
    <row r="42" spans="1:21">
      <c r="K42" s="1" t="s">
        <v>23</v>
      </c>
      <c r="M42" t="str">
        <f xml:space="preserve"> "'" &amp; $A$45 &amp; "'!$d" &amp; "$" &amp; sumStartRow &amp; ":$d" &amp; "$" &amp; sumEndRow</f>
        <v>'Summary'!$d$4:$d$152</v>
      </c>
      <c r="P42" s="1" t="s">
        <v>49</v>
      </c>
      <c r="T42" s="1" t="s">
        <v>27</v>
      </c>
      <c r="U42" t="str">
        <f xml:space="preserve"> "'" &amp; $A$45 &amp; "'!$m" &amp; "$" &amp; sumStartRow &amp; ":$m" &amp; "$" &amp; sumEndRow</f>
        <v>'Summary'!$m$4:$m$152</v>
      </c>
    </row>
    <row r="43" spans="1:21">
      <c r="K43" s="1" t="s">
        <v>24</v>
      </c>
      <c r="M43" t="str">
        <f xml:space="preserve"> "'" &amp; $A$45 &amp; "'!$e" &amp; "$" &amp; sumStartRow &amp; ":$e" &amp; "$" &amp; sumEndRow</f>
        <v>'Summary'!$e$4:$e$152</v>
      </c>
      <c r="P43" s="1" t="s">
        <v>50</v>
      </c>
      <c r="T43" s="1" t="s">
        <v>28</v>
      </c>
      <c r="U43" t="str">
        <f xml:space="preserve"> "'" &amp; $A$45 &amp; "'!$n" &amp; "$" &amp; sumStartRow &amp; ":$n" &amp; "$" &amp; sumEndRow</f>
        <v>'Summary'!$n$4:$n$152</v>
      </c>
    </row>
    <row r="44" spans="1:21">
      <c r="A44" s="1" t="s">
        <v>22</v>
      </c>
      <c r="K44" s="1" t="s">
        <v>25</v>
      </c>
      <c r="M44" t="str">
        <f xml:space="preserve"> "'" &amp; $A$45 &amp; "'!$f" &amp; "$" &amp; sumStartRow &amp; ":$f" &amp; "$" &amp; sumEndRow</f>
        <v>'Summary'!$f$4:$f$152</v>
      </c>
      <c r="T44" s="1" t="s">
        <v>29</v>
      </c>
      <c r="U44" t="str">
        <f xml:space="preserve"> "'" &amp; $A$45 &amp; "'!$o" &amp; "$" &amp; sumStartRow &amp; ":$o" &amp; "$" &amp; sumEndRow</f>
        <v>'Summary'!$o$4:$o$152</v>
      </c>
    </row>
    <row r="45" spans="1:21">
      <c r="A45" t="s">
        <v>20</v>
      </c>
      <c r="J45" s="1" t="s">
        <v>5</v>
      </c>
      <c r="M45" t="str">
        <f xml:space="preserve"> "'" &amp; $A$47 &amp; "'!$a" &amp; "$" &amp; flowStartRow &amp; ":$a" &amp; "$" &amp; flowEndRow</f>
        <v>'AARnetCBR-CamDTN1_tcpmon_ts_11'!$a$13:$a$161</v>
      </c>
      <c r="T45" s="1" t="s">
        <v>51</v>
      </c>
      <c r="U45" t="str">
        <f xml:space="preserve"> "'" &amp; $A$45 &amp; "'!$p" &amp; "$" &amp; sumStartRow &amp; ":$p" &amp; "$" &amp; sumEndRow</f>
        <v>'Summary'!$p$4:$p$152</v>
      </c>
    </row>
    <row r="46" spans="1:21">
      <c r="A46" t="s">
        <v>21</v>
      </c>
      <c r="K46" s="1" t="s">
        <v>6</v>
      </c>
      <c r="M46" t="str">
        <f ca="1" xml:space="preserve"> "'" &amp; $A$47 &amp; "'!" &amp; ADDRESS(flowStartRow,$H$6) &amp; ":" &amp; ADDRESS(flowEndRow,$H$6)</f>
        <v>'AARnetCBR-CamDTN1_tcpmon_ts_11'!$A$13:$A$161</v>
      </c>
    </row>
    <row r="47" spans="1:21">
      <c r="A47" t="s">
        <v>269</v>
      </c>
      <c r="K47" t="s">
        <v>7</v>
      </c>
      <c r="M47" t="str">
        <f ca="1" xml:space="preserve"> "'" &amp; $A$47 &amp; "'!" &amp; ADDRESS(flowStartRow,$H$3) &amp; ":" &amp; ADDRESS(flowEndRow,$H$3)</f>
        <v>'AARnetCBR-CamDTN1_tcpmon_ts_11'!$C$13:$C$161</v>
      </c>
    </row>
    <row r="48" spans="1:21">
      <c r="A48" t="s">
        <v>270</v>
      </c>
      <c r="K48" t="s">
        <v>8</v>
      </c>
      <c r="M48" t="str">
        <f ca="1" xml:space="preserve"> "'" &amp; $A$47 &amp; "'!" &amp; ADDRESS(flowStartRow,$H$4) &amp; ":" &amp; ADDRESS(flowEndRow,$H$4)</f>
        <v>'AARnetCBR-CamDTN1_tcpmon_ts_11'!$D$13:$D$161</v>
      </c>
    </row>
    <row r="49" spans="1:13">
      <c r="A49" t="s">
        <v>271</v>
      </c>
      <c r="K49" s="1" t="s">
        <v>53</v>
      </c>
      <c r="M49" t="str">
        <f ca="1" xml:space="preserve"> "'" &amp; $A$47 &amp; "'!" &amp; ADDRESS(flowStartRow,$H$5) &amp; ":" &amp; ADDRESS(flowEndRow,$H$5)</f>
        <v>'AARnetCBR-CamDTN1_tcpmon_ts_11'!$I$13:$I$161</v>
      </c>
    </row>
    <row r="50" spans="1:13">
      <c r="A50" t="s">
        <v>272</v>
      </c>
      <c r="J50" s="1" t="s">
        <v>9</v>
      </c>
      <c r="K50" s="1" t="s">
        <v>6</v>
      </c>
      <c r="M50" t="str">
        <f ca="1" xml:space="preserve"> "'" &amp; $A$48 &amp; "'!" &amp; ADDRESS(flowStartRow,$H$6) &amp; ":" &amp; ADDRESS(flowEndRow,$H$6)</f>
        <v>'AARnetCBR-CamDTN1_tcpmon_ts_21'!$A$13:$A$161</v>
      </c>
    </row>
    <row r="51" spans="1:13">
      <c r="A51" t="s">
        <v>273</v>
      </c>
      <c r="K51" t="s">
        <v>7</v>
      </c>
      <c r="M51" t="str">
        <f ca="1" xml:space="preserve"> "'" &amp; $A$48 &amp; "'!" &amp; ADDRESS(flowStartRow,$H$3) &amp; ":" &amp; ADDRESS(flowEndRow,$H$3)</f>
        <v>'AARnetCBR-CamDTN1_tcpmon_ts_21'!$C$13:$C$161</v>
      </c>
    </row>
    <row r="52" spans="1:13">
      <c r="A52" t="s">
        <v>274</v>
      </c>
      <c r="K52" t="s">
        <v>8</v>
      </c>
      <c r="M52" t="str">
        <f ca="1" xml:space="preserve"> "'" &amp; $A$48 &amp; "'!" &amp; ADDRESS(flowStartRow,$H$4) &amp; ":" &amp; ADDRESS(flowEndRow,$H$4)</f>
        <v>'AARnetCBR-CamDTN1_tcpmon_ts_21'!$D$13:$D$161</v>
      </c>
    </row>
    <row r="53" spans="1:13">
      <c r="A53" t="s">
        <v>275</v>
      </c>
      <c r="K53" s="1" t="s">
        <v>53</v>
      </c>
      <c r="M53" t="str">
        <f ca="1" xml:space="preserve"> "'" &amp; $A$48 &amp; "'!" &amp; ADDRESS(flowStartRow,$H$5) &amp; ":" &amp; ADDRESS(flowEndRow,$H$5)</f>
        <v>'AARnetCBR-CamDTN1_tcpmon_ts_21'!$I$13:$I$161</v>
      </c>
    </row>
    <row r="54" spans="1:13">
      <c r="A54" t="s">
        <v>276</v>
      </c>
    </row>
    <row r="55" spans="1:13">
      <c r="A55" t="s">
        <v>277</v>
      </c>
      <c r="J55" s="1" t="s">
        <v>10</v>
      </c>
    </row>
    <row r="56" spans="1:13">
      <c r="A56" t="s">
        <v>278</v>
      </c>
      <c r="K56" t="s">
        <v>7</v>
      </c>
      <c r="M56" t="str">
        <f ca="1" xml:space="preserve"> "'" &amp; $A$49 &amp; "'!" &amp; ADDRESS(flowStartRow,$H$3) &amp; ":" &amp; ADDRESS(flowEndRow,$H$3)</f>
        <v>'AARnetCBR-CamDTN1_tcpmon_ts_22'!$C$13:$C$161</v>
      </c>
    </row>
    <row r="57" spans="1:13">
      <c r="A57" t="s">
        <v>279</v>
      </c>
      <c r="K57" t="s">
        <v>8</v>
      </c>
      <c r="M57" t="str">
        <f ca="1" xml:space="preserve"> "'" &amp; $A$49 &amp; "'!" &amp; ADDRESS(flowStartRow,$H$4) &amp; ":" &amp; ADDRESS(flowEndRow,$H$4)</f>
        <v>'AARnetCBR-CamDTN1_tcpmon_ts_22'!$D$13:$D$161</v>
      </c>
    </row>
    <row r="58" spans="1:13">
      <c r="A58" t="s">
        <v>280</v>
      </c>
      <c r="K58" s="1" t="s">
        <v>53</v>
      </c>
      <c r="M58" t="str">
        <f ca="1" xml:space="preserve"> "'" &amp; $A$49 &amp; "'!" &amp; ADDRESS(flowStartRow,$H$5) &amp; ":" &amp; ADDRESS(flowEndRow,$H$5)</f>
        <v>'AARnetCBR-CamDTN1_tcpmon_ts_22'!$I$13:$I$161</v>
      </c>
    </row>
    <row r="59" spans="1:13">
      <c r="A59" t="s">
        <v>281</v>
      </c>
    </row>
    <row r="60" spans="1:13">
      <c r="A60" t="s">
        <v>282</v>
      </c>
      <c r="J60" s="1" t="s">
        <v>11</v>
      </c>
      <c r="K60" s="1" t="s">
        <v>6</v>
      </c>
      <c r="M60" t="str">
        <f ca="1" xml:space="preserve"> "'" &amp; $A$50 &amp; "'!" &amp; ADDRESS(flowStartRow,$H$6) &amp; ":" &amp; ADDRESS(flowEndRow,$H$6)</f>
        <v>'AARnetCBR-CamDTN1_tcpmon_ts_31'!$A$13:$A$161</v>
      </c>
    </row>
    <row r="61" spans="1:13">
      <c r="A61" t="s">
        <v>283</v>
      </c>
      <c r="K61" t="s">
        <v>7</v>
      </c>
      <c r="M61" t="str">
        <f ca="1" xml:space="preserve"> "'" &amp; $A$50 &amp; "'!" &amp; ADDRESS(flowStartRow,$H$3) &amp; ":" &amp; ADDRESS(flowEndRow,$H$3)</f>
        <v>'AARnetCBR-CamDTN1_tcpmon_ts_31'!$C$13:$C$161</v>
      </c>
    </row>
    <row r="62" spans="1:13">
      <c r="A62" t="s">
        <v>284</v>
      </c>
      <c r="K62" t="s">
        <v>8</v>
      </c>
      <c r="M62" t="str">
        <f ca="1" xml:space="preserve"> "'" &amp; $A$50 &amp; "'!" &amp; ADDRESS(flowStartRow,$H$4) &amp; ":" &amp; ADDRESS(flowEndRow,$H$4)</f>
        <v>'AARnetCBR-CamDTN1_tcpmon_ts_31'!$D$13:$D$161</v>
      </c>
    </row>
    <row r="63" spans="1:13">
      <c r="A63" t="s">
        <v>285</v>
      </c>
      <c r="K63" s="1" t="s">
        <v>53</v>
      </c>
      <c r="M63" t="str">
        <f ca="1" xml:space="preserve"> "'" &amp; $A$50 &amp; "'!" &amp; ADDRESS(flowStartRow,$H$5) &amp; ":" &amp; ADDRESS(flowEndRow,$H$5)</f>
        <v>'AARnetCBR-CamDTN1_tcpmon_ts_31'!$I$13:$I$161</v>
      </c>
    </row>
    <row r="64" spans="1:13">
      <c r="A64" t="s">
        <v>286</v>
      </c>
    </row>
    <row r="65" spans="1:13">
      <c r="A65" t="s">
        <v>287</v>
      </c>
      <c r="J65" s="1" t="s">
        <v>12</v>
      </c>
    </row>
    <row r="66" spans="1:13">
      <c r="A66" t="s">
        <v>288</v>
      </c>
      <c r="K66" t="s">
        <v>7</v>
      </c>
      <c r="M66" t="str">
        <f ca="1" xml:space="preserve"> "'" &amp; $A$51 &amp; "'!" &amp; ADDRESS(flowStartRow,$H$3) &amp; ":" &amp; ADDRESS(flowEndRow,$H$3)</f>
        <v>'AARnetCBR-CamDTN1_tcpmon_ts_32'!$C$13:$C$161</v>
      </c>
    </row>
    <row r="67" spans="1:13">
      <c r="A67" t="s">
        <v>289</v>
      </c>
      <c r="K67" t="s">
        <v>8</v>
      </c>
      <c r="M67" t="str">
        <f ca="1" xml:space="preserve"> "'" &amp; $A$51 &amp; "'!" &amp; ADDRESS(flowStartRow,$H$4) &amp; ":" &amp; ADDRESS(flowEndRow,$H$4)</f>
        <v>'AARnetCBR-CamDTN1_tcpmon_ts_32'!$D$13:$D$161</v>
      </c>
    </row>
    <row r="68" spans="1:13">
      <c r="A68" t="s">
        <v>290</v>
      </c>
      <c r="K68" s="1" t="s">
        <v>53</v>
      </c>
      <c r="M68" t="str">
        <f ca="1" xml:space="preserve"> "'" &amp; $A$51 &amp; "'!" &amp; ADDRESS(flowStartRow,$H$5) &amp; ":" &amp; ADDRESS(flowEndRow,$H$5)</f>
        <v>'AARnetCBR-CamDTN1_tcpmon_ts_32'!$I$13:$I$161</v>
      </c>
    </row>
    <row r="69" spans="1:13">
      <c r="A69" t="s">
        <v>291</v>
      </c>
    </row>
    <row r="70" spans="1:13">
      <c r="A70" t="s">
        <v>292</v>
      </c>
      <c r="J70" s="1" t="s">
        <v>13</v>
      </c>
    </row>
    <row r="71" spans="1:13">
      <c r="A71" t="s">
        <v>293</v>
      </c>
      <c r="K71" t="s">
        <v>7</v>
      </c>
      <c r="M71" t="str">
        <f ca="1" xml:space="preserve"> "'" &amp; $A$52 &amp; "'!" &amp; ADDRESS(flowStartRow,$H$3) &amp; ":" &amp; ADDRESS(flowEndRow,$H$3)</f>
        <v>'AARnetCBR-CamDTN1_tcpmon_ts_33'!$C$13:$C$161</v>
      </c>
    </row>
    <row r="72" spans="1:13">
      <c r="A72" t="s">
        <v>294</v>
      </c>
      <c r="K72" t="s">
        <v>8</v>
      </c>
      <c r="M72" t="str">
        <f ca="1" xml:space="preserve"> "'" &amp; $A$52 &amp; "'!" &amp; ADDRESS(flowStartRow,$H$4) &amp; ":" &amp; ADDRESS(flowEndRow,$H$4)</f>
        <v>'AARnetCBR-CamDTN1_tcpmon_ts_33'!$D$13:$D$161</v>
      </c>
    </row>
    <row r="73" spans="1:13">
      <c r="A73" t="s">
        <v>295</v>
      </c>
      <c r="K73" s="1" t="s">
        <v>53</v>
      </c>
      <c r="M73" t="str">
        <f ca="1" xml:space="preserve"> "'" &amp; $A$52 &amp; "'!" &amp; ADDRESS(flowStartRow,$H$5) &amp; ":" &amp; ADDRESS(flowEndRow,$H$5)</f>
        <v>'AARnetCBR-CamDTN1_tcpmon_ts_33'!$I$13:$I$161</v>
      </c>
    </row>
    <row r="74" spans="1:13">
      <c r="A74" t="s">
        <v>296</v>
      </c>
    </row>
    <row r="75" spans="1:13">
      <c r="A75" t="s">
        <v>297</v>
      </c>
      <c r="J75" s="1" t="s">
        <v>14</v>
      </c>
      <c r="K75" s="1" t="s">
        <v>6</v>
      </c>
      <c r="M75" t="str">
        <f ca="1" xml:space="preserve"> "'" &amp; $A$53 &amp; "'!" &amp; ADDRESS(flowStartRow,$H$6) &amp; ":" &amp; ADDRESS(flowEndRow,$H$6)</f>
        <v>'AARnetCBR-CamDTN1_tcpmon_ts_41'!$A$13:$A$161</v>
      </c>
    </row>
    <row r="76" spans="1:13">
      <c r="A76">
        <f t="shared" ref="A76" si="0">A41</f>
        <v>0</v>
      </c>
      <c r="K76" t="s">
        <v>7</v>
      </c>
      <c r="M76" t="str">
        <f ca="1" xml:space="preserve"> "'" &amp; $A$53 &amp; "'!" &amp; ADDRESS(flowStartRow,$H$3) &amp; ":" &amp; ADDRESS(flowEndRow,$H$3)</f>
        <v>'AARnetCBR-CamDTN1_tcpmon_ts_41'!$C$13:$C$161</v>
      </c>
    </row>
    <row r="77" spans="1:13">
      <c r="K77" t="s">
        <v>8</v>
      </c>
      <c r="M77" t="str">
        <f ca="1" xml:space="preserve"> "'" &amp; $A$53 &amp; "'!" &amp; ADDRESS(flowStartRow,$H$4) &amp; ":" &amp; ADDRESS(flowEndRow,$H$4)</f>
        <v>'AARnetCBR-CamDTN1_tcpmon_ts_41'!$D$13:$D$161</v>
      </c>
    </row>
    <row r="80" spans="1:13">
      <c r="J80" s="1" t="s">
        <v>15</v>
      </c>
    </row>
    <row r="81" spans="10:13">
      <c r="K81" t="s">
        <v>7</v>
      </c>
      <c r="M81" t="str">
        <f ca="1" xml:space="preserve"> "'" &amp; $A$54 &amp; "'!" &amp; ADDRESS(flowStartRow,$H$3) &amp; ":" &amp; ADDRESS(flowEndRow,$H$3)</f>
        <v>'AARnetCBR-CamDTN1_tcpmon_ts_42'!$C$13:$C$161</v>
      </c>
    </row>
    <row r="82" spans="10:13">
      <c r="K82" t="s">
        <v>8</v>
      </c>
      <c r="M82" t="str">
        <f ca="1" xml:space="preserve"> "'" &amp; $A$54 &amp; "'!" &amp; ADDRESS(flowStartRow,$H$4) &amp; ":" &amp; ADDRESS(flowEndRow,$H$4)</f>
        <v>'AARnetCBR-CamDTN1_tcpmon_ts_42'!$D$13:$D$161</v>
      </c>
    </row>
    <row r="85" spans="10:13">
      <c r="J85" s="1" t="s">
        <v>16</v>
      </c>
    </row>
    <row r="86" spans="10:13">
      <c r="K86" t="s">
        <v>7</v>
      </c>
      <c r="M86" t="str">
        <f ca="1" xml:space="preserve"> "'" &amp; $A$55 &amp; "'!" &amp; ADDRESS(flowStartRow,$H$3) &amp; ":" &amp; ADDRESS(flowEndRow,$H$3)</f>
        <v>'AARnetCBR-CamDTN1_tcpmon_ts_43'!$C$13:$C$161</v>
      </c>
    </row>
    <row r="87" spans="10:13">
      <c r="K87" t="s">
        <v>8</v>
      </c>
      <c r="M87" t="str">
        <f ca="1" xml:space="preserve"> "'" &amp; $A$55 &amp; "'!" &amp; ADDRESS(flowStartRow,$H$4) &amp; ":" &amp; ADDRESS(flowEndRow,$H$4)</f>
        <v>'AARnetCBR-CamDTN1_tcpmon_ts_43'!$D$13:$D$161</v>
      </c>
    </row>
    <row r="90" spans="10:13">
      <c r="J90" s="1" t="s">
        <v>17</v>
      </c>
    </row>
    <row r="91" spans="10:13">
      <c r="K91" t="s">
        <v>7</v>
      </c>
      <c r="M91" t="str">
        <f ca="1" xml:space="preserve"> "'" &amp; $A$56 &amp; "'!" &amp; ADDRESS(flowStartRow,$H$3) &amp; ":" &amp; ADDRESS(flowEndRow,$H$3)</f>
        <v>'AARnetCBR-CamDTN1_tcpmon_ts_44'!$C$13:$C$161</v>
      </c>
    </row>
    <row r="92" spans="10:13">
      <c r="K92" t="s">
        <v>8</v>
      </c>
      <c r="M92" t="str">
        <f ca="1" xml:space="preserve"> "'" &amp; $A$56 &amp; "'!" &amp; ADDRESS(flowStartRow,$H$4) &amp; ":" &amp; ADDRESS(flowEndRow,$H$4)</f>
        <v>'AARnetCBR-CamDTN1_tcpmon_ts_44'!$D$13:$D$161</v>
      </c>
    </row>
    <row r="94" spans="10:13">
      <c r="J94" s="1" t="s">
        <v>32</v>
      </c>
    </row>
    <row r="95" spans="10:13">
      <c r="K95" s="1" t="s">
        <v>6</v>
      </c>
      <c r="M95" t="str">
        <f ca="1" xml:space="preserve"> "'" &amp; $A$57 &amp; "'!" &amp; ADDRESS(flowStartRow,$H$6) &amp; ":" &amp; ADDRESS(flowEndRow,$H$6)</f>
        <v>'AARnetCBR-CamDTN1_tcpmon_ts_51'!$A$13:$A$161</v>
      </c>
    </row>
    <row r="96" spans="10:13">
      <c r="K96" t="s">
        <v>7</v>
      </c>
      <c r="M96" t="str">
        <f ca="1" xml:space="preserve"> "'" &amp; $A$57 &amp; "'!" &amp; ADDRESS(flowStartRow,$H$3) &amp; ":" &amp; ADDRESS(flowEndRow,$H$3)</f>
        <v>'AARnetCBR-CamDTN1_tcpmon_ts_51'!$C$13:$C$161</v>
      </c>
    </row>
    <row r="97" spans="10:13">
      <c r="K97" t="s">
        <v>8</v>
      </c>
      <c r="M97" t="str">
        <f ca="1" xml:space="preserve"> "'" &amp; $A$57 &amp; "'!" &amp; ADDRESS(flowStartRow,$H$4) &amp; ":" &amp; ADDRESS(flowEndRow,$H$4)</f>
        <v>'AARnetCBR-CamDTN1_tcpmon_ts_51'!$D$13:$D$161</v>
      </c>
    </row>
    <row r="99" spans="10:13">
      <c r="J99" s="1" t="s">
        <v>33</v>
      </c>
    </row>
    <row r="100" spans="10:13">
      <c r="K100" t="s">
        <v>7</v>
      </c>
      <c r="M100" t="str">
        <f ca="1" xml:space="preserve"> "'" &amp; $A$58 &amp; "'!" &amp; ADDRESS(flowStartRow,$H$3) &amp; ":" &amp; ADDRESS(flowEndRow,$H$3)</f>
        <v>'AARnetCBR-CamDTN1_tcpmon_ts_52'!$C$13:$C$161</v>
      </c>
    </row>
    <row r="101" spans="10:13">
      <c r="K101" t="s">
        <v>8</v>
      </c>
      <c r="M101" t="str">
        <f ca="1" xml:space="preserve"> "'" &amp; $A$58 &amp; "'!" &amp; ADDRESS(flowStartRow,$H$4) &amp; ":" &amp; ADDRESS(flowEndRow,$H$4)</f>
        <v>'AARnetCBR-CamDTN1_tcpmon_ts_52'!$D$13:$D$161</v>
      </c>
    </row>
    <row r="104" spans="10:13">
      <c r="J104" s="1" t="s">
        <v>34</v>
      </c>
    </row>
    <row r="105" spans="10:13">
      <c r="K105" t="s">
        <v>7</v>
      </c>
      <c r="M105" t="str">
        <f ca="1" xml:space="preserve"> "'" &amp; $A$59 &amp; "'!" &amp; ADDRESS(flowStartRow,$H$3) &amp; ":" &amp; ADDRESS(flowEndRow,$H$3)</f>
        <v>'AARnetCBR-CamDTN1_tcpmon_ts_53'!$C$13:$C$161</v>
      </c>
    </row>
    <row r="106" spans="10:13">
      <c r="K106" t="s">
        <v>8</v>
      </c>
      <c r="M106" t="str">
        <f ca="1" xml:space="preserve"> "'" &amp; $A$59 &amp; "'!" &amp; ADDRESS(flowStartRow,$H$4) &amp; ":" &amp; ADDRESS(flowEndRow,$H$4)</f>
        <v>'AARnetCBR-CamDTN1_tcpmon_ts_53'!$D$13:$D$161</v>
      </c>
    </row>
    <row r="109" spans="10:13">
      <c r="J109" s="1" t="s">
        <v>35</v>
      </c>
    </row>
    <row r="110" spans="10:13">
      <c r="K110" t="s">
        <v>7</v>
      </c>
      <c r="M110" t="str">
        <f ca="1" xml:space="preserve"> "'" &amp; $A$60 &amp; "'!" &amp; ADDRESS(flowStartRow,$H$3) &amp; ":" &amp; ADDRESS(flowEndRow,$H$3)</f>
        <v>'AARnetCBR-CamDTN1_tcpmon_ts_54'!$C$13:$C$161</v>
      </c>
    </row>
    <row r="111" spans="10:13">
      <c r="K111" t="s">
        <v>8</v>
      </c>
      <c r="M111" t="str">
        <f ca="1" xml:space="preserve"> "'" &amp; $A$60 &amp; "'!" &amp; ADDRESS(flowStartRow,$H$4) &amp; ":" &amp; ADDRESS(flowEndRow,$H$4)</f>
        <v>'AARnetCBR-CamDTN1_tcpmon_ts_54'!$D$13:$D$161</v>
      </c>
    </row>
    <row r="114" spans="10:13">
      <c r="J114" s="1" t="s">
        <v>36</v>
      </c>
    </row>
    <row r="115" spans="10:13">
      <c r="K115" t="s">
        <v>7</v>
      </c>
      <c r="M115" t="str">
        <f ca="1" xml:space="preserve"> "'" &amp; $A$61 &amp; "'!" &amp; ADDRESS(flowStartRow,$H$3) &amp; ":" &amp; ADDRESS(flowEndRow,$H$3)</f>
        <v>'AARnetCBR-CamDTN1_tcpmon_ts_55'!$C$13:$C$161</v>
      </c>
    </row>
    <row r="116" spans="10:13">
      <c r="K116" t="s">
        <v>8</v>
      </c>
      <c r="M116" t="str">
        <f ca="1" xml:space="preserve"> "'" &amp; $A$61 &amp; "'!" &amp; ADDRESS(flowStartRow,$H$4) &amp; ":" &amp; ADDRESS(flowEndRow,$H$4)</f>
        <v>'AARnetCBR-CamDTN1_tcpmon_ts_55'!$D$13:$D$161</v>
      </c>
    </row>
    <row r="118" spans="10:13">
      <c r="J118" s="1" t="s">
        <v>39</v>
      </c>
    </row>
    <row r="119" spans="10:13">
      <c r="K119" s="1" t="s">
        <v>6</v>
      </c>
      <c r="M119" t="str">
        <f ca="1" xml:space="preserve"> "'" &amp; $A$62 &amp; "'!" &amp; ADDRESS(flowStartRow,$H$6) &amp; ":" &amp; ADDRESS(flowEndRow,$H$6)</f>
        <v>'AARnetCBR-CamDTN1_tcpmon_ts_61'!$A$13:$A$161</v>
      </c>
    </row>
    <row r="120" spans="10:13">
      <c r="K120" t="s">
        <v>7</v>
      </c>
      <c r="M120" t="str">
        <f ca="1" xml:space="preserve"> "'" &amp; $A$62 &amp; "'!" &amp; ADDRESS(flowStartRow,$H$3) &amp; ":" &amp; ADDRESS(flowEndRow,$H$3)</f>
        <v>'AARnetCBR-CamDTN1_tcpmon_ts_61'!$C$13:$C$161</v>
      </c>
    </row>
    <row r="121" spans="10:13">
      <c r="K121" t="s">
        <v>8</v>
      </c>
      <c r="M121" t="str">
        <f ca="1" xml:space="preserve"> "'" &amp; $A$62 &amp; "'!" &amp; ADDRESS(flowStartRow,$H$4) &amp; ":" &amp; ADDRESS(flowEndRow,$H$4)</f>
        <v>'AARnetCBR-CamDTN1_tcpmon_ts_61'!$D$13:$D$161</v>
      </c>
    </row>
    <row r="123" spans="10:13">
      <c r="J123" s="1" t="s">
        <v>40</v>
      </c>
    </row>
    <row r="124" spans="10:13">
      <c r="K124" s="1"/>
    </row>
    <row r="125" spans="10:13">
      <c r="K125" t="s">
        <v>7</v>
      </c>
      <c r="M125" t="str">
        <f ca="1" xml:space="preserve"> "'" &amp; $A$63 &amp; "'!" &amp; ADDRESS(flowStartRow,$H$3) &amp; ":" &amp; ADDRESS(flowEndRow,$H$3)</f>
        <v>'AARnetCBR-CamDTN1_tcpmon_ts_62'!$C$13:$C$161</v>
      </c>
    </row>
    <row r="126" spans="10:13">
      <c r="K126" t="s">
        <v>8</v>
      </c>
      <c r="M126" t="str">
        <f ca="1" xml:space="preserve"> "'" &amp; $A$63 &amp; "'!" &amp; ADDRESS(flowStartRow,$H$4) &amp; ":" &amp; ADDRESS(flowEndRow,$H$4)</f>
        <v>'AARnetCBR-CamDTN1_tcpmon_ts_62'!$D$13:$D$161</v>
      </c>
    </row>
    <row r="128" spans="10:13">
      <c r="J128" s="1" t="s">
        <v>41</v>
      </c>
    </row>
    <row r="129" spans="10:13">
      <c r="K129" s="1"/>
    </row>
    <row r="130" spans="10:13">
      <c r="K130" t="s">
        <v>7</v>
      </c>
      <c r="M130" t="str">
        <f ca="1" xml:space="preserve"> "'" &amp; $A$64 &amp; "'!" &amp; ADDRESS(flowStartRow,$H$3) &amp; ":" &amp; ADDRESS(flowEndRow,$H$3)</f>
        <v>'AARnetCBR-CamDTN1_tcpmon_ts_63'!$C$13:$C$161</v>
      </c>
    </row>
    <row r="131" spans="10:13">
      <c r="K131" t="s">
        <v>8</v>
      </c>
      <c r="M131" t="str">
        <f ca="1" xml:space="preserve"> "'" &amp; $A$64 &amp; "'!" &amp; ADDRESS(flowStartRow,$H$4) &amp; ":" &amp; ADDRESS(flowEndRow,$H$4)</f>
        <v>'AARnetCBR-CamDTN1_tcpmon_ts_63'!$D$13:$D$161</v>
      </c>
    </row>
    <row r="133" spans="10:13">
      <c r="J133" s="1" t="s">
        <v>42</v>
      </c>
    </row>
    <row r="134" spans="10:13">
      <c r="K134" s="1"/>
    </row>
    <row r="135" spans="10:13">
      <c r="K135" t="s">
        <v>7</v>
      </c>
      <c r="M135" t="str">
        <f ca="1" xml:space="preserve"> "'" &amp; $A$65 &amp; "'!" &amp; ADDRESS(flowStartRow,$H$3) &amp; ":" &amp; ADDRESS(flowEndRow,$H$3)</f>
        <v>'AARnetCBR-CamDTN1_tcpmon_ts_64'!$C$13:$C$161</v>
      </c>
    </row>
    <row r="136" spans="10:13">
      <c r="K136" t="s">
        <v>8</v>
      </c>
      <c r="M136" t="str">
        <f ca="1" xml:space="preserve"> "'" &amp; $A$65 &amp; "'!" &amp; ADDRESS(flowStartRow,$H$4) &amp; ":" &amp; ADDRESS(flowEndRow,$H$4)</f>
        <v>'AARnetCBR-CamDTN1_tcpmon_ts_64'!$D$13:$D$161</v>
      </c>
    </row>
    <row r="138" spans="10:13">
      <c r="J138" s="1" t="s">
        <v>43</v>
      </c>
    </row>
    <row r="139" spans="10:13">
      <c r="K139" t="s">
        <v>7</v>
      </c>
      <c r="M139" t="str">
        <f ca="1" xml:space="preserve"> "'" &amp; $A$66 &amp; "'!" &amp; ADDRESS(flowStartRow,$H$3) &amp; ":" &amp; ADDRESS(flowEndRow,$H$3)</f>
        <v>'AARnetCBR-CamDTN1_tcpmon_ts_65'!$C$13:$C$161</v>
      </c>
    </row>
    <row r="140" spans="10:13">
      <c r="K140" t="s">
        <v>8</v>
      </c>
      <c r="M140" t="str">
        <f ca="1" xml:space="preserve"> "'" &amp; $A$66 &amp; "'!" &amp; ADDRESS(flowStartRow,$H$4) &amp; ":" &amp; ADDRESS(flowEndRow,$H$4)</f>
        <v>'AARnetCBR-CamDTN1_tcpmon_ts_65'!$D$13:$D$161</v>
      </c>
    </row>
    <row r="144" spans="10:13">
      <c r="J144" s="1" t="s">
        <v>44</v>
      </c>
      <c r="K144" s="1"/>
    </row>
    <row r="145" spans="10:13">
      <c r="K145" t="s">
        <v>7</v>
      </c>
      <c r="M145" t="str">
        <f ca="1" xml:space="preserve"> "'" &amp; $A$67 &amp; "'!" &amp; ADDRESS(flowStartRow,$H$3) &amp; ":" &amp; ADDRESS(flowEndRow,$H$3)</f>
        <v>'AARnetCBR-CamDTN1_tcpmon_ts_66'!$C$13:$C$161</v>
      </c>
    </row>
    <row r="146" spans="10:13">
      <c r="K146" t="s">
        <v>8</v>
      </c>
      <c r="M146" t="str">
        <f ca="1" xml:space="preserve"> "'" &amp; $A$67 &amp; "'!" &amp; ADDRESS(flowStartRow,$H$4) &amp; ":" &amp; ADDRESS(flowEndRow,$H$4)</f>
        <v>'AARnetCBR-CamDTN1_tcpmon_ts_66'!$D$13:$D$161</v>
      </c>
    </row>
    <row r="148" spans="10:13">
      <c r="J148" s="1" t="s">
        <v>66</v>
      </c>
    </row>
    <row r="149" spans="10:13">
      <c r="K149" s="1" t="s">
        <v>6</v>
      </c>
      <c r="M149" t="str">
        <f ca="1" xml:space="preserve"> "'" &amp; $A$68 &amp; "'!" &amp; ADDRESS(flowStartRow,$H$6) &amp; ":" &amp; ADDRESS(flowEndRow,$H$6)</f>
        <v>'AARnetCBR-CamDTN1_tcpmon_ts_81'!$A$13:$A$161</v>
      </c>
    </row>
    <row r="150" spans="10:13">
      <c r="K150" t="s">
        <v>7</v>
      </c>
      <c r="M150" t="str">
        <f ca="1" xml:space="preserve"> "'" &amp; $A$68 &amp; "'!" &amp; ADDRESS(flowStartRow,$H$3) &amp; ":" &amp; ADDRESS(flowEndRow,$H$3)</f>
        <v>'AARnetCBR-CamDTN1_tcpmon_ts_81'!$C$13:$C$161</v>
      </c>
    </row>
    <row r="151" spans="10:13">
      <c r="K151" t="s">
        <v>8</v>
      </c>
      <c r="M151" t="str">
        <f ca="1" xml:space="preserve"> "'" &amp; $A$68 &amp; "'!" &amp; ADDRESS(flowStartRow,$H$4) &amp; ":" &amp; ADDRESS(flowEndRow,$H$4)</f>
        <v>'AARnetCBR-CamDTN1_tcpmon_ts_81'!$D$13:$D$161</v>
      </c>
    </row>
    <row r="153" spans="10:13">
      <c r="J153" s="1" t="s">
        <v>67</v>
      </c>
    </row>
    <row r="154" spans="10:13">
      <c r="K154" s="1"/>
    </row>
    <row r="155" spans="10:13">
      <c r="K155" t="s">
        <v>7</v>
      </c>
      <c r="M155" t="str">
        <f ca="1" xml:space="preserve"> "'" &amp; $A$69 &amp; "'!" &amp; ADDRESS(flowStartRow,$H$3) &amp; ":" &amp; ADDRESS(flowEndRow,$H$3)</f>
        <v>'AARnetCBR-CamDTN1_tcpmon_ts_82'!$C$13:$C$161</v>
      </c>
    </row>
    <row r="156" spans="10:13">
      <c r="K156" t="s">
        <v>8</v>
      </c>
      <c r="M156" t="str">
        <f ca="1" xml:space="preserve"> "'" &amp; $A$69 &amp; "'!" &amp; ADDRESS(flowStartRow,$H$4) &amp; ":" &amp; ADDRESS(flowEndRow,$H$4)</f>
        <v>'AARnetCBR-CamDTN1_tcpmon_ts_82'!$D$13:$D$161</v>
      </c>
    </row>
    <row r="158" spans="10:13">
      <c r="J158" s="1" t="s">
        <v>63</v>
      </c>
    </row>
    <row r="159" spans="10:13">
      <c r="K159" s="1"/>
    </row>
    <row r="160" spans="10:13">
      <c r="K160" t="s">
        <v>7</v>
      </c>
      <c r="M160" t="str">
        <f ca="1" xml:space="preserve"> "'" &amp; $A$70 &amp; "'!" &amp; ADDRESS(flowStartRow,$H$3) &amp; ":" &amp; ADDRESS(flowEndRow,$H$3)</f>
        <v>'AARnetCBR-CamDTN1_tcpmon_ts_83'!$C$13:$C$161</v>
      </c>
    </row>
    <row r="161" spans="10:13">
      <c r="K161" t="s">
        <v>8</v>
      </c>
      <c r="M161" t="str">
        <f ca="1" xml:space="preserve"> "'" &amp; $A$70 &amp; "'!" &amp; ADDRESS(flowStartRow,$H$4) &amp; ":" &amp; ADDRESS(flowEndRow,$H$4)</f>
        <v>'AARnetCBR-CamDTN1_tcpmon_ts_83'!$D$13:$D$161</v>
      </c>
    </row>
    <row r="163" spans="10:13">
      <c r="J163" s="1" t="s">
        <v>64</v>
      </c>
    </row>
    <row r="164" spans="10:13">
      <c r="K164" s="1"/>
    </row>
    <row r="165" spans="10:13">
      <c r="K165" t="s">
        <v>7</v>
      </c>
      <c r="M165" t="str">
        <f ca="1" xml:space="preserve"> "'" &amp; $A$71 &amp; "'!" &amp; ADDRESS(flowStartRow,$H$3) &amp; ":" &amp; ADDRESS(flowEndRow,$H$3)</f>
        <v>'AARnetCBR-CamDTN1_tcpmon_ts_84'!$C$13:$C$161</v>
      </c>
    </row>
    <row r="166" spans="10:13">
      <c r="K166" t="s">
        <v>8</v>
      </c>
      <c r="M166" t="str">
        <f ca="1" xml:space="preserve"> "'" &amp; $A$71 &amp; "'!" &amp; ADDRESS(flowStartRow,$H$4) &amp; ":" &amp; ADDRESS(flowEndRow,$H$4)</f>
        <v>'AARnetCBR-CamDTN1_tcpmon_ts_84'!$D$13:$D$161</v>
      </c>
    </row>
    <row r="168" spans="10:13">
      <c r="J168" s="1" t="s">
        <v>65</v>
      </c>
    </row>
    <row r="169" spans="10:13">
      <c r="K169" t="s">
        <v>7</v>
      </c>
      <c r="M169" t="str">
        <f ca="1" xml:space="preserve"> "'" &amp; $A$72 &amp; "'!" &amp; ADDRESS(flowStartRow,$H$3) &amp; ":" &amp; ADDRESS(flowEndRow,$H$3)</f>
        <v>'AARnetCBR-CamDTN1_tcpmon_ts_85'!$C$13:$C$161</v>
      </c>
    </row>
    <row r="170" spans="10:13">
      <c r="K170" t="s">
        <v>8</v>
      </c>
      <c r="M170" t="str">
        <f ca="1" xml:space="preserve"> "'" &amp; $A$72 &amp; "'!" &amp; ADDRESS(flowStartRow,$H$4) &amp; ":" &amp; ADDRESS(flowEndRow,$H$4)</f>
        <v>'AARnetCBR-CamDTN1_tcpmon_ts_85'!$D$13:$D$161</v>
      </c>
    </row>
    <row r="172" spans="10:13">
      <c r="J172" s="1" t="s">
        <v>62</v>
      </c>
      <c r="K172" s="1"/>
    </row>
    <row r="173" spans="10:13">
      <c r="K173" t="s">
        <v>7</v>
      </c>
      <c r="M173" t="str">
        <f ca="1" xml:space="preserve"> "'" &amp; $A$73 &amp; "'!" &amp; ADDRESS(flowStartRow,$H$3) &amp; ":" &amp; ADDRESS(flowEndRow,$H$3)</f>
        <v>'AARnetCBR-CamDTN1_tcpmon_ts_86'!$C$13:$C$161</v>
      </c>
    </row>
    <row r="174" spans="10:13">
      <c r="K174" t="s">
        <v>8</v>
      </c>
      <c r="M174" t="str">
        <f ca="1" xml:space="preserve"> "'" &amp; $A$73 &amp; "'!" &amp; ADDRESS(flowStartRow,$H$4) &amp; ":" &amp; ADDRESS(flowEndRow,$H$4)</f>
        <v>'AARnetCBR-CamDTN1_tcpmon_ts_86'!$D$13:$D$161</v>
      </c>
    </row>
    <row r="176" spans="10:13">
      <c r="J176" s="1" t="s">
        <v>68</v>
      </c>
    </row>
    <row r="177" spans="10:13">
      <c r="K177" t="s">
        <v>7</v>
      </c>
      <c r="M177" t="str">
        <f ca="1" xml:space="preserve"> "'" &amp; $A$74 &amp; "'!" &amp; ADDRESS(flowStartRow,$H$3) &amp; ":" &amp; ADDRESS(flowEndRow,$H$3)</f>
        <v>'AARnetCBR-CamDTN1_tcpmon_ts_87'!$C$13:$C$161</v>
      </c>
    </row>
    <row r="178" spans="10:13">
      <c r="K178" t="s">
        <v>8</v>
      </c>
      <c r="M178" t="str">
        <f ca="1" xml:space="preserve"> "'" &amp; $A$74 &amp; "'!" &amp; ADDRESS(flowStartRow,$H$4) &amp; ":" &amp; ADDRESS(flowEndRow,$H$4)</f>
        <v>'AARnetCBR-CamDTN1_tcpmon_ts_87'!$D$13:$D$161</v>
      </c>
    </row>
    <row r="180" spans="10:13">
      <c r="J180" s="1" t="s">
        <v>69</v>
      </c>
      <c r="K180" s="1"/>
    </row>
    <row r="181" spans="10:13">
      <c r="K181" t="s">
        <v>7</v>
      </c>
      <c r="M181" t="str">
        <f ca="1" xml:space="preserve"> "'" &amp; $A$75 &amp; "'!" &amp; ADDRESS(flowStartRow,$H$3) &amp; ":" &amp; ADDRESS(flowEndRow,$H$3)</f>
        <v>'AARnetCBR-CamDTN1_tcpmon_ts_88'!$C$13:$C$161</v>
      </c>
    </row>
    <row r="182" spans="10:13">
      <c r="K182" t="s">
        <v>8</v>
      </c>
      <c r="M182" t="str">
        <f ca="1" xml:space="preserve"> "'" &amp; $A$75 &amp; "'!" &amp; ADDRESS(flowStartRow,$H$4) &amp; ":" &amp; ADDRESS(flowEndRow,$H$4)</f>
        <v>'AARnetCBR-CamDTN1_tcpmon_ts_88'!$D$13:$D$161</v>
      </c>
    </row>
  </sheetData>
  <phoneticPr fontId="1" type="noConversion"/>
  <pageMargins left="0.75" right="0.75" top="1" bottom="1" header="0.5" footer="0.5"/>
  <pageSetup paperSize="9" orientation="portrait" horizontalDpi="4294967293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_names">
                <anchor moveWithCells="1" sizeWithCells="1">
                  <from>
                    <xdr:col>0</xdr:col>
                    <xdr:colOff>158750</xdr:colOff>
                    <xdr:row>6</xdr:row>
                    <xdr:rowOff>120650</xdr:rowOff>
                  </from>
                  <to>
                    <xdr:col>2</xdr:col>
                    <xdr:colOff>590550</xdr:colOff>
                    <xdr:row>9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0F4EE-A179-4682-86A5-5DF48DCFE88C}">
  <sheetPr codeName="Sheet2"/>
  <dimension ref="A1:AF152"/>
  <sheetViews>
    <sheetView topLeftCell="A4" workbookViewId="0">
      <selection activeCell="L103" sqref="L103:R152"/>
    </sheetView>
  </sheetViews>
  <sheetFormatPr defaultRowHeight="12.5"/>
  <cols>
    <col min="8" max="8" width="11" customWidth="1"/>
    <col min="21" max="21" width="9.81640625" bestFit="1" customWidth="1"/>
    <col min="22" max="24" width="10.81640625" bestFit="1" customWidth="1"/>
    <col min="29" max="29" width="10.81640625" bestFit="1" customWidth="1"/>
    <col min="31" max="31" width="12.08984375" bestFit="1" customWidth="1"/>
  </cols>
  <sheetData>
    <row r="1" spans="1:32" ht="37.5">
      <c r="A1" s="3" t="s">
        <v>3</v>
      </c>
      <c r="B1" s="1" t="s">
        <v>61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8</v>
      </c>
      <c r="K1" s="1" t="s">
        <v>4</v>
      </c>
      <c r="L1">
        <v>1</v>
      </c>
      <c r="M1">
        <v>2</v>
      </c>
      <c r="N1">
        <v>3</v>
      </c>
      <c r="O1">
        <v>4</v>
      </c>
      <c r="P1">
        <v>5</v>
      </c>
      <c r="Q1">
        <v>6</v>
      </c>
      <c r="R1">
        <v>8</v>
      </c>
      <c r="T1" s="1" t="s">
        <v>31</v>
      </c>
      <c r="U1">
        <v>1</v>
      </c>
      <c r="V1">
        <v>2</v>
      </c>
      <c r="W1">
        <v>3</v>
      </c>
      <c r="X1">
        <v>4</v>
      </c>
      <c r="Y1">
        <v>5</v>
      </c>
      <c r="Z1">
        <v>6</v>
      </c>
      <c r="AA1">
        <v>8</v>
      </c>
    </row>
    <row r="2" spans="1:32">
      <c r="U2">
        <f>'AARnetCBR-CamDTN1_tcpmon_ts_11'!H614</f>
        <v>0</v>
      </c>
      <c r="V2">
        <f>'AARnetCBR-CamDTN1_tcpmon_ts_21'!H614+'AARnetCBR-CamDTN1_tcpmon_ts_22'!H614</f>
        <v>0</v>
      </c>
      <c r="W2">
        <f>'AARnetCBR-CamDTN1_tcpmon_ts_31'!H614+'AARnetCBR-CamDTN1_tcpmon_ts_32'!H614+'AARnetCBR-CamDTN1_tcpmon_ts_33'!H614</f>
        <v>0</v>
      </c>
      <c r="X2">
        <f>'AARnetCBR-CamDTN1_tcpmon_ts_41'!H614+'AARnetCBR-CamDTN1_tcpmon_ts_42'!H614+'AARnetCBR-CamDTN1_tcpmon_ts_43'!H614+'AARnetCBR-CamDTN1_tcpmon_ts_44'!H614</f>
        <v>0</v>
      </c>
      <c r="AF2" s="1"/>
    </row>
    <row r="3" spans="1:32">
      <c r="B3" s="4" t="s">
        <v>60</v>
      </c>
      <c r="L3" t="s">
        <v>45</v>
      </c>
    </row>
    <row r="4" spans="1:32">
      <c r="A4" cm="1">
        <f t="array" aca="1" ref="A4" ca="1">INDIRECT(ADDRESS($B4,Plots!$H$6,,,Plots!$A$47))</f>
        <v>2</v>
      </c>
      <c r="B4">
        <f>flowStartRow</f>
        <v>13</v>
      </c>
      <c r="C4" cm="1">
        <f t="array" aca="1" ref="C4" ca="1">INDIRECT(ADDRESS($B4,Plots!$H$3,,,Plots!$A$47))</f>
        <v>0.01</v>
      </c>
      <c r="D4" cm="1">
        <f t="array" aca="1" ref="D4" ca="1">INDIRECT(ADDRESS($B4,Plots!$H$3,,,Plots!$A$48))+INDIRECT(ADDRESS($B4,Plots!$H$3,,,Plots!$A$49))</f>
        <v>0.2</v>
      </c>
      <c r="E4" cm="1">
        <f t="array" aca="1" ref="E4" ca="1">INDIRECT(ADDRESS($B4,Plots!$H$3,,,Plots!$A$50))+INDIRECT(ADDRESS($B4,Plots!$H$3,,,Plots!$A$51))+INDIRECT(ADDRESS($B4,Plots!$H$3,,,Plots!$A$52))</f>
        <v>0.23</v>
      </c>
      <c r="F4" cm="1">
        <f t="array" aca="1" ref="F4" ca="1">INDIRECT(ADDRESS($B4,Plots!$H$3,,,Plots!$A$53))+INDIRECT(ADDRESS($B4,Plots!$H$3,,,Plots!$A$54))+INDIRECT(ADDRESS($B4,Plots!$H$3,,,Plots!$A$55))+INDIRECT(ADDRESS($B4,Plots!$H$3,,,Plots!$A$56))</f>
        <v>0.19</v>
      </c>
      <c r="G4" cm="1">
        <f t="array" aca="1" ref="G4" ca="1">INDIRECT(ADDRESS($B4,Plots!$H$3,,,Plots!$A$57))+INDIRECT(ADDRESS($B4,Plots!$H$3,,,Plots!$A$58))+INDIRECT(ADDRESS($B4,Plots!$H$3,,,Plots!$A$59))+INDIRECT(ADDRESS($B4,Plots!$H$3,,,Plots!$A$60))+INDIRECT(ADDRESS($B4,Plots!$H$3,,,Plots!$A$61))</f>
        <v>0</v>
      </c>
      <c r="H4" cm="1">
        <f t="array" aca="1" ref="H4" ca="1">INDIRECT(ADDRESS($B4,Plots!$H$3,,,Plots!$A$62))+INDIRECT(ADDRESS($B4,Plots!$H$3,,,Plots!$A$63))+INDIRECT(ADDRESS($B4,Plots!$H$3,,,Plots!$A$64))+INDIRECT(ADDRESS($B4,Plots!$H$3,,,Plots!$A$65))+INDIRECT(ADDRESS($B4,Plots!$H$3,,,Plots!$A$66))+INDIRECT(ADDRESS($B4,Plots!$H$3,,,Plots!$A$67))</f>
        <v>0</v>
      </c>
      <c r="I4">
        <f>'AARnetCBR-CamDTN1_tcpmon_ts_81'!F4+'AARnetCBR-CamDTN1_tcpmon_ts_82'!F4+'AARnetCBR-CamDTN1_tcpmon_ts_83'!F4+'AARnetCBR-CamDTN1_tcpmon_ts_84'!F4+'AARnetCBR-CamDTN1_tcpmon_ts_85'!F4+'AARnetCBR-CamDTN1_tcpmon_ts_86'!F4+'AARnetCBR-CamDTN1_tcpmon_ts_87'!F4+'AARnetCBR-CamDTN1_tcpmon_ts_88'!F4</f>
        <v>0</v>
      </c>
      <c r="L4" cm="1">
        <f t="array" aca="1" ref="L4" ca="1">INDIRECT(ADDRESS($B4,Plots!$H$4,,,Plots!$A$47))</f>
        <v>0</v>
      </c>
      <c r="M4" cm="1">
        <f t="array" aca="1" ref="M4" ca="1">INDIRECT(ADDRESS($B4,Plots!$H$4,,,Plots!$A$48))+INDIRECT(ADDRESS($B4,Plots!$H$4,,,Plots!$A$49))</f>
        <v>0</v>
      </c>
      <c r="N4" cm="1">
        <f t="array" aca="1" ref="N4" ca="1">INDIRECT(ADDRESS($B4,Plots!$H$4,,,Plots!$A$50))+INDIRECT(ADDRESS($B4,Plots!$H$4,,,Plots!$A$51))+INDIRECT(ADDRESS($B4,Plots!$H$4,,,Plots!$A$52))</f>
        <v>0</v>
      </c>
      <c r="O4" cm="1">
        <f t="array" aca="1" ref="O4" ca="1">INDIRECT(ADDRESS($B4,Plots!$H$4,,,Plots!$A$53))+INDIRECT(ADDRESS($B4,Plots!$H$4,,,Plots!$A$54))+INDIRECT(ADDRESS($B4,Plots!$H$4,,,Plots!$A$55))+INDIRECT(ADDRESS($B4,Plots!$H$4,,,Plots!$A$56))</f>
        <v>0</v>
      </c>
      <c r="P4" cm="1">
        <f t="array" aca="1" ref="P4" ca="1">INDIRECT(ADDRESS($B4,Plots!$H$4,,,Plots!$A$57))+INDIRECT(ADDRESS($B4,Plots!$H$4,,,Plots!$A$58))+INDIRECT(ADDRESS($B4,Plots!$H$4,,,Plots!$A$59))+INDIRECT(ADDRESS($B4,Plots!$H$4,,,Plots!$A$60))+INDIRECT(ADDRESS($B4,Plots!$H$4,,,Plots!$A$61))</f>
        <v>0</v>
      </c>
      <c r="Q4" cm="1">
        <f t="array" aca="1" ref="Q4" ca="1">INDIRECT(ADDRESS($B4,Plots!$H$4,,,Plots!$A$62))+INDIRECT(ADDRESS($B4,Plots!$H$4,,,Plots!$A$63))+INDIRECT(ADDRESS($B4,Plots!$H$4,,,Plots!$A$64))+INDIRECT(ADDRESS($B4,Plots!$H$4,,,Plots!$A$65))+INDIRECT(ADDRESS($B4,Plots!$H$4,,,Plots!$A$66))+INDIRECT(ADDRESS($B4,Plots!$H$4,,,Plots!$A$67))</f>
        <v>0</v>
      </c>
      <c r="R4">
        <f>'AARnetCBR-CamDTN1_tcpmon_ts_81'!I4+'AARnetCBR-CamDTN1_tcpmon_ts_82'!I4+'AARnetCBR-CamDTN1_tcpmon_ts_83'!I4+'AARnetCBR-CamDTN1_tcpmon_ts_84'!I4+'AARnetCBR-CamDTN1_tcpmon_ts_85'!I4+'AARnetCBR-CamDTN1_tcpmon_ts_86'!I4+'AARnetCBR-CamDTN1_tcpmon_ts_87'!I4+'AARnetCBR-CamDTN1_tcpmon_ts_88'!I4</f>
        <v>0</v>
      </c>
    </row>
    <row r="5" spans="1:32">
      <c r="A5" cm="1">
        <f t="array" aca="1" ref="A5" ca="1">INDIRECT(ADDRESS($B5,Plots!$H$6,,,Plots!$A$47))</f>
        <v>4</v>
      </c>
      <c r="B5">
        <f>B4+1</f>
        <v>14</v>
      </c>
      <c r="C5" cm="1">
        <f t="array" aca="1" ref="C5" ca="1">INDIRECT(ADDRESS($B5,Plots!$H$3,,,Plots!$A$47))</f>
        <v>0.02</v>
      </c>
      <c r="D5" cm="1">
        <f t="array" aca="1" ref="D5" ca="1">INDIRECT(ADDRESS($B5,Plots!$H$3,,,Plots!$A$48))+INDIRECT(ADDRESS($B5,Plots!$H$3,,,Plots!$A$49))</f>
        <v>1.37</v>
      </c>
      <c r="E5" cm="1">
        <f t="array" aca="1" ref="E5" ca="1">INDIRECT(ADDRESS($B5,Plots!$H$3,,,Plots!$A$50))+INDIRECT(ADDRESS($B5,Plots!$H$3,,,Plots!$A$51))+INDIRECT(ADDRESS($B5,Plots!$H$3,,,Plots!$A$52))</f>
        <v>1.2</v>
      </c>
      <c r="F5" cm="1">
        <f t="array" aca="1" ref="F5" ca="1">INDIRECT(ADDRESS($B5,Plots!$H$3,,,Plots!$A$53))+INDIRECT(ADDRESS($B5,Plots!$H$3,,,Plots!$A$54))+INDIRECT(ADDRESS($B5,Plots!$H$3,,,Plots!$A$55))+INDIRECT(ADDRESS($B5,Plots!$H$3,,,Plots!$A$56))</f>
        <v>1.6500000000000001</v>
      </c>
      <c r="G5" cm="1">
        <f t="array" aca="1" ref="G5" ca="1">INDIRECT(ADDRESS($B5,Plots!$H$3,,,Plots!$A$57))+INDIRECT(ADDRESS($B5,Plots!$H$3,,,Plots!$A$58))+INDIRECT(ADDRESS($B5,Plots!$H$3,,,Plots!$A$59))+INDIRECT(ADDRESS($B5,Plots!$H$3,,,Plots!$A$60))+INDIRECT(ADDRESS($B5,Plots!$H$3,,,Plots!$A$61))</f>
        <v>0</v>
      </c>
      <c r="H5" cm="1">
        <f t="array" aca="1" ref="H5" ca="1">INDIRECT(ADDRESS($B5,Plots!$H$3,,,Plots!$A$62))+INDIRECT(ADDRESS($B5,Plots!$H$3,,,Plots!$A$63))+INDIRECT(ADDRESS($B5,Plots!$H$3,,,Plots!$A$64))+INDIRECT(ADDRESS($B5,Plots!$H$3,,,Plots!$A$65))+INDIRECT(ADDRESS($B5,Plots!$H$3,,,Plots!$A$66))+INDIRECT(ADDRESS($B5,Plots!$H$3,,,Plots!$A$67))</f>
        <v>0</v>
      </c>
      <c r="I5">
        <f>'AARnetCBR-CamDTN1_tcpmon_ts_81'!F5+'AARnetCBR-CamDTN1_tcpmon_ts_82'!F5+'AARnetCBR-CamDTN1_tcpmon_ts_83'!F5+'AARnetCBR-CamDTN1_tcpmon_ts_84'!F5+'AARnetCBR-CamDTN1_tcpmon_ts_85'!F5+'AARnetCBR-CamDTN1_tcpmon_ts_86'!F5+'AARnetCBR-CamDTN1_tcpmon_ts_87'!F5+'AARnetCBR-CamDTN1_tcpmon_ts_88'!F5</f>
        <v>0</v>
      </c>
      <c r="L5" cm="1">
        <f t="array" aca="1" ref="L5" ca="1">INDIRECT(ADDRESS($B5,Plots!$H$4,,,Plots!$A$47))</f>
        <v>0</v>
      </c>
      <c r="M5" cm="1">
        <f t="array" aca="1" ref="M5" ca="1">INDIRECT(ADDRESS($B5,Plots!$H$4,,,Plots!$A$48))+INDIRECT(ADDRESS($B5,Plots!$H$4,,,Plots!$A$49))</f>
        <v>0</v>
      </c>
      <c r="N5" cm="1">
        <f t="array" aca="1" ref="N5" ca="1">INDIRECT(ADDRESS($B5,Plots!$H$4,,,Plots!$A$50))+INDIRECT(ADDRESS($B5,Plots!$H$4,,,Plots!$A$51))+INDIRECT(ADDRESS($B5,Plots!$H$4,,,Plots!$A$52))</f>
        <v>0</v>
      </c>
      <c r="O5" cm="1">
        <f t="array" aca="1" ref="O5" ca="1">INDIRECT(ADDRESS($B5,Plots!$H$4,,,Plots!$A$53))+INDIRECT(ADDRESS($B5,Plots!$H$4,,,Plots!$A$54))+INDIRECT(ADDRESS($B5,Plots!$H$4,,,Plots!$A$55))+INDIRECT(ADDRESS($B5,Plots!$H$4,,,Plots!$A$56))</f>
        <v>0</v>
      </c>
      <c r="P5" cm="1">
        <f t="array" aca="1" ref="P5" ca="1">INDIRECT(ADDRESS($B5,Plots!$H$4,,,Plots!$A$57))+INDIRECT(ADDRESS($B5,Plots!$H$4,,,Plots!$A$58))+INDIRECT(ADDRESS($B5,Plots!$H$4,,,Plots!$A$59))+INDIRECT(ADDRESS($B5,Plots!$H$4,,,Plots!$A$60))+INDIRECT(ADDRESS($B5,Plots!$H$4,,,Plots!$A$61))</f>
        <v>0</v>
      </c>
      <c r="Q5" cm="1">
        <f t="array" aca="1" ref="Q5" ca="1">INDIRECT(ADDRESS($B5,Plots!$H$4,,,Plots!$A$62))+INDIRECT(ADDRESS($B5,Plots!$H$4,,,Plots!$A$63))+INDIRECT(ADDRESS($B5,Plots!$H$4,,,Plots!$A$64))+INDIRECT(ADDRESS($B5,Plots!$H$4,,,Plots!$A$65))+INDIRECT(ADDRESS($B5,Plots!$H$4,,,Plots!$A$66))+INDIRECT(ADDRESS($B5,Plots!$H$4,,,Plots!$A$67))</f>
        <v>0</v>
      </c>
      <c r="R5">
        <f>'AARnetCBR-CamDTN1_tcpmon_ts_81'!I5+'AARnetCBR-CamDTN1_tcpmon_ts_82'!I5+'AARnetCBR-CamDTN1_tcpmon_ts_83'!I5+'AARnetCBR-CamDTN1_tcpmon_ts_84'!I5+'AARnetCBR-CamDTN1_tcpmon_ts_85'!I5+'AARnetCBR-CamDTN1_tcpmon_ts_86'!I5+'AARnetCBR-CamDTN1_tcpmon_ts_87'!I5+'AARnetCBR-CamDTN1_tcpmon_ts_88'!I5</f>
        <v>0</v>
      </c>
    </row>
    <row r="6" spans="1:32">
      <c r="A6" cm="1">
        <f t="array" aca="1" ref="A6" ca="1">INDIRECT(ADDRESS($B6,Plots!$H$6,,,Plots!$A$47))</f>
        <v>6</v>
      </c>
      <c r="B6">
        <f t="shared" ref="B6:B72" si="0">B5+1</f>
        <v>15</v>
      </c>
      <c r="C6" cm="1">
        <f t="array" aca="1" ref="C6" ca="1">INDIRECT(ADDRESS($B6,Plots!$H$3,,,Plots!$A$47))</f>
        <v>0.03</v>
      </c>
      <c r="D6" cm="1">
        <f t="array" aca="1" ref="D6" ca="1">INDIRECT(ADDRESS($B6,Plots!$H$3,,,Plots!$A$48))+INDIRECT(ADDRESS($B6,Plots!$H$3,,,Plots!$A$49))</f>
        <v>1.52</v>
      </c>
      <c r="E6" cm="1">
        <f t="array" aca="1" ref="E6" ca="1">INDIRECT(ADDRESS($B6,Plots!$H$3,,,Plots!$A$50))+INDIRECT(ADDRESS($B6,Plots!$H$3,,,Plots!$A$51))+INDIRECT(ADDRESS($B6,Plots!$H$3,,,Plots!$A$52))</f>
        <v>1.36</v>
      </c>
      <c r="F6" cm="1">
        <f t="array" aca="1" ref="F6" ca="1">INDIRECT(ADDRESS($B6,Plots!$H$3,,,Plots!$A$53))+INDIRECT(ADDRESS($B6,Plots!$H$3,,,Plots!$A$54))+INDIRECT(ADDRESS($B6,Plots!$H$3,,,Plots!$A$55))+INDIRECT(ADDRESS($B6,Plots!$H$3,,,Plots!$A$56))</f>
        <v>1.87</v>
      </c>
      <c r="G6" cm="1">
        <f t="array" aca="1" ref="G6" ca="1">INDIRECT(ADDRESS($B6,Plots!$H$3,,,Plots!$A$57))+INDIRECT(ADDRESS($B6,Plots!$H$3,,,Plots!$A$58))+INDIRECT(ADDRESS($B6,Plots!$H$3,,,Plots!$A$59))+INDIRECT(ADDRESS($B6,Plots!$H$3,,,Plots!$A$60))+INDIRECT(ADDRESS($B6,Plots!$H$3,,,Plots!$A$61))</f>
        <v>0</v>
      </c>
      <c r="H6" cm="1">
        <f t="array" aca="1" ref="H6" ca="1">INDIRECT(ADDRESS($B6,Plots!$H$3,,,Plots!$A$62))+INDIRECT(ADDRESS($B6,Plots!$H$3,,,Plots!$A$63))+INDIRECT(ADDRESS($B6,Plots!$H$3,,,Plots!$A$64))+INDIRECT(ADDRESS($B6,Plots!$H$3,,,Plots!$A$65))+INDIRECT(ADDRESS($B6,Plots!$H$3,,,Plots!$A$66))+INDIRECT(ADDRESS($B6,Plots!$H$3,,,Plots!$A$67))</f>
        <v>0</v>
      </c>
      <c r="I6">
        <f>'AARnetCBR-CamDTN1_tcpmon_ts_81'!F6+'AARnetCBR-CamDTN1_tcpmon_ts_82'!F6+'AARnetCBR-CamDTN1_tcpmon_ts_83'!F6+'AARnetCBR-CamDTN1_tcpmon_ts_84'!F6+'AARnetCBR-CamDTN1_tcpmon_ts_85'!F6+'AARnetCBR-CamDTN1_tcpmon_ts_86'!F6+'AARnetCBR-CamDTN1_tcpmon_ts_87'!F6+'AARnetCBR-CamDTN1_tcpmon_ts_88'!F6</f>
        <v>0</v>
      </c>
      <c r="L6" cm="1">
        <f t="array" aca="1" ref="L6" ca="1">INDIRECT(ADDRESS($B6,Plots!$H$4,,,Plots!$A$47))</f>
        <v>0</v>
      </c>
      <c r="M6" cm="1">
        <f t="array" aca="1" ref="M6" ca="1">INDIRECT(ADDRESS($B6,Plots!$H$4,,,Plots!$A$48))+INDIRECT(ADDRESS($B6,Plots!$H$4,,,Plots!$A$49))</f>
        <v>0</v>
      </c>
      <c r="N6" cm="1">
        <f t="array" aca="1" ref="N6" ca="1">INDIRECT(ADDRESS($B6,Plots!$H$4,,,Plots!$A$50))+INDIRECT(ADDRESS($B6,Plots!$H$4,,,Plots!$A$51))+INDIRECT(ADDRESS($B6,Plots!$H$4,,,Plots!$A$52))</f>
        <v>0</v>
      </c>
      <c r="O6" cm="1">
        <f t="array" aca="1" ref="O6" ca="1">INDIRECT(ADDRESS($B6,Plots!$H$4,,,Plots!$A$53))+INDIRECT(ADDRESS($B6,Plots!$H$4,,,Plots!$A$54))+INDIRECT(ADDRESS($B6,Plots!$H$4,,,Plots!$A$55))+INDIRECT(ADDRESS($B6,Plots!$H$4,,,Plots!$A$56))</f>
        <v>0</v>
      </c>
      <c r="P6" cm="1">
        <f t="array" aca="1" ref="P6" ca="1">INDIRECT(ADDRESS($B6,Plots!$H$4,,,Plots!$A$57))+INDIRECT(ADDRESS($B6,Plots!$H$4,,,Plots!$A$58))+INDIRECT(ADDRESS($B6,Plots!$H$4,,,Plots!$A$59))+INDIRECT(ADDRESS($B6,Plots!$H$4,,,Plots!$A$60))+INDIRECT(ADDRESS($B6,Plots!$H$4,,,Plots!$A$61))</f>
        <v>0</v>
      </c>
      <c r="Q6" cm="1">
        <f t="array" aca="1" ref="Q6" ca="1">INDIRECT(ADDRESS($B6,Plots!$H$4,,,Plots!$A$62))+INDIRECT(ADDRESS($B6,Plots!$H$4,,,Plots!$A$63))+INDIRECT(ADDRESS($B6,Plots!$H$4,,,Plots!$A$64))+INDIRECT(ADDRESS($B6,Plots!$H$4,,,Plots!$A$65))+INDIRECT(ADDRESS($B6,Plots!$H$4,,,Plots!$A$66))+INDIRECT(ADDRESS($B6,Plots!$H$4,,,Plots!$A$67))</f>
        <v>0</v>
      </c>
      <c r="R6">
        <f>'AARnetCBR-CamDTN1_tcpmon_ts_81'!I6+'AARnetCBR-CamDTN1_tcpmon_ts_82'!I6+'AARnetCBR-CamDTN1_tcpmon_ts_83'!I6+'AARnetCBR-CamDTN1_tcpmon_ts_84'!I6+'AARnetCBR-CamDTN1_tcpmon_ts_85'!I6+'AARnetCBR-CamDTN1_tcpmon_ts_86'!I6+'AARnetCBR-CamDTN1_tcpmon_ts_87'!I6+'AARnetCBR-CamDTN1_tcpmon_ts_88'!I6</f>
        <v>0</v>
      </c>
    </row>
    <row r="7" spans="1:32">
      <c r="A7" cm="1">
        <f t="array" aca="1" ref="A7" ca="1">INDIRECT(ADDRESS($B7,Plots!$H$6,,,Plots!$A$47))</f>
        <v>8</v>
      </c>
      <c r="B7">
        <f t="shared" si="0"/>
        <v>16</v>
      </c>
      <c r="C7" cm="1">
        <f t="array" aca="1" ref="C7" ca="1">INDIRECT(ADDRESS($B7,Plots!$H$3,,,Plots!$A$47))</f>
        <v>0.05</v>
      </c>
      <c r="D7" cm="1">
        <f t="array" aca="1" ref="D7" ca="1">INDIRECT(ADDRESS($B7,Plots!$H$3,,,Plots!$A$48))+INDIRECT(ADDRESS($B7,Plots!$H$3,,,Plots!$A$49))</f>
        <v>2.52</v>
      </c>
      <c r="E7" cm="1">
        <f t="array" aca="1" ref="E7" ca="1">INDIRECT(ADDRESS($B7,Plots!$H$3,,,Plots!$A$50))+INDIRECT(ADDRESS($B7,Plots!$H$3,,,Plots!$A$51))+INDIRECT(ADDRESS($B7,Plots!$H$3,,,Plots!$A$52))</f>
        <v>2.23</v>
      </c>
      <c r="F7" cm="1">
        <f t="array" aca="1" ref="F7" ca="1">INDIRECT(ADDRESS($B7,Plots!$H$3,,,Plots!$A$53))+INDIRECT(ADDRESS($B7,Plots!$H$3,,,Plots!$A$54))+INDIRECT(ADDRESS($B7,Plots!$H$3,,,Plots!$A$55))+INDIRECT(ADDRESS($B7,Plots!$H$3,,,Plots!$A$56))</f>
        <v>3.09</v>
      </c>
      <c r="G7" cm="1">
        <f t="array" aca="1" ref="G7" ca="1">INDIRECT(ADDRESS($B7,Plots!$H$3,,,Plots!$A$57))+INDIRECT(ADDRESS($B7,Plots!$H$3,,,Plots!$A$58))+INDIRECT(ADDRESS($B7,Plots!$H$3,,,Plots!$A$59))+INDIRECT(ADDRESS($B7,Plots!$H$3,,,Plots!$A$60))+INDIRECT(ADDRESS($B7,Plots!$H$3,,,Plots!$A$61))</f>
        <v>0</v>
      </c>
      <c r="H7" cm="1">
        <f t="array" aca="1" ref="H7" ca="1">INDIRECT(ADDRESS($B7,Plots!$H$3,,,Plots!$A$62))+INDIRECT(ADDRESS($B7,Plots!$H$3,,,Plots!$A$63))+INDIRECT(ADDRESS($B7,Plots!$H$3,,,Plots!$A$64))+INDIRECT(ADDRESS($B7,Plots!$H$3,,,Plots!$A$65))+INDIRECT(ADDRESS($B7,Plots!$H$3,,,Plots!$A$66))+INDIRECT(ADDRESS($B7,Plots!$H$3,,,Plots!$A$67))</f>
        <v>0</v>
      </c>
      <c r="I7">
        <f>'AARnetCBR-CamDTN1_tcpmon_ts_81'!F7+'AARnetCBR-CamDTN1_tcpmon_ts_82'!F7+'AARnetCBR-CamDTN1_tcpmon_ts_83'!F7+'AARnetCBR-CamDTN1_tcpmon_ts_84'!F7+'AARnetCBR-CamDTN1_tcpmon_ts_85'!F7+'AARnetCBR-CamDTN1_tcpmon_ts_86'!F7+'AARnetCBR-CamDTN1_tcpmon_ts_87'!F7+'AARnetCBR-CamDTN1_tcpmon_ts_88'!F7</f>
        <v>0</v>
      </c>
      <c r="L7" cm="1">
        <f t="array" aca="1" ref="L7" ca="1">INDIRECT(ADDRESS($B7,Plots!$H$4,,,Plots!$A$47))</f>
        <v>0</v>
      </c>
      <c r="M7" cm="1">
        <f t="array" aca="1" ref="M7" ca="1">INDIRECT(ADDRESS($B7,Plots!$H$4,,,Plots!$A$48))+INDIRECT(ADDRESS($B7,Plots!$H$4,,,Plots!$A$49))</f>
        <v>0</v>
      </c>
      <c r="N7" cm="1">
        <f t="array" aca="1" ref="N7" ca="1">INDIRECT(ADDRESS($B7,Plots!$H$4,,,Plots!$A$50))+INDIRECT(ADDRESS($B7,Plots!$H$4,,,Plots!$A$51))+INDIRECT(ADDRESS($B7,Plots!$H$4,,,Plots!$A$52))</f>
        <v>0</v>
      </c>
      <c r="O7" cm="1">
        <f t="array" aca="1" ref="O7" ca="1">INDIRECT(ADDRESS($B7,Plots!$H$4,,,Plots!$A$53))+INDIRECT(ADDRESS($B7,Plots!$H$4,,,Plots!$A$54))+INDIRECT(ADDRESS($B7,Plots!$H$4,,,Plots!$A$55))+INDIRECT(ADDRESS($B7,Plots!$H$4,,,Plots!$A$56))</f>
        <v>0</v>
      </c>
      <c r="P7" cm="1">
        <f t="array" aca="1" ref="P7" ca="1">INDIRECT(ADDRESS($B7,Plots!$H$4,,,Plots!$A$57))+INDIRECT(ADDRESS($B7,Plots!$H$4,,,Plots!$A$58))+INDIRECT(ADDRESS($B7,Plots!$H$4,,,Plots!$A$59))+INDIRECT(ADDRESS($B7,Plots!$H$4,,,Plots!$A$60))+INDIRECT(ADDRESS($B7,Plots!$H$4,,,Plots!$A$61))</f>
        <v>0</v>
      </c>
      <c r="Q7" cm="1">
        <f t="array" aca="1" ref="Q7" ca="1">INDIRECT(ADDRESS($B7,Plots!$H$4,,,Plots!$A$62))+INDIRECT(ADDRESS($B7,Plots!$H$4,,,Plots!$A$63))+INDIRECT(ADDRESS($B7,Plots!$H$4,,,Plots!$A$64))+INDIRECT(ADDRESS($B7,Plots!$H$4,,,Plots!$A$65))+INDIRECT(ADDRESS($B7,Plots!$H$4,,,Plots!$A$66))+INDIRECT(ADDRESS($B7,Plots!$H$4,,,Plots!$A$67))</f>
        <v>0</v>
      </c>
      <c r="R7">
        <f>'AARnetCBR-CamDTN1_tcpmon_ts_81'!I7+'AARnetCBR-CamDTN1_tcpmon_ts_82'!I7+'AARnetCBR-CamDTN1_tcpmon_ts_83'!I7+'AARnetCBR-CamDTN1_tcpmon_ts_84'!I7+'AARnetCBR-CamDTN1_tcpmon_ts_85'!I7+'AARnetCBR-CamDTN1_tcpmon_ts_86'!I7+'AARnetCBR-CamDTN1_tcpmon_ts_87'!I7+'AARnetCBR-CamDTN1_tcpmon_ts_88'!I7</f>
        <v>0</v>
      </c>
    </row>
    <row r="8" spans="1:32">
      <c r="A8" cm="1">
        <f t="array" aca="1" ref="A8" ca="1">INDIRECT(ADDRESS($B8,Plots!$H$6,,,Plots!$A$47))</f>
        <v>10</v>
      </c>
      <c r="B8">
        <f t="shared" si="0"/>
        <v>17</v>
      </c>
      <c r="C8" cm="1">
        <f t="array" aca="1" ref="C8" ca="1">INDIRECT(ADDRESS($B8,Plots!$H$3,,,Plots!$A$47))</f>
        <v>0.08</v>
      </c>
      <c r="D8" cm="1">
        <f t="array" aca="1" ref="D8" ca="1">INDIRECT(ADDRESS($B8,Plots!$H$3,,,Plots!$A$48))+INDIRECT(ADDRESS($B8,Plots!$H$3,,,Plots!$A$49))</f>
        <v>3.72</v>
      </c>
      <c r="E8" cm="1">
        <f t="array" aca="1" ref="E8" ca="1">INDIRECT(ADDRESS($B8,Plots!$H$3,,,Plots!$A$50))+INDIRECT(ADDRESS($B8,Plots!$H$3,,,Plots!$A$51))+INDIRECT(ADDRESS($B8,Plots!$H$3,,,Plots!$A$52))</f>
        <v>3.3000000000000003</v>
      </c>
      <c r="F8" cm="1">
        <f t="array" aca="1" ref="F8" ca="1">INDIRECT(ADDRESS($B8,Plots!$H$3,,,Plots!$A$53))+INDIRECT(ADDRESS($B8,Plots!$H$3,,,Plots!$A$54))+INDIRECT(ADDRESS($B8,Plots!$H$3,,,Plots!$A$55))+INDIRECT(ADDRESS($B8,Plots!$H$3,,,Plots!$A$56))</f>
        <v>4.57</v>
      </c>
      <c r="G8" cm="1">
        <f t="array" aca="1" ref="G8" ca="1">INDIRECT(ADDRESS($B8,Plots!$H$3,,,Plots!$A$57))+INDIRECT(ADDRESS($B8,Plots!$H$3,,,Plots!$A$58))+INDIRECT(ADDRESS($B8,Plots!$H$3,,,Plots!$A$59))+INDIRECT(ADDRESS($B8,Plots!$H$3,,,Plots!$A$60))+INDIRECT(ADDRESS($B8,Plots!$H$3,,,Plots!$A$61))</f>
        <v>0</v>
      </c>
      <c r="H8" cm="1">
        <f t="array" aca="1" ref="H8" ca="1">INDIRECT(ADDRESS($B8,Plots!$H$3,,,Plots!$A$62))+INDIRECT(ADDRESS($B8,Plots!$H$3,,,Plots!$A$63))+INDIRECT(ADDRESS($B8,Plots!$H$3,,,Plots!$A$64))+INDIRECT(ADDRESS($B8,Plots!$H$3,,,Plots!$A$65))+INDIRECT(ADDRESS($B8,Plots!$H$3,,,Plots!$A$66))+INDIRECT(ADDRESS($B8,Plots!$H$3,,,Plots!$A$67))</f>
        <v>0</v>
      </c>
      <c r="I8">
        <f>'AARnetCBR-CamDTN1_tcpmon_ts_81'!F8+'AARnetCBR-CamDTN1_tcpmon_ts_82'!F8+'AARnetCBR-CamDTN1_tcpmon_ts_83'!F8+'AARnetCBR-CamDTN1_tcpmon_ts_84'!F8+'AARnetCBR-CamDTN1_tcpmon_ts_85'!F8+'AARnetCBR-CamDTN1_tcpmon_ts_86'!F8+'AARnetCBR-CamDTN1_tcpmon_ts_87'!F8+'AARnetCBR-CamDTN1_tcpmon_ts_88'!F8</f>
        <v>0</v>
      </c>
      <c r="L8" cm="1">
        <f t="array" aca="1" ref="L8" ca="1">INDIRECT(ADDRESS($B8,Plots!$H$4,,,Plots!$A$47))</f>
        <v>0</v>
      </c>
      <c r="M8" cm="1">
        <f t="array" aca="1" ref="M8" ca="1">INDIRECT(ADDRESS($B8,Plots!$H$4,,,Plots!$A$48))+INDIRECT(ADDRESS($B8,Plots!$H$4,,,Plots!$A$49))</f>
        <v>0</v>
      </c>
      <c r="N8" cm="1">
        <f t="array" aca="1" ref="N8" ca="1">INDIRECT(ADDRESS($B8,Plots!$H$4,,,Plots!$A$50))+INDIRECT(ADDRESS($B8,Plots!$H$4,,,Plots!$A$51))+INDIRECT(ADDRESS($B8,Plots!$H$4,,,Plots!$A$52))</f>
        <v>0</v>
      </c>
      <c r="O8" cm="1">
        <f t="array" aca="1" ref="O8" ca="1">INDIRECT(ADDRESS($B8,Plots!$H$4,,,Plots!$A$53))+INDIRECT(ADDRESS($B8,Plots!$H$4,,,Plots!$A$54))+INDIRECT(ADDRESS($B8,Plots!$H$4,,,Plots!$A$55))+INDIRECT(ADDRESS($B8,Plots!$H$4,,,Plots!$A$56))</f>
        <v>0</v>
      </c>
      <c r="P8" cm="1">
        <f t="array" aca="1" ref="P8" ca="1">INDIRECT(ADDRESS($B8,Plots!$H$4,,,Plots!$A$57))+INDIRECT(ADDRESS($B8,Plots!$H$4,,,Plots!$A$58))+INDIRECT(ADDRESS($B8,Plots!$H$4,,,Plots!$A$59))+INDIRECT(ADDRESS($B8,Plots!$H$4,,,Plots!$A$60))+INDIRECT(ADDRESS($B8,Plots!$H$4,,,Plots!$A$61))</f>
        <v>0</v>
      </c>
      <c r="Q8" cm="1">
        <f t="array" aca="1" ref="Q8" ca="1">INDIRECT(ADDRESS($B8,Plots!$H$4,,,Plots!$A$62))+INDIRECT(ADDRESS($B8,Plots!$H$4,,,Plots!$A$63))+INDIRECT(ADDRESS($B8,Plots!$H$4,,,Plots!$A$64))+INDIRECT(ADDRESS($B8,Plots!$H$4,,,Plots!$A$65))+INDIRECT(ADDRESS($B8,Plots!$H$4,,,Plots!$A$66))+INDIRECT(ADDRESS($B8,Plots!$H$4,,,Plots!$A$67))</f>
        <v>0</v>
      </c>
      <c r="R8">
        <f>'AARnetCBR-CamDTN1_tcpmon_ts_81'!I8+'AARnetCBR-CamDTN1_tcpmon_ts_82'!I8+'AARnetCBR-CamDTN1_tcpmon_ts_83'!I8+'AARnetCBR-CamDTN1_tcpmon_ts_84'!I8+'AARnetCBR-CamDTN1_tcpmon_ts_85'!I8+'AARnetCBR-CamDTN1_tcpmon_ts_86'!I8+'AARnetCBR-CamDTN1_tcpmon_ts_87'!I8+'AARnetCBR-CamDTN1_tcpmon_ts_88'!I8</f>
        <v>0</v>
      </c>
    </row>
    <row r="9" spans="1:32">
      <c r="A9" cm="1">
        <f t="array" aca="1" ref="A9" ca="1">INDIRECT(ADDRESS($B9,Plots!$H$6,,,Plots!$A$47))</f>
        <v>12</v>
      </c>
      <c r="B9">
        <f t="shared" si="0"/>
        <v>18</v>
      </c>
      <c r="C9" cm="1">
        <f t="array" aca="1" ref="C9" ca="1">INDIRECT(ADDRESS($B9,Plots!$H$3,,,Plots!$A$47))</f>
        <v>0.15</v>
      </c>
      <c r="D9" cm="1">
        <f t="array" aca="1" ref="D9" ca="1">INDIRECT(ADDRESS($B9,Plots!$H$3,,,Plots!$A$48))+INDIRECT(ADDRESS($B9,Plots!$H$3,,,Plots!$A$49))</f>
        <v>5.6099999999999994</v>
      </c>
      <c r="E9" cm="1">
        <f t="array" aca="1" ref="E9" ca="1">INDIRECT(ADDRESS($B9,Plots!$H$3,,,Plots!$A$50))+INDIRECT(ADDRESS($B9,Plots!$H$3,,,Plots!$A$51))+INDIRECT(ADDRESS($B9,Plots!$H$3,,,Plots!$A$52))</f>
        <v>4.9700000000000006</v>
      </c>
      <c r="F9" cm="1">
        <f t="array" aca="1" ref="F9" ca="1">INDIRECT(ADDRESS($B9,Plots!$H$3,,,Plots!$A$53))+INDIRECT(ADDRESS($B9,Plots!$H$3,,,Plots!$A$54))+INDIRECT(ADDRESS($B9,Plots!$H$3,,,Plots!$A$55))+INDIRECT(ADDRESS($B9,Plots!$H$3,,,Plots!$A$56))</f>
        <v>6.9700000000000006</v>
      </c>
      <c r="G9" cm="1">
        <f t="array" aca="1" ref="G9" ca="1">INDIRECT(ADDRESS($B9,Plots!$H$3,,,Plots!$A$57))+INDIRECT(ADDRESS($B9,Plots!$H$3,,,Plots!$A$58))+INDIRECT(ADDRESS($B9,Plots!$H$3,,,Plots!$A$59))+INDIRECT(ADDRESS($B9,Plots!$H$3,,,Plots!$A$60))+INDIRECT(ADDRESS($B9,Plots!$H$3,,,Plots!$A$61))</f>
        <v>0</v>
      </c>
      <c r="H9" cm="1">
        <f t="array" aca="1" ref="H9" ca="1">INDIRECT(ADDRESS($B9,Plots!$H$3,,,Plots!$A$62))+INDIRECT(ADDRESS($B9,Plots!$H$3,,,Plots!$A$63))+INDIRECT(ADDRESS($B9,Plots!$H$3,,,Plots!$A$64))+INDIRECT(ADDRESS($B9,Plots!$H$3,,,Plots!$A$65))+INDIRECT(ADDRESS($B9,Plots!$H$3,,,Plots!$A$66))+INDIRECT(ADDRESS($B9,Plots!$H$3,,,Plots!$A$67))</f>
        <v>0</v>
      </c>
      <c r="I9">
        <f>'AARnetCBR-CamDTN1_tcpmon_ts_81'!F9+'AARnetCBR-CamDTN1_tcpmon_ts_82'!F9+'AARnetCBR-CamDTN1_tcpmon_ts_83'!F9+'AARnetCBR-CamDTN1_tcpmon_ts_84'!F9+'AARnetCBR-CamDTN1_tcpmon_ts_85'!F9+'AARnetCBR-CamDTN1_tcpmon_ts_86'!F9+'AARnetCBR-CamDTN1_tcpmon_ts_87'!F9+'AARnetCBR-CamDTN1_tcpmon_ts_88'!F9</f>
        <v>0</v>
      </c>
      <c r="L9" cm="1">
        <f t="array" aca="1" ref="L9" ca="1">INDIRECT(ADDRESS($B9,Plots!$H$4,,,Plots!$A$47))</f>
        <v>0</v>
      </c>
      <c r="M9" cm="1">
        <f t="array" aca="1" ref="M9" ca="1">INDIRECT(ADDRESS($B9,Plots!$H$4,,,Plots!$A$48))+INDIRECT(ADDRESS($B9,Plots!$H$4,,,Plots!$A$49))</f>
        <v>0</v>
      </c>
      <c r="N9" cm="1">
        <f t="array" aca="1" ref="N9" ca="1">INDIRECT(ADDRESS($B9,Plots!$H$4,,,Plots!$A$50))+INDIRECT(ADDRESS($B9,Plots!$H$4,,,Plots!$A$51))+INDIRECT(ADDRESS($B9,Plots!$H$4,,,Plots!$A$52))</f>
        <v>0</v>
      </c>
      <c r="O9" cm="1">
        <f t="array" aca="1" ref="O9" ca="1">INDIRECT(ADDRESS($B9,Plots!$H$4,,,Plots!$A$53))+INDIRECT(ADDRESS($B9,Plots!$H$4,,,Plots!$A$54))+INDIRECT(ADDRESS($B9,Plots!$H$4,,,Plots!$A$55))+INDIRECT(ADDRESS($B9,Plots!$H$4,,,Plots!$A$56))</f>
        <v>0</v>
      </c>
      <c r="P9" cm="1">
        <f t="array" aca="1" ref="P9" ca="1">INDIRECT(ADDRESS($B9,Plots!$H$4,,,Plots!$A$57))+INDIRECT(ADDRESS($B9,Plots!$H$4,,,Plots!$A$58))+INDIRECT(ADDRESS($B9,Plots!$H$4,,,Plots!$A$59))+INDIRECT(ADDRESS($B9,Plots!$H$4,,,Plots!$A$60))+INDIRECT(ADDRESS($B9,Plots!$H$4,,,Plots!$A$61))</f>
        <v>0</v>
      </c>
      <c r="Q9" cm="1">
        <f t="array" aca="1" ref="Q9" ca="1">INDIRECT(ADDRESS($B9,Plots!$H$4,,,Plots!$A$62))+INDIRECT(ADDRESS($B9,Plots!$H$4,,,Plots!$A$63))+INDIRECT(ADDRESS($B9,Plots!$H$4,,,Plots!$A$64))+INDIRECT(ADDRESS($B9,Plots!$H$4,,,Plots!$A$65))+INDIRECT(ADDRESS($B9,Plots!$H$4,,,Plots!$A$66))+INDIRECT(ADDRESS($B9,Plots!$H$4,,,Plots!$A$67))</f>
        <v>0</v>
      </c>
      <c r="R9">
        <f>'AARnetCBR-CamDTN1_tcpmon_ts_81'!I9+'AARnetCBR-CamDTN1_tcpmon_ts_82'!I9+'AARnetCBR-CamDTN1_tcpmon_ts_83'!I9+'AARnetCBR-CamDTN1_tcpmon_ts_84'!I9+'AARnetCBR-CamDTN1_tcpmon_ts_85'!I9+'AARnetCBR-CamDTN1_tcpmon_ts_86'!I9+'AARnetCBR-CamDTN1_tcpmon_ts_87'!I9+'AARnetCBR-CamDTN1_tcpmon_ts_88'!I9</f>
        <v>0</v>
      </c>
    </row>
    <row r="10" spans="1:32">
      <c r="A10" cm="1">
        <f t="array" aca="1" ref="A10" ca="1">INDIRECT(ADDRESS($B10,Plots!$H$6,,,Plots!$A$47))</f>
        <v>14</v>
      </c>
      <c r="B10">
        <f t="shared" si="0"/>
        <v>19</v>
      </c>
      <c r="C10" cm="1">
        <f t="array" aca="1" ref="C10" ca="1">INDIRECT(ADDRESS($B10,Plots!$H$3,,,Plots!$A$47))</f>
        <v>0.24</v>
      </c>
      <c r="D10" cm="1">
        <f t="array" aca="1" ref="D10" ca="1">INDIRECT(ADDRESS($B10,Plots!$H$3,,,Plots!$A$48))+INDIRECT(ADDRESS($B10,Plots!$H$3,,,Plots!$A$49))</f>
        <v>8.34</v>
      </c>
      <c r="E10" cm="1">
        <f t="array" aca="1" ref="E10" ca="1">INDIRECT(ADDRESS($B10,Plots!$H$3,,,Plots!$A$50))+INDIRECT(ADDRESS($B10,Plots!$H$3,,,Plots!$A$51))+INDIRECT(ADDRESS($B10,Plots!$H$3,,,Plots!$A$52))</f>
        <v>7.37</v>
      </c>
      <c r="F10" cm="1">
        <f t="array" aca="1" ref="F10" ca="1">INDIRECT(ADDRESS($B10,Plots!$H$3,,,Plots!$A$53))+INDIRECT(ADDRESS($B10,Plots!$H$3,,,Plots!$A$54))+INDIRECT(ADDRESS($B10,Plots!$H$3,,,Plots!$A$55))+INDIRECT(ADDRESS($B10,Plots!$H$3,,,Plots!$A$56))</f>
        <v>9.7100000000000009</v>
      </c>
      <c r="G10" cm="1">
        <f t="array" aca="1" ref="G10" ca="1">INDIRECT(ADDRESS($B10,Plots!$H$3,,,Plots!$A$57))+INDIRECT(ADDRESS($B10,Plots!$H$3,,,Plots!$A$58))+INDIRECT(ADDRESS($B10,Plots!$H$3,,,Plots!$A$59))+INDIRECT(ADDRESS($B10,Plots!$H$3,,,Plots!$A$60))+INDIRECT(ADDRESS($B10,Plots!$H$3,,,Plots!$A$61))</f>
        <v>0</v>
      </c>
      <c r="H10" cm="1">
        <f t="array" aca="1" ref="H10" ca="1">INDIRECT(ADDRESS($B10,Plots!$H$3,,,Plots!$A$62))+INDIRECT(ADDRESS($B10,Plots!$H$3,,,Plots!$A$63))+INDIRECT(ADDRESS($B10,Plots!$H$3,,,Plots!$A$64))+INDIRECT(ADDRESS($B10,Plots!$H$3,,,Plots!$A$65))+INDIRECT(ADDRESS($B10,Plots!$H$3,,,Plots!$A$66))+INDIRECT(ADDRESS($B10,Plots!$H$3,,,Plots!$A$67))</f>
        <v>0</v>
      </c>
      <c r="I10">
        <f>'AARnetCBR-CamDTN1_tcpmon_ts_81'!F10+'AARnetCBR-CamDTN1_tcpmon_ts_82'!F10+'AARnetCBR-CamDTN1_tcpmon_ts_83'!F10+'AARnetCBR-CamDTN1_tcpmon_ts_84'!F10+'AARnetCBR-CamDTN1_tcpmon_ts_85'!F10+'AARnetCBR-CamDTN1_tcpmon_ts_86'!F10+'AARnetCBR-CamDTN1_tcpmon_ts_87'!F10+'AARnetCBR-CamDTN1_tcpmon_ts_88'!F10</f>
        <v>0</v>
      </c>
      <c r="L10" cm="1">
        <f t="array" aca="1" ref="L10" ca="1">INDIRECT(ADDRESS($B10,Plots!$H$4,,,Plots!$A$47))</f>
        <v>0</v>
      </c>
      <c r="M10" cm="1">
        <f t="array" aca="1" ref="M10" ca="1">INDIRECT(ADDRESS($B10,Plots!$H$4,,,Plots!$A$48))+INDIRECT(ADDRESS($B10,Plots!$H$4,,,Plots!$A$49))</f>
        <v>0</v>
      </c>
      <c r="N10" cm="1">
        <f t="array" aca="1" ref="N10" ca="1">INDIRECT(ADDRESS($B10,Plots!$H$4,,,Plots!$A$50))+INDIRECT(ADDRESS($B10,Plots!$H$4,,,Plots!$A$51))+INDIRECT(ADDRESS($B10,Plots!$H$4,,,Plots!$A$52))</f>
        <v>0</v>
      </c>
      <c r="O10" cm="1">
        <f t="array" aca="1" ref="O10" ca="1">INDIRECT(ADDRESS($B10,Plots!$H$4,,,Plots!$A$53))+INDIRECT(ADDRESS($B10,Plots!$H$4,,,Plots!$A$54))+INDIRECT(ADDRESS($B10,Plots!$H$4,,,Plots!$A$55))+INDIRECT(ADDRESS($B10,Plots!$H$4,,,Plots!$A$56))</f>
        <v>0</v>
      </c>
      <c r="P10" cm="1">
        <f t="array" aca="1" ref="P10" ca="1">INDIRECT(ADDRESS($B10,Plots!$H$4,,,Plots!$A$57))+INDIRECT(ADDRESS($B10,Plots!$H$4,,,Plots!$A$58))+INDIRECT(ADDRESS($B10,Plots!$H$4,,,Plots!$A$59))+INDIRECT(ADDRESS($B10,Plots!$H$4,,,Plots!$A$60))+INDIRECT(ADDRESS($B10,Plots!$H$4,,,Plots!$A$61))</f>
        <v>0</v>
      </c>
      <c r="Q10" cm="1">
        <f t="array" aca="1" ref="Q10" ca="1">INDIRECT(ADDRESS($B10,Plots!$H$4,,,Plots!$A$62))+INDIRECT(ADDRESS($B10,Plots!$H$4,,,Plots!$A$63))+INDIRECT(ADDRESS($B10,Plots!$H$4,,,Plots!$A$64))+INDIRECT(ADDRESS($B10,Plots!$H$4,,,Plots!$A$65))+INDIRECT(ADDRESS($B10,Plots!$H$4,,,Plots!$A$66))+INDIRECT(ADDRESS($B10,Plots!$H$4,,,Plots!$A$67))</f>
        <v>0</v>
      </c>
      <c r="R10">
        <f>'AARnetCBR-CamDTN1_tcpmon_ts_81'!I10+'AARnetCBR-CamDTN1_tcpmon_ts_82'!I10+'AARnetCBR-CamDTN1_tcpmon_ts_83'!I10+'AARnetCBR-CamDTN1_tcpmon_ts_84'!I10+'AARnetCBR-CamDTN1_tcpmon_ts_85'!I10+'AARnetCBR-CamDTN1_tcpmon_ts_86'!I10+'AARnetCBR-CamDTN1_tcpmon_ts_87'!I10+'AARnetCBR-CamDTN1_tcpmon_ts_88'!I10</f>
        <v>0</v>
      </c>
    </row>
    <row r="11" spans="1:32">
      <c r="A11" cm="1">
        <f t="array" aca="1" ref="A11" ca="1">INDIRECT(ADDRESS($B11,Plots!$H$6,,,Plots!$A$47))</f>
        <v>16</v>
      </c>
      <c r="B11">
        <f t="shared" si="0"/>
        <v>20</v>
      </c>
      <c r="C11" cm="1">
        <f t="array" aca="1" ref="C11" ca="1">INDIRECT(ADDRESS($B11,Plots!$H$3,,,Plots!$A$47))</f>
        <v>0.37</v>
      </c>
      <c r="D11" cm="1">
        <f t="array" aca="1" ref="D11" ca="1">INDIRECT(ADDRESS($B11,Plots!$H$3,,,Plots!$A$48))+INDIRECT(ADDRESS($B11,Plots!$H$3,,,Plots!$A$49))</f>
        <v>11.09</v>
      </c>
      <c r="E11" cm="1">
        <f t="array" aca="1" ref="E11" ca="1">INDIRECT(ADDRESS($B11,Plots!$H$3,,,Plots!$A$50))+INDIRECT(ADDRESS($B11,Plots!$H$3,,,Plots!$A$51))+INDIRECT(ADDRESS($B11,Plots!$H$3,,,Plots!$A$52))</f>
        <v>10.129999999999999</v>
      </c>
      <c r="F11" cm="1">
        <f t="array" aca="1" ref="F11" ca="1">INDIRECT(ADDRESS($B11,Plots!$H$3,,,Plots!$A$53))+INDIRECT(ADDRESS($B11,Plots!$H$3,,,Plots!$A$54))+INDIRECT(ADDRESS($B11,Plots!$H$3,,,Plots!$A$55))+INDIRECT(ADDRESS($B11,Plots!$H$3,,,Plots!$A$56))</f>
        <v>13.67</v>
      </c>
      <c r="G11" cm="1">
        <f t="array" aca="1" ref="G11" ca="1">INDIRECT(ADDRESS($B11,Plots!$H$3,,,Plots!$A$57))+INDIRECT(ADDRESS($B11,Plots!$H$3,,,Plots!$A$58))+INDIRECT(ADDRESS($B11,Plots!$H$3,,,Plots!$A$59))+INDIRECT(ADDRESS($B11,Plots!$H$3,,,Plots!$A$60))+INDIRECT(ADDRESS($B11,Plots!$H$3,,,Plots!$A$61))</f>
        <v>0</v>
      </c>
      <c r="H11" cm="1">
        <f t="array" aca="1" ref="H11" ca="1">INDIRECT(ADDRESS($B11,Plots!$H$3,,,Plots!$A$62))+INDIRECT(ADDRESS($B11,Plots!$H$3,,,Plots!$A$63))+INDIRECT(ADDRESS($B11,Plots!$H$3,,,Plots!$A$64))+INDIRECT(ADDRESS($B11,Plots!$H$3,,,Plots!$A$65))+INDIRECT(ADDRESS($B11,Plots!$H$3,,,Plots!$A$66))+INDIRECT(ADDRESS($B11,Plots!$H$3,,,Plots!$A$67))</f>
        <v>0</v>
      </c>
      <c r="I11">
        <f>'AARnetCBR-CamDTN1_tcpmon_ts_81'!F11+'AARnetCBR-CamDTN1_tcpmon_ts_82'!F11+'AARnetCBR-CamDTN1_tcpmon_ts_83'!F11+'AARnetCBR-CamDTN1_tcpmon_ts_84'!F11+'AARnetCBR-CamDTN1_tcpmon_ts_85'!F11+'AARnetCBR-CamDTN1_tcpmon_ts_86'!F11+'AARnetCBR-CamDTN1_tcpmon_ts_87'!F11+'AARnetCBR-CamDTN1_tcpmon_ts_88'!F11</f>
        <v>0</v>
      </c>
      <c r="L11" cm="1">
        <f t="array" aca="1" ref="L11" ca="1">INDIRECT(ADDRESS($B11,Plots!$H$4,,,Plots!$A$47))</f>
        <v>0</v>
      </c>
      <c r="M11" cm="1">
        <f t="array" aca="1" ref="M11" ca="1">INDIRECT(ADDRESS($B11,Plots!$H$4,,,Plots!$A$48))+INDIRECT(ADDRESS($B11,Plots!$H$4,,,Plots!$A$49))</f>
        <v>0</v>
      </c>
      <c r="N11" cm="1">
        <f t="array" aca="1" ref="N11" ca="1">INDIRECT(ADDRESS($B11,Plots!$H$4,,,Plots!$A$50))+INDIRECT(ADDRESS($B11,Plots!$H$4,,,Plots!$A$51))+INDIRECT(ADDRESS($B11,Plots!$H$4,,,Plots!$A$52))</f>
        <v>0</v>
      </c>
      <c r="O11" cm="1">
        <f t="array" aca="1" ref="O11" ca="1">INDIRECT(ADDRESS($B11,Plots!$H$4,,,Plots!$A$53))+INDIRECT(ADDRESS($B11,Plots!$H$4,,,Plots!$A$54))+INDIRECT(ADDRESS($B11,Plots!$H$4,,,Plots!$A$55))+INDIRECT(ADDRESS($B11,Plots!$H$4,,,Plots!$A$56))</f>
        <v>0</v>
      </c>
      <c r="P11" cm="1">
        <f t="array" aca="1" ref="P11" ca="1">INDIRECT(ADDRESS($B11,Plots!$H$4,,,Plots!$A$57))+INDIRECT(ADDRESS($B11,Plots!$H$4,,,Plots!$A$58))+INDIRECT(ADDRESS($B11,Plots!$H$4,,,Plots!$A$59))+INDIRECT(ADDRESS($B11,Plots!$H$4,,,Plots!$A$60))+INDIRECT(ADDRESS($B11,Plots!$H$4,,,Plots!$A$61))</f>
        <v>0</v>
      </c>
      <c r="Q11" cm="1">
        <f t="array" aca="1" ref="Q11" ca="1">INDIRECT(ADDRESS($B11,Plots!$H$4,,,Plots!$A$62))+INDIRECT(ADDRESS($B11,Plots!$H$4,,,Plots!$A$63))+INDIRECT(ADDRESS($B11,Plots!$H$4,,,Plots!$A$64))+INDIRECT(ADDRESS($B11,Plots!$H$4,,,Plots!$A$65))+INDIRECT(ADDRESS($B11,Plots!$H$4,,,Plots!$A$66))+INDIRECT(ADDRESS($B11,Plots!$H$4,,,Plots!$A$67))</f>
        <v>0</v>
      </c>
      <c r="R11">
        <f>'AARnetCBR-CamDTN1_tcpmon_ts_81'!I11+'AARnetCBR-CamDTN1_tcpmon_ts_82'!I11+'AARnetCBR-CamDTN1_tcpmon_ts_83'!I11+'AARnetCBR-CamDTN1_tcpmon_ts_84'!I11+'AARnetCBR-CamDTN1_tcpmon_ts_85'!I11+'AARnetCBR-CamDTN1_tcpmon_ts_86'!I11+'AARnetCBR-CamDTN1_tcpmon_ts_87'!I11+'AARnetCBR-CamDTN1_tcpmon_ts_88'!I11</f>
        <v>0</v>
      </c>
    </row>
    <row r="12" spans="1:32">
      <c r="A12" cm="1">
        <f t="array" aca="1" ref="A12" ca="1">INDIRECT(ADDRESS($B12,Plots!$H$6,,,Plots!$A$47))</f>
        <v>18</v>
      </c>
      <c r="B12">
        <f t="shared" si="0"/>
        <v>21</v>
      </c>
      <c r="C12" cm="1">
        <f t="array" aca="1" ref="C12" ca="1">INDIRECT(ADDRESS($B12,Plots!$H$3,,,Plots!$A$47))</f>
        <v>0.55000000000000004</v>
      </c>
      <c r="D12" cm="1">
        <f t="array" aca="1" ref="D12" ca="1">INDIRECT(ADDRESS($B12,Plots!$H$3,,,Plots!$A$48))+INDIRECT(ADDRESS($B12,Plots!$H$3,,,Plots!$A$49))</f>
        <v>17.21</v>
      </c>
      <c r="E12" cm="1">
        <f t="array" aca="1" ref="E12" ca="1">INDIRECT(ADDRESS($B12,Plots!$H$3,,,Plots!$A$50))+INDIRECT(ADDRESS($B12,Plots!$H$3,,,Plots!$A$51))+INDIRECT(ADDRESS($B12,Plots!$H$3,,,Plots!$A$52))</f>
        <v>15.05</v>
      </c>
      <c r="F12" cm="1">
        <f t="array" aca="1" ref="F12" ca="1">INDIRECT(ADDRESS($B12,Plots!$H$3,,,Plots!$A$53))+INDIRECT(ADDRESS($B12,Plots!$H$3,,,Plots!$A$54))+INDIRECT(ADDRESS($B12,Plots!$H$3,,,Plots!$A$55))+INDIRECT(ADDRESS($B12,Plots!$H$3,,,Plots!$A$56))</f>
        <v>20.830000000000002</v>
      </c>
      <c r="G12" cm="1">
        <f t="array" aca="1" ref="G12" ca="1">INDIRECT(ADDRESS($B12,Plots!$H$3,,,Plots!$A$57))+INDIRECT(ADDRESS($B12,Plots!$H$3,,,Plots!$A$58))+INDIRECT(ADDRESS($B12,Plots!$H$3,,,Plots!$A$59))+INDIRECT(ADDRESS($B12,Plots!$H$3,,,Plots!$A$60))+INDIRECT(ADDRESS($B12,Plots!$H$3,,,Plots!$A$61))</f>
        <v>0</v>
      </c>
      <c r="H12" cm="1">
        <f t="array" aca="1" ref="H12" ca="1">INDIRECT(ADDRESS($B12,Plots!$H$3,,,Plots!$A$62))+INDIRECT(ADDRESS($B12,Plots!$H$3,,,Plots!$A$63))+INDIRECT(ADDRESS($B12,Plots!$H$3,,,Plots!$A$64))+INDIRECT(ADDRESS($B12,Plots!$H$3,,,Plots!$A$65))+INDIRECT(ADDRESS($B12,Plots!$H$3,,,Plots!$A$66))+INDIRECT(ADDRESS($B12,Plots!$H$3,,,Plots!$A$67))</f>
        <v>0</v>
      </c>
      <c r="I12">
        <f>'AARnetCBR-CamDTN1_tcpmon_ts_81'!F12+'AARnetCBR-CamDTN1_tcpmon_ts_82'!F12+'AARnetCBR-CamDTN1_tcpmon_ts_83'!F12+'AARnetCBR-CamDTN1_tcpmon_ts_84'!F12+'AARnetCBR-CamDTN1_tcpmon_ts_85'!F12+'AARnetCBR-CamDTN1_tcpmon_ts_86'!F12+'AARnetCBR-CamDTN1_tcpmon_ts_87'!F12+'AARnetCBR-CamDTN1_tcpmon_ts_88'!F12</f>
        <v>0</v>
      </c>
      <c r="L12" cm="1">
        <f t="array" aca="1" ref="L12" ca="1">INDIRECT(ADDRESS($B12,Plots!$H$4,,,Plots!$A$47))</f>
        <v>0</v>
      </c>
      <c r="M12" cm="1">
        <f t="array" aca="1" ref="M12" ca="1">INDIRECT(ADDRESS($B12,Plots!$H$4,,,Plots!$A$48))+INDIRECT(ADDRESS($B12,Plots!$H$4,,,Plots!$A$49))</f>
        <v>0</v>
      </c>
      <c r="N12" cm="1">
        <f t="array" aca="1" ref="N12" ca="1">INDIRECT(ADDRESS($B12,Plots!$H$4,,,Plots!$A$50))+INDIRECT(ADDRESS($B12,Plots!$H$4,,,Plots!$A$51))+INDIRECT(ADDRESS($B12,Plots!$H$4,,,Plots!$A$52))</f>
        <v>0</v>
      </c>
      <c r="O12" cm="1">
        <f t="array" aca="1" ref="O12" ca="1">INDIRECT(ADDRESS($B12,Plots!$H$4,,,Plots!$A$53))+INDIRECT(ADDRESS($B12,Plots!$H$4,,,Plots!$A$54))+INDIRECT(ADDRESS($B12,Plots!$H$4,,,Plots!$A$55))+INDIRECT(ADDRESS($B12,Plots!$H$4,,,Plots!$A$56))</f>
        <v>0</v>
      </c>
      <c r="P12" cm="1">
        <f t="array" aca="1" ref="P12" ca="1">INDIRECT(ADDRESS($B12,Plots!$H$4,,,Plots!$A$57))+INDIRECT(ADDRESS($B12,Plots!$H$4,,,Plots!$A$58))+INDIRECT(ADDRESS($B12,Plots!$H$4,,,Plots!$A$59))+INDIRECT(ADDRESS($B12,Plots!$H$4,,,Plots!$A$60))+INDIRECT(ADDRESS($B12,Plots!$H$4,,,Plots!$A$61))</f>
        <v>0</v>
      </c>
      <c r="Q12" cm="1">
        <f t="array" aca="1" ref="Q12" ca="1">INDIRECT(ADDRESS($B12,Plots!$H$4,,,Plots!$A$62))+INDIRECT(ADDRESS($B12,Plots!$H$4,,,Plots!$A$63))+INDIRECT(ADDRESS($B12,Plots!$H$4,,,Plots!$A$64))+INDIRECT(ADDRESS($B12,Plots!$H$4,,,Plots!$A$65))+INDIRECT(ADDRESS($B12,Plots!$H$4,,,Plots!$A$66))+INDIRECT(ADDRESS($B12,Plots!$H$4,,,Plots!$A$67))</f>
        <v>0</v>
      </c>
      <c r="R12">
        <f>'AARnetCBR-CamDTN1_tcpmon_ts_81'!I12+'AARnetCBR-CamDTN1_tcpmon_ts_82'!I12+'AARnetCBR-CamDTN1_tcpmon_ts_83'!I12+'AARnetCBR-CamDTN1_tcpmon_ts_84'!I12+'AARnetCBR-CamDTN1_tcpmon_ts_85'!I12+'AARnetCBR-CamDTN1_tcpmon_ts_86'!I12+'AARnetCBR-CamDTN1_tcpmon_ts_87'!I12+'AARnetCBR-CamDTN1_tcpmon_ts_88'!I12</f>
        <v>0</v>
      </c>
    </row>
    <row r="13" spans="1:32">
      <c r="A13" cm="1">
        <f t="array" aca="1" ref="A13" ca="1">INDIRECT(ADDRESS($B13,Plots!$H$6,,,Plots!$A$47))</f>
        <v>20</v>
      </c>
      <c r="B13">
        <f t="shared" si="0"/>
        <v>22</v>
      </c>
      <c r="C13" cm="1">
        <f t="array" aca="1" ref="C13" ca="1">INDIRECT(ADDRESS($B13,Plots!$H$3,,,Plots!$A$47))</f>
        <v>0.75</v>
      </c>
      <c r="D13" cm="1">
        <f t="array" aca="1" ref="D13" ca="1">INDIRECT(ADDRESS($B13,Plots!$H$3,,,Plots!$A$48))+INDIRECT(ADDRESS($B13,Plots!$H$3,,,Plots!$A$49))</f>
        <v>23.009999999999998</v>
      </c>
      <c r="E13" cm="1">
        <f t="array" aca="1" ref="E13" ca="1">INDIRECT(ADDRESS($B13,Plots!$H$3,,,Plots!$A$50))+INDIRECT(ADDRESS($B13,Plots!$H$3,,,Plots!$A$51))+INDIRECT(ADDRESS($B13,Plots!$H$3,,,Plots!$A$52))</f>
        <v>23.919999999999998</v>
      </c>
      <c r="F13" cm="1">
        <f t="array" aca="1" ref="F13" ca="1">INDIRECT(ADDRESS($B13,Plots!$H$3,,,Plots!$A$53))+INDIRECT(ADDRESS($B13,Plots!$H$3,,,Plots!$A$54))+INDIRECT(ADDRESS($B13,Plots!$H$3,,,Plots!$A$55))+INDIRECT(ADDRESS($B13,Plots!$H$3,,,Plots!$A$56))</f>
        <v>31.73</v>
      </c>
      <c r="G13" cm="1">
        <f t="array" aca="1" ref="G13" ca="1">INDIRECT(ADDRESS($B13,Plots!$H$3,,,Plots!$A$57))+INDIRECT(ADDRESS($B13,Plots!$H$3,,,Plots!$A$58))+INDIRECT(ADDRESS($B13,Plots!$H$3,,,Plots!$A$59))+INDIRECT(ADDRESS($B13,Plots!$H$3,,,Plots!$A$60))+INDIRECT(ADDRESS($B13,Plots!$H$3,,,Plots!$A$61))</f>
        <v>0</v>
      </c>
      <c r="H13" cm="1">
        <f t="array" aca="1" ref="H13" ca="1">INDIRECT(ADDRESS($B13,Plots!$H$3,,,Plots!$A$62))+INDIRECT(ADDRESS($B13,Plots!$H$3,,,Plots!$A$63))+INDIRECT(ADDRESS($B13,Plots!$H$3,,,Plots!$A$64))+INDIRECT(ADDRESS($B13,Plots!$H$3,,,Plots!$A$65))+INDIRECT(ADDRESS($B13,Plots!$H$3,,,Plots!$A$66))+INDIRECT(ADDRESS($B13,Plots!$H$3,,,Plots!$A$67))</f>
        <v>0</v>
      </c>
      <c r="I13">
        <f>'AARnetCBR-CamDTN1_tcpmon_ts_81'!F13+'AARnetCBR-CamDTN1_tcpmon_ts_82'!F13+'AARnetCBR-CamDTN1_tcpmon_ts_83'!F13+'AARnetCBR-CamDTN1_tcpmon_ts_84'!F13+'AARnetCBR-CamDTN1_tcpmon_ts_85'!F13+'AARnetCBR-CamDTN1_tcpmon_ts_86'!F13+'AARnetCBR-CamDTN1_tcpmon_ts_87'!F13+'AARnetCBR-CamDTN1_tcpmon_ts_88'!F13</f>
        <v>0</v>
      </c>
      <c r="L13" cm="1">
        <f t="array" aca="1" ref="L13" ca="1">INDIRECT(ADDRESS($B13,Plots!$H$4,,,Plots!$A$47))</f>
        <v>0</v>
      </c>
      <c r="M13" cm="1">
        <f t="array" aca="1" ref="M13" ca="1">INDIRECT(ADDRESS($B13,Plots!$H$4,,,Plots!$A$48))+INDIRECT(ADDRESS($B13,Plots!$H$4,,,Plots!$A$49))</f>
        <v>0</v>
      </c>
      <c r="N13" cm="1">
        <f t="array" aca="1" ref="N13" ca="1">INDIRECT(ADDRESS($B13,Plots!$H$4,,,Plots!$A$50))+INDIRECT(ADDRESS($B13,Plots!$H$4,,,Plots!$A$51))+INDIRECT(ADDRESS($B13,Plots!$H$4,,,Plots!$A$52))</f>
        <v>0</v>
      </c>
      <c r="O13" cm="1">
        <f t="array" aca="1" ref="O13" ca="1">INDIRECT(ADDRESS($B13,Plots!$H$4,,,Plots!$A$53))+INDIRECT(ADDRESS($B13,Plots!$H$4,,,Plots!$A$54))+INDIRECT(ADDRESS($B13,Plots!$H$4,,,Plots!$A$55))+INDIRECT(ADDRESS($B13,Plots!$H$4,,,Plots!$A$56))</f>
        <v>0</v>
      </c>
      <c r="P13" cm="1">
        <f t="array" aca="1" ref="P13" ca="1">INDIRECT(ADDRESS($B13,Plots!$H$4,,,Plots!$A$57))+INDIRECT(ADDRESS($B13,Plots!$H$4,,,Plots!$A$58))+INDIRECT(ADDRESS($B13,Plots!$H$4,,,Plots!$A$59))+INDIRECT(ADDRESS($B13,Plots!$H$4,,,Plots!$A$60))+INDIRECT(ADDRESS($B13,Plots!$H$4,,,Plots!$A$61))</f>
        <v>0</v>
      </c>
      <c r="Q13" cm="1">
        <f t="array" aca="1" ref="Q13" ca="1">INDIRECT(ADDRESS($B13,Plots!$H$4,,,Plots!$A$62))+INDIRECT(ADDRESS($B13,Plots!$H$4,,,Plots!$A$63))+INDIRECT(ADDRESS($B13,Plots!$H$4,,,Plots!$A$64))+INDIRECT(ADDRESS($B13,Plots!$H$4,,,Plots!$A$65))+INDIRECT(ADDRESS($B13,Plots!$H$4,,,Plots!$A$66))+INDIRECT(ADDRESS($B13,Plots!$H$4,,,Plots!$A$67))</f>
        <v>0</v>
      </c>
      <c r="R13">
        <f>'AARnetCBR-CamDTN1_tcpmon_ts_81'!I13+'AARnetCBR-CamDTN1_tcpmon_ts_82'!I13+'AARnetCBR-CamDTN1_tcpmon_ts_83'!I13+'AARnetCBR-CamDTN1_tcpmon_ts_84'!I13+'AARnetCBR-CamDTN1_tcpmon_ts_85'!I13+'AARnetCBR-CamDTN1_tcpmon_ts_86'!I13+'AARnetCBR-CamDTN1_tcpmon_ts_87'!I13+'AARnetCBR-CamDTN1_tcpmon_ts_88'!I13</f>
        <v>0</v>
      </c>
    </row>
    <row r="14" spans="1:32">
      <c r="A14" cm="1">
        <f t="array" aca="1" ref="A14" ca="1">INDIRECT(ADDRESS($B14,Plots!$H$6,,,Plots!$A$47))</f>
        <v>22</v>
      </c>
      <c r="B14">
        <f t="shared" si="0"/>
        <v>23</v>
      </c>
      <c r="C14" cm="1">
        <f t="array" aca="1" ref="C14" ca="1">INDIRECT(ADDRESS($B14,Plots!$H$3,,,Plots!$A$47))</f>
        <v>1.01</v>
      </c>
      <c r="D14" cm="1">
        <f t="array" aca="1" ref="D14" ca="1">INDIRECT(ADDRESS($B14,Plots!$H$3,,,Plots!$A$48))+INDIRECT(ADDRESS($B14,Plots!$H$3,,,Plots!$A$49))</f>
        <v>31.17</v>
      </c>
      <c r="E14" cm="1">
        <f t="array" aca="1" ref="E14" ca="1">INDIRECT(ADDRESS($B14,Plots!$H$3,,,Plots!$A$50))+INDIRECT(ADDRESS($B14,Plots!$H$3,,,Plots!$A$51))+INDIRECT(ADDRESS($B14,Plots!$H$3,,,Plots!$A$52))</f>
        <v>30.94</v>
      </c>
      <c r="F14" cm="1">
        <f t="array" aca="1" ref="F14" ca="1">INDIRECT(ADDRESS($B14,Plots!$H$3,,,Plots!$A$53))+INDIRECT(ADDRESS($B14,Plots!$H$3,,,Plots!$A$54))+INDIRECT(ADDRESS($B14,Plots!$H$3,,,Plots!$A$55))+INDIRECT(ADDRESS($B14,Plots!$H$3,,,Plots!$A$56))</f>
        <v>36.660000000000004</v>
      </c>
      <c r="G14" cm="1">
        <f t="array" aca="1" ref="G14" ca="1">INDIRECT(ADDRESS($B14,Plots!$H$3,,,Plots!$A$57))+INDIRECT(ADDRESS($B14,Plots!$H$3,,,Plots!$A$58))+INDIRECT(ADDRESS($B14,Plots!$H$3,,,Plots!$A$59))+INDIRECT(ADDRESS($B14,Plots!$H$3,,,Plots!$A$60))+INDIRECT(ADDRESS($B14,Plots!$H$3,,,Plots!$A$61))</f>
        <v>0</v>
      </c>
      <c r="H14" cm="1">
        <f t="array" aca="1" ref="H14" ca="1">INDIRECT(ADDRESS($B14,Plots!$H$3,,,Plots!$A$62))+INDIRECT(ADDRESS($B14,Plots!$H$3,,,Plots!$A$63))+INDIRECT(ADDRESS($B14,Plots!$H$3,,,Plots!$A$64))+INDIRECT(ADDRESS($B14,Plots!$H$3,,,Plots!$A$65))+INDIRECT(ADDRESS($B14,Plots!$H$3,,,Plots!$A$66))+INDIRECT(ADDRESS($B14,Plots!$H$3,,,Plots!$A$67))</f>
        <v>0</v>
      </c>
      <c r="I14">
        <f>'AARnetCBR-CamDTN1_tcpmon_ts_81'!F14+'AARnetCBR-CamDTN1_tcpmon_ts_82'!F14+'AARnetCBR-CamDTN1_tcpmon_ts_83'!F14+'AARnetCBR-CamDTN1_tcpmon_ts_84'!F14+'AARnetCBR-CamDTN1_tcpmon_ts_85'!F14+'AARnetCBR-CamDTN1_tcpmon_ts_86'!F14+'AARnetCBR-CamDTN1_tcpmon_ts_87'!F14+'AARnetCBR-CamDTN1_tcpmon_ts_88'!F14</f>
        <v>0</v>
      </c>
      <c r="L14" cm="1">
        <f t="array" aca="1" ref="L14" ca="1">INDIRECT(ADDRESS($B14,Plots!$H$4,,,Plots!$A$47))</f>
        <v>0</v>
      </c>
      <c r="M14" cm="1">
        <f t="array" aca="1" ref="M14" ca="1">INDIRECT(ADDRESS($B14,Plots!$H$4,,,Plots!$A$48))+INDIRECT(ADDRESS($B14,Plots!$H$4,,,Plots!$A$49))</f>
        <v>0</v>
      </c>
      <c r="N14" cm="1">
        <f t="array" aca="1" ref="N14" ca="1">INDIRECT(ADDRESS($B14,Plots!$H$4,,,Plots!$A$50))+INDIRECT(ADDRESS($B14,Plots!$H$4,,,Plots!$A$51))+INDIRECT(ADDRESS($B14,Plots!$H$4,,,Plots!$A$52))</f>
        <v>0</v>
      </c>
      <c r="O14" cm="1">
        <f t="array" aca="1" ref="O14" ca="1">INDIRECT(ADDRESS($B14,Plots!$H$4,,,Plots!$A$53))+INDIRECT(ADDRESS($B14,Plots!$H$4,,,Plots!$A$54))+INDIRECT(ADDRESS($B14,Plots!$H$4,,,Plots!$A$55))+INDIRECT(ADDRESS($B14,Plots!$H$4,,,Plots!$A$56))</f>
        <v>0</v>
      </c>
      <c r="P14" cm="1">
        <f t="array" aca="1" ref="P14" ca="1">INDIRECT(ADDRESS($B14,Plots!$H$4,,,Plots!$A$57))+INDIRECT(ADDRESS($B14,Plots!$H$4,,,Plots!$A$58))+INDIRECT(ADDRESS($B14,Plots!$H$4,,,Plots!$A$59))+INDIRECT(ADDRESS($B14,Plots!$H$4,,,Plots!$A$60))+INDIRECT(ADDRESS($B14,Plots!$H$4,,,Plots!$A$61))</f>
        <v>0</v>
      </c>
      <c r="Q14" cm="1">
        <f t="array" aca="1" ref="Q14" ca="1">INDIRECT(ADDRESS($B14,Plots!$H$4,,,Plots!$A$62))+INDIRECT(ADDRESS($B14,Plots!$H$4,,,Plots!$A$63))+INDIRECT(ADDRESS($B14,Plots!$H$4,,,Plots!$A$64))+INDIRECT(ADDRESS($B14,Plots!$H$4,,,Plots!$A$65))+INDIRECT(ADDRESS($B14,Plots!$H$4,,,Plots!$A$66))+INDIRECT(ADDRESS($B14,Plots!$H$4,,,Plots!$A$67))</f>
        <v>0</v>
      </c>
      <c r="R14">
        <f>'AARnetCBR-CamDTN1_tcpmon_ts_81'!I14+'AARnetCBR-CamDTN1_tcpmon_ts_82'!I14+'AARnetCBR-CamDTN1_tcpmon_ts_83'!I14+'AARnetCBR-CamDTN1_tcpmon_ts_84'!I14+'AARnetCBR-CamDTN1_tcpmon_ts_85'!I14+'AARnetCBR-CamDTN1_tcpmon_ts_86'!I14+'AARnetCBR-CamDTN1_tcpmon_ts_87'!I14+'AARnetCBR-CamDTN1_tcpmon_ts_88'!I14</f>
        <v>0</v>
      </c>
    </row>
    <row r="15" spans="1:32">
      <c r="A15" cm="1">
        <f t="array" aca="1" ref="A15" ca="1">INDIRECT(ADDRESS($B15,Plots!$H$6,,,Plots!$A$47))</f>
        <v>24</v>
      </c>
      <c r="B15">
        <f t="shared" si="0"/>
        <v>24</v>
      </c>
      <c r="C15" cm="1">
        <f t="array" aca="1" ref="C15" ca="1">INDIRECT(ADDRESS($B15,Plots!$H$3,,,Plots!$A$47))</f>
        <v>1.64</v>
      </c>
      <c r="D15" cm="1">
        <f t="array" aca="1" ref="D15" ca="1">INDIRECT(ADDRESS($B15,Plots!$H$3,,,Plots!$A$48))+INDIRECT(ADDRESS($B15,Plots!$H$3,,,Plots!$A$49))</f>
        <v>44.14</v>
      </c>
      <c r="E15" cm="1">
        <f t="array" aca="1" ref="E15" ca="1">INDIRECT(ADDRESS($B15,Plots!$H$3,,,Plots!$A$50))+INDIRECT(ADDRESS($B15,Plots!$H$3,,,Plots!$A$51))+INDIRECT(ADDRESS($B15,Plots!$H$3,,,Plots!$A$52))</f>
        <v>37.25</v>
      </c>
      <c r="F15" cm="1">
        <f t="array" aca="1" ref="F15" ca="1">INDIRECT(ADDRESS($B15,Plots!$H$3,,,Plots!$A$53))+INDIRECT(ADDRESS($B15,Plots!$H$3,,,Plots!$A$54))+INDIRECT(ADDRESS($B15,Plots!$H$3,,,Plots!$A$55))+INDIRECT(ADDRESS($B15,Plots!$H$3,,,Plots!$A$56))</f>
        <v>51.21</v>
      </c>
      <c r="G15" cm="1">
        <f t="array" aca="1" ref="G15" ca="1">INDIRECT(ADDRESS($B15,Plots!$H$3,,,Plots!$A$57))+INDIRECT(ADDRESS($B15,Plots!$H$3,,,Plots!$A$58))+INDIRECT(ADDRESS($B15,Plots!$H$3,,,Plots!$A$59))+INDIRECT(ADDRESS($B15,Plots!$H$3,,,Plots!$A$60))+INDIRECT(ADDRESS($B15,Plots!$H$3,,,Plots!$A$61))</f>
        <v>0</v>
      </c>
      <c r="H15" cm="1">
        <f t="array" aca="1" ref="H15" ca="1">INDIRECT(ADDRESS($B15,Plots!$H$3,,,Plots!$A$62))+INDIRECT(ADDRESS($B15,Plots!$H$3,,,Plots!$A$63))+INDIRECT(ADDRESS($B15,Plots!$H$3,,,Plots!$A$64))+INDIRECT(ADDRESS($B15,Plots!$H$3,,,Plots!$A$65))+INDIRECT(ADDRESS($B15,Plots!$H$3,,,Plots!$A$66))+INDIRECT(ADDRESS($B15,Plots!$H$3,,,Plots!$A$67))</f>
        <v>0</v>
      </c>
      <c r="I15">
        <f>'AARnetCBR-CamDTN1_tcpmon_ts_81'!F15+'AARnetCBR-CamDTN1_tcpmon_ts_82'!F15+'AARnetCBR-CamDTN1_tcpmon_ts_83'!F15+'AARnetCBR-CamDTN1_tcpmon_ts_84'!F15+'AARnetCBR-CamDTN1_tcpmon_ts_85'!F15+'AARnetCBR-CamDTN1_tcpmon_ts_86'!F15+'AARnetCBR-CamDTN1_tcpmon_ts_87'!F15+'AARnetCBR-CamDTN1_tcpmon_ts_88'!F15</f>
        <v>0</v>
      </c>
      <c r="L15" cm="1">
        <f t="array" aca="1" ref="L15" ca="1">INDIRECT(ADDRESS($B15,Plots!$H$4,,,Plots!$A$47))</f>
        <v>0</v>
      </c>
      <c r="M15" cm="1">
        <f t="array" aca="1" ref="M15" ca="1">INDIRECT(ADDRESS($B15,Plots!$H$4,,,Plots!$A$48))+INDIRECT(ADDRESS($B15,Plots!$H$4,,,Plots!$A$49))</f>
        <v>0</v>
      </c>
      <c r="N15" cm="1">
        <f t="array" aca="1" ref="N15" ca="1">INDIRECT(ADDRESS($B15,Plots!$H$4,,,Plots!$A$50))+INDIRECT(ADDRESS($B15,Plots!$H$4,,,Plots!$A$51))+INDIRECT(ADDRESS($B15,Plots!$H$4,,,Plots!$A$52))</f>
        <v>0</v>
      </c>
      <c r="O15" cm="1">
        <f t="array" aca="1" ref="O15" ca="1">INDIRECT(ADDRESS($B15,Plots!$H$4,,,Plots!$A$53))+INDIRECT(ADDRESS($B15,Plots!$H$4,,,Plots!$A$54))+INDIRECT(ADDRESS($B15,Plots!$H$4,,,Plots!$A$55))+INDIRECT(ADDRESS($B15,Plots!$H$4,,,Plots!$A$56))</f>
        <v>0</v>
      </c>
      <c r="P15" cm="1">
        <f t="array" aca="1" ref="P15" ca="1">INDIRECT(ADDRESS($B15,Plots!$H$4,,,Plots!$A$57))+INDIRECT(ADDRESS($B15,Plots!$H$4,,,Plots!$A$58))+INDIRECT(ADDRESS($B15,Plots!$H$4,,,Plots!$A$59))+INDIRECT(ADDRESS($B15,Plots!$H$4,,,Plots!$A$60))+INDIRECT(ADDRESS($B15,Plots!$H$4,,,Plots!$A$61))</f>
        <v>0</v>
      </c>
      <c r="Q15" cm="1">
        <f t="array" aca="1" ref="Q15" ca="1">INDIRECT(ADDRESS($B15,Plots!$H$4,,,Plots!$A$62))+INDIRECT(ADDRESS($B15,Plots!$H$4,,,Plots!$A$63))+INDIRECT(ADDRESS($B15,Plots!$H$4,,,Plots!$A$64))+INDIRECT(ADDRESS($B15,Plots!$H$4,,,Plots!$A$65))+INDIRECT(ADDRESS($B15,Plots!$H$4,,,Plots!$A$66))+INDIRECT(ADDRESS($B15,Plots!$H$4,,,Plots!$A$67))</f>
        <v>0</v>
      </c>
      <c r="R15">
        <f>'AARnetCBR-CamDTN1_tcpmon_ts_81'!I15+'AARnetCBR-CamDTN1_tcpmon_ts_82'!I15+'AARnetCBR-CamDTN1_tcpmon_ts_83'!I15+'AARnetCBR-CamDTN1_tcpmon_ts_84'!I15+'AARnetCBR-CamDTN1_tcpmon_ts_85'!I15+'AARnetCBR-CamDTN1_tcpmon_ts_86'!I15+'AARnetCBR-CamDTN1_tcpmon_ts_87'!I15+'AARnetCBR-CamDTN1_tcpmon_ts_88'!I15</f>
        <v>0</v>
      </c>
    </row>
    <row r="16" spans="1:32">
      <c r="A16" cm="1">
        <f t="array" aca="1" ref="A16" ca="1">INDIRECT(ADDRESS($B16,Plots!$H$6,,,Plots!$A$47))</f>
        <v>26</v>
      </c>
      <c r="B16">
        <f t="shared" si="0"/>
        <v>25</v>
      </c>
      <c r="C16" cm="1">
        <f t="array" aca="1" ref="C16" ca="1">INDIRECT(ADDRESS($B16,Plots!$H$3,,,Plots!$A$47))</f>
        <v>2.39</v>
      </c>
      <c r="D16" cm="1">
        <f t="array" aca="1" ref="D16" ca="1">INDIRECT(ADDRESS($B16,Plots!$H$3,,,Plots!$A$48))+INDIRECT(ADDRESS($B16,Plots!$H$3,,,Plots!$A$49))</f>
        <v>49.5</v>
      </c>
      <c r="E16" cm="1">
        <f t="array" aca="1" ref="E16" ca="1">INDIRECT(ADDRESS($B16,Plots!$H$3,,,Plots!$A$50))+INDIRECT(ADDRESS($B16,Plots!$H$3,,,Plots!$A$51))+INDIRECT(ADDRESS($B16,Plots!$H$3,,,Plots!$A$52))</f>
        <v>52.83</v>
      </c>
      <c r="F16" cm="1">
        <f t="array" aca="1" ref="F16" ca="1">INDIRECT(ADDRESS($B16,Plots!$H$3,,,Plots!$A$53))+INDIRECT(ADDRESS($B16,Plots!$H$3,,,Plots!$A$54))+INDIRECT(ADDRESS($B16,Plots!$H$3,,,Plots!$A$55))+INDIRECT(ADDRESS($B16,Plots!$H$3,,,Plots!$A$56))</f>
        <v>54.519999999999996</v>
      </c>
      <c r="G16" cm="1">
        <f t="array" aca="1" ref="G16" ca="1">INDIRECT(ADDRESS($B16,Plots!$H$3,,,Plots!$A$57))+INDIRECT(ADDRESS($B16,Plots!$H$3,,,Plots!$A$58))+INDIRECT(ADDRESS($B16,Plots!$H$3,,,Plots!$A$59))+INDIRECT(ADDRESS($B16,Plots!$H$3,,,Plots!$A$60))+INDIRECT(ADDRESS($B16,Plots!$H$3,,,Plots!$A$61))</f>
        <v>0</v>
      </c>
      <c r="H16" cm="1">
        <f t="array" aca="1" ref="H16" ca="1">INDIRECT(ADDRESS($B16,Plots!$H$3,,,Plots!$A$62))+INDIRECT(ADDRESS($B16,Plots!$H$3,,,Plots!$A$63))+INDIRECT(ADDRESS($B16,Plots!$H$3,,,Plots!$A$64))+INDIRECT(ADDRESS($B16,Plots!$H$3,,,Plots!$A$65))+INDIRECT(ADDRESS($B16,Plots!$H$3,,,Plots!$A$66))+INDIRECT(ADDRESS($B16,Plots!$H$3,,,Plots!$A$67))</f>
        <v>0</v>
      </c>
      <c r="I16">
        <f>'AARnetCBR-CamDTN1_tcpmon_ts_81'!F16+'AARnetCBR-CamDTN1_tcpmon_ts_82'!F16+'AARnetCBR-CamDTN1_tcpmon_ts_83'!F16+'AARnetCBR-CamDTN1_tcpmon_ts_84'!F16+'AARnetCBR-CamDTN1_tcpmon_ts_85'!F16+'AARnetCBR-CamDTN1_tcpmon_ts_86'!F16+'AARnetCBR-CamDTN1_tcpmon_ts_87'!F16+'AARnetCBR-CamDTN1_tcpmon_ts_88'!F16</f>
        <v>0</v>
      </c>
      <c r="L16" cm="1">
        <f t="array" aca="1" ref="L16" ca="1">INDIRECT(ADDRESS($B16,Plots!$H$4,,,Plots!$A$47))</f>
        <v>0</v>
      </c>
      <c r="M16" cm="1">
        <f t="array" aca="1" ref="M16" ca="1">INDIRECT(ADDRESS($B16,Plots!$H$4,,,Plots!$A$48))+INDIRECT(ADDRESS($B16,Plots!$H$4,,,Plots!$A$49))</f>
        <v>0</v>
      </c>
      <c r="N16" cm="1">
        <f t="array" aca="1" ref="N16" ca="1">INDIRECT(ADDRESS($B16,Plots!$H$4,,,Plots!$A$50))+INDIRECT(ADDRESS($B16,Plots!$H$4,,,Plots!$A$51))+INDIRECT(ADDRESS($B16,Plots!$H$4,,,Plots!$A$52))</f>
        <v>0</v>
      </c>
      <c r="O16" cm="1">
        <f t="array" aca="1" ref="O16" ca="1">INDIRECT(ADDRESS($B16,Plots!$H$4,,,Plots!$A$53))+INDIRECT(ADDRESS($B16,Plots!$H$4,,,Plots!$A$54))+INDIRECT(ADDRESS($B16,Plots!$H$4,,,Plots!$A$55))+INDIRECT(ADDRESS($B16,Plots!$H$4,,,Plots!$A$56))</f>
        <v>0</v>
      </c>
      <c r="P16" cm="1">
        <f t="array" aca="1" ref="P16" ca="1">INDIRECT(ADDRESS($B16,Plots!$H$4,,,Plots!$A$57))+INDIRECT(ADDRESS($B16,Plots!$H$4,,,Plots!$A$58))+INDIRECT(ADDRESS($B16,Plots!$H$4,,,Plots!$A$59))+INDIRECT(ADDRESS($B16,Plots!$H$4,,,Plots!$A$60))+INDIRECT(ADDRESS($B16,Plots!$H$4,,,Plots!$A$61))</f>
        <v>0</v>
      </c>
      <c r="Q16" cm="1">
        <f t="array" aca="1" ref="Q16" ca="1">INDIRECT(ADDRESS($B16,Plots!$H$4,,,Plots!$A$62))+INDIRECT(ADDRESS($B16,Plots!$H$4,,,Plots!$A$63))+INDIRECT(ADDRESS($B16,Plots!$H$4,,,Plots!$A$64))+INDIRECT(ADDRESS($B16,Plots!$H$4,,,Plots!$A$65))+INDIRECT(ADDRESS($B16,Plots!$H$4,,,Plots!$A$66))+INDIRECT(ADDRESS($B16,Plots!$H$4,,,Plots!$A$67))</f>
        <v>0</v>
      </c>
      <c r="R16">
        <f>'AARnetCBR-CamDTN1_tcpmon_ts_81'!I16+'AARnetCBR-CamDTN1_tcpmon_ts_82'!I16+'AARnetCBR-CamDTN1_tcpmon_ts_83'!I16+'AARnetCBR-CamDTN1_tcpmon_ts_84'!I16+'AARnetCBR-CamDTN1_tcpmon_ts_85'!I16+'AARnetCBR-CamDTN1_tcpmon_ts_86'!I16+'AARnetCBR-CamDTN1_tcpmon_ts_87'!I16+'AARnetCBR-CamDTN1_tcpmon_ts_88'!I16</f>
        <v>0</v>
      </c>
    </row>
    <row r="17" spans="1:18">
      <c r="A17" cm="1">
        <f t="array" aca="1" ref="A17" ca="1">INDIRECT(ADDRESS($B17,Plots!$H$6,,,Plots!$A$47))</f>
        <v>28</v>
      </c>
      <c r="B17">
        <f t="shared" si="0"/>
        <v>26</v>
      </c>
      <c r="C17" cm="1">
        <f t="array" aca="1" ref="C17" ca="1">INDIRECT(ADDRESS($B17,Plots!$H$3,,,Plots!$A$47))</f>
        <v>3.53</v>
      </c>
      <c r="D17" cm="1">
        <f t="array" aca="1" ref="D17" ca="1">INDIRECT(ADDRESS($B17,Plots!$H$3,,,Plots!$A$48))+INDIRECT(ADDRESS($B17,Plots!$H$3,,,Plots!$A$49))</f>
        <v>53.53</v>
      </c>
      <c r="E17" cm="1">
        <f t="array" aca="1" ref="E17" ca="1">INDIRECT(ADDRESS($B17,Plots!$H$3,,,Plots!$A$50))+INDIRECT(ADDRESS($B17,Plots!$H$3,,,Plots!$A$51))+INDIRECT(ADDRESS($B17,Plots!$H$3,,,Plots!$A$52))</f>
        <v>53.13</v>
      </c>
      <c r="F17" cm="1">
        <f t="array" aca="1" ref="F17" ca="1">INDIRECT(ADDRESS($B17,Plots!$H$3,,,Plots!$A$53))+INDIRECT(ADDRESS($B17,Plots!$H$3,,,Plots!$A$54))+INDIRECT(ADDRESS($B17,Plots!$H$3,,,Plots!$A$55))+INDIRECT(ADDRESS($B17,Plots!$H$3,,,Plots!$A$56))</f>
        <v>59.109999999999992</v>
      </c>
      <c r="G17" cm="1">
        <f t="array" aca="1" ref="G17" ca="1">INDIRECT(ADDRESS($B17,Plots!$H$3,,,Plots!$A$57))+INDIRECT(ADDRESS($B17,Plots!$H$3,,,Plots!$A$58))+INDIRECT(ADDRESS($B17,Plots!$H$3,,,Plots!$A$59))+INDIRECT(ADDRESS($B17,Plots!$H$3,,,Plots!$A$60))+INDIRECT(ADDRESS($B17,Plots!$H$3,,,Plots!$A$61))</f>
        <v>0</v>
      </c>
      <c r="H17" cm="1">
        <f t="array" aca="1" ref="H17" ca="1">INDIRECT(ADDRESS($B17,Plots!$H$3,,,Plots!$A$62))+INDIRECT(ADDRESS($B17,Plots!$H$3,,,Plots!$A$63))+INDIRECT(ADDRESS($B17,Plots!$H$3,,,Plots!$A$64))+INDIRECT(ADDRESS($B17,Plots!$H$3,,,Plots!$A$65))+INDIRECT(ADDRESS($B17,Plots!$H$3,,,Plots!$A$66))+INDIRECT(ADDRESS($B17,Plots!$H$3,,,Plots!$A$67))</f>
        <v>0</v>
      </c>
      <c r="I17">
        <f>'AARnetCBR-CamDTN1_tcpmon_ts_81'!F17+'AARnetCBR-CamDTN1_tcpmon_ts_82'!F17+'AARnetCBR-CamDTN1_tcpmon_ts_83'!F17+'AARnetCBR-CamDTN1_tcpmon_ts_84'!F17+'AARnetCBR-CamDTN1_tcpmon_ts_85'!F17+'AARnetCBR-CamDTN1_tcpmon_ts_86'!F17+'AARnetCBR-CamDTN1_tcpmon_ts_87'!F17+'AARnetCBR-CamDTN1_tcpmon_ts_88'!F17</f>
        <v>0</v>
      </c>
      <c r="L17" cm="1">
        <f t="array" aca="1" ref="L17" ca="1">INDIRECT(ADDRESS($B17,Plots!$H$4,,,Plots!$A$47))</f>
        <v>0</v>
      </c>
      <c r="M17" cm="1">
        <f t="array" aca="1" ref="M17" ca="1">INDIRECT(ADDRESS($B17,Plots!$H$4,,,Plots!$A$48))+INDIRECT(ADDRESS($B17,Plots!$H$4,,,Plots!$A$49))</f>
        <v>0</v>
      </c>
      <c r="N17" cm="1">
        <f t="array" aca="1" ref="N17" ca="1">INDIRECT(ADDRESS($B17,Plots!$H$4,,,Plots!$A$50))+INDIRECT(ADDRESS($B17,Plots!$H$4,,,Plots!$A$51))+INDIRECT(ADDRESS($B17,Plots!$H$4,,,Plots!$A$52))</f>
        <v>0</v>
      </c>
      <c r="O17" cm="1">
        <f t="array" aca="1" ref="O17" ca="1">INDIRECT(ADDRESS($B17,Plots!$H$4,,,Plots!$A$53))+INDIRECT(ADDRESS($B17,Plots!$H$4,,,Plots!$A$54))+INDIRECT(ADDRESS($B17,Plots!$H$4,,,Plots!$A$55))+INDIRECT(ADDRESS($B17,Plots!$H$4,,,Plots!$A$56))</f>
        <v>0</v>
      </c>
      <c r="P17" cm="1">
        <f t="array" aca="1" ref="P17" ca="1">INDIRECT(ADDRESS($B17,Plots!$H$4,,,Plots!$A$57))+INDIRECT(ADDRESS($B17,Plots!$H$4,,,Plots!$A$58))+INDIRECT(ADDRESS($B17,Plots!$H$4,,,Plots!$A$59))+INDIRECT(ADDRESS($B17,Plots!$H$4,,,Plots!$A$60))+INDIRECT(ADDRESS($B17,Plots!$H$4,,,Plots!$A$61))</f>
        <v>0</v>
      </c>
      <c r="Q17" cm="1">
        <f t="array" aca="1" ref="Q17" ca="1">INDIRECT(ADDRESS($B17,Plots!$H$4,,,Plots!$A$62))+INDIRECT(ADDRESS($B17,Plots!$H$4,,,Plots!$A$63))+INDIRECT(ADDRESS($B17,Plots!$H$4,,,Plots!$A$64))+INDIRECT(ADDRESS($B17,Plots!$H$4,,,Plots!$A$65))+INDIRECT(ADDRESS($B17,Plots!$H$4,,,Plots!$A$66))+INDIRECT(ADDRESS($B17,Plots!$H$4,,,Plots!$A$67))</f>
        <v>0</v>
      </c>
      <c r="R17">
        <f>'AARnetCBR-CamDTN1_tcpmon_ts_81'!I17+'AARnetCBR-CamDTN1_tcpmon_ts_82'!I17+'AARnetCBR-CamDTN1_tcpmon_ts_83'!I17+'AARnetCBR-CamDTN1_tcpmon_ts_84'!I17+'AARnetCBR-CamDTN1_tcpmon_ts_85'!I17+'AARnetCBR-CamDTN1_tcpmon_ts_86'!I17+'AARnetCBR-CamDTN1_tcpmon_ts_87'!I17+'AARnetCBR-CamDTN1_tcpmon_ts_88'!I17</f>
        <v>0</v>
      </c>
    </row>
    <row r="18" spans="1:18">
      <c r="A18" cm="1">
        <f t="array" aca="1" ref="A18" ca="1">INDIRECT(ADDRESS($B18,Plots!$H$6,,,Plots!$A$47))</f>
        <v>30</v>
      </c>
      <c r="B18">
        <f t="shared" si="0"/>
        <v>27</v>
      </c>
      <c r="C18" cm="1">
        <f t="array" aca="1" ref="C18" ca="1">INDIRECT(ADDRESS($B18,Plots!$H$3,,,Plots!$A$47))</f>
        <v>5.57</v>
      </c>
      <c r="D18" cm="1">
        <f t="array" aca="1" ref="D18" ca="1">INDIRECT(ADDRESS($B18,Plots!$H$3,,,Plots!$A$48))+INDIRECT(ADDRESS($B18,Plots!$H$3,,,Plots!$A$49))</f>
        <v>57.94</v>
      </c>
      <c r="E18" cm="1">
        <f t="array" aca="1" ref="E18" ca="1">INDIRECT(ADDRESS($B18,Plots!$H$3,,,Plots!$A$50))+INDIRECT(ADDRESS($B18,Plots!$H$3,,,Plots!$A$51))+INDIRECT(ADDRESS($B18,Plots!$H$3,,,Plots!$A$52))</f>
        <v>56.46</v>
      </c>
      <c r="F18" cm="1">
        <f t="array" aca="1" ref="F18" ca="1">INDIRECT(ADDRESS($B18,Plots!$H$3,,,Plots!$A$53))+INDIRECT(ADDRESS($B18,Plots!$H$3,,,Plots!$A$54))+INDIRECT(ADDRESS($B18,Plots!$H$3,,,Plots!$A$55))+INDIRECT(ADDRESS($B18,Plots!$H$3,,,Plots!$A$56))</f>
        <v>57.58</v>
      </c>
      <c r="G18" cm="1">
        <f t="array" aca="1" ref="G18" ca="1">INDIRECT(ADDRESS($B18,Plots!$H$3,,,Plots!$A$57))+INDIRECT(ADDRESS($B18,Plots!$H$3,,,Plots!$A$58))+INDIRECT(ADDRESS($B18,Plots!$H$3,,,Plots!$A$59))+INDIRECT(ADDRESS($B18,Plots!$H$3,,,Plots!$A$60))+INDIRECT(ADDRESS($B18,Plots!$H$3,,,Plots!$A$61))</f>
        <v>0</v>
      </c>
      <c r="H18" cm="1">
        <f t="array" aca="1" ref="H18" ca="1">INDIRECT(ADDRESS($B18,Plots!$H$3,,,Plots!$A$62))+INDIRECT(ADDRESS($B18,Plots!$H$3,,,Plots!$A$63))+INDIRECT(ADDRESS($B18,Plots!$H$3,,,Plots!$A$64))+INDIRECT(ADDRESS($B18,Plots!$H$3,,,Plots!$A$65))+INDIRECT(ADDRESS($B18,Plots!$H$3,,,Plots!$A$66))+INDIRECT(ADDRESS($B18,Plots!$H$3,,,Plots!$A$67))</f>
        <v>0</v>
      </c>
      <c r="I18">
        <f>'AARnetCBR-CamDTN1_tcpmon_ts_81'!F18+'AARnetCBR-CamDTN1_tcpmon_ts_82'!F18+'AARnetCBR-CamDTN1_tcpmon_ts_83'!F18+'AARnetCBR-CamDTN1_tcpmon_ts_84'!F18+'AARnetCBR-CamDTN1_tcpmon_ts_85'!F18+'AARnetCBR-CamDTN1_tcpmon_ts_86'!F18+'AARnetCBR-CamDTN1_tcpmon_ts_87'!F18+'AARnetCBR-CamDTN1_tcpmon_ts_88'!F18</f>
        <v>0</v>
      </c>
      <c r="L18" cm="1">
        <f t="array" aca="1" ref="L18" ca="1">INDIRECT(ADDRESS($B18,Plots!$H$4,,,Plots!$A$47))</f>
        <v>0</v>
      </c>
      <c r="M18" cm="1">
        <f t="array" aca="1" ref="M18" ca="1">INDIRECT(ADDRESS($B18,Plots!$H$4,,,Plots!$A$48))+INDIRECT(ADDRESS($B18,Plots!$H$4,,,Plots!$A$49))</f>
        <v>0</v>
      </c>
      <c r="N18" cm="1">
        <f t="array" aca="1" ref="N18" ca="1">INDIRECT(ADDRESS($B18,Plots!$H$4,,,Plots!$A$50))+INDIRECT(ADDRESS($B18,Plots!$H$4,,,Plots!$A$51))+INDIRECT(ADDRESS($B18,Plots!$H$4,,,Plots!$A$52))</f>
        <v>0</v>
      </c>
      <c r="O18" cm="1">
        <f t="array" aca="1" ref="O18" ca="1">INDIRECT(ADDRESS($B18,Plots!$H$4,,,Plots!$A$53))+INDIRECT(ADDRESS($B18,Plots!$H$4,,,Plots!$A$54))+INDIRECT(ADDRESS($B18,Plots!$H$4,,,Plots!$A$55))+INDIRECT(ADDRESS($B18,Plots!$H$4,,,Plots!$A$56))</f>
        <v>0</v>
      </c>
      <c r="P18" cm="1">
        <f t="array" aca="1" ref="P18" ca="1">INDIRECT(ADDRESS($B18,Plots!$H$4,,,Plots!$A$57))+INDIRECT(ADDRESS($B18,Plots!$H$4,,,Plots!$A$58))+INDIRECT(ADDRESS($B18,Plots!$H$4,,,Plots!$A$59))+INDIRECT(ADDRESS($B18,Plots!$H$4,,,Plots!$A$60))+INDIRECT(ADDRESS($B18,Plots!$H$4,,,Plots!$A$61))</f>
        <v>0</v>
      </c>
      <c r="Q18" cm="1">
        <f t="array" aca="1" ref="Q18" ca="1">INDIRECT(ADDRESS($B18,Plots!$H$4,,,Plots!$A$62))+INDIRECT(ADDRESS($B18,Plots!$H$4,,,Plots!$A$63))+INDIRECT(ADDRESS($B18,Plots!$H$4,,,Plots!$A$64))+INDIRECT(ADDRESS($B18,Plots!$H$4,,,Plots!$A$65))+INDIRECT(ADDRESS($B18,Plots!$H$4,,,Plots!$A$66))+INDIRECT(ADDRESS($B18,Plots!$H$4,,,Plots!$A$67))</f>
        <v>0</v>
      </c>
      <c r="R18">
        <f>'AARnetCBR-CamDTN1_tcpmon_ts_81'!I18+'AARnetCBR-CamDTN1_tcpmon_ts_82'!I18+'AARnetCBR-CamDTN1_tcpmon_ts_83'!I18+'AARnetCBR-CamDTN1_tcpmon_ts_84'!I18+'AARnetCBR-CamDTN1_tcpmon_ts_85'!I18+'AARnetCBR-CamDTN1_tcpmon_ts_86'!I18+'AARnetCBR-CamDTN1_tcpmon_ts_87'!I18+'AARnetCBR-CamDTN1_tcpmon_ts_88'!I18</f>
        <v>0</v>
      </c>
    </row>
    <row r="19" spans="1:18">
      <c r="A19" cm="1">
        <f t="array" aca="1" ref="A19" ca="1">INDIRECT(ADDRESS($B19,Plots!$H$6,,,Plots!$A$47))</f>
        <v>32</v>
      </c>
      <c r="B19">
        <f t="shared" si="0"/>
        <v>28</v>
      </c>
      <c r="C19" cm="1">
        <f t="array" aca="1" ref="C19" ca="1">INDIRECT(ADDRESS($B19,Plots!$H$3,,,Plots!$A$47))</f>
        <v>6.6</v>
      </c>
      <c r="D19" cm="1">
        <f t="array" aca="1" ref="D19" ca="1">INDIRECT(ADDRESS($B19,Plots!$H$3,,,Plots!$A$48))+INDIRECT(ADDRESS($B19,Plots!$H$3,,,Plots!$A$49))</f>
        <v>54.42</v>
      </c>
      <c r="E19" cm="1">
        <f t="array" aca="1" ref="E19" ca="1">INDIRECT(ADDRESS($B19,Plots!$H$3,,,Plots!$A$50))+INDIRECT(ADDRESS($B19,Plots!$H$3,,,Plots!$A$51))+INDIRECT(ADDRESS($B19,Plots!$H$3,,,Plots!$A$52))</f>
        <v>54.010000000000005</v>
      </c>
      <c r="F19" cm="1">
        <f t="array" aca="1" ref="F19" ca="1">INDIRECT(ADDRESS($B19,Plots!$H$3,,,Plots!$A$53))+INDIRECT(ADDRESS($B19,Plots!$H$3,,,Plots!$A$54))+INDIRECT(ADDRESS($B19,Plots!$H$3,,,Plots!$A$55))+INDIRECT(ADDRESS($B19,Plots!$H$3,,,Plots!$A$56))</f>
        <v>62.489999999999995</v>
      </c>
      <c r="G19" cm="1">
        <f t="array" aca="1" ref="G19" ca="1">INDIRECT(ADDRESS($B19,Plots!$H$3,,,Plots!$A$57))+INDIRECT(ADDRESS($B19,Plots!$H$3,,,Plots!$A$58))+INDIRECT(ADDRESS($B19,Plots!$H$3,,,Plots!$A$59))+INDIRECT(ADDRESS($B19,Plots!$H$3,,,Plots!$A$60))+INDIRECT(ADDRESS($B19,Plots!$H$3,,,Plots!$A$61))</f>
        <v>0</v>
      </c>
      <c r="H19" cm="1">
        <f t="array" aca="1" ref="H19" ca="1">INDIRECT(ADDRESS($B19,Plots!$H$3,,,Plots!$A$62))+INDIRECT(ADDRESS($B19,Plots!$H$3,,,Plots!$A$63))+INDIRECT(ADDRESS($B19,Plots!$H$3,,,Plots!$A$64))+INDIRECT(ADDRESS($B19,Plots!$H$3,,,Plots!$A$65))+INDIRECT(ADDRESS($B19,Plots!$H$3,,,Plots!$A$66))+INDIRECT(ADDRESS($B19,Plots!$H$3,,,Plots!$A$67))</f>
        <v>0</v>
      </c>
      <c r="I19">
        <f>'AARnetCBR-CamDTN1_tcpmon_ts_81'!F19+'AARnetCBR-CamDTN1_tcpmon_ts_82'!F19+'AARnetCBR-CamDTN1_tcpmon_ts_83'!F19+'AARnetCBR-CamDTN1_tcpmon_ts_84'!F19+'AARnetCBR-CamDTN1_tcpmon_ts_85'!F19+'AARnetCBR-CamDTN1_tcpmon_ts_86'!F19+'AARnetCBR-CamDTN1_tcpmon_ts_87'!F19+'AARnetCBR-CamDTN1_tcpmon_ts_88'!F19</f>
        <v>0</v>
      </c>
      <c r="L19" cm="1">
        <f t="array" aca="1" ref="L19" ca="1">INDIRECT(ADDRESS($B19,Plots!$H$4,,,Plots!$A$47))</f>
        <v>0</v>
      </c>
      <c r="M19" cm="1">
        <f t="array" aca="1" ref="M19" ca="1">INDIRECT(ADDRESS($B19,Plots!$H$4,,,Plots!$A$48))+INDIRECT(ADDRESS($B19,Plots!$H$4,,,Plots!$A$49))</f>
        <v>0</v>
      </c>
      <c r="N19" cm="1">
        <f t="array" aca="1" ref="N19" ca="1">INDIRECT(ADDRESS($B19,Plots!$H$4,,,Plots!$A$50))+INDIRECT(ADDRESS($B19,Plots!$H$4,,,Plots!$A$51))+INDIRECT(ADDRESS($B19,Plots!$H$4,,,Plots!$A$52))</f>
        <v>0</v>
      </c>
      <c r="O19" cm="1">
        <f t="array" aca="1" ref="O19" ca="1">INDIRECT(ADDRESS($B19,Plots!$H$4,,,Plots!$A$53))+INDIRECT(ADDRESS($B19,Plots!$H$4,,,Plots!$A$54))+INDIRECT(ADDRESS($B19,Plots!$H$4,,,Plots!$A$55))+INDIRECT(ADDRESS($B19,Plots!$H$4,,,Plots!$A$56))</f>
        <v>0</v>
      </c>
      <c r="P19" cm="1">
        <f t="array" aca="1" ref="P19" ca="1">INDIRECT(ADDRESS($B19,Plots!$H$4,,,Plots!$A$57))+INDIRECT(ADDRESS($B19,Plots!$H$4,,,Plots!$A$58))+INDIRECT(ADDRESS($B19,Plots!$H$4,,,Plots!$A$59))+INDIRECT(ADDRESS($B19,Plots!$H$4,,,Plots!$A$60))+INDIRECT(ADDRESS($B19,Plots!$H$4,,,Plots!$A$61))</f>
        <v>0</v>
      </c>
      <c r="Q19" cm="1">
        <f t="array" aca="1" ref="Q19" ca="1">INDIRECT(ADDRESS($B19,Plots!$H$4,,,Plots!$A$62))+INDIRECT(ADDRESS($B19,Plots!$H$4,,,Plots!$A$63))+INDIRECT(ADDRESS($B19,Plots!$H$4,,,Plots!$A$64))+INDIRECT(ADDRESS($B19,Plots!$H$4,,,Plots!$A$65))+INDIRECT(ADDRESS($B19,Plots!$H$4,,,Plots!$A$66))+INDIRECT(ADDRESS($B19,Plots!$H$4,,,Plots!$A$67))</f>
        <v>0</v>
      </c>
      <c r="R19">
        <f>'AARnetCBR-CamDTN1_tcpmon_ts_81'!I19+'AARnetCBR-CamDTN1_tcpmon_ts_82'!I19+'AARnetCBR-CamDTN1_tcpmon_ts_83'!I19+'AARnetCBR-CamDTN1_tcpmon_ts_84'!I19+'AARnetCBR-CamDTN1_tcpmon_ts_85'!I19+'AARnetCBR-CamDTN1_tcpmon_ts_86'!I19+'AARnetCBR-CamDTN1_tcpmon_ts_87'!I19+'AARnetCBR-CamDTN1_tcpmon_ts_88'!I19</f>
        <v>0</v>
      </c>
    </row>
    <row r="20" spans="1:18">
      <c r="A20" cm="1">
        <f t="array" aca="1" ref="A20" ca="1">INDIRECT(ADDRESS($B20,Plots!$H$6,,,Plots!$A$47))</f>
        <v>34</v>
      </c>
      <c r="B20">
        <f t="shared" si="0"/>
        <v>29</v>
      </c>
      <c r="C20" cm="1">
        <f t="array" aca="1" ref="C20" ca="1">INDIRECT(ADDRESS($B20,Plots!$H$3,,,Plots!$A$47))</f>
        <v>11.02</v>
      </c>
      <c r="D20" cm="1">
        <f t="array" aca="1" ref="D20" ca="1">INDIRECT(ADDRESS($B20,Plots!$H$3,,,Plots!$A$48))+INDIRECT(ADDRESS($B20,Plots!$H$3,,,Plots!$A$49))</f>
        <v>56.09</v>
      </c>
      <c r="E20" cm="1">
        <f t="array" aca="1" ref="E20" ca="1">INDIRECT(ADDRESS($B20,Plots!$H$3,,,Plots!$A$50))+INDIRECT(ADDRESS($B20,Plots!$H$3,,,Plots!$A$51))+INDIRECT(ADDRESS($B20,Plots!$H$3,,,Plots!$A$52))</f>
        <v>59.059999999999995</v>
      </c>
      <c r="F20" cm="1">
        <f t="array" aca="1" ref="F20" ca="1">INDIRECT(ADDRESS($B20,Plots!$H$3,,,Plots!$A$53))+INDIRECT(ADDRESS($B20,Plots!$H$3,,,Plots!$A$54))+INDIRECT(ADDRESS($B20,Plots!$H$3,,,Plots!$A$55))+INDIRECT(ADDRESS($B20,Plots!$H$3,,,Plots!$A$56))</f>
        <v>70.849999999999994</v>
      </c>
      <c r="G20" cm="1">
        <f t="array" aca="1" ref="G20" ca="1">INDIRECT(ADDRESS($B20,Plots!$H$3,,,Plots!$A$57))+INDIRECT(ADDRESS($B20,Plots!$H$3,,,Plots!$A$58))+INDIRECT(ADDRESS($B20,Plots!$H$3,,,Plots!$A$59))+INDIRECT(ADDRESS($B20,Plots!$H$3,,,Plots!$A$60))+INDIRECT(ADDRESS($B20,Plots!$H$3,,,Plots!$A$61))</f>
        <v>0</v>
      </c>
      <c r="H20" cm="1">
        <f t="array" aca="1" ref="H20" ca="1">INDIRECT(ADDRESS($B20,Plots!$H$3,,,Plots!$A$62))+INDIRECT(ADDRESS($B20,Plots!$H$3,,,Plots!$A$63))+INDIRECT(ADDRESS($B20,Plots!$H$3,,,Plots!$A$64))+INDIRECT(ADDRESS($B20,Plots!$H$3,,,Plots!$A$65))+INDIRECT(ADDRESS($B20,Plots!$H$3,,,Plots!$A$66))+INDIRECT(ADDRESS($B20,Plots!$H$3,,,Plots!$A$67))</f>
        <v>0</v>
      </c>
      <c r="I20">
        <f>'AARnetCBR-CamDTN1_tcpmon_ts_81'!F20+'AARnetCBR-CamDTN1_tcpmon_ts_82'!F20+'AARnetCBR-CamDTN1_tcpmon_ts_83'!F20+'AARnetCBR-CamDTN1_tcpmon_ts_84'!F20+'AARnetCBR-CamDTN1_tcpmon_ts_85'!F20+'AARnetCBR-CamDTN1_tcpmon_ts_86'!F20+'AARnetCBR-CamDTN1_tcpmon_ts_87'!F20+'AARnetCBR-CamDTN1_tcpmon_ts_88'!F20</f>
        <v>0</v>
      </c>
      <c r="L20" cm="1">
        <f t="array" aca="1" ref="L20" ca="1">INDIRECT(ADDRESS($B20,Plots!$H$4,,,Plots!$A$47))</f>
        <v>0</v>
      </c>
      <c r="M20" cm="1">
        <f t="array" aca="1" ref="M20" ca="1">INDIRECT(ADDRESS($B20,Plots!$H$4,,,Plots!$A$48))+INDIRECT(ADDRESS($B20,Plots!$H$4,,,Plots!$A$49))</f>
        <v>0</v>
      </c>
      <c r="N20" cm="1">
        <f t="array" aca="1" ref="N20" ca="1">INDIRECT(ADDRESS($B20,Plots!$H$4,,,Plots!$A$50))+INDIRECT(ADDRESS($B20,Plots!$H$4,,,Plots!$A$51))+INDIRECT(ADDRESS($B20,Plots!$H$4,,,Plots!$A$52))</f>
        <v>0</v>
      </c>
      <c r="O20" cm="1">
        <f t="array" aca="1" ref="O20" ca="1">INDIRECT(ADDRESS($B20,Plots!$H$4,,,Plots!$A$53))+INDIRECT(ADDRESS($B20,Plots!$H$4,,,Plots!$A$54))+INDIRECT(ADDRESS($B20,Plots!$H$4,,,Plots!$A$55))+INDIRECT(ADDRESS($B20,Plots!$H$4,,,Plots!$A$56))</f>
        <v>0</v>
      </c>
      <c r="P20" cm="1">
        <f t="array" aca="1" ref="P20" ca="1">INDIRECT(ADDRESS($B20,Plots!$H$4,,,Plots!$A$57))+INDIRECT(ADDRESS($B20,Plots!$H$4,,,Plots!$A$58))+INDIRECT(ADDRESS($B20,Plots!$H$4,,,Plots!$A$59))+INDIRECT(ADDRESS($B20,Plots!$H$4,,,Plots!$A$60))+INDIRECT(ADDRESS($B20,Plots!$H$4,,,Plots!$A$61))</f>
        <v>0</v>
      </c>
      <c r="Q20" cm="1">
        <f t="array" aca="1" ref="Q20" ca="1">INDIRECT(ADDRESS($B20,Plots!$H$4,,,Plots!$A$62))+INDIRECT(ADDRESS($B20,Plots!$H$4,,,Plots!$A$63))+INDIRECT(ADDRESS($B20,Plots!$H$4,,,Plots!$A$64))+INDIRECT(ADDRESS($B20,Plots!$H$4,,,Plots!$A$65))+INDIRECT(ADDRESS($B20,Plots!$H$4,,,Plots!$A$66))+INDIRECT(ADDRESS($B20,Plots!$H$4,,,Plots!$A$67))</f>
        <v>0</v>
      </c>
      <c r="R20">
        <f>'AARnetCBR-CamDTN1_tcpmon_ts_81'!I20+'AARnetCBR-CamDTN1_tcpmon_ts_82'!I20+'AARnetCBR-CamDTN1_tcpmon_ts_83'!I20+'AARnetCBR-CamDTN1_tcpmon_ts_84'!I20+'AARnetCBR-CamDTN1_tcpmon_ts_85'!I20+'AARnetCBR-CamDTN1_tcpmon_ts_86'!I20+'AARnetCBR-CamDTN1_tcpmon_ts_87'!I20+'AARnetCBR-CamDTN1_tcpmon_ts_88'!I20</f>
        <v>0</v>
      </c>
    </row>
    <row r="21" spans="1:18">
      <c r="A21" cm="1">
        <f t="array" aca="1" ref="A21" ca="1">INDIRECT(ADDRESS($B21,Plots!$H$6,,,Plots!$A$47))</f>
        <v>36</v>
      </c>
      <c r="B21">
        <f t="shared" si="0"/>
        <v>30</v>
      </c>
      <c r="C21" cm="1">
        <f t="array" aca="1" ref="C21" ca="1">INDIRECT(ADDRESS($B21,Plots!$H$3,,,Plots!$A$47))</f>
        <v>16.899999999999999</v>
      </c>
      <c r="D21" cm="1">
        <f t="array" aca="1" ref="D21" ca="1">INDIRECT(ADDRESS($B21,Plots!$H$3,,,Plots!$A$48))+INDIRECT(ADDRESS($B21,Plots!$H$3,,,Plots!$A$49))</f>
        <v>60.120000000000005</v>
      </c>
      <c r="E21" cm="1">
        <f t="array" aca="1" ref="E21" ca="1">INDIRECT(ADDRESS($B21,Plots!$H$3,,,Plots!$A$50))+INDIRECT(ADDRESS($B21,Plots!$H$3,,,Plots!$A$51))+INDIRECT(ADDRESS($B21,Plots!$H$3,,,Plots!$A$52))</f>
        <v>62.379999999999995</v>
      </c>
      <c r="F21" cm="1">
        <f t="array" aca="1" ref="F21" ca="1">INDIRECT(ADDRESS($B21,Plots!$H$3,,,Plots!$A$53))+INDIRECT(ADDRESS($B21,Plots!$H$3,,,Plots!$A$54))+INDIRECT(ADDRESS($B21,Plots!$H$3,,,Plots!$A$55))+INDIRECT(ADDRESS($B21,Plots!$H$3,,,Plots!$A$56))</f>
        <v>73.87</v>
      </c>
      <c r="G21" cm="1">
        <f t="array" aca="1" ref="G21" ca="1">INDIRECT(ADDRESS($B21,Plots!$H$3,,,Plots!$A$57))+INDIRECT(ADDRESS($B21,Plots!$H$3,,,Plots!$A$58))+INDIRECT(ADDRESS($B21,Plots!$H$3,,,Plots!$A$59))+INDIRECT(ADDRESS($B21,Plots!$H$3,,,Plots!$A$60))+INDIRECT(ADDRESS($B21,Plots!$H$3,,,Plots!$A$61))</f>
        <v>0</v>
      </c>
      <c r="H21" cm="1">
        <f t="array" aca="1" ref="H21" ca="1">INDIRECT(ADDRESS($B21,Plots!$H$3,,,Plots!$A$62))+INDIRECT(ADDRESS($B21,Plots!$H$3,,,Plots!$A$63))+INDIRECT(ADDRESS($B21,Plots!$H$3,,,Plots!$A$64))+INDIRECT(ADDRESS($B21,Plots!$H$3,,,Plots!$A$65))+INDIRECT(ADDRESS($B21,Plots!$H$3,,,Plots!$A$66))+INDIRECT(ADDRESS($B21,Plots!$H$3,,,Plots!$A$67))</f>
        <v>0</v>
      </c>
      <c r="I21">
        <f>'AARnetCBR-CamDTN1_tcpmon_ts_81'!F21+'AARnetCBR-CamDTN1_tcpmon_ts_82'!F21+'AARnetCBR-CamDTN1_tcpmon_ts_83'!F21+'AARnetCBR-CamDTN1_tcpmon_ts_84'!F21+'AARnetCBR-CamDTN1_tcpmon_ts_85'!F21+'AARnetCBR-CamDTN1_tcpmon_ts_86'!F21+'AARnetCBR-CamDTN1_tcpmon_ts_87'!F21+'AARnetCBR-CamDTN1_tcpmon_ts_88'!F21</f>
        <v>0</v>
      </c>
      <c r="L21" cm="1">
        <f t="array" aca="1" ref="L21" ca="1">INDIRECT(ADDRESS($B21,Plots!$H$4,,,Plots!$A$47))</f>
        <v>0</v>
      </c>
      <c r="M21" cm="1">
        <f t="array" aca="1" ref="M21" ca="1">INDIRECT(ADDRESS($B21,Plots!$H$4,,,Plots!$A$48))+INDIRECT(ADDRESS($B21,Plots!$H$4,,,Plots!$A$49))</f>
        <v>0</v>
      </c>
      <c r="N21" cm="1">
        <f t="array" aca="1" ref="N21" ca="1">INDIRECT(ADDRESS($B21,Plots!$H$4,,,Plots!$A$50))+INDIRECT(ADDRESS($B21,Plots!$H$4,,,Plots!$A$51))+INDIRECT(ADDRESS($B21,Plots!$H$4,,,Plots!$A$52))</f>
        <v>0</v>
      </c>
      <c r="O21" cm="1">
        <f t="array" aca="1" ref="O21" ca="1">INDIRECT(ADDRESS($B21,Plots!$H$4,,,Plots!$A$53))+INDIRECT(ADDRESS($B21,Plots!$H$4,,,Plots!$A$54))+INDIRECT(ADDRESS($B21,Plots!$H$4,,,Plots!$A$55))+INDIRECT(ADDRESS($B21,Plots!$H$4,,,Plots!$A$56))</f>
        <v>0</v>
      </c>
      <c r="P21" cm="1">
        <f t="array" aca="1" ref="P21" ca="1">INDIRECT(ADDRESS($B21,Plots!$H$4,,,Plots!$A$57))+INDIRECT(ADDRESS($B21,Plots!$H$4,,,Plots!$A$58))+INDIRECT(ADDRESS($B21,Plots!$H$4,,,Plots!$A$59))+INDIRECT(ADDRESS($B21,Plots!$H$4,,,Plots!$A$60))+INDIRECT(ADDRESS($B21,Plots!$H$4,,,Plots!$A$61))</f>
        <v>0</v>
      </c>
      <c r="Q21" cm="1">
        <f t="array" aca="1" ref="Q21" ca="1">INDIRECT(ADDRESS($B21,Plots!$H$4,,,Plots!$A$62))+INDIRECT(ADDRESS($B21,Plots!$H$4,,,Plots!$A$63))+INDIRECT(ADDRESS($B21,Plots!$H$4,,,Plots!$A$64))+INDIRECT(ADDRESS($B21,Plots!$H$4,,,Plots!$A$65))+INDIRECT(ADDRESS($B21,Plots!$H$4,,,Plots!$A$66))+INDIRECT(ADDRESS($B21,Plots!$H$4,,,Plots!$A$67))</f>
        <v>0</v>
      </c>
      <c r="R21">
        <f>'AARnetCBR-CamDTN1_tcpmon_ts_81'!I21+'AARnetCBR-CamDTN1_tcpmon_ts_82'!I21+'AARnetCBR-CamDTN1_tcpmon_ts_83'!I21+'AARnetCBR-CamDTN1_tcpmon_ts_84'!I21+'AARnetCBR-CamDTN1_tcpmon_ts_85'!I21+'AARnetCBR-CamDTN1_tcpmon_ts_86'!I21+'AARnetCBR-CamDTN1_tcpmon_ts_87'!I21+'AARnetCBR-CamDTN1_tcpmon_ts_88'!I21</f>
        <v>0</v>
      </c>
    </row>
    <row r="22" spans="1:18">
      <c r="A22" cm="1">
        <f t="array" aca="1" ref="A22" ca="1">INDIRECT(ADDRESS($B22,Plots!$H$6,,,Plots!$A$47))</f>
        <v>38</v>
      </c>
      <c r="B22">
        <f t="shared" si="0"/>
        <v>31</v>
      </c>
      <c r="C22" cm="1">
        <f t="array" aca="1" ref="C22" ca="1">INDIRECT(ADDRESS($B22,Plots!$H$3,,,Plots!$A$47))</f>
        <v>20.03</v>
      </c>
      <c r="D22" cm="1">
        <f t="array" aca="1" ref="D22" ca="1">INDIRECT(ADDRESS($B22,Plots!$H$3,,,Plots!$A$48))+INDIRECT(ADDRESS($B22,Plots!$H$3,,,Plots!$A$49))</f>
        <v>57.55</v>
      </c>
      <c r="E22" cm="1">
        <f t="array" aca="1" ref="E22" ca="1">INDIRECT(ADDRESS($B22,Plots!$H$3,,,Plots!$A$50))+INDIRECT(ADDRESS($B22,Plots!$H$3,,,Plots!$A$51))+INDIRECT(ADDRESS($B22,Plots!$H$3,,,Plots!$A$52))</f>
        <v>71.78</v>
      </c>
      <c r="F22" cm="1">
        <f t="array" aca="1" ref="F22" ca="1">INDIRECT(ADDRESS($B22,Plots!$H$3,,,Plots!$A$53))+INDIRECT(ADDRESS($B22,Plots!$H$3,,,Plots!$A$54))+INDIRECT(ADDRESS($B22,Plots!$H$3,,,Plots!$A$55))+INDIRECT(ADDRESS($B22,Plots!$H$3,,,Plots!$A$56))</f>
        <v>87.72</v>
      </c>
      <c r="G22" cm="1">
        <f t="array" aca="1" ref="G22" ca="1">INDIRECT(ADDRESS($B22,Plots!$H$3,,,Plots!$A$57))+INDIRECT(ADDRESS($B22,Plots!$H$3,,,Plots!$A$58))+INDIRECT(ADDRESS($B22,Plots!$H$3,,,Plots!$A$59))+INDIRECT(ADDRESS($B22,Plots!$H$3,,,Plots!$A$60))+INDIRECT(ADDRESS($B22,Plots!$H$3,,,Plots!$A$61))</f>
        <v>0</v>
      </c>
      <c r="H22" cm="1">
        <f t="array" aca="1" ref="H22" ca="1">INDIRECT(ADDRESS($B22,Plots!$H$3,,,Plots!$A$62))+INDIRECT(ADDRESS($B22,Plots!$H$3,,,Plots!$A$63))+INDIRECT(ADDRESS($B22,Plots!$H$3,,,Plots!$A$64))+INDIRECT(ADDRESS($B22,Plots!$H$3,,,Plots!$A$65))+INDIRECT(ADDRESS($B22,Plots!$H$3,,,Plots!$A$66))+INDIRECT(ADDRESS($B22,Plots!$H$3,,,Plots!$A$67))</f>
        <v>0</v>
      </c>
      <c r="I22">
        <f>'AARnetCBR-CamDTN1_tcpmon_ts_81'!F22+'AARnetCBR-CamDTN1_tcpmon_ts_82'!F22+'AARnetCBR-CamDTN1_tcpmon_ts_83'!F22+'AARnetCBR-CamDTN1_tcpmon_ts_84'!F22+'AARnetCBR-CamDTN1_tcpmon_ts_85'!F22+'AARnetCBR-CamDTN1_tcpmon_ts_86'!F22+'AARnetCBR-CamDTN1_tcpmon_ts_87'!F22+'AARnetCBR-CamDTN1_tcpmon_ts_88'!F22</f>
        <v>0</v>
      </c>
      <c r="L22" cm="1">
        <f t="array" aca="1" ref="L22" ca="1">INDIRECT(ADDRESS($B22,Plots!$H$4,,,Plots!$A$47))</f>
        <v>0</v>
      </c>
      <c r="M22" cm="1">
        <f t="array" aca="1" ref="M22" ca="1">INDIRECT(ADDRESS($B22,Plots!$H$4,,,Plots!$A$48))+INDIRECT(ADDRESS($B22,Plots!$H$4,,,Plots!$A$49))</f>
        <v>0</v>
      </c>
      <c r="N22" cm="1">
        <f t="array" aca="1" ref="N22" ca="1">INDIRECT(ADDRESS($B22,Plots!$H$4,,,Plots!$A$50))+INDIRECT(ADDRESS($B22,Plots!$H$4,,,Plots!$A$51))+INDIRECT(ADDRESS($B22,Plots!$H$4,,,Plots!$A$52))</f>
        <v>0</v>
      </c>
      <c r="O22" cm="1">
        <f t="array" aca="1" ref="O22" ca="1">INDIRECT(ADDRESS($B22,Plots!$H$4,,,Plots!$A$53))+INDIRECT(ADDRESS($B22,Plots!$H$4,,,Plots!$A$54))+INDIRECT(ADDRESS($B22,Plots!$H$4,,,Plots!$A$55))+INDIRECT(ADDRESS($B22,Plots!$H$4,,,Plots!$A$56))</f>
        <v>0</v>
      </c>
      <c r="P22" cm="1">
        <f t="array" aca="1" ref="P22" ca="1">INDIRECT(ADDRESS($B22,Plots!$H$4,,,Plots!$A$57))+INDIRECT(ADDRESS($B22,Plots!$H$4,,,Plots!$A$58))+INDIRECT(ADDRESS($B22,Plots!$H$4,,,Plots!$A$59))+INDIRECT(ADDRESS($B22,Plots!$H$4,,,Plots!$A$60))+INDIRECT(ADDRESS($B22,Plots!$H$4,,,Plots!$A$61))</f>
        <v>0</v>
      </c>
      <c r="Q22" cm="1">
        <f t="array" aca="1" ref="Q22" ca="1">INDIRECT(ADDRESS($B22,Plots!$H$4,,,Plots!$A$62))+INDIRECT(ADDRESS($B22,Plots!$H$4,,,Plots!$A$63))+INDIRECT(ADDRESS($B22,Plots!$H$4,,,Plots!$A$64))+INDIRECT(ADDRESS($B22,Plots!$H$4,,,Plots!$A$65))+INDIRECT(ADDRESS($B22,Plots!$H$4,,,Plots!$A$66))+INDIRECT(ADDRESS($B22,Plots!$H$4,,,Plots!$A$67))</f>
        <v>0</v>
      </c>
      <c r="R22">
        <f>'AARnetCBR-CamDTN1_tcpmon_ts_81'!I22+'AARnetCBR-CamDTN1_tcpmon_ts_82'!I22+'AARnetCBR-CamDTN1_tcpmon_ts_83'!I22+'AARnetCBR-CamDTN1_tcpmon_ts_84'!I22+'AARnetCBR-CamDTN1_tcpmon_ts_85'!I22+'AARnetCBR-CamDTN1_tcpmon_ts_86'!I22+'AARnetCBR-CamDTN1_tcpmon_ts_87'!I22+'AARnetCBR-CamDTN1_tcpmon_ts_88'!I22</f>
        <v>0</v>
      </c>
    </row>
    <row r="23" spans="1:18">
      <c r="A23" cm="1">
        <f t="array" aca="1" ref="A23" ca="1">INDIRECT(ADDRESS($B23,Plots!$H$6,,,Plots!$A$47))</f>
        <v>40</v>
      </c>
      <c r="B23">
        <f t="shared" si="0"/>
        <v>32</v>
      </c>
      <c r="C23" cm="1">
        <f t="array" aca="1" ref="C23" ca="1">INDIRECT(ADDRESS($B23,Plots!$H$3,,,Plots!$A$47))</f>
        <v>24.32</v>
      </c>
      <c r="D23" cm="1">
        <f t="array" aca="1" ref="D23" ca="1">INDIRECT(ADDRESS($B23,Plots!$H$3,,,Plots!$A$48))+INDIRECT(ADDRESS($B23,Plots!$H$3,,,Plots!$A$49))</f>
        <v>53.96</v>
      </c>
      <c r="E23" cm="1">
        <f t="array" aca="1" ref="E23" ca="1">INDIRECT(ADDRESS($B23,Plots!$H$3,,,Plots!$A$50))+INDIRECT(ADDRESS($B23,Plots!$H$3,,,Plots!$A$51))+INDIRECT(ADDRESS($B23,Plots!$H$3,,,Plots!$A$52))</f>
        <v>63.730000000000004</v>
      </c>
      <c r="F23" cm="1">
        <f t="array" aca="1" ref="F23" ca="1">INDIRECT(ADDRESS($B23,Plots!$H$3,,,Plots!$A$53))+INDIRECT(ADDRESS($B23,Plots!$H$3,,,Plots!$A$54))+INDIRECT(ADDRESS($B23,Plots!$H$3,,,Plots!$A$55))+INDIRECT(ADDRESS($B23,Plots!$H$3,,,Plots!$A$56))</f>
        <v>89.88</v>
      </c>
      <c r="G23" cm="1">
        <f t="array" aca="1" ref="G23" ca="1">INDIRECT(ADDRESS($B23,Plots!$H$3,,,Plots!$A$57))+INDIRECT(ADDRESS($B23,Plots!$H$3,,,Plots!$A$58))+INDIRECT(ADDRESS($B23,Plots!$H$3,,,Plots!$A$59))+INDIRECT(ADDRESS($B23,Plots!$H$3,,,Plots!$A$60))+INDIRECT(ADDRESS($B23,Plots!$H$3,,,Plots!$A$61))</f>
        <v>0</v>
      </c>
      <c r="H23" cm="1">
        <f t="array" aca="1" ref="H23" ca="1">INDIRECT(ADDRESS($B23,Plots!$H$3,,,Plots!$A$62))+INDIRECT(ADDRESS($B23,Plots!$H$3,,,Plots!$A$63))+INDIRECT(ADDRESS($B23,Plots!$H$3,,,Plots!$A$64))+INDIRECT(ADDRESS($B23,Plots!$H$3,,,Plots!$A$65))+INDIRECT(ADDRESS($B23,Plots!$H$3,,,Plots!$A$66))+INDIRECT(ADDRESS($B23,Plots!$H$3,,,Plots!$A$67))</f>
        <v>0</v>
      </c>
      <c r="I23">
        <f>'AARnetCBR-CamDTN1_tcpmon_ts_81'!F23+'AARnetCBR-CamDTN1_tcpmon_ts_82'!F23+'AARnetCBR-CamDTN1_tcpmon_ts_83'!F23+'AARnetCBR-CamDTN1_tcpmon_ts_84'!F23+'AARnetCBR-CamDTN1_tcpmon_ts_85'!F23+'AARnetCBR-CamDTN1_tcpmon_ts_86'!F23+'AARnetCBR-CamDTN1_tcpmon_ts_87'!F23+'AARnetCBR-CamDTN1_tcpmon_ts_88'!F23</f>
        <v>0</v>
      </c>
      <c r="L23" cm="1">
        <f t="array" aca="1" ref="L23" ca="1">INDIRECT(ADDRESS($B23,Plots!$H$4,,,Plots!$A$47))</f>
        <v>0</v>
      </c>
      <c r="M23" cm="1">
        <f t="array" aca="1" ref="M23" ca="1">INDIRECT(ADDRESS($B23,Plots!$H$4,,,Plots!$A$48))+INDIRECT(ADDRESS($B23,Plots!$H$4,,,Plots!$A$49))</f>
        <v>0</v>
      </c>
      <c r="N23" cm="1">
        <f t="array" aca="1" ref="N23" ca="1">INDIRECT(ADDRESS($B23,Plots!$H$4,,,Plots!$A$50))+INDIRECT(ADDRESS($B23,Plots!$H$4,,,Plots!$A$51))+INDIRECT(ADDRESS($B23,Plots!$H$4,,,Plots!$A$52))</f>
        <v>0</v>
      </c>
      <c r="O23" cm="1">
        <f t="array" aca="1" ref="O23" ca="1">INDIRECT(ADDRESS($B23,Plots!$H$4,,,Plots!$A$53))+INDIRECT(ADDRESS($B23,Plots!$H$4,,,Plots!$A$54))+INDIRECT(ADDRESS($B23,Plots!$H$4,,,Plots!$A$55))+INDIRECT(ADDRESS($B23,Plots!$H$4,,,Plots!$A$56))</f>
        <v>0</v>
      </c>
      <c r="P23" cm="1">
        <f t="array" aca="1" ref="P23" ca="1">INDIRECT(ADDRESS($B23,Plots!$H$4,,,Plots!$A$57))+INDIRECT(ADDRESS($B23,Plots!$H$4,,,Plots!$A$58))+INDIRECT(ADDRESS($B23,Plots!$H$4,,,Plots!$A$59))+INDIRECT(ADDRESS($B23,Plots!$H$4,,,Plots!$A$60))+INDIRECT(ADDRESS($B23,Plots!$H$4,,,Plots!$A$61))</f>
        <v>0</v>
      </c>
      <c r="Q23" cm="1">
        <f t="array" aca="1" ref="Q23" ca="1">INDIRECT(ADDRESS($B23,Plots!$H$4,,,Plots!$A$62))+INDIRECT(ADDRESS($B23,Plots!$H$4,,,Plots!$A$63))+INDIRECT(ADDRESS($B23,Plots!$H$4,,,Plots!$A$64))+INDIRECT(ADDRESS($B23,Plots!$H$4,,,Plots!$A$65))+INDIRECT(ADDRESS($B23,Plots!$H$4,,,Plots!$A$66))+INDIRECT(ADDRESS($B23,Plots!$H$4,,,Plots!$A$67))</f>
        <v>0</v>
      </c>
      <c r="R23">
        <f>'AARnetCBR-CamDTN1_tcpmon_ts_81'!I23+'AARnetCBR-CamDTN1_tcpmon_ts_82'!I23+'AARnetCBR-CamDTN1_tcpmon_ts_83'!I23+'AARnetCBR-CamDTN1_tcpmon_ts_84'!I23+'AARnetCBR-CamDTN1_tcpmon_ts_85'!I23+'AARnetCBR-CamDTN1_tcpmon_ts_86'!I23+'AARnetCBR-CamDTN1_tcpmon_ts_87'!I23+'AARnetCBR-CamDTN1_tcpmon_ts_88'!I23</f>
        <v>0</v>
      </c>
    </row>
    <row r="24" spans="1:18">
      <c r="A24" cm="1">
        <f t="array" aca="1" ref="A24" ca="1">INDIRECT(ADDRESS($B24,Plots!$H$6,,,Plots!$A$47))</f>
        <v>42</v>
      </c>
      <c r="B24">
        <f t="shared" si="0"/>
        <v>33</v>
      </c>
      <c r="C24" cm="1">
        <f t="array" aca="1" ref="C24" ca="1">INDIRECT(ADDRESS($B24,Plots!$H$3,,,Plots!$A$47))</f>
        <v>31.68</v>
      </c>
      <c r="D24" cm="1">
        <f t="array" aca="1" ref="D24" ca="1">INDIRECT(ADDRESS($B24,Plots!$H$3,,,Plots!$A$48))+INDIRECT(ADDRESS($B24,Plots!$H$3,,,Plots!$A$49))</f>
        <v>57.53</v>
      </c>
      <c r="E24" cm="1">
        <f t="array" aca="1" ref="E24" ca="1">INDIRECT(ADDRESS($B24,Plots!$H$3,,,Plots!$A$50))+INDIRECT(ADDRESS($B24,Plots!$H$3,,,Plots!$A$51))+INDIRECT(ADDRESS($B24,Plots!$H$3,,,Plots!$A$52))</f>
        <v>74.55</v>
      </c>
      <c r="F24" cm="1">
        <f t="array" aca="1" ref="F24" ca="1">INDIRECT(ADDRESS($B24,Plots!$H$3,,,Plots!$A$53))+INDIRECT(ADDRESS($B24,Plots!$H$3,,,Plots!$A$54))+INDIRECT(ADDRESS($B24,Plots!$H$3,,,Plots!$A$55))+INDIRECT(ADDRESS($B24,Plots!$H$3,,,Plots!$A$56))</f>
        <v>93.19</v>
      </c>
      <c r="G24" cm="1">
        <f t="array" aca="1" ref="G24" ca="1">INDIRECT(ADDRESS($B24,Plots!$H$3,,,Plots!$A$57))+INDIRECT(ADDRESS($B24,Plots!$H$3,,,Plots!$A$58))+INDIRECT(ADDRESS($B24,Plots!$H$3,,,Plots!$A$59))+INDIRECT(ADDRESS($B24,Plots!$H$3,,,Plots!$A$60))+INDIRECT(ADDRESS($B24,Plots!$H$3,,,Plots!$A$61))</f>
        <v>0</v>
      </c>
      <c r="H24" cm="1">
        <f t="array" aca="1" ref="H24" ca="1">INDIRECT(ADDRESS($B24,Plots!$H$3,,,Plots!$A$62))+INDIRECT(ADDRESS($B24,Plots!$H$3,,,Plots!$A$63))+INDIRECT(ADDRESS($B24,Plots!$H$3,,,Plots!$A$64))+INDIRECT(ADDRESS($B24,Plots!$H$3,,,Plots!$A$65))+INDIRECT(ADDRESS($B24,Plots!$H$3,,,Plots!$A$66))+INDIRECT(ADDRESS($B24,Plots!$H$3,,,Plots!$A$67))</f>
        <v>0</v>
      </c>
      <c r="I24">
        <f>'AARnetCBR-CamDTN1_tcpmon_ts_81'!F24+'AARnetCBR-CamDTN1_tcpmon_ts_82'!F24+'AARnetCBR-CamDTN1_tcpmon_ts_83'!F24+'AARnetCBR-CamDTN1_tcpmon_ts_84'!F24+'AARnetCBR-CamDTN1_tcpmon_ts_85'!F24+'AARnetCBR-CamDTN1_tcpmon_ts_86'!F24+'AARnetCBR-CamDTN1_tcpmon_ts_87'!F24+'AARnetCBR-CamDTN1_tcpmon_ts_88'!F24</f>
        <v>0</v>
      </c>
      <c r="L24" cm="1">
        <f t="array" aca="1" ref="L24" ca="1">INDIRECT(ADDRESS($B24,Plots!$H$4,,,Plots!$A$47))</f>
        <v>0</v>
      </c>
      <c r="M24" cm="1">
        <f t="array" aca="1" ref="M24" ca="1">INDIRECT(ADDRESS($B24,Plots!$H$4,,,Plots!$A$48))+INDIRECT(ADDRESS($B24,Plots!$H$4,,,Plots!$A$49))</f>
        <v>0</v>
      </c>
      <c r="N24" cm="1">
        <f t="array" aca="1" ref="N24" ca="1">INDIRECT(ADDRESS($B24,Plots!$H$4,,,Plots!$A$50))+INDIRECT(ADDRESS($B24,Plots!$H$4,,,Plots!$A$51))+INDIRECT(ADDRESS($B24,Plots!$H$4,,,Plots!$A$52))</f>
        <v>0</v>
      </c>
      <c r="O24" cm="1">
        <f t="array" aca="1" ref="O24" ca="1">INDIRECT(ADDRESS($B24,Plots!$H$4,,,Plots!$A$53))+INDIRECT(ADDRESS($B24,Plots!$H$4,,,Plots!$A$54))+INDIRECT(ADDRESS($B24,Plots!$H$4,,,Plots!$A$55))+INDIRECT(ADDRESS($B24,Plots!$H$4,,,Plots!$A$56))</f>
        <v>0</v>
      </c>
      <c r="P24" cm="1">
        <f t="array" aca="1" ref="P24" ca="1">INDIRECT(ADDRESS($B24,Plots!$H$4,,,Plots!$A$57))+INDIRECT(ADDRESS($B24,Plots!$H$4,,,Plots!$A$58))+INDIRECT(ADDRESS($B24,Plots!$H$4,,,Plots!$A$59))+INDIRECT(ADDRESS($B24,Plots!$H$4,,,Plots!$A$60))+INDIRECT(ADDRESS($B24,Plots!$H$4,,,Plots!$A$61))</f>
        <v>0</v>
      </c>
      <c r="Q24" cm="1">
        <f t="array" aca="1" ref="Q24" ca="1">INDIRECT(ADDRESS($B24,Plots!$H$4,,,Plots!$A$62))+INDIRECT(ADDRESS($B24,Plots!$H$4,,,Plots!$A$63))+INDIRECT(ADDRESS($B24,Plots!$H$4,,,Plots!$A$64))+INDIRECT(ADDRESS($B24,Plots!$H$4,,,Plots!$A$65))+INDIRECT(ADDRESS($B24,Plots!$H$4,,,Plots!$A$66))+INDIRECT(ADDRESS($B24,Plots!$H$4,,,Plots!$A$67))</f>
        <v>0</v>
      </c>
      <c r="R24">
        <f>'AARnetCBR-CamDTN1_tcpmon_ts_81'!I24+'AARnetCBR-CamDTN1_tcpmon_ts_82'!I24+'AARnetCBR-CamDTN1_tcpmon_ts_83'!I24+'AARnetCBR-CamDTN1_tcpmon_ts_84'!I24+'AARnetCBR-CamDTN1_tcpmon_ts_85'!I24+'AARnetCBR-CamDTN1_tcpmon_ts_86'!I24+'AARnetCBR-CamDTN1_tcpmon_ts_87'!I24+'AARnetCBR-CamDTN1_tcpmon_ts_88'!I24</f>
        <v>0</v>
      </c>
    </row>
    <row r="25" spans="1:18">
      <c r="A25" cm="1">
        <f t="array" aca="1" ref="A25" ca="1">INDIRECT(ADDRESS($B25,Plots!$H$6,,,Plots!$A$47))</f>
        <v>44</v>
      </c>
      <c r="B25">
        <f t="shared" si="0"/>
        <v>34</v>
      </c>
      <c r="C25" cm="1">
        <f t="array" aca="1" ref="C25" ca="1">INDIRECT(ADDRESS($B25,Plots!$H$3,,,Plots!$A$47))</f>
        <v>28.09</v>
      </c>
      <c r="D25" cm="1">
        <f t="array" aca="1" ref="D25" ca="1">INDIRECT(ADDRESS($B25,Plots!$H$3,,,Plots!$A$48))+INDIRECT(ADDRESS($B25,Plots!$H$3,,,Plots!$A$49))</f>
        <v>62.17</v>
      </c>
      <c r="E25" cm="1">
        <f t="array" aca="1" ref="E25" ca="1">INDIRECT(ADDRESS($B25,Plots!$H$3,,,Plots!$A$50))+INDIRECT(ADDRESS($B25,Plots!$H$3,,,Plots!$A$51))+INDIRECT(ADDRESS($B25,Plots!$H$3,,,Plots!$A$52))</f>
        <v>63.79</v>
      </c>
      <c r="F25" cm="1">
        <f t="array" aca="1" ref="F25" ca="1">INDIRECT(ADDRESS($B25,Plots!$H$3,,,Plots!$A$53))+INDIRECT(ADDRESS($B25,Plots!$H$3,,,Plots!$A$54))+INDIRECT(ADDRESS($B25,Plots!$H$3,,,Plots!$A$55))+INDIRECT(ADDRESS($B25,Plots!$H$3,,,Plots!$A$56))</f>
        <v>73.48</v>
      </c>
      <c r="G25" cm="1">
        <f t="array" aca="1" ref="G25" ca="1">INDIRECT(ADDRESS($B25,Plots!$H$3,,,Plots!$A$57))+INDIRECT(ADDRESS($B25,Plots!$H$3,,,Plots!$A$58))+INDIRECT(ADDRESS($B25,Plots!$H$3,,,Plots!$A$59))+INDIRECT(ADDRESS($B25,Plots!$H$3,,,Plots!$A$60))+INDIRECT(ADDRESS($B25,Plots!$H$3,,,Plots!$A$61))</f>
        <v>0</v>
      </c>
      <c r="H25" cm="1">
        <f t="array" aca="1" ref="H25" ca="1">INDIRECT(ADDRESS($B25,Plots!$H$3,,,Plots!$A$62))+INDIRECT(ADDRESS($B25,Plots!$H$3,,,Plots!$A$63))+INDIRECT(ADDRESS($B25,Plots!$H$3,,,Plots!$A$64))+INDIRECT(ADDRESS($B25,Plots!$H$3,,,Plots!$A$65))+INDIRECT(ADDRESS($B25,Plots!$H$3,,,Plots!$A$66))+INDIRECT(ADDRESS($B25,Plots!$H$3,,,Plots!$A$67))</f>
        <v>0</v>
      </c>
      <c r="I25">
        <f>'AARnetCBR-CamDTN1_tcpmon_ts_81'!F25+'AARnetCBR-CamDTN1_tcpmon_ts_82'!F25+'AARnetCBR-CamDTN1_tcpmon_ts_83'!F25+'AARnetCBR-CamDTN1_tcpmon_ts_84'!F25+'AARnetCBR-CamDTN1_tcpmon_ts_85'!F25+'AARnetCBR-CamDTN1_tcpmon_ts_86'!F25+'AARnetCBR-CamDTN1_tcpmon_ts_87'!F25+'AARnetCBR-CamDTN1_tcpmon_ts_88'!F25</f>
        <v>0</v>
      </c>
      <c r="L25" cm="1">
        <f t="array" aca="1" ref="L25" ca="1">INDIRECT(ADDRESS($B25,Plots!$H$4,,,Plots!$A$47))</f>
        <v>0</v>
      </c>
      <c r="M25" cm="1">
        <f t="array" aca="1" ref="M25" ca="1">INDIRECT(ADDRESS($B25,Plots!$H$4,,,Plots!$A$48))+INDIRECT(ADDRESS($B25,Plots!$H$4,,,Plots!$A$49))</f>
        <v>0</v>
      </c>
      <c r="N25" cm="1">
        <f t="array" aca="1" ref="N25" ca="1">INDIRECT(ADDRESS($B25,Plots!$H$4,,,Plots!$A$50))+INDIRECT(ADDRESS($B25,Plots!$H$4,,,Plots!$A$51))+INDIRECT(ADDRESS($B25,Plots!$H$4,,,Plots!$A$52))</f>
        <v>0</v>
      </c>
      <c r="O25" cm="1">
        <f t="array" aca="1" ref="O25" ca="1">INDIRECT(ADDRESS($B25,Plots!$H$4,,,Plots!$A$53))+INDIRECT(ADDRESS($B25,Plots!$H$4,,,Plots!$A$54))+INDIRECT(ADDRESS($B25,Plots!$H$4,,,Plots!$A$55))+INDIRECT(ADDRESS($B25,Plots!$H$4,,,Plots!$A$56))</f>
        <v>118</v>
      </c>
      <c r="P25" cm="1">
        <f t="array" aca="1" ref="P25" ca="1">INDIRECT(ADDRESS($B25,Plots!$H$4,,,Plots!$A$57))+INDIRECT(ADDRESS($B25,Plots!$H$4,,,Plots!$A$58))+INDIRECT(ADDRESS($B25,Plots!$H$4,,,Plots!$A$59))+INDIRECT(ADDRESS($B25,Plots!$H$4,,,Plots!$A$60))+INDIRECT(ADDRESS($B25,Plots!$H$4,,,Plots!$A$61))</f>
        <v>0</v>
      </c>
      <c r="Q25" cm="1">
        <f t="array" aca="1" ref="Q25" ca="1">INDIRECT(ADDRESS($B25,Plots!$H$4,,,Plots!$A$62))+INDIRECT(ADDRESS($B25,Plots!$H$4,,,Plots!$A$63))+INDIRECT(ADDRESS($B25,Plots!$H$4,,,Plots!$A$64))+INDIRECT(ADDRESS($B25,Plots!$H$4,,,Plots!$A$65))+INDIRECT(ADDRESS($B25,Plots!$H$4,,,Plots!$A$66))+INDIRECT(ADDRESS($B25,Plots!$H$4,,,Plots!$A$67))</f>
        <v>0</v>
      </c>
      <c r="R25">
        <f>'AARnetCBR-CamDTN1_tcpmon_ts_81'!I25+'AARnetCBR-CamDTN1_tcpmon_ts_82'!I25+'AARnetCBR-CamDTN1_tcpmon_ts_83'!I25+'AARnetCBR-CamDTN1_tcpmon_ts_84'!I25+'AARnetCBR-CamDTN1_tcpmon_ts_85'!I25+'AARnetCBR-CamDTN1_tcpmon_ts_86'!I25+'AARnetCBR-CamDTN1_tcpmon_ts_87'!I25+'AARnetCBR-CamDTN1_tcpmon_ts_88'!I25</f>
        <v>0</v>
      </c>
    </row>
    <row r="26" spans="1:18">
      <c r="A26" cm="1">
        <f t="array" aca="1" ref="A26" ca="1">INDIRECT(ADDRESS($B26,Plots!$H$6,,,Plots!$A$47))</f>
        <v>46</v>
      </c>
      <c r="B26">
        <f t="shared" si="0"/>
        <v>35</v>
      </c>
      <c r="C26" cm="1">
        <f t="array" aca="1" ref="C26" ca="1">INDIRECT(ADDRESS($B26,Plots!$H$3,,,Plots!$A$47))</f>
        <v>29.16</v>
      </c>
      <c r="D26" cm="1">
        <f t="array" aca="1" ref="D26" ca="1">INDIRECT(ADDRESS($B26,Plots!$H$3,,,Plots!$A$48))+INDIRECT(ADDRESS($B26,Plots!$H$3,,,Plots!$A$49))</f>
        <v>54.44</v>
      </c>
      <c r="E26" cm="1">
        <f t="array" aca="1" ref="E26" ca="1">INDIRECT(ADDRESS($B26,Plots!$H$3,,,Plots!$A$50))+INDIRECT(ADDRESS($B26,Plots!$H$3,,,Plots!$A$51))+INDIRECT(ADDRESS($B26,Plots!$H$3,,,Plots!$A$52))</f>
        <v>73.77</v>
      </c>
      <c r="F26" cm="1">
        <f t="array" aca="1" ref="F26" ca="1">INDIRECT(ADDRESS($B26,Plots!$H$3,,,Plots!$A$53))+INDIRECT(ADDRESS($B26,Plots!$H$3,,,Plots!$A$54))+INDIRECT(ADDRESS($B26,Plots!$H$3,,,Plots!$A$55))+INDIRECT(ADDRESS($B26,Plots!$H$3,,,Plots!$A$56))</f>
        <v>83.77000000000001</v>
      </c>
      <c r="G26" cm="1">
        <f t="array" aca="1" ref="G26" ca="1">INDIRECT(ADDRESS($B26,Plots!$H$3,,,Plots!$A$57))+INDIRECT(ADDRESS($B26,Plots!$H$3,,,Plots!$A$58))+INDIRECT(ADDRESS($B26,Plots!$H$3,,,Plots!$A$59))+INDIRECT(ADDRESS($B26,Plots!$H$3,,,Plots!$A$60))+INDIRECT(ADDRESS($B26,Plots!$H$3,,,Plots!$A$61))</f>
        <v>0</v>
      </c>
      <c r="H26" cm="1">
        <f t="array" aca="1" ref="H26" ca="1">INDIRECT(ADDRESS($B26,Plots!$H$3,,,Plots!$A$62))+INDIRECT(ADDRESS($B26,Plots!$H$3,,,Plots!$A$63))+INDIRECT(ADDRESS($B26,Plots!$H$3,,,Plots!$A$64))+INDIRECT(ADDRESS($B26,Plots!$H$3,,,Plots!$A$65))+INDIRECT(ADDRESS($B26,Plots!$H$3,,,Plots!$A$66))+INDIRECT(ADDRESS($B26,Plots!$H$3,,,Plots!$A$67))</f>
        <v>0</v>
      </c>
      <c r="I26">
        <f>'AARnetCBR-CamDTN1_tcpmon_ts_81'!F26+'AARnetCBR-CamDTN1_tcpmon_ts_82'!F26+'AARnetCBR-CamDTN1_tcpmon_ts_83'!F26+'AARnetCBR-CamDTN1_tcpmon_ts_84'!F26+'AARnetCBR-CamDTN1_tcpmon_ts_85'!F26+'AARnetCBR-CamDTN1_tcpmon_ts_86'!F26+'AARnetCBR-CamDTN1_tcpmon_ts_87'!F26+'AARnetCBR-CamDTN1_tcpmon_ts_88'!F26</f>
        <v>0</v>
      </c>
      <c r="L26" cm="1">
        <f t="array" aca="1" ref="L26" ca="1">INDIRECT(ADDRESS($B26,Plots!$H$4,,,Plots!$A$47))</f>
        <v>0</v>
      </c>
      <c r="M26" cm="1">
        <f t="array" aca="1" ref="M26" ca="1">INDIRECT(ADDRESS($B26,Plots!$H$4,,,Plots!$A$48))+INDIRECT(ADDRESS($B26,Plots!$H$4,,,Plots!$A$49))</f>
        <v>0</v>
      </c>
      <c r="N26" cm="1">
        <f t="array" aca="1" ref="N26" ca="1">INDIRECT(ADDRESS($B26,Plots!$H$4,,,Plots!$A$50))+INDIRECT(ADDRESS($B26,Plots!$H$4,,,Plots!$A$51))+INDIRECT(ADDRESS($B26,Plots!$H$4,,,Plots!$A$52))</f>
        <v>0</v>
      </c>
      <c r="O26" cm="1">
        <f t="array" aca="1" ref="O26" ca="1">INDIRECT(ADDRESS($B26,Plots!$H$4,,,Plots!$A$53))+INDIRECT(ADDRESS($B26,Plots!$H$4,,,Plots!$A$54))+INDIRECT(ADDRESS($B26,Plots!$H$4,,,Plots!$A$55))+INDIRECT(ADDRESS($B26,Plots!$H$4,,,Plots!$A$56))</f>
        <v>0</v>
      </c>
      <c r="P26" cm="1">
        <f t="array" aca="1" ref="P26" ca="1">INDIRECT(ADDRESS($B26,Plots!$H$4,,,Plots!$A$57))+INDIRECT(ADDRESS($B26,Plots!$H$4,,,Plots!$A$58))+INDIRECT(ADDRESS($B26,Plots!$H$4,,,Plots!$A$59))+INDIRECT(ADDRESS($B26,Plots!$H$4,,,Plots!$A$60))+INDIRECT(ADDRESS($B26,Plots!$H$4,,,Plots!$A$61))</f>
        <v>0</v>
      </c>
      <c r="Q26" cm="1">
        <f t="array" aca="1" ref="Q26" ca="1">INDIRECT(ADDRESS($B26,Plots!$H$4,,,Plots!$A$62))+INDIRECT(ADDRESS($B26,Plots!$H$4,,,Plots!$A$63))+INDIRECT(ADDRESS($B26,Plots!$H$4,,,Plots!$A$64))+INDIRECT(ADDRESS($B26,Plots!$H$4,,,Plots!$A$65))+INDIRECT(ADDRESS($B26,Plots!$H$4,,,Plots!$A$66))+INDIRECT(ADDRESS($B26,Plots!$H$4,,,Plots!$A$67))</f>
        <v>0</v>
      </c>
      <c r="R26">
        <f>'AARnetCBR-CamDTN1_tcpmon_ts_81'!I26+'AARnetCBR-CamDTN1_tcpmon_ts_82'!I26+'AARnetCBR-CamDTN1_tcpmon_ts_83'!I26+'AARnetCBR-CamDTN1_tcpmon_ts_84'!I26+'AARnetCBR-CamDTN1_tcpmon_ts_85'!I26+'AARnetCBR-CamDTN1_tcpmon_ts_86'!I26+'AARnetCBR-CamDTN1_tcpmon_ts_87'!I26+'AARnetCBR-CamDTN1_tcpmon_ts_88'!I26</f>
        <v>0</v>
      </c>
    </row>
    <row r="27" spans="1:18">
      <c r="A27" cm="1">
        <f t="array" aca="1" ref="A27" ca="1">INDIRECT(ADDRESS($B27,Plots!$H$6,,,Plots!$A$47))</f>
        <v>48</v>
      </c>
      <c r="B27">
        <f t="shared" si="0"/>
        <v>36</v>
      </c>
      <c r="C27" cm="1">
        <f t="array" aca="1" ref="C27" ca="1">INDIRECT(ADDRESS($B27,Plots!$H$3,,,Plots!$A$47))</f>
        <v>30.98</v>
      </c>
      <c r="D27" cm="1">
        <f t="array" aca="1" ref="D27" ca="1">INDIRECT(ADDRESS($B27,Plots!$H$3,,,Plots!$A$48))+INDIRECT(ADDRESS($B27,Plots!$H$3,,,Plots!$A$49))</f>
        <v>57.3</v>
      </c>
      <c r="E27" cm="1">
        <f t="array" aca="1" ref="E27" ca="1">INDIRECT(ADDRESS($B27,Plots!$H$3,,,Plots!$A$50))+INDIRECT(ADDRESS($B27,Plots!$H$3,,,Plots!$A$51))+INDIRECT(ADDRESS($B27,Plots!$H$3,,,Plots!$A$52))</f>
        <v>60.870000000000005</v>
      </c>
      <c r="F27" cm="1">
        <f t="array" aca="1" ref="F27" ca="1">INDIRECT(ADDRESS($B27,Plots!$H$3,,,Plots!$A$53))+INDIRECT(ADDRESS($B27,Plots!$H$3,,,Plots!$A$54))+INDIRECT(ADDRESS($B27,Plots!$H$3,,,Plots!$A$55))+INDIRECT(ADDRESS($B27,Plots!$H$3,,,Plots!$A$56))</f>
        <v>88.62</v>
      </c>
      <c r="G27" cm="1">
        <f t="array" aca="1" ref="G27" ca="1">INDIRECT(ADDRESS($B27,Plots!$H$3,,,Plots!$A$57))+INDIRECT(ADDRESS($B27,Plots!$H$3,,,Plots!$A$58))+INDIRECT(ADDRESS($B27,Plots!$H$3,,,Plots!$A$59))+INDIRECT(ADDRESS($B27,Plots!$H$3,,,Plots!$A$60))+INDIRECT(ADDRESS($B27,Plots!$H$3,,,Plots!$A$61))</f>
        <v>0</v>
      </c>
      <c r="H27" cm="1">
        <f t="array" aca="1" ref="H27" ca="1">INDIRECT(ADDRESS($B27,Plots!$H$3,,,Plots!$A$62))+INDIRECT(ADDRESS($B27,Plots!$H$3,,,Plots!$A$63))+INDIRECT(ADDRESS($B27,Plots!$H$3,,,Plots!$A$64))+INDIRECT(ADDRESS($B27,Plots!$H$3,,,Plots!$A$65))+INDIRECT(ADDRESS($B27,Plots!$H$3,,,Plots!$A$66))+INDIRECT(ADDRESS($B27,Plots!$H$3,,,Plots!$A$67))</f>
        <v>0</v>
      </c>
      <c r="I27">
        <f>'AARnetCBR-CamDTN1_tcpmon_ts_81'!F27+'AARnetCBR-CamDTN1_tcpmon_ts_82'!F27+'AARnetCBR-CamDTN1_tcpmon_ts_83'!F27+'AARnetCBR-CamDTN1_tcpmon_ts_84'!F27+'AARnetCBR-CamDTN1_tcpmon_ts_85'!F27+'AARnetCBR-CamDTN1_tcpmon_ts_86'!F27+'AARnetCBR-CamDTN1_tcpmon_ts_87'!F27+'AARnetCBR-CamDTN1_tcpmon_ts_88'!F27</f>
        <v>0</v>
      </c>
      <c r="L27" cm="1">
        <f t="array" aca="1" ref="L27" ca="1">INDIRECT(ADDRESS($B27,Plots!$H$4,,,Plots!$A$47))</f>
        <v>0</v>
      </c>
      <c r="M27" cm="1">
        <f t="array" aca="1" ref="M27" ca="1">INDIRECT(ADDRESS($B27,Plots!$H$4,,,Plots!$A$48))+INDIRECT(ADDRESS($B27,Plots!$H$4,,,Plots!$A$49))</f>
        <v>0</v>
      </c>
      <c r="N27" cm="1">
        <f t="array" aca="1" ref="N27" ca="1">INDIRECT(ADDRESS($B27,Plots!$H$4,,,Plots!$A$50))+INDIRECT(ADDRESS($B27,Plots!$H$4,,,Plots!$A$51))+INDIRECT(ADDRESS($B27,Plots!$H$4,,,Plots!$A$52))</f>
        <v>0</v>
      </c>
      <c r="O27" cm="1">
        <f t="array" aca="1" ref="O27" ca="1">INDIRECT(ADDRESS($B27,Plots!$H$4,,,Plots!$A$53))+INDIRECT(ADDRESS($B27,Plots!$H$4,,,Plots!$A$54))+INDIRECT(ADDRESS($B27,Plots!$H$4,,,Plots!$A$55))+INDIRECT(ADDRESS($B27,Plots!$H$4,,,Plots!$A$56))</f>
        <v>0</v>
      </c>
      <c r="P27" cm="1">
        <f t="array" aca="1" ref="P27" ca="1">INDIRECT(ADDRESS($B27,Plots!$H$4,,,Plots!$A$57))+INDIRECT(ADDRESS($B27,Plots!$H$4,,,Plots!$A$58))+INDIRECT(ADDRESS($B27,Plots!$H$4,,,Plots!$A$59))+INDIRECT(ADDRESS($B27,Plots!$H$4,,,Plots!$A$60))+INDIRECT(ADDRESS($B27,Plots!$H$4,,,Plots!$A$61))</f>
        <v>0</v>
      </c>
      <c r="Q27" cm="1">
        <f t="array" aca="1" ref="Q27" ca="1">INDIRECT(ADDRESS($B27,Plots!$H$4,,,Plots!$A$62))+INDIRECT(ADDRESS($B27,Plots!$H$4,,,Plots!$A$63))+INDIRECT(ADDRESS($B27,Plots!$H$4,,,Plots!$A$64))+INDIRECT(ADDRESS($B27,Plots!$H$4,,,Plots!$A$65))+INDIRECT(ADDRESS($B27,Plots!$H$4,,,Plots!$A$66))+INDIRECT(ADDRESS($B27,Plots!$H$4,,,Plots!$A$67))</f>
        <v>0</v>
      </c>
      <c r="R27">
        <f>'AARnetCBR-CamDTN1_tcpmon_ts_81'!I27+'AARnetCBR-CamDTN1_tcpmon_ts_82'!I27+'AARnetCBR-CamDTN1_tcpmon_ts_83'!I27+'AARnetCBR-CamDTN1_tcpmon_ts_84'!I27+'AARnetCBR-CamDTN1_tcpmon_ts_85'!I27+'AARnetCBR-CamDTN1_tcpmon_ts_86'!I27+'AARnetCBR-CamDTN1_tcpmon_ts_87'!I27+'AARnetCBR-CamDTN1_tcpmon_ts_88'!I27</f>
        <v>0</v>
      </c>
    </row>
    <row r="28" spans="1:18">
      <c r="A28" cm="1">
        <f t="array" aca="1" ref="A28" ca="1">INDIRECT(ADDRESS($B28,Plots!$H$6,,,Plots!$A$47))</f>
        <v>50</v>
      </c>
      <c r="B28">
        <f t="shared" si="0"/>
        <v>37</v>
      </c>
      <c r="C28" cm="1">
        <f t="array" aca="1" ref="C28" ca="1">INDIRECT(ADDRESS($B28,Plots!$H$3,,,Plots!$A$47))</f>
        <v>29.87</v>
      </c>
      <c r="D28" cm="1">
        <f t="array" aca="1" ref="D28" ca="1">INDIRECT(ADDRESS($B28,Plots!$H$3,,,Plots!$A$48))+INDIRECT(ADDRESS($B28,Plots!$H$3,,,Plots!$A$49))</f>
        <v>56.9</v>
      </c>
      <c r="E28" cm="1">
        <f t="array" aca="1" ref="E28" ca="1">INDIRECT(ADDRESS($B28,Plots!$H$3,,,Plots!$A$50))+INDIRECT(ADDRESS($B28,Plots!$H$3,,,Plots!$A$51))+INDIRECT(ADDRESS($B28,Plots!$H$3,,,Plots!$A$52))</f>
        <v>73.63</v>
      </c>
      <c r="F28" cm="1">
        <f t="array" aca="1" ref="F28" ca="1">INDIRECT(ADDRESS($B28,Plots!$H$3,,,Plots!$A$53))+INDIRECT(ADDRESS($B28,Plots!$H$3,,,Plots!$A$54))+INDIRECT(ADDRESS($B28,Plots!$H$3,,,Plots!$A$55))+INDIRECT(ADDRESS($B28,Plots!$H$3,,,Plots!$A$56))</f>
        <v>90.11</v>
      </c>
      <c r="G28" cm="1">
        <f t="array" aca="1" ref="G28" ca="1">INDIRECT(ADDRESS($B28,Plots!$H$3,,,Plots!$A$57))+INDIRECT(ADDRESS($B28,Plots!$H$3,,,Plots!$A$58))+INDIRECT(ADDRESS($B28,Plots!$H$3,,,Plots!$A$59))+INDIRECT(ADDRESS($B28,Plots!$H$3,,,Plots!$A$60))+INDIRECT(ADDRESS($B28,Plots!$H$3,,,Plots!$A$61))</f>
        <v>0</v>
      </c>
      <c r="H28" cm="1">
        <f t="array" aca="1" ref="H28" ca="1">INDIRECT(ADDRESS($B28,Plots!$H$3,,,Plots!$A$62))+INDIRECT(ADDRESS($B28,Plots!$H$3,,,Plots!$A$63))+INDIRECT(ADDRESS($B28,Plots!$H$3,,,Plots!$A$64))+INDIRECT(ADDRESS($B28,Plots!$H$3,,,Plots!$A$65))+INDIRECT(ADDRESS($B28,Plots!$H$3,,,Plots!$A$66))+INDIRECT(ADDRESS($B28,Plots!$H$3,,,Plots!$A$67))</f>
        <v>0</v>
      </c>
      <c r="I28">
        <f>'AARnetCBR-CamDTN1_tcpmon_ts_81'!F28+'AARnetCBR-CamDTN1_tcpmon_ts_82'!F28+'AARnetCBR-CamDTN1_tcpmon_ts_83'!F28+'AARnetCBR-CamDTN1_tcpmon_ts_84'!F28+'AARnetCBR-CamDTN1_tcpmon_ts_85'!F28+'AARnetCBR-CamDTN1_tcpmon_ts_86'!F28+'AARnetCBR-CamDTN1_tcpmon_ts_87'!F28+'AARnetCBR-CamDTN1_tcpmon_ts_88'!F28</f>
        <v>0</v>
      </c>
      <c r="L28" cm="1">
        <f t="array" aca="1" ref="L28" ca="1">INDIRECT(ADDRESS($B28,Plots!$H$4,,,Plots!$A$47))</f>
        <v>0</v>
      </c>
      <c r="M28" cm="1">
        <f t="array" aca="1" ref="M28" ca="1">INDIRECT(ADDRESS($B28,Plots!$H$4,,,Plots!$A$48))+INDIRECT(ADDRESS($B28,Plots!$H$4,,,Plots!$A$49))</f>
        <v>0</v>
      </c>
      <c r="N28" cm="1">
        <f t="array" aca="1" ref="N28" ca="1">INDIRECT(ADDRESS($B28,Plots!$H$4,,,Plots!$A$50))+INDIRECT(ADDRESS($B28,Plots!$H$4,,,Plots!$A$51))+INDIRECT(ADDRESS($B28,Plots!$H$4,,,Plots!$A$52))</f>
        <v>0</v>
      </c>
      <c r="O28" cm="1">
        <f t="array" aca="1" ref="O28" ca="1">INDIRECT(ADDRESS($B28,Plots!$H$4,,,Plots!$A$53))+INDIRECT(ADDRESS($B28,Plots!$H$4,,,Plots!$A$54))+INDIRECT(ADDRESS($B28,Plots!$H$4,,,Plots!$A$55))+INDIRECT(ADDRESS($B28,Plots!$H$4,,,Plots!$A$56))</f>
        <v>0</v>
      </c>
      <c r="P28" cm="1">
        <f t="array" aca="1" ref="P28" ca="1">INDIRECT(ADDRESS($B28,Plots!$H$4,,,Plots!$A$57))+INDIRECT(ADDRESS($B28,Plots!$H$4,,,Plots!$A$58))+INDIRECT(ADDRESS($B28,Plots!$H$4,,,Plots!$A$59))+INDIRECT(ADDRESS($B28,Plots!$H$4,,,Plots!$A$60))+INDIRECT(ADDRESS($B28,Plots!$H$4,,,Plots!$A$61))</f>
        <v>0</v>
      </c>
      <c r="Q28" cm="1">
        <f t="array" aca="1" ref="Q28" ca="1">INDIRECT(ADDRESS($B28,Plots!$H$4,,,Plots!$A$62))+INDIRECT(ADDRESS($B28,Plots!$H$4,,,Plots!$A$63))+INDIRECT(ADDRESS($B28,Plots!$H$4,,,Plots!$A$64))+INDIRECT(ADDRESS($B28,Plots!$H$4,,,Plots!$A$65))+INDIRECT(ADDRESS($B28,Plots!$H$4,,,Plots!$A$66))+INDIRECT(ADDRESS($B28,Plots!$H$4,,,Plots!$A$67))</f>
        <v>0</v>
      </c>
      <c r="R28">
        <f>'AARnetCBR-CamDTN1_tcpmon_ts_81'!I28+'AARnetCBR-CamDTN1_tcpmon_ts_82'!I28+'AARnetCBR-CamDTN1_tcpmon_ts_83'!I28+'AARnetCBR-CamDTN1_tcpmon_ts_84'!I28+'AARnetCBR-CamDTN1_tcpmon_ts_85'!I28+'AARnetCBR-CamDTN1_tcpmon_ts_86'!I28+'AARnetCBR-CamDTN1_tcpmon_ts_87'!I28+'AARnetCBR-CamDTN1_tcpmon_ts_88'!I28</f>
        <v>0</v>
      </c>
    </row>
    <row r="29" spans="1:18">
      <c r="A29" cm="1">
        <f t="array" aca="1" ref="A29" ca="1">INDIRECT(ADDRESS($B29,Plots!$H$6,,,Plots!$A$47))</f>
        <v>52</v>
      </c>
      <c r="B29">
        <f t="shared" si="0"/>
        <v>38</v>
      </c>
      <c r="C29" cm="1">
        <f t="array" aca="1" ref="C29" ca="1">INDIRECT(ADDRESS($B29,Plots!$H$3,,,Plots!$A$47))</f>
        <v>27.24</v>
      </c>
      <c r="D29" cm="1">
        <f t="array" aca="1" ref="D29" ca="1">INDIRECT(ADDRESS($B29,Plots!$H$3,,,Plots!$A$48))+INDIRECT(ADDRESS($B29,Plots!$H$3,,,Plots!$A$49))</f>
        <v>56.83</v>
      </c>
      <c r="E29" cm="1">
        <f t="array" aca="1" ref="E29" ca="1">INDIRECT(ADDRESS($B29,Plots!$H$3,,,Plots!$A$50))+INDIRECT(ADDRESS($B29,Plots!$H$3,,,Plots!$A$51))+INDIRECT(ADDRESS($B29,Plots!$H$3,,,Plots!$A$52))</f>
        <v>67.31</v>
      </c>
      <c r="F29" cm="1">
        <f t="array" aca="1" ref="F29" ca="1">INDIRECT(ADDRESS($B29,Plots!$H$3,,,Plots!$A$53))+INDIRECT(ADDRESS($B29,Plots!$H$3,,,Plots!$A$54))+INDIRECT(ADDRESS($B29,Plots!$H$3,,,Plots!$A$55))+INDIRECT(ADDRESS($B29,Plots!$H$3,,,Plots!$A$56))</f>
        <v>93.03</v>
      </c>
      <c r="G29" cm="1">
        <f t="array" aca="1" ref="G29" ca="1">INDIRECT(ADDRESS($B29,Plots!$H$3,,,Plots!$A$57))+INDIRECT(ADDRESS($B29,Plots!$H$3,,,Plots!$A$58))+INDIRECT(ADDRESS($B29,Plots!$H$3,,,Plots!$A$59))+INDIRECT(ADDRESS($B29,Plots!$H$3,,,Plots!$A$60))+INDIRECT(ADDRESS($B29,Plots!$H$3,,,Plots!$A$61))</f>
        <v>0</v>
      </c>
      <c r="H29" cm="1">
        <f t="array" aca="1" ref="H29" ca="1">INDIRECT(ADDRESS($B29,Plots!$H$3,,,Plots!$A$62))+INDIRECT(ADDRESS($B29,Plots!$H$3,,,Plots!$A$63))+INDIRECT(ADDRESS($B29,Plots!$H$3,,,Plots!$A$64))+INDIRECT(ADDRESS($B29,Plots!$H$3,,,Plots!$A$65))+INDIRECT(ADDRESS($B29,Plots!$H$3,,,Plots!$A$66))+INDIRECT(ADDRESS($B29,Plots!$H$3,,,Plots!$A$67))</f>
        <v>0</v>
      </c>
      <c r="I29">
        <f>'AARnetCBR-CamDTN1_tcpmon_ts_81'!F29+'AARnetCBR-CamDTN1_tcpmon_ts_82'!F29+'AARnetCBR-CamDTN1_tcpmon_ts_83'!F29+'AARnetCBR-CamDTN1_tcpmon_ts_84'!F29+'AARnetCBR-CamDTN1_tcpmon_ts_85'!F29+'AARnetCBR-CamDTN1_tcpmon_ts_86'!F29+'AARnetCBR-CamDTN1_tcpmon_ts_87'!F29+'AARnetCBR-CamDTN1_tcpmon_ts_88'!F29</f>
        <v>0</v>
      </c>
      <c r="L29" cm="1">
        <f t="array" aca="1" ref="L29" ca="1">INDIRECT(ADDRESS($B29,Plots!$H$4,,,Plots!$A$47))</f>
        <v>0</v>
      </c>
      <c r="M29" cm="1">
        <f t="array" aca="1" ref="M29" ca="1">INDIRECT(ADDRESS($B29,Plots!$H$4,,,Plots!$A$48))+INDIRECT(ADDRESS($B29,Plots!$H$4,,,Plots!$A$49))</f>
        <v>0</v>
      </c>
      <c r="N29" cm="1">
        <f t="array" aca="1" ref="N29" ca="1">INDIRECT(ADDRESS($B29,Plots!$H$4,,,Plots!$A$50))+INDIRECT(ADDRESS($B29,Plots!$H$4,,,Plots!$A$51))+INDIRECT(ADDRESS($B29,Plots!$H$4,,,Plots!$A$52))</f>
        <v>0</v>
      </c>
      <c r="O29" cm="1">
        <f t="array" aca="1" ref="O29" ca="1">INDIRECT(ADDRESS($B29,Plots!$H$4,,,Plots!$A$53))+INDIRECT(ADDRESS($B29,Plots!$H$4,,,Plots!$A$54))+INDIRECT(ADDRESS($B29,Plots!$H$4,,,Plots!$A$55))+INDIRECT(ADDRESS($B29,Plots!$H$4,,,Plots!$A$56))</f>
        <v>0</v>
      </c>
      <c r="P29" cm="1">
        <f t="array" aca="1" ref="P29" ca="1">INDIRECT(ADDRESS($B29,Plots!$H$4,,,Plots!$A$57))+INDIRECT(ADDRESS($B29,Plots!$H$4,,,Plots!$A$58))+INDIRECT(ADDRESS($B29,Plots!$H$4,,,Plots!$A$59))+INDIRECT(ADDRESS($B29,Plots!$H$4,,,Plots!$A$60))+INDIRECT(ADDRESS($B29,Plots!$H$4,,,Plots!$A$61))</f>
        <v>0</v>
      </c>
      <c r="Q29" cm="1">
        <f t="array" aca="1" ref="Q29" ca="1">INDIRECT(ADDRESS($B29,Plots!$H$4,,,Plots!$A$62))+INDIRECT(ADDRESS($B29,Plots!$H$4,,,Plots!$A$63))+INDIRECT(ADDRESS($B29,Plots!$H$4,,,Plots!$A$64))+INDIRECT(ADDRESS($B29,Plots!$H$4,,,Plots!$A$65))+INDIRECT(ADDRESS($B29,Plots!$H$4,,,Plots!$A$66))+INDIRECT(ADDRESS($B29,Plots!$H$4,,,Plots!$A$67))</f>
        <v>0</v>
      </c>
      <c r="R29">
        <f>'AARnetCBR-CamDTN1_tcpmon_ts_81'!I29+'AARnetCBR-CamDTN1_tcpmon_ts_82'!I29+'AARnetCBR-CamDTN1_tcpmon_ts_83'!I29+'AARnetCBR-CamDTN1_tcpmon_ts_84'!I29+'AARnetCBR-CamDTN1_tcpmon_ts_85'!I29+'AARnetCBR-CamDTN1_tcpmon_ts_86'!I29+'AARnetCBR-CamDTN1_tcpmon_ts_87'!I29+'AARnetCBR-CamDTN1_tcpmon_ts_88'!I29</f>
        <v>0</v>
      </c>
    </row>
    <row r="30" spans="1:18">
      <c r="A30" cm="1">
        <f t="array" aca="1" ref="A30" ca="1">INDIRECT(ADDRESS($B30,Plots!$H$6,,,Plots!$A$47))</f>
        <v>54</v>
      </c>
      <c r="B30">
        <f t="shared" si="0"/>
        <v>39</v>
      </c>
      <c r="C30" cm="1">
        <f t="array" aca="1" ref="C30" ca="1">INDIRECT(ADDRESS($B30,Plots!$H$3,,,Plots!$A$47))</f>
        <v>30.4</v>
      </c>
      <c r="D30" cm="1">
        <f t="array" aca="1" ref="D30" ca="1">INDIRECT(ADDRESS($B30,Plots!$H$3,,,Plots!$A$48))+INDIRECT(ADDRESS($B30,Plots!$H$3,,,Plots!$A$49))</f>
        <v>58.5</v>
      </c>
      <c r="E30" cm="1">
        <f t="array" aca="1" ref="E30" ca="1">INDIRECT(ADDRESS($B30,Plots!$H$3,,,Plots!$A$50))+INDIRECT(ADDRESS($B30,Plots!$H$3,,,Plots!$A$51))+INDIRECT(ADDRESS($B30,Plots!$H$3,,,Plots!$A$52))</f>
        <v>62.519999999999996</v>
      </c>
      <c r="F30" cm="1">
        <f t="array" aca="1" ref="F30" ca="1">INDIRECT(ADDRESS($B30,Plots!$H$3,,,Plots!$A$53))+INDIRECT(ADDRESS($B30,Plots!$H$3,,,Plots!$A$54))+INDIRECT(ADDRESS($B30,Plots!$H$3,,,Plots!$A$55))+INDIRECT(ADDRESS($B30,Plots!$H$3,,,Plots!$A$56))</f>
        <v>92.13</v>
      </c>
      <c r="G30" cm="1">
        <f t="array" aca="1" ref="G30" ca="1">INDIRECT(ADDRESS($B30,Plots!$H$3,,,Plots!$A$57))+INDIRECT(ADDRESS($B30,Plots!$H$3,,,Plots!$A$58))+INDIRECT(ADDRESS($B30,Plots!$H$3,,,Plots!$A$59))+INDIRECT(ADDRESS($B30,Plots!$H$3,,,Plots!$A$60))+INDIRECT(ADDRESS($B30,Plots!$H$3,,,Plots!$A$61))</f>
        <v>0</v>
      </c>
      <c r="H30" cm="1">
        <f t="array" aca="1" ref="H30" ca="1">INDIRECT(ADDRESS($B30,Plots!$H$3,,,Plots!$A$62))+INDIRECT(ADDRESS($B30,Plots!$H$3,,,Plots!$A$63))+INDIRECT(ADDRESS($B30,Plots!$H$3,,,Plots!$A$64))+INDIRECT(ADDRESS($B30,Plots!$H$3,,,Plots!$A$65))+INDIRECT(ADDRESS($B30,Plots!$H$3,,,Plots!$A$66))+INDIRECT(ADDRESS($B30,Plots!$H$3,,,Plots!$A$67))</f>
        <v>0</v>
      </c>
      <c r="I30">
        <f>'AARnetCBR-CamDTN1_tcpmon_ts_81'!H34+'AARnetCBR-CamDTN1_tcpmon_ts_82'!H34+'AARnetCBR-CamDTN1_tcpmon_ts_83'!H34+'AARnetCBR-CamDTN1_tcpmon_ts_84'!H34+'AARnetCBR-CamDTN1_tcpmon_ts_85'!H34+'AARnetCBR-CamDTN1_tcpmon_ts_86'!H34+'AARnetCBR-CamDTN1_tcpmon_ts_87'!H34+'AARnetCBR-CamDTN1_tcpmon_ts_88'!H34</f>
        <v>0</v>
      </c>
      <c r="L30" cm="1">
        <f t="array" aca="1" ref="L30" ca="1">INDIRECT(ADDRESS($B30,Plots!$H$4,,,Plots!$A$47))</f>
        <v>0</v>
      </c>
      <c r="M30" cm="1">
        <f t="array" aca="1" ref="M30" ca="1">INDIRECT(ADDRESS($B30,Plots!$H$4,,,Plots!$A$48))+INDIRECT(ADDRESS($B30,Plots!$H$4,,,Plots!$A$49))</f>
        <v>0</v>
      </c>
      <c r="N30" cm="1">
        <f t="array" aca="1" ref="N30" ca="1">INDIRECT(ADDRESS($B30,Plots!$H$4,,,Plots!$A$50))+INDIRECT(ADDRESS($B30,Plots!$H$4,,,Plots!$A$51))+INDIRECT(ADDRESS($B30,Plots!$H$4,,,Plots!$A$52))</f>
        <v>0</v>
      </c>
      <c r="O30" cm="1">
        <f t="array" aca="1" ref="O30" ca="1">INDIRECT(ADDRESS($B30,Plots!$H$4,,,Plots!$A$53))+INDIRECT(ADDRESS($B30,Plots!$H$4,,,Plots!$A$54))+INDIRECT(ADDRESS($B30,Plots!$H$4,,,Plots!$A$55))+INDIRECT(ADDRESS($B30,Plots!$H$4,,,Plots!$A$56))</f>
        <v>0</v>
      </c>
      <c r="P30" cm="1">
        <f t="array" aca="1" ref="P30" ca="1">INDIRECT(ADDRESS($B30,Plots!$H$4,,,Plots!$A$57))+INDIRECT(ADDRESS($B30,Plots!$H$4,,,Plots!$A$58))+INDIRECT(ADDRESS($B30,Plots!$H$4,,,Plots!$A$59))+INDIRECT(ADDRESS($B30,Plots!$H$4,,,Plots!$A$60))+INDIRECT(ADDRESS($B30,Plots!$H$4,,,Plots!$A$61))</f>
        <v>0</v>
      </c>
      <c r="Q30" cm="1">
        <f t="array" aca="1" ref="Q30" ca="1">INDIRECT(ADDRESS($B30,Plots!$H$4,,,Plots!$A$62))+INDIRECT(ADDRESS($B30,Plots!$H$4,,,Plots!$A$63))+INDIRECT(ADDRESS($B30,Plots!$H$4,,,Plots!$A$64))+INDIRECT(ADDRESS($B30,Plots!$H$4,,,Plots!$A$65))+INDIRECT(ADDRESS($B30,Plots!$H$4,,,Plots!$A$66))+INDIRECT(ADDRESS($B30,Plots!$H$4,,,Plots!$A$67))</f>
        <v>0</v>
      </c>
      <c r="R30">
        <f>'AARnetCBR-CamDTN1_tcpmon_ts_81'!I30+'AARnetCBR-CamDTN1_tcpmon_ts_82'!I30+'AARnetCBR-CamDTN1_tcpmon_ts_83'!I30+'AARnetCBR-CamDTN1_tcpmon_ts_84'!I30+'AARnetCBR-CamDTN1_tcpmon_ts_85'!I30+'AARnetCBR-CamDTN1_tcpmon_ts_86'!I30+'AARnetCBR-CamDTN1_tcpmon_ts_87'!I30+'AARnetCBR-CamDTN1_tcpmon_ts_88'!I30</f>
        <v>0</v>
      </c>
    </row>
    <row r="31" spans="1:18">
      <c r="A31" cm="1">
        <f t="array" aca="1" ref="A31" ca="1">INDIRECT(ADDRESS($B31,Plots!$H$6,,,Plots!$A$47))</f>
        <v>56</v>
      </c>
      <c r="B31">
        <f t="shared" si="0"/>
        <v>40</v>
      </c>
      <c r="C31" cm="1">
        <f t="array" aca="1" ref="C31" ca="1">INDIRECT(ADDRESS($B31,Plots!$H$3,,,Plots!$A$47))</f>
        <v>29.3</v>
      </c>
      <c r="D31" cm="1">
        <f t="array" aca="1" ref="D31" ca="1">INDIRECT(ADDRESS($B31,Plots!$H$3,,,Plots!$A$48))+INDIRECT(ADDRESS($B31,Plots!$H$3,,,Plots!$A$49))</f>
        <v>57.32</v>
      </c>
      <c r="E31" cm="1">
        <f t="array" aca="1" ref="E31" ca="1">INDIRECT(ADDRESS($B31,Plots!$H$3,,,Plots!$A$50))+INDIRECT(ADDRESS($B31,Plots!$H$3,,,Plots!$A$51))+INDIRECT(ADDRESS($B31,Plots!$H$3,,,Plots!$A$52))</f>
        <v>70.86</v>
      </c>
      <c r="F31" cm="1">
        <f t="array" aca="1" ref="F31" ca="1">INDIRECT(ADDRESS($B31,Plots!$H$3,,,Plots!$A$53))+INDIRECT(ADDRESS($B31,Plots!$H$3,,,Plots!$A$54))+INDIRECT(ADDRESS($B31,Plots!$H$3,,,Plots!$A$55))+INDIRECT(ADDRESS($B31,Plots!$H$3,,,Plots!$A$56))</f>
        <v>91.85</v>
      </c>
      <c r="G31" cm="1">
        <f t="array" aca="1" ref="G31" ca="1">INDIRECT(ADDRESS($B31,Plots!$H$3,,,Plots!$A$57))+INDIRECT(ADDRESS($B31,Plots!$H$3,,,Plots!$A$58))+INDIRECT(ADDRESS($B31,Plots!$H$3,,,Plots!$A$59))+INDIRECT(ADDRESS($B31,Plots!$H$3,,,Plots!$A$60))+INDIRECT(ADDRESS($B31,Plots!$H$3,,,Plots!$A$61))</f>
        <v>0</v>
      </c>
      <c r="H31" cm="1">
        <f t="array" aca="1" ref="H31" ca="1">INDIRECT(ADDRESS($B31,Plots!$H$3,,,Plots!$A$62))+INDIRECT(ADDRESS($B31,Plots!$H$3,,,Plots!$A$63))+INDIRECT(ADDRESS($B31,Plots!$H$3,,,Plots!$A$64))+INDIRECT(ADDRESS($B31,Plots!$H$3,,,Plots!$A$65))+INDIRECT(ADDRESS($B31,Plots!$H$3,,,Plots!$A$66))+INDIRECT(ADDRESS($B31,Plots!$H$3,,,Plots!$A$67))</f>
        <v>0</v>
      </c>
      <c r="I31">
        <f>'AARnetCBR-CamDTN1_tcpmon_ts_81'!H35+'AARnetCBR-CamDTN1_tcpmon_ts_82'!H35+'AARnetCBR-CamDTN1_tcpmon_ts_83'!H35+'AARnetCBR-CamDTN1_tcpmon_ts_84'!H35+'AARnetCBR-CamDTN1_tcpmon_ts_85'!H35+'AARnetCBR-CamDTN1_tcpmon_ts_86'!H35+'AARnetCBR-CamDTN1_tcpmon_ts_87'!H35+'AARnetCBR-CamDTN1_tcpmon_ts_88'!H35</f>
        <v>0</v>
      </c>
      <c r="L31" cm="1">
        <f t="array" aca="1" ref="L31" ca="1">INDIRECT(ADDRESS($B31,Plots!$H$4,,,Plots!$A$47))</f>
        <v>0</v>
      </c>
      <c r="M31" cm="1">
        <f t="array" aca="1" ref="M31" ca="1">INDIRECT(ADDRESS($B31,Plots!$H$4,,,Plots!$A$48))+INDIRECT(ADDRESS($B31,Plots!$H$4,,,Plots!$A$49))</f>
        <v>0</v>
      </c>
      <c r="N31" cm="1">
        <f t="array" aca="1" ref="N31" ca="1">INDIRECT(ADDRESS($B31,Plots!$H$4,,,Plots!$A$50))+INDIRECT(ADDRESS($B31,Plots!$H$4,,,Plots!$A$51))+INDIRECT(ADDRESS($B31,Plots!$H$4,,,Plots!$A$52))</f>
        <v>0</v>
      </c>
      <c r="O31" cm="1">
        <f t="array" aca="1" ref="O31" ca="1">INDIRECT(ADDRESS($B31,Plots!$H$4,,,Plots!$A$53))+INDIRECT(ADDRESS($B31,Plots!$H$4,,,Plots!$A$54))+INDIRECT(ADDRESS($B31,Plots!$H$4,,,Plots!$A$55))+INDIRECT(ADDRESS($B31,Plots!$H$4,,,Plots!$A$56))</f>
        <v>0</v>
      </c>
      <c r="P31" cm="1">
        <f t="array" aca="1" ref="P31" ca="1">INDIRECT(ADDRESS($B31,Plots!$H$4,,,Plots!$A$57))+INDIRECT(ADDRESS($B31,Plots!$H$4,,,Plots!$A$58))+INDIRECT(ADDRESS($B31,Plots!$H$4,,,Plots!$A$59))+INDIRECT(ADDRESS($B31,Plots!$H$4,,,Plots!$A$60))+INDIRECT(ADDRESS($B31,Plots!$H$4,,,Plots!$A$61))</f>
        <v>0</v>
      </c>
      <c r="Q31" cm="1">
        <f t="array" aca="1" ref="Q31" ca="1">INDIRECT(ADDRESS($B31,Plots!$H$4,,,Plots!$A$62))+INDIRECT(ADDRESS($B31,Plots!$H$4,,,Plots!$A$63))+INDIRECT(ADDRESS($B31,Plots!$H$4,,,Plots!$A$64))+INDIRECT(ADDRESS($B31,Plots!$H$4,,,Plots!$A$65))+INDIRECT(ADDRESS($B31,Plots!$H$4,,,Plots!$A$66))+INDIRECT(ADDRESS($B31,Plots!$H$4,,,Plots!$A$67))</f>
        <v>0</v>
      </c>
      <c r="R31">
        <f>'AARnetCBR-CamDTN1_tcpmon_ts_81'!I31+'AARnetCBR-CamDTN1_tcpmon_ts_82'!I31+'AARnetCBR-CamDTN1_tcpmon_ts_83'!I31+'AARnetCBR-CamDTN1_tcpmon_ts_84'!I31+'AARnetCBR-CamDTN1_tcpmon_ts_85'!I31+'AARnetCBR-CamDTN1_tcpmon_ts_86'!I31+'AARnetCBR-CamDTN1_tcpmon_ts_87'!I31+'AARnetCBR-CamDTN1_tcpmon_ts_88'!I31</f>
        <v>0</v>
      </c>
    </row>
    <row r="32" spans="1:18">
      <c r="A32" cm="1">
        <f t="array" aca="1" ref="A32" ca="1">INDIRECT(ADDRESS($B32,Plots!$H$6,,,Plots!$A$47))</f>
        <v>58</v>
      </c>
      <c r="B32">
        <f t="shared" si="0"/>
        <v>41</v>
      </c>
      <c r="C32" cm="1">
        <f t="array" aca="1" ref="C32" ca="1">INDIRECT(ADDRESS($B32,Plots!$H$3,,,Plots!$A$47))</f>
        <v>31.91</v>
      </c>
      <c r="D32" cm="1">
        <f t="array" aca="1" ref="D32" ca="1">INDIRECT(ADDRESS($B32,Plots!$H$3,,,Plots!$A$48))+INDIRECT(ADDRESS($B32,Plots!$H$3,,,Plots!$A$49))</f>
        <v>56.6</v>
      </c>
      <c r="E32" cm="1">
        <f t="array" aca="1" ref="E32" ca="1">INDIRECT(ADDRESS($B32,Plots!$H$3,,,Plots!$A$50))+INDIRECT(ADDRESS($B32,Plots!$H$3,,,Plots!$A$51))+INDIRECT(ADDRESS($B32,Plots!$H$3,,,Plots!$A$52))</f>
        <v>65.61</v>
      </c>
      <c r="F32" cm="1">
        <f t="array" aca="1" ref="F32" ca="1">INDIRECT(ADDRESS($B32,Plots!$H$3,,,Plots!$A$53))+INDIRECT(ADDRESS($B32,Plots!$H$3,,,Plots!$A$54))+INDIRECT(ADDRESS($B32,Plots!$H$3,,,Plots!$A$55))+INDIRECT(ADDRESS($B32,Plots!$H$3,,,Plots!$A$56))</f>
        <v>93.68</v>
      </c>
      <c r="G32" cm="1">
        <f t="array" aca="1" ref="G32" ca="1">INDIRECT(ADDRESS($B32,Plots!$H$3,,,Plots!$A$57))+INDIRECT(ADDRESS($B32,Plots!$H$3,,,Plots!$A$58))+INDIRECT(ADDRESS($B32,Plots!$H$3,,,Plots!$A$59))+INDIRECT(ADDRESS($B32,Plots!$H$3,,,Plots!$A$60))+INDIRECT(ADDRESS($B32,Plots!$H$3,,,Plots!$A$61))</f>
        <v>0</v>
      </c>
      <c r="H32" cm="1">
        <f t="array" aca="1" ref="H32" ca="1">INDIRECT(ADDRESS($B32,Plots!$H$3,,,Plots!$A$62))+INDIRECT(ADDRESS($B32,Plots!$H$3,,,Plots!$A$63))+INDIRECT(ADDRESS($B32,Plots!$H$3,,,Plots!$A$64))+INDIRECT(ADDRESS($B32,Plots!$H$3,,,Plots!$A$65))+INDIRECT(ADDRESS($B32,Plots!$H$3,,,Plots!$A$66))+INDIRECT(ADDRESS($B32,Plots!$H$3,,,Plots!$A$67))</f>
        <v>0</v>
      </c>
      <c r="I32">
        <f>'AARnetCBR-CamDTN1_tcpmon_ts_81'!H36+'AARnetCBR-CamDTN1_tcpmon_ts_82'!H36+'AARnetCBR-CamDTN1_tcpmon_ts_83'!H36+'AARnetCBR-CamDTN1_tcpmon_ts_84'!H36+'AARnetCBR-CamDTN1_tcpmon_ts_85'!H36+'AARnetCBR-CamDTN1_tcpmon_ts_86'!H36+'AARnetCBR-CamDTN1_tcpmon_ts_87'!H36+'AARnetCBR-CamDTN1_tcpmon_ts_88'!H36</f>
        <v>0</v>
      </c>
      <c r="L32" cm="1">
        <f t="array" aca="1" ref="L32" ca="1">INDIRECT(ADDRESS($B32,Plots!$H$4,,,Plots!$A$47))</f>
        <v>0</v>
      </c>
      <c r="M32" cm="1">
        <f t="array" aca="1" ref="M32" ca="1">INDIRECT(ADDRESS($B32,Plots!$H$4,,,Plots!$A$48))+INDIRECT(ADDRESS($B32,Plots!$H$4,,,Plots!$A$49))</f>
        <v>0</v>
      </c>
      <c r="N32" cm="1">
        <f t="array" aca="1" ref="N32" ca="1">INDIRECT(ADDRESS($B32,Plots!$H$4,,,Plots!$A$50))+INDIRECT(ADDRESS($B32,Plots!$H$4,,,Plots!$A$51))+INDIRECT(ADDRESS($B32,Plots!$H$4,,,Plots!$A$52))</f>
        <v>0</v>
      </c>
      <c r="O32" cm="1">
        <f t="array" aca="1" ref="O32" ca="1">INDIRECT(ADDRESS($B32,Plots!$H$4,,,Plots!$A$53))+INDIRECT(ADDRESS($B32,Plots!$H$4,,,Plots!$A$54))+INDIRECT(ADDRESS($B32,Plots!$H$4,,,Plots!$A$55))+INDIRECT(ADDRESS($B32,Plots!$H$4,,,Plots!$A$56))</f>
        <v>0</v>
      </c>
      <c r="P32" cm="1">
        <f t="array" aca="1" ref="P32" ca="1">INDIRECT(ADDRESS($B32,Plots!$H$4,,,Plots!$A$57))+INDIRECT(ADDRESS($B32,Plots!$H$4,,,Plots!$A$58))+INDIRECT(ADDRESS($B32,Plots!$H$4,,,Plots!$A$59))+INDIRECT(ADDRESS($B32,Plots!$H$4,,,Plots!$A$60))+INDIRECT(ADDRESS($B32,Plots!$H$4,,,Plots!$A$61))</f>
        <v>0</v>
      </c>
      <c r="Q32" cm="1">
        <f t="array" aca="1" ref="Q32" ca="1">INDIRECT(ADDRESS($B32,Plots!$H$4,,,Plots!$A$62))+INDIRECT(ADDRESS($B32,Plots!$H$4,,,Plots!$A$63))+INDIRECT(ADDRESS($B32,Plots!$H$4,,,Plots!$A$64))+INDIRECT(ADDRESS($B32,Plots!$H$4,,,Plots!$A$65))+INDIRECT(ADDRESS($B32,Plots!$H$4,,,Plots!$A$66))+INDIRECT(ADDRESS($B32,Plots!$H$4,,,Plots!$A$67))</f>
        <v>0</v>
      </c>
      <c r="R32">
        <f>'AARnetCBR-CamDTN1_tcpmon_ts_81'!I32+'AARnetCBR-CamDTN1_tcpmon_ts_82'!I32+'AARnetCBR-CamDTN1_tcpmon_ts_83'!I32+'AARnetCBR-CamDTN1_tcpmon_ts_84'!I32+'AARnetCBR-CamDTN1_tcpmon_ts_85'!I32+'AARnetCBR-CamDTN1_tcpmon_ts_86'!I32+'AARnetCBR-CamDTN1_tcpmon_ts_87'!I32+'AARnetCBR-CamDTN1_tcpmon_ts_88'!I32</f>
        <v>0</v>
      </c>
    </row>
    <row r="33" spans="1:18">
      <c r="A33" cm="1">
        <f t="array" aca="1" ref="A33" ca="1">INDIRECT(ADDRESS($B33,Plots!$H$6,,,Plots!$A$47))</f>
        <v>60</v>
      </c>
      <c r="B33">
        <f t="shared" si="0"/>
        <v>42</v>
      </c>
      <c r="C33" cm="1">
        <f t="array" aca="1" ref="C33" ca="1">INDIRECT(ADDRESS($B33,Plots!$H$3,,,Plots!$A$47))</f>
        <v>27.36</v>
      </c>
      <c r="D33" cm="1">
        <f t="array" aca="1" ref="D33" ca="1">INDIRECT(ADDRESS($B33,Plots!$H$3,,,Plots!$A$48))+INDIRECT(ADDRESS($B33,Plots!$H$3,,,Plots!$A$49))</f>
        <v>54.68</v>
      </c>
      <c r="E33" cm="1">
        <f t="array" aca="1" ref="E33" ca="1">INDIRECT(ADDRESS($B33,Plots!$H$3,,,Plots!$A$50))+INDIRECT(ADDRESS($B33,Plots!$H$3,,,Plots!$A$51))+INDIRECT(ADDRESS($B33,Plots!$H$3,,,Plots!$A$52))</f>
        <v>71.94</v>
      </c>
      <c r="F33" cm="1">
        <f t="array" aca="1" ref="F33" ca="1">INDIRECT(ADDRESS($B33,Plots!$H$3,,,Plots!$A$53))+INDIRECT(ADDRESS($B33,Plots!$H$3,,,Plots!$A$54))+INDIRECT(ADDRESS($B33,Plots!$H$3,,,Plots!$A$55))+INDIRECT(ADDRESS($B33,Plots!$H$3,,,Plots!$A$56))</f>
        <v>90.24</v>
      </c>
      <c r="G33" cm="1">
        <f t="array" aca="1" ref="G33" ca="1">INDIRECT(ADDRESS($B33,Plots!$H$3,,,Plots!$A$57))+INDIRECT(ADDRESS($B33,Plots!$H$3,,,Plots!$A$58))+INDIRECT(ADDRESS($B33,Plots!$H$3,,,Plots!$A$59))+INDIRECT(ADDRESS($B33,Plots!$H$3,,,Plots!$A$60))+INDIRECT(ADDRESS($B33,Plots!$H$3,,,Plots!$A$61))</f>
        <v>0</v>
      </c>
      <c r="H33" cm="1">
        <f t="array" aca="1" ref="H33" ca="1">INDIRECT(ADDRESS($B33,Plots!$H$3,,,Plots!$A$62))+INDIRECT(ADDRESS($B33,Plots!$H$3,,,Plots!$A$63))+INDIRECT(ADDRESS($B33,Plots!$H$3,,,Plots!$A$64))+INDIRECT(ADDRESS($B33,Plots!$H$3,,,Plots!$A$65))+INDIRECT(ADDRESS($B33,Plots!$H$3,,,Plots!$A$66))+INDIRECT(ADDRESS($B33,Plots!$H$3,,,Plots!$A$67))</f>
        <v>0</v>
      </c>
      <c r="I33">
        <f>'AARnetCBR-CamDTN1_tcpmon_ts_81'!H37+'AARnetCBR-CamDTN1_tcpmon_ts_82'!H37+'AARnetCBR-CamDTN1_tcpmon_ts_83'!H37+'AARnetCBR-CamDTN1_tcpmon_ts_84'!H37+'AARnetCBR-CamDTN1_tcpmon_ts_85'!H37+'AARnetCBR-CamDTN1_tcpmon_ts_86'!H37+'AARnetCBR-CamDTN1_tcpmon_ts_87'!H37+'AARnetCBR-CamDTN1_tcpmon_ts_88'!H37</f>
        <v>0</v>
      </c>
      <c r="L33" cm="1">
        <f t="array" aca="1" ref="L33" ca="1">INDIRECT(ADDRESS($B33,Plots!$H$4,,,Plots!$A$47))</f>
        <v>0</v>
      </c>
      <c r="M33" cm="1">
        <f t="array" aca="1" ref="M33" ca="1">INDIRECT(ADDRESS($B33,Plots!$H$4,,,Plots!$A$48))+INDIRECT(ADDRESS($B33,Plots!$H$4,,,Plots!$A$49))</f>
        <v>0</v>
      </c>
      <c r="N33" cm="1">
        <f t="array" aca="1" ref="N33" ca="1">INDIRECT(ADDRESS($B33,Plots!$H$4,,,Plots!$A$50))+INDIRECT(ADDRESS($B33,Plots!$H$4,,,Plots!$A$51))+INDIRECT(ADDRESS($B33,Plots!$H$4,,,Plots!$A$52))</f>
        <v>0</v>
      </c>
      <c r="O33" cm="1">
        <f t="array" aca="1" ref="O33" ca="1">INDIRECT(ADDRESS($B33,Plots!$H$4,,,Plots!$A$53))+INDIRECT(ADDRESS($B33,Plots!$H$4,,,Plots!$A$54))+INDIRECT(ADDRESS($B33,Plots!$H$4,,,Plots!$A$55))+INDIRECT(ADDRESS($B33,Plots!$H$4,,,Plots!$A$56))</f>
        <v>0</v>
      </c>
      <c r="P33" cm="1">
        <f t="array" aca="1" ref="P33" ca="1">INDIRECT(ADDRESS($B33,Plots!$H$4,,,Plots!$A$57))+INDIRECT(ADDRESS($B33,Plots!$H$4,,,Plots!$A$58))+INDIRECT(ADDRESS($B33,Plots!$H$4,,,Plots!$A$59))+INDIRECT(ADDRESS($B33,Plots!$H$4,,,Plots!$A$60))+INDIRECT(ADDRESS($B33,Plots!$H$4,,,Plots!$A$61))</f>
        <v>0</v>
      </c>
      <c r="Q33" cm="1">
        <f t="array" aca="1" ref="Q33" ca="1">INDIRECT(ADDRESS($B33,Plots!$H$4,,,Plots!$A$62))+INDIRECT(ADDRESS($B33,Plots!$H$4,,,Plots!$A$63))+INDIRECT(ADDRESS($B33,Plots!$H$4,,,Plots!$A$64))+INDIRECT(ADDRESS($B33,Plots!$H$4,,,Plots!$A$65))+INDIRECT(ADDRESS($B33,Plots!$H$4,,,Plots!$A$66))+INDIRECT(ADDRESS($B33,Plots!$H$4,,,Plots!$A$67))</f>
        <v>0</v>
      </c>
      <c r="R33">
        <f>'AARnetCBR-CamDTN1_tcpmon_ts_81'!I33+'AARnetCBR-CamDTN1_tcpmon_ts_82'!I33+'AARnetCBR-CamDTN1_tcpmon_ts_83'!I33+'AARnetCBR-CamDTN1_tcpmon_ts_84'!I33+'AARnetCBR-CamDTN1_tcpmon_ts_85'!I33+'AARnetCBR-CamDTN1_tcpmon_ts_86'!I33+'AARnetCBR-CamDTN1_tcpmon_ts_87'!I33+'AARnetCBR-CamDTN1_tcpmon_ts_88'!I33</f>
        <v>0</v>
      </c>
    </row>
    <row r="34" spans="1:18">
      <c r="A34" cm="1">
        <f t="array" aca="1" ref="A34" ca="1">INDIRECT(ADDRESS($B34,Plots!$H$6,,,Plots!$A$47))</f>
        <v>62</v>
      </c>
      <c r="B34">
        <f t="shared" si="0"/>
        <v>43</v>
      </c>
      <c r="C34" cm="1">
        <f t="array" aca="1" ref="C34" ca="1">INDIRECT(ADDRESS($B34,Plots!$H$3,,,Plots!$A$47))</f>
        <v>29.61</v>
      </c>
      <c r="D34" cm="1">
        <f t="array" aca="1" ref="D34" ca="1">INDIRECT(ADDRESS($B34,Plots!$H$3,,,Plots!$A$48))+INDIRECT(ADDRESS($B34,Plots!$H$3,,,Plots!$A$49))</f>
        <v>59.28</v>
      </c>
      <c r="E34" cm="1">
        <f t="array" aca="1" ref="E34" ca="1">INDIRECT(ADDRESS($B34,Plots!$H$3,,,Plots!$A$50))+INDIRECT(ADDRESS($B34,Plots!$H$3,,,Plots!$A$51))+INDIRECT(ADDRESS($B34,Plots!$H$3,,,Plots!$A$52))</f>
        <v>60.89</v>
      </c>
      <c r="F34" cm="1">
        <f t="array" aca="1" ref="F34" ca="1">INDIRECT(ADDRESS($B34,Plots!$H$3,,,Plots!$A$53))+INDIRECT(ADDRESS($B34,Plots!$H$3,,,Plots!$A$54))+INDIRECT(ADDRESS($B34,Plots!$H$3,,,Plots!$A$55))+INDIRECT(ADDRESS($B34,Plots!$H$3,,,Plots!$A$56))</f>
        <v>94.58</v>
      </c>
      <c r="G34" cm="1">
        <f t="array" aca="1" ref="G34" ca="1">INDIRECT(ADDRESS($B34,Plots!$H$3,,,Plots!$A$57))+INDIRECT(ADDRESS($B34,Plots!$H$3,,,Plots!$A$58))+INDIRECT(ADDRESS($B34,Plots!$H$3,,,Plots!$A$59))+INDIRECT(ADDRESS($B34,Plots!$H$3,,,Plots!$A$60))+INDIRECT(ADDRESS($B34,Plots!$H$3,,,Plots!$A$61))</f>
        <v>0</v>
      </c>
      <c r="H34" cm="1">
        <f t="array" aca="1" ref="H34" ca="1">INDIRECT(ADDRESS($B34,Plots!$H$3,,,Plots!$A$62))+INDIRECT(ADDRESS($B34,Plots!$H$3,,,Plots!$A$63))+INDIRECT(ADDRESS($B34,Plots!$H$3,,,Plots!$A$64))+INDIRECT(ADDRESS($B34,Plots!$H$3,,,Plots!$A$65))+INDIRECT(ADDRESS($B34,Plots!$H$3,,,Plots!$A$66))+INDIRECT(ADDRESS($B34,Plots!$H$3,,,Plots!$A$67))</f>
        <v>0</v>
      </c>
      <c r="I34">
        <f>'AARnetCBR-CamDTN1_tcpmon_ts_81'!H38+'AARnetCBR-CamDTN1_tcpmon_ts_82'!H38+'AARnetCBR-CamDTN1_tcpmon_ts_83'!H38+'AARnetCBR-CamDTN1_tcpmon_ts_84'!H38+'AARnetCBR-CamDTN1_tcpmon_ts_85'!H38+'AARnetCBR-CamDTN1_tcpmon_ts_86'!H38+'AARnetCBR-CamDTN1_tcpmon_ts_87'!H38+'AARnetCBR-CamDTN1_tcpmon_ts_88'!H38</f>
        <v>0</v>
      </c>
      <c r="L34" cm="1">
        <f t="array" aca="1" ref="L34" ca="1">INDIRECT(ADDRESS($B34,Plots!$H$4,,,Plots!$A$47))</f>
        <v>0</v>
      </c>
      <c r="M34" cm="1">
        <f t="array" aca="1" ref="M34" ca="1">INDIRECT(ADDRESS($B34,Plots!$H$4,,,Plots!$A$48))+INDIRECT(ADDRESS($B34,Plots!$H$4,,,Plots!$A$49))</f>
        <v>0</v>
      </c>
      <c r="N34" cm="1">
        <f t="array" aca="1" ref="N34" ca="1">INDIRECT(ADDRESS($B34,Plots!$H$4,,,Plots!$A$50))+INDIRECT(ADDRESS($B34,Plots!$H$4,,,Plots!$A$51))+INDIRECT(ADDRESS($B34,Plots!$H$4,,,Plots!$A$52))</f>
        <v>0</v>
      </c>
      <c r="O34" cm="1">
        <f t="array" aca="1" ref="O34" ca="1">INDIRECT(ADDRESS($B34,Plots!$H$4,,,Plots!$A$53))+INDIRECT(ADDRESS($B34,Plots!$H$4,,,Plots!$A$54))+INDIRECT(ADDRESS($B34,Plots!$H$4,,,Plots!$A$55))+INDIRECT(ADDRESS($B34,Plots!$H$4,,,Plots!$A$56))</f>
        <v>0</v>
      </c>
      <c r="P34" cm="1">
        <f t="array" aca="1" ref="P34" ca="1">INDIRECT(ADDRESS($B34,Plots!$H$4,,,Plots!$A$57))+INDIRECT(ADDRESS($B34,Plots!$H$4,,,Plots!$A$58))+INDIRECT(ADDRESS($B34,Plots!$H$4,,,Plots!$A$59))+INDIRECT(ADDRESS($B34,Plots!$H$4,,,Plots!$A$60))+INDIRECT(ADDRESS($B34,Plots!$H$4,,,Plots!$A$61))</f>
        <v>0</v>
      </c>
      <c r="Q34" cm="1">
        <f t="array" aca="1" ref="Q34" ca="1">INDIRECT(ADDRESS($B34,Plots!$H$4,,,Plots!$A$62))+INDIRECT(ADDRESS($B34,Plots!$H$4,,,Plots!$A$63))+INDIRECT(ADDRESS($B34,Plots!$H$4,,,Plots!$A$64))+INDIRECT(ADDRESS($B34,Plots!$H$4,,,Plots!$A$65))+INDIRECT(ADDRESS($B34,Plots!$H$4,,,Plots!$A$66))+INDIRECT(ADDRESS($B34,Plots!$H$4,,,Plots!$A$67))</f>
        <v>0</v>
      </c>
      <c r="R34">
        <f>'AARnetCBR-CamDTN1_tcpmon_ts_81'!I34+'AARnetCBR-CamDTN1_tcpmon_ts_82'!I34+'AARnetCBR-CamDTN1_tcpmon_ts_83'!I34+'AARnetCBR-CamDTN1_tcpmon_ts_84'!I34+'AARnetCBR-CamDTN1_tcpmon_ts_85'!I34+'AARnetCBR-CamDTN1_tcpmon_ts_86'!I34+'AARnetCBR-CamDTN1_tcpmon_ts_87'!I34+'AARnetCBR-CamDTN1_tcpmon_ts_88'!I34</f>
        <v>0</v>
      </c>
    </row>
    <row r="35" spans="1:18">
      <c r="A35" cm="1">
        <f t="array" aca="1" ref="A35" ca="1">INDIRECT(ADDRESS($B35,Plots!$H$6,,,Plots!$A$47))</f>
        <v>64</v>
      </c>
      <c r="B35">
        <f t="shared" si="0"/>
        <v>44</v>
      </c>
      <c r="C35" cm="1">
        <f t="array" aca="1" ref="C35" ca="1">INDIRECT(ADDRESS($B35,Plots!$H$3,,,Plots!$A$47))</f>
        <v>31.48</v>
      </c>
      <c r="D35" cm="1">
        <f t="array" aca="1" ref="D35" ca="1">INDIRECT(ADDRESS($B35,Plots!$H$3,,,Plots!$A$48))+INDIRECT(ADDRESS($B35,Plots!$H$3,,,Plots!$A$49))</f>
        <v>54.13</v>
      </c>
      <c r="E35" cm="1">
        <f t="array" aca="1" ref="E35" ca="1">INDIRECT(ADDRESS($B35,Plots!$H$3,,,Plots!$A$50))+INDIRECT(ADDRESS($B35,Plots!$H$3,,,Plots!$A$51))+INDIRECT(ADDRESS($B35,Plots!$H$3,,,Plots!$A$52))</f>
        <v>74.13</v>
      </c>
      <c r="F35" cm="1">
        <f t="array" aca="1" ref="F35" ca="1">INDIRECT(ADDRESS($B35,Plots!$H$3,,,Plots!$A$53))+INDIRECT(ADDRESS($B35,Plots!$H$3,,,Plots!$A$54))+INDIRECT(ADDRESS($B35,Plots!$H$3,,,Plots!$A$55))+INDIRECT(ADDRESS($B35,Plots!$H$3,,,Plots!$A$56))</f>
        <v>80.2</v>
      </c>
      <c r="G35" cm="1">
        <f t="array" aca="1" ref="G35" ca="1">INDIRECT(ADDRESS($B35,Plots!$H$3,,,Plots!$A$57))+INDIRECT(ADDRESS($B35,Plots!$H$3,,,Plots!$A$58))+INDIRECT(ADDRESS($B35,Plots!$H$3,,,Plots!$A$59))+INDIRECT(ADDRESS($B35,Plots!$H$3,,,Plots!$A$60))+INDIRECT(ADDRESS($B35,Plots!$H$3,,,Plots!$A$61))</f>
        <v>0</v>
      </c>
      <c r="H35" cm="1">
        <f t="array" aca="1" ref="H35" ca="1">INDIRECT(ADDRESS($B35,Plots!$H$3,,,Plots!$A$62))+INDIRECT(ADDRESS($B35,Plots!$H$3,,,Plots!$A$63))+INDIRECT(ADDRESS($B35,Plots!$H$3,,,Plots!$A$64))+INDIRECT(ADDRESS($B35,Plots!$H$3,,,Plots!$A$65))+INDIRECT(ADDRESS($B35,Plots!$H$3,,,Plots!$A$66))+INDIRECT(ADDRESS($B35,Plots!$H$3,,,Plots!$A$67))</f>
        <v>0</v>
      </c>
      <c r="I35">
        <f>'AARnetCBR-CamDTN1_tcpmon_ts_81'!H39+'AARnetCBR-CamDTN1_tcpmon_ts_82'!H39+'AARnetCBR-CamDTN1_tcpmon_ts_83'!H39+'AARnetCBR-CamDTN1_tcpmon_ts_84'!H39+'AARnetCBR-CamDTN1_tcpmon_ts_85'!H39+'AARnetCBR-CamDTN1_tcpmon_ts_86'!H39+'AARnetCBR-CamDTN1_tcpmon_ts_87'!H39+'AARnetCBR-CamDTN1_tcpmon_ts_88'!H39</f>
        <v>0</v>
      </c>
      <c r="L35" cm="1">
        <f t="array" aca="1" ref="L35" ca="1">INDIRECT(ADDRESS($B35,Plots!$H$4,,,Plots!$A$47))</f>
        <v>0</v>
      </c>
      <c r="M35" cm="1">
        <f t="array" aca="1" ref="M35" ca="1">INDIRECT(ADDRESS($B35,Plots!$H$4,,,Plots!$A$48))+INDIRECT(ADDRESS($B35,Plots!$H$4,,,Plots!$A$49))</f>
        <v>0</v>
      </c>
      <c r="N35" cm="1">
        <f t="array" aca="1" ref="N35" ca="1">INDIRECT(ADDRESS($B35,Plots!$H$4,,,Plots!$A$50))+INDIRECT(ADDRESS($B35,Plots!$H$4,,,Plots!$A$51))+INDIRECT(ADDRESS($B35,Plots!$H$4,,,Plots!$A$52))</f>
        <v>0</v>
      </c>
      <c r="O35" cm="1">
        <f t="array" aca="1" ref="O35" ca="1">INDIRECT(ADDRESS($B35,Plots!$H$4,,,Plots!$A$53))+INDIRECT(ADDRESS($B35,Plots!$H$4,,,Plots!$A$54))+INDIRECT(ADDRESS($B35,Plots!$H$4,,,Plots!$A$55))+INDIRECT(ADDRESS($B35,Plots!$H$4,,,Plots!$A$56))</f>
        <v>862</v>
      </c>
      <c r="P35" cm="1">
        <f t="array" aca="1" ref="P35" ca="1">INDIRECT(ADDRESS($B35,Plots!$H$4,,,Plots!$A$57))+INDIRECT(ADDRESS($B35,Plots!$H$4,,,Plots!$A$58))+INDIRECT(ADDRESS($B35,Plots!$H$4,,,Plots!$A$59))+INDIRECT(ADDRESS($B35,Plots!$H$4,,,Plots!$A$60))+INDIRECT(ADDRESS($B35,Plots!$H$4,,,Plots!$A$61))</f>
        <v>0</v>
      </c>
      <c r="Q35" cm="1">
        <f t="array" aca="1" ref="Q35" ca="1">INDIRECT(ADDRESS($B35,Plots!$H$4,,,Plots!$A$62))+INDIRECT(ADDRESS($B35,Plots!$H$4,,,Plots!$A$63))+INDIRECT(ADDRESS($B35,Plots!$H$4,,,Plots!$A$64))+INDIRECT(ADDRESS($B35,Plots!$H$4,,,Plots!$A$65))+INDIRECT(ADDRESS($B35,Plots!$H$4,,,Plots!$A$66))+INDIRECT(ADDRESS($B35,Plots!$H$4,,,Plots!$A$67))</f>
        <v>0</v>
      </c>
      <c r="R35">
        <f>'AARnetCBR-CamDTN1_tcpmon_ts_81'!I35+'AARnetCBR-CamDTN1_tcpmon_ts_82'!I35+'AARnetCBR-CamDTN1_tcpmon_ts_83'!I35+'AARnetCBR-CamDTN1_tcpmon_ts_84'!I35+'AARnetCBR-CamDTN1_tcpmon_ts_85'!I35+'AARnetCBR-CamDTN1_tcpmon_ts_86'!I35+'AARnetCBR-CamDTN1_tcpmon_ts_87'!I35+'AARnetCBR-CamDTN1_tcpmon_ts_88'!I35</f>
        <v>0</v>
      </c>
    </row>
    <row r="36" spans="1:18">
      <c r="A36" cm="1">
        <f t="array" aca="1" ref="A36" ca="1">INDIRECT(ADDRESS($B36,Plots!$H$6,,,Plots!$A$47))</f>
        <v>66</v>
      </c>
      <c r="B36">
        <f t="shared" si="0"/>
        <v>45</v>
      </c>
      <c r="C36" cm="1">
        <f t="array" aca="1" ref="C36" ca="1">INDIRECT(ADDRESS($B36,Plots!$H$3,,,Plots!$A$47))</f>
        <v>26.99</v>
      </c>
      <c r="D36" cm="1">
        <f t="array" aca="1" ref="D36" ca="1">INDIRECT(ADDRESS($B36,Plots!$H$3,,,Plots!$A$48))+INDIRECT(ADDRESS($B36,Plots!$H$3,,,Plots!$A$49))</f>
        <v>56.53</v>
      </c>
      <c r="E36" cm="1">
        <f t="array" aca="1" ref="E36" ca="1">INDIRECT(ADDRESS($B36,Plots!$H$3,,,Plots!$A$50))+INDIRECT(ADDRESS($B36,Plots!$H$3,,,Plots!$A$51))+INDIRECT(ADDRESS($B36,Plots!$H$3,,,Plots!$A$52))</f>
        <v>60.75</v>
      </c>
      <c r="F36" cm="1">
        <f t="array" aca="1" ref="F36" ca="1">INDIRECT(ADDRESS($B36,Plots!$H$3,,,Plots!$A$53))+INDIRECT(ADDRESS($B36,Plots!$H$3,,,Plots!$A$54))+INDIRECT(ADDRESS($B36,Plots!$H$3,,,Plots!$A$55))+INDIRECT(ADDRESS($B36,Plots!$H$3,,,Plots!$A$56))</f>
        <v>77.56</v>
      </c>
      <c r="G36" cm="1">
        <f t="array" aca="1" ref="G36" ca="1">INDIRECT(ADDRESS($B36,Plots!$H$3,,,Plots!$A$57))+INDIRECT(ADDRESS($B36,Plots!$H$3,,,Plots!$A$58))+INDIRECT(ADDRESS($B36,Plots!$H$3,,,Plots!$A$59))+INDIRECT(ADDRESS($B36,Plots!$H$3,,,Plots!$A$60))+INDIRECT(ADDRESS($B36,Plots!$H$3,,,Plots!$A$61))</f>
        <v>0</v>
      </c>
      <c r="H36" cm="1">
        <f t="array" aca="1" ref="H36" ca="1">INDIRECT(ADDRESS($B36,Plots!$H$3,,,Plots!$A$62))+INDIRECT(ADDRESS($B36,Plots!$H$3,,,Plots!$A$63))+INDIRECT(ADDRESS($B36,Plots!$H$3,,,Plots!$A$64))+INDIRECT(ADDRESS($B36,Plots!$H$3,,,Plots!$A$65))+INDIRECT(ADDRESS($B36,Plots!$H$3,,,Plots!$A$66))+INDIRECT(ADDRESS($B36,Plots!$H$3,,,Plots!$A$67))</f>
        <v>0</v>
      </c>
      <c r="I36">
        <f>'AARnetCBR-CamDTN1_tcpmon_ts_81'!H40+'AARnetCBR-CamDTN1_tcpmon_ts_82'!H40+'AARnetCBR-CamDTN1_tcpmon_ts_83'!H40+'AARnetCBR-CamDTN1_tcpmon_ts_84'!H40+'AARnetCBR-CamDTN1_tcpmon_ts_85'!H40+'AARnetCBR-CamDTN1_tcpmon_ts_86'!H40+'AARnetCBR-CamDTN1_tcpmon_ts_87'!H40+'AARnetCBR-CamDTN1_tcpmon_ts_88'!H40</f>
        <v>0</v>
      </c>
      <c r="L36" cm="1">
        <f t="array" aca="1" ref="L36" ca="1">INDIRECT(ADDRESS($B36,Plots!$H$4,,,Plots!$A$47))</f>
        <v>0</v>
      </c>
      <c r="M36" cm="1">
        <f t="array" aca="1" ref="M36" ca="1">INDIRECT(ADDRESS($B36,Plots!$H$4,,,Plots!$A$48))+INDIRECT(ADDRESS($B36,Plots!$H$4,,,Plots!$A$49))</f>
        <v>0</v>
      </c>
      <c r="N36" cm="1">
        <f t="array" aca="1" ref="N36" ca="1">INDIRECT(ADDRESS($B36,Plots!$H$4,,,Plots!$A$50))+INDIRECT(ADDRESS($B36,Plots!$H$4,,,Plots!$A$51))+INDIRECT(ADDRESS($B36,Plots!$H$4,,,Plots!$A$52))</f>
        <v>0</v>
      </c>
      <c r="O36" cm="1">
        <f t="array" aca="1" ref="O36" ca="1">INDIRECT(ADDRESS($B36,Plots!$H$4,,,Plots!$A$53))+INDIRECT(ADDRESS($B36,Plots!$H$4,,,Plots!$A$54))+INDIRECT(ADDRESS($B36,Plots!$H$4,,,Plots!$A$55))+INDIRECT(ADDRESS($B36,Plots!$H$4,,,Plots!$A$56))</f>
        <v>0</v>
      </c>
      <c r="P36" cm="1">
        <f t="array" aca="1" ref="P36" ca="1">INDIRECT(ADDRESS($B36,Plots!$H$4,,,Plots!$A$57))+INDIRECT(ADDRESS($B36,Plots!$H$4,,,Plots!$A$58))+INDIRECT(ADDRESS($B36,Plots!$H$4,,,Plots!$A$59))+INDIRECT(ADDRESS($B36,Plots!$H$4,,,Plots!$A$60))+INDIRECT(ADDRESS($B36,Plots!$H$4,,,Plots!$A$61))</f>
        <v>0</v>
      </c>
      <c r="Q36" cm="1">
        <f t="array" aca="1" ref="Q36" ca="1">INDIRECT(ADDRESS($B36,Plots!$H$4,,,Plots!$A$62))+INDIRECT(ADDRESS($B36,Plots!$H$4,,,Plots!$A$63))+INDIRECT(ADDRESS($B36,Plots!$H$4,,,Plots!$A$64))+INDIRECT(ADDRESS($B36,Plots!$H$4,,,Plots!$A$65))+INDIRECT(ADDRESS($B36,Plots!$H$4,,,Plots!$A$66))+INDIRECT(ADDRESS($B36,Plots!$H$4,,,Plots!$A$67))</f>
        <v>0</v>
      </c>
      <c r="R36">
        <f>'AARnetCBR-CamDTN1_tcpmon_ts_81'!J41+'AARnetCBR-CamDTN1_tcpmon_ts_82'!J41+'AARnetCBR-CamDTN1_tcpmon_ts_83'!J41+'AARnetCBR-CamDTN1_tcpmon_ts_84'!J41+'AARnetCBR-CamDTN1_tcpmon_ts_85'!J41+'AARnetCBR-CamDTN1_tcpmon_ts_86'!J41+'AARnetCBR-CamDTN1_tcpmon_ts_87'!J41+'AARnetCBR-CamDTN1_tcpmon_ts_88'!J41</f>
        <v>0</v>
      </c>
    </row>
    <row r="37" spans="1:18">
      <c r="A37" cm="1">
        <f t="array" aca="1" ref="A37" ca="1">INDIRECT(ADDRESS($B37,Plots!$H$6,,,Plots!$A$47))</f>
        <v>68</v>
      </c>
      <c r="B37">
        <f t="shared" si="0"/>
        <v>46</v>
      </c>
      <c r="C37" cm="1">
        <f t="array" aca="1" ref="C37" ca="1">INDIRECT(ADDRESS($B37,Plots!$H$3,,,Plots!$A$47))</f>
        <v>29.42</v>
      </c>
      <c r="D37" cm="1">
        <f t="array" aca="1" ref="D37" ca="1">INDIRECT(ADDRESS($B37,Plots!$H$3,,,Plots!$A$48))+INDIRECT(ADDRESS($B37,Plots!$H$3,,,Plots!$A$49))</f>
        <v>59.730000000000004</v>
      </c>
      <c r="E37" cm="1">
        <f t="array" aca="1" ref="E37" ca="1">INDIRECT(ADDRESS($B37,Plots!$H$3,,,Plots!$A$50))+INDIRECT(ADDRESS($B37,Plots!$H$3,,,Plots!$A$51))+INDIRECT(ADDRESS($B37,Plots!$H$3,,,Plots!$A$52))</f>
        <v>74.72999999999999</v>
      </c>
      <c r="F37" cm="1">
        <f t="array" aca="1" ref="F37" ca="1">INDIRECT(ADDRESS($B37,Plots!$H$3,,,Plots!$A$53))+INDIRECT(ADDRESS($B37,Plots!$H$3,,,Plots!$A$54))+INDIRECT(ADDRESS($B37,Plots!$H$3,,,Plots!$A$55))+INDIRECT(ADDRESS($B37,Plots!$H$3,,,Plots!$A$56))</f>
        <v>77.179999999999993</v>
      </c>
      <c r="G37" cm="1">
        <f t="array" aca="1" ref="G37" ca="1">INDIRECT(ADDRESS($B37,Plots!$H$3,,,Plots!$A$57))+INDIRECT(ADDRESS($B37,Plots!$H$3,,,Plots!$A$58))+INDIRECT(ADDRESS($B37,Plots!$H$3,,,Plots!$A$59))+INDIRECT(ADDRESS($B37,Plots!$H$3,,,Plots!$A$60))+INDIRECT(ADDRESS($B37,Plots!$H$3,,,Plots!$A$61))</f>
        <v>0</v>
      </c>
      <c r="H37" cm="1">
        <f t="array" aca="1" ref="H37" ca="1">INDIRECT(ADDRESS($B37,Plots!$H$3,,,Plots!$A$62))+INDIRECT(ADDRESS($B37,Plots!$H$3,,,Plots!$A$63))+INDIRECT(ADDRESS($B37,Plots!$H$3,,,Plots!$A$64))+INDIRECT(ADDRESS($B37,Plots!$H$3,,,Plots!$A$65))+INDIRECT(ADDRESS($B37,Plots!$H$3,,,Plots!$A$66))+INDIRECT(ADDRESS($B37,Plots!$H$3,,,Plots!$A$67))</f>
        <v>0</v>
      </c>
      <c r="I37">
        <f>'AARnetCBR-CamDTN1_tcpmon_ts_81'!H41+'AARnetCBR-CamDTN1_tcpmon_ts_82'!H41+'AARnetCBR-CamDTN1_tcpmon_ts_83'!H41+'AARnetCBR-CamDTN1_tcpmon_ts_84'!H41+'AARnetCBR-CamDTN1_tcpmon_ts_85'!H41+'AARnetCBR-CamDTN1_tcpmon_ts_86'!H41+'AARnetCBR-CamDTN1_tcpmon_ts_87'!H41+'AARnetCBR-CamDTN1_tcpmon_ts_88'!H41</f>
        <v>0</v>
      </c>
      <c r="L37" cm="1">
        <f t="array" aca="1" ref="L37" ca="1">INDIRECT(ADDRESS($B37,Plots!$H$4,,,Plots!$A$47))</f>
        <v>0</v>
      </c>
      <c r="M37" cm="1">
        <f t="array" aca="1" ref="M37" ca="1">INDIRECT(ADDRESS($B37,Plots!$H$4,,,Plots!$A$48))+INDIRECT(ADDRESS($B37,Plots!$H$4,,,Plots!$A$49))</f>
        <v>0</v>
      </c>
      <c r="N37" cm="1">
        <f t="array" aca="1" ref="N37" ca="1">INDIRECT(ADDRESS($B37,Plots!$H$4,,,Plots!$A$50))+INDIRECT(ADDRESS($B37,Plots!$H$4,,,Plots!$A$51))+INDIRECT(ADDRESS($B37,Plots!$H$4,,,Plots!$A$52))</f>
        <v>0</v>
      </c>
      <c r="O37" cm="1">
        <f t="array" aca="1" ref="O37" ca="1">INDIRECT(ADDRESS($B37,Plots!$H$4,,,Plots!$A$53))+INDIRECT(ADDRESS($B37,Plots!$H$4,,,Plots!$A$54))+INDIRECT(ADDRESS($B37,Plots!$H$4,,,Plots!$A$55))+INDIRECT(ADDRESS($B37,Plots!$H$4,,,Plots!$A$56))</f>
        <v>0</v>
      </c>
      <c r="P37" cm="1">
        <f t="array" aca="1" ref="P37" ca="1">INDIRECT(ADDRESS($B37,Plots!$H$4,,,Plots!$A$57))+INDIRECT(ADDRESS($B37,Plots!$H$4,,,Plots!$A$58))+INDIRECT(ADDRESS($B37,Plots!$H$4,,,Plots!$A$59))+INDIRECT(ADDRESS($B37,Plots!$H$4,,,Plots!$A$60))+INDIRECT(ADDRESS($B37,Plots!$H$4,,,Plots!$A$61))</f>
        <v>0</v>
      </c>
      <c r="Q37" cm="1">
        <f t="array" aca="1" ref="Q37" ca="1">INDIRECT(ADDRESS($B37,Plots!$H$4,,,Plots!$A$62))+INDIRECT(ADDRESS($B37,Plots!$H$4,,,Plots!$A$63))+INDIRECT(ADDRESS($B37,Plots!$H$4,,,Plots!$A$64))+INDIRECT(ADDRESS($B37,Plots!$H$4,,,Plots!$A$65))+INDIRECT(ADDRESS($B37,Plots!$H$4,,,Plots!$A$66))+INDIRECT(ADDRESS($B37,Plots!$H$4,,,Plots!$A$67))</f>
        <v>0</v>
      </c>
      <c r="R37">
        <f>'AARnetCBR-CamDTN1_tcpmon_ts_81'!J42+'AARnetCBR-CamDTN1_tcpmon_ts_82'!J42+'AARnetCBR-CamDTN1_tcpmon_ts_83'!J42+'AARnetCBR-CamDTN1_tcpmon_ts_84'!J42+'AARnetCBR-CamDTN1_tcpmon_ts_85'!J42+'AARnetCBR-CamDTN1_tcpmon_ts_86'!J42+'AARnetCBR-CamDTN1_tcpmon_ts_87'!J42+'AARnetCBR-CamDTN1_tcpmon_ts_88'!J42</f>
        <v>0</v>
      </c>
    </row>
    <row r="38" spans="1:18">
      <c r="A38" cm="1">
        <f t="array" aca="1" ref="A38" ca="1">INDIRECT(ADDRESS($B38,Plots!$H$6,,,Plots!$A$47))</f>
        <v>70</v>
      </c>
      <c r="B38">
        <f t="shared" si="0"/>
        <v>47</v>
      </c>
      <c r="C38" cm="1">
        <f t="array" aca="1" ref="C38" ca="1">INDIRECT(ADDRESS($B38,Plots!$H$3,,,Plots!$A$47))</f>
        <v>26.23</v>
      </c>
      <c r="D38" cm="1">
        <f t="array" aca="1" ref="D38" ca="1">INDIRECT(ADDRESS($B38,Plots!$H$3,,,Plots!$A$48))+INDIRECT(ADDRESS($B38,Plots!$H$3,,,Plots!$A$49))</f>
        <v>59.91</v>
      </c>
      <c r="E38" cm="1">
        <f t="array" aca="1" ref="E38" ca="1">INDIRECT(ADDRESS($B38,Plots!$H$3,,,Plots!$A$50))+INDIRECT(ADDRESS($B38,Plots!$H$3,,,Plots!$A$51))+INDIRECT(ADDRESS($B38,Plots!$H$3,,,Plots!$A$52))</f>
        <v>60.53</v>
      </c>
      <c r="F38" cm="1">
        <f t="array" aca="1" ref="F38" ca="1">INDIRECT(ADDRESS($B38,Plots!$H$3,,,Plots!$A$53))+INDIRECT(ADDRESS($B38,Plots!$H$3,,,Plots!$A$54))+INDIRECT(ADDRESS($B38,Plots!$H$3,,,Plots!$A$55))+INDIRECT(ADDRESS($B38,Plots!$H$3,,,Plots!$A$56))</f>
        <v>79.160000000000011</v>
      </c>
      <c r="G38" cm="1">
        <f t="array" aca="1" ref="G38" ca="1">INDIRECT(ADDRESS($B38,Plots!$H$3,,,Plots!$A$57))+INDIRECT(ADDRESS($B38,Plots!$H$3,,,Plots!$A$58))+INDIRECT(ADDRESS($B38,Plots!$H$3,,,Plots!$A$59))+INDIRECT(ADDRESS($B38,Plots!$H$3,,,Plots!$A$60))+INDIRECT(ADDRESS($B38,Plots!$H$3,,,Plots!$A$61))</f>
        <v>0</v>
      </c>
      <c r="H38" cm="1">
        <f t="array" aca="1" ref="H38" ca="1">INDIRECT(ADDRESS($B38,Plots!$H$3,,,Plots!$A$62))+INDIRECT(ADDRESS($B38,Plots!$H$3,,,Plots!$A$63))+INDIRECT(ADDRESS($B38,Plots!$H$3,,,Plots!$A$64))+INDIRECT(ADDRESS($B38,Plots!$H$3,,,Plots!$A$65))+INDIRECT(ADDRESS($B38,Plots!$H$3,,,Plots!$A$66))+INDIRECT(ADDRESS($B38,Plots!$H$3,,,Plots!$A$67))</f>
        <v>0</v>
      </c>
      <c r="I38">
        <f>'AARnetCBR-CamDTN1_tcpmon_ts_81'!H42+'AARnetCBR-CamDTN1_tcpmon_ts_82'!H42+'AARnetCBR-CamDTN1_tcpmon_ts_83'!H42+'AARnetCBR-CamDTN1_tcpmon_ts_84'!H42+'AARnetCBR-CamDTN1_tcpmon_ts_85'!H42+'AARnetCBR-CamDTN1_tcpmon_ts_86'!H42+'AARnetCBR-CamDTN1_tcpmon_ts_87'!H42+'AARnetCBR-CamDTN1_tcpmon_ts_88'!H42</f>
        <v>0</v>
      </c>
      <c r="L38" cm="1">
        <f t="array" aca="1" ref="L38" ca="1">INDIRECT(ADDRESS($B38,Plots!$H$4,,,Plots!$A$47))</f>
        <v>0</v>
      </c>
      <c r="M38" cm="1">
        <f t="array" aca="1" ref="M38" ca="1">INDIRECT(ADDRESS($B38,Plots!$H$4,,,Plots!$A$48))+INDIRECT(ADDRESS($B38,Plots!$H$4,,,Plots!$A$49))</f>
        <v>0</v>
      </c>
      <c r="N38" cm="1">
        <f t="array" aca="1" ref="N38" ca="1">INDIRECT(ADDRESS($B38,Plots!$H$4,,,Plots!$A$50))+INDIRECT(ADDRESS($B38,Plots!$H$4,,,Plots!$A$51))+INDIRECT(ADDRESS($B38,Plots!$H$4,,,Plots!$A$52))</f>
        <v>0</v>
      </c>
      <c r="O38" cm="1">
        <f t="array" aca="1" ref="O38" ca="1">INDIRECT(ADDRESS($B38,Plots!$H$4,,,Plots!$A$53))+INDIRECT(ADDRESS($B38,Plots!$H$4,,,Plots!$A$54))+INDIRECT(ADDRESS($B38,Plots!$H$4,,,Plots!$A$55))+INDIRECT(ADDRESS($B38,Plots!$H$4,,,Plots!$A$56))</f>
        <v>0</v>
      </c>
      <c r="P38" cm="1">
        <f t="array" aca="1" ref="P38" ca="1">INDIRECT(ADDRESS($B38,Plots!$H$4,,,Plots!$A$57))+INDIRECT(ADDRESS($B38,Plots!$H$4,,,Plots!$A$58))+INDIRECT(ADDRESS($B38,Plots!$H$4,,,Plots!$A$59))+INDIRECT(ADDRESS($B38,Plots!$H$4,,,Plots!$A$60))+INDIRECT(ADDRESS($B38,Plots!$H$4,,,Plots!$A$61))</f>
        <v>0</v>
      </c>
      <c r="Q38" cm="1">
        <f t="array" aca="1" ref="Q38" ca="1">INDIRECT(ADDRESS($B38,Plots!$H$4,,,Plots!$A$62))+INDIRECT(ADDRESS($B38,Plots!$H$4,,,Plots!$A$63))+INDIRECT(ADDRESS($B38,Plots!$H$4,,,Plots!$A$64))+INDIRECT(ADDRESS($B38,Plots!$H$4,,,Plots!$A$65))+INDIRECT(ADDRESS($B38,Plots!$H$4,,,Plots!$A$66))+INDIRECT(ADDRESS($B38,Plots!$H$4,,,Plots!$A$67))</f>
        <v>0</v>
      </c>
      <c r="R38">
        <f>'AARnetCBR-CamDTN1_tcpmon_ts_81'!J43+'AARnetCBR-CamDTN1_tcpmon_ts_82'!J43+'AARnetCBR-CamDTN1_tcpmon_ts_83'!J43+'AARnetCBR-CamDTN1_tcpmon_ts_84'!J43+'AARnetCBR-CamDTN1_tcpmon_ts_85'!J43+'AARnetCBR-CamDTN1_tcpmon_ts_86'!J43+'AARnetCBR-CamDTN1_tcpmon_ts_87'!J43+'AARnetCBR-CamDTN1_tcpmon_ts_88'!J43</f>
        <v>0</v>
      </c>
    </row>
    <row r="39" spans="1:18">
      <c r="A39" cm="1">
        <f t="array" aca="1" ref="A39" ca="1">INDIRECT(ADDRESS($B39,Plots!$H$6,,,Plots!$A$47))</f>
        <v>72</v>
      </c>
      <c r="B39">
        <f t="shared" si="0"/>
        <v>48</v>
      </c>
      <c r="C39" cm="1">
        <f t="array" aca="1" ref="C39" ca="1">INDIRECT(ADDRESS($B39,Plots!$H$3,,,Plots!$A$47))</f>
        <v>26.09</v>
      </c>
      <c r="D39" cm="1">
        <f t="array" aca="1" ref="D39" ca="1">INDIRECT(ADDRESS($B39,Plots!$H$3,,,Plots!$A$48))+INDIRECT(ADDRESS($B39,Plots!$H$3,,,Plots!$A$49))</f>
        <v>54</v>
      </c>
      <c r="E39" cm="1">
        <f t="array" aca="1" ref="E39" ca="1">INDIRECT(ADDRESS($B39,Plots!$H$3,,,Plots!$A$50))+INDIRECT(ADDRESS($B39,Plots!$H$3,,,Plots!$A$51))+INDIRECT(ADDRESS($B39,Plots!$H$3,,,Plots!$A$52))</f>
        <v>72.330000000000013</v>
      </c>
      <c r="F39" cm="1">
        <f t="array" aca="1" ref="F39" ca="1">INDIRECT(ADDRESS($B39,Plots!$H$3,,,Plots!$A$53))+INDIRECT(ADDRESS($B39,Plots!$H$3,,,Plots!$A$54))+INDIRECT(ADDRESS($B39,Plots!$H$3,,,Plots!$A$55))+INDIRECT(ADDRESS($B39,Plots!$H$3,,,Plots!$A$56))</f>
        <v>76.27000000000001</v>
      </c>
      <c r="G39" cm="1">
        <f t="array" aca="1" ref="G39" ca="1">INDIRECT(ADDRESS($B39,Plots!$H$3,,,Plots!$A$57))+INDIRECT(ADDRESS($B39,Plots!$H$3,,,Plots!$A$58))+INDIRECT(ADDRESS($B39,Plots!$H$3,,,Plots!$A$59))+INDIRECT(ADDRESS($B39,Plots!$H$3,,,Plots!$A$60))+INDIRECT(ADDRESS($B39,Plots!$H$3,,,Plots!$A$61))</f>
        <v>0</v>
      </c>
      <c r="H39" cm="1">
        <f t="array" aca="1" ref="H39" ca="1">INDIRECT(ADDRESS($B39,Plots!$H$3,,,Plots!$A$62))+INDIRECT(ADDRESS($B39,Plots!$H$3,,,Plots!$A$63))+INDIRECT(ADDRESS($B39,Plots!$H$3,,,Plots!$A$64))+INDIRECT(ADDRESS($B39,Plots!$H$3,,,Plots!$A$65))+INDIRECT(ADDRESS($B39,Plots!$H$3,,,Plots!$A$66))+INDIRECT(ADDRESS($B39,Plots!$H$3,,,Plots!$A$67))</f>
        <v>0</v>
      </c>
      <c r="I39">
        <f>'AARnetCBR-CamDTN1_tcpmon_ts_81'!H43+'AARnetCBR-CamDTN1_tcpmon_ts_82'!H43+'AARnetCBR-CamDTN1_tcpmon_ts_83'!H43+'AARnetCBR-CamDTN1_tcpmon_ts_84'!H43+'AARnetCBR-CamDTN1_tcpmon_ts_85'!H43+'AARnetCBR-CamDTN1_tcpmon_ts_86'!H43+'AARnetCBR-CamDTN1_tcpmon_ts_87'!H43+'AARnetCBR-CamDTN1_tcpmon_ts_88'!H43</f>
        <v>0</v>
      </c>
      <c r="L39" cm="1">
        <f t="array" aca="1" ref="L39" ca="1">INDIRECT(ADDRESS($B39,Plots!$H$4,,,Plots!$A$47))</f>
        <v>0</v>
      </c>
      <c r="M39" cm="1">
        <f t="array" aca="1" ref="M39" ca="1">INDIRECT(ADDRESS($B39,Plots!$H$4,,,Plots!$A$48))+INDIRECT(ADDRESS($B39,Plots!$H$4,,,Plots!$A$49))</f>
        <v>0</v>
      </c>
      <c r="N39" cm="1">
        <f t="array" aca="1" ref="N39" ca="1">INDIRECT(ADDRESS($B39,Plots!$H$4,,,Plots!$A$50))+INDIRECT(ADDRESS($B39,Plots!$H$4,,,Plots!$A$51))+INDIRECT(ADDRESS($B39,Plots!$H$4,,,Plots!$A$52))</f>
        <v>0</v>
      </c>
      <c r="O39" cm="1">
        <f t="array" aca="1" ref="O39" ca="1">INDIRECT(ADDRESS($B39,Plots!$H$4,,,Plots!$A$53))+INDIRECT(ADDRESS($B39,Plots!$H$4,,,Plots!$A$54))+INDIRECT(ADDRESS($B39,Plots!$H$4,,,Plots!$A$55))+INDIRECT(ADDRESS($B39,Plots!$H$4,,,Plots!$A$56))</f>
        <v>0</v>
      </c>
      <c r="P39" cm="1">
        <f t="array" aca="1" ref="P39" ca="1">INDIRECT(ADDRESS($B39,Plots!$H$4,,,Plots!$A$57))+INDIRECT(ADDRESS($B39,Plots!$H$4,,,Plots!$A$58))+INDIRECT(ADDRESS($B39,Plots!$H$4,,,Plots!$A$59))+INDIRECT(ADDRESS($B39,Plots!$H$4,,,Plots!$A$60))+INDIRECT(ADDRESS($B39,Plots!$H$4,,,Plots!$A$61))</f>
        <v>0</v>
      </c>
      <c r="Q39" cm="1">
        <f t="array" aca="1" ref="Q39" ca="1">INDIRECT(ADDRESS($B39,Plots!$H$4,,,Plots!$A$62))+INDIRECT(ADDRESS($B39,Plots!$H$4,,,Plots!$A$63))+INDIRECT(ADDRESS($B39,Plots!$H$4,,,Plots!$A$64))+INDIRECT(ADDRESS($B39,Plots!$H$4,,,Plots!$A$65))+INDIRECT(ADDRESS($B39,Plots!$H$4,,,Plots!$A$66))+INDIRECT(ADDRESS($B39,Plots!$H$4,,,Plots!$A$67))</f>
        <v>0</v>
      </c>
      <c r="R39">
        <f>'AARnetCBR-CamDTN1_tcpmon_ts_81'!J44+'AARnetCBR-CamDTN1_tcpmon_ts_82'!J44+'AARnetCBR-CamDTN1_tcpmon_ts_83'!J44+'AARnetCBR-CamDTN1_tcpmon_ts_84'!J44+'AARnetCBR-CamDTN1_tcpmon_ts_85'!J44+'AARnetCBR-CamDTN1_tcpmon_ts_86'!J44+'AARnetCBR-CamDTN1_tcpmon_ts_87'!J44+'AARnetCBR-CamDTN1_tcpmon_ts_88'!J44</f>
        <v>0</v>
      </c>
    </row>
    <row r="40" spans="1:18">
      <c r="A40" cm="1">
        <f t="array" aca="1" ref="A40" ca="1">INDIRECT(ADDRESS($B40,Plots!$H$6,,,Plots!$A$47))</f>
        <v>74</v>
      </c>
      <c r="B40">
        <f t="shared" si="0"/>
        <v>49</v>
      </c>
      <c r="C40" cm="1">
        <f t="array" aca="1" ref="C40" ca="1">INDIRECT(ADDRESS($B40,Plots!$H$3,,,Plots!$A$47))</f>
        <v>27.86</v>
      </c>
      <c r="D40" cm="1">
        <f t="array" aca="1" ref="D40" ca="1">INDIRECT(ADDRESS($B40,Plots!$H$3,,,Plots!$A$48))+INDIRECT(ADDRESS($B40,Plots!$H$3,,,Plots!$A$49))</f>
        <v>58.31</v>
      </c>
      <c r="E40" cm="1">
        <f t="array" aca="1" ref="E40" ca="1">INDIRECT(ADDRESS($B40,Plots!$H$3,,,Plots!$A$50))+INDIRECT(ADDRESS($B40,Plots!$H$3,,,Plots!$A$51))+INDIRECT(ADDRESS($B40,Plots!$H$3,,,Plots!$A$52))</f>
        <v>62.2</v>
      </c>
      <c r="F40" cm="1">
        <f t="array" aca="1" ref="F40" ca="1">INDIRECT(ADDRESS($B40,Plots!$H$3,,,Plots!$A$53))+INDIRECT(ADDRESS($B40,Plots!$H$3,,,Plots!$A$54))+INDIRECT(ADDRESS($B40,Plots!$H$3,,,Plots!$A$55))+INDIRECT(ADDRESS($B40,Plots!$H$3,,,Plots!$A$56))</f>
        <v>86.44</v>
      </c>
      <c r="G40" cm="1">
        <f t="array" aca="1" ref="G40" ca="1">INDIRECT(ADDRESS($B40,Plots!$H$3,,,Plots!$A$57))+INDIRECT(ADDRESS($B40,Plots!$H$3,,,Plots!$A$58))+INDIRECT(ADDRESS($B40,Plots!$H$3,,,Plots!$A$59))+INDIRECT(ADDRESS($B40,Plots!$H$3,,,Plots!$A$60))+INDIRECT(ADDRESS($B40,Plots!$H$3,,,Plots!$A$61))</f>
        <v>0</v>
      </c>
      <c r="H40" cm="1">
        <f t="array" aca="1" ref="H40" ca="1">INDIRECT(ADDRESS($B40,Plots!$H$3,,,Plots!$A$62))+INDIRECT(ADDRESS($B40,Plots!$H$3,,,Plots!$A$63))+INDIRECT(ADDRESS($B40,Plots!$H$3,,,Plots!$A$64))+INDIRECT(ADDRESS($B40,Plots!$H$3,,,Plots!$A$65))+INDIRECT(ADDRESS($B40,Plots!$H$3,,,Plots!$A$66))+INDIRECT(ADDRESS($B40,Plots!$H$3,,,Plots!$A$67))</f>
        <v>0</v>
      </c>
      <c r="I40">
        <f>'AARnetCBR-CamDTN1_tcpmon_ts_81'!H44+'AARnetCBR-CamDTN1_tcpmon_ts_82'!H44+'AARnetCBR-CamDTN1_tcpmon_ts_83'!H44+'AARnetCBR-CamDTN1_tcpmon_ts_84'!H44+'AARnetCBR-CamDTN1_tcpmon_ts_85'!H44+'AARnetCBR-CamDTN1_tcpmon_ts_86'!H44+'AARnetCBR-CamDTN1_tcpmon_ts_87'!H44+'AARnetCBR-CamDTN1_tcpmon_ts_88'!H44</f>
        <v>0</v>
      </c>
      <c r="L40" cm="1">
        <f t="array" aca="1" ref="L40" ca="1">INDIRECT(ADDRESS($B40,Plots!$H$4,,,Plots!$A$47))</f>
        <v>0</v>
      </c>
      <c r="M40" cm="1">
        <f t="array" aca="1" ref="M40" ca="1">INDIRECT(ADDRESS($B40,Plots!$H$4,,,Plots!$A$48))+INDIRECT(ADDRESS($B40,Plots!$H$4,,,Plots!$A$49))</f>
        <v>0</v>
      </c>
      <c r="N40" cm="1">
        <f t="array" aca="1" ref="N40" ca="1">INDIRECT(ADDRESS($B40,Plots!$H$4,,,Plots!$A$50))+INDIRECT(ADDRESS($B40,Plots!$H$4,,,Plots!$A$51))+INDIRECT(ADDRESS($B40,Plots!$H$4,,,Plots!$A$52))</f>
        <v>0</v>
      </c>
      <c r="O40" cm="1">
        <f t="array" aca="1" ref="O40" ca="1">INDIRECT(ADDRESS($B40,Plots!$H$4,,,Plots!$A$53))+INDIRECT(ADDRESS($B40,Plots!$H$4,,,Plots!$A$54))+INDIRECT(ADDRESS($B40,Plots!$H$4,,,Plots!$A$55))+INDIRECT(ADDRESS($B40,Plots!$H$4,,,Plots!$A$56))</f>
        <v>0</v>
      </c>
      <c r="P40" cm="1">
        <f t="array" aca="1" ref="P40" ca="1">INDIRECT(ADDRESS($B40,Plots!$H$4,,,Plots!$A$57))+INDIRECT(ADDRESS($B40,Plots!$H$4,,,Plots!$A$58))+INDIRECT(ADDRESS($B40,Plots!$H$4,,,Plots!$A$59))+INDIRECT(ADDRESS($B40,Plots!$H$4,,,Plots!$A$60))+INDIRECT(ADDRESS($B40,Plots!$H$4,,,Plots!$A$61))</f>
        <v>0</v>
      </c>
      <c r="Q40" cm="1">
        <f t="array" aca="1" ref="Q40" ca="1">INDIRECT(ADDRESS($B40,Plots!$H$4,,,Plots!$A$62))+INDIRECT(ADDRESS($B40,Plots!$H$4,,,Plots!$A$63))+INDIRECT(ADDRESS($B40,Plots!$H$4,,,Plots!$A$64))+INDIRECT(ADDRESS($B40,Plots!$H$4,,,Plots!$A$65))+INDIRECT(ADDRESS($B40,Plots!$H$4,,,Plots!$A$66))+INDIRECT(ADDRESS($B40,Plots!$H$4,,,Plots!$A$67))</f>
        <v>0</v>
      </c>
      <c r="R40">
        <f>'AARnetCBR-CamDTN1_tcpmon_ts_81'!J45+'AARnetCBR-CamDTN1_tcpmon_ts_82'!J45+'AARnetCBR-CamDTN1_tcpmon_ts_83'!J45+'AARnetCBR-CamDTN1_tcpmon_ts_84'!J45+'AARnetCBR-CamDTN1_tcpmon_ts_85'!J45+'AARnetCBR-CamDTN1_tcpmon_ts_86'!J45+'AARnetCBR-CamDTN1_tcpmon_ts_87'!J45+'AARnetCBR-CamDTN1_tcpmon_ts_88'!J45</f>
        <v>0</v>
      </c>
    </row>
    <row r="41" spans="1:18">
      <c r="A41" cm="1">
        <f t="array" aca="1" ref="A41" ca="1">INDIRECT(ADDRESS($B41,Plots!$H$6,,,Plots!$A$47))</f>
        <v>76</v>
      </c>
      <c r="B41">
        <f t="shared" si="0"/>
        <v>50</v>
      </c>
      <c r="C41" cm="1">
        <f t="array" aca="1" ref="C41" ca="1">INDIRECT(ADDRESS($B41,Plots!$H$3,,,Plots!$A$47))</f>
        <v>26.1</v>
      </c>
      <c r="D41" cm="1">
        <f t="array" aca="1" ref="D41" ca="1">INDIRECT(ADDRESS($B41,Plots!$H$3,,,Plots!$A$48))+INDIRECT(ADDRESS($B41,Plots!$H$3,,,Plots!$A$49))</f>
        <v>54.2</v>
      </c>
      <c r="E41" cm="1">
        <f t="array" aca="1" ref="E41" ca="1">INDIRECT(ADDRESS($B41,Plots!$H$3,,,Plots!$A$50))+INDIRECT(ADDRESS($B41,Plots!$H$3,,,Plots!$A$51))+INDIRECT(ADDRESS($B41,Plots!$H$3,,,Plots!$A$52))</f>
        <v>74.55</v>
      </c>
      <c r="F41" cm="1">
        <f t="array" aca="1" ref="F41" ca="1">INDIRECT(ADDRESS($B41,Plots!$H$3,,,Plots!$A$53))+INDIRECT(ADDRESS($B41,Plots!$H$3,,,Plots!$A$54))+INDIRECT(ADDRESS($B41,Plots!$H$3,,,Plots!$A$55))+INDIRECT(ADDRESS($B41,Plots!$H$3,,,Plots!$A$56))</f>
        <v>85.88</v>
      </c>
      <c r="G41" cm="1">
        <f t="array" aca="1" ref="G41" ca="1">INDIRECT(ADDRESS($B41,Plots!$H$3,,,Plots!$A$57))+INDIRECT(ADDRESS($B41,Plots!$H$3,,,Plots!$A$58))+INDIRECT(ADDRESS($B41,Plots!$H$3,,,Plots!$A$59))+INDIRECT(ADDRESS($B41,Plots!$H$3,,,Plots!$A$60))+INDIRECT(ADDRESS($B41,Plots!$H$3,,,Plots!$A$61))</f>
        <v>0</v>
      </c>
      <c r="H41" cm="1">
        <f t="array" aca="1" ref="H41" ca="1">INDIRECT(ADDRESS($B41,Plots!$H$3,,,Plots!$A$62))+INDIRECT(ADDRESS($B41,Plots!$H$3,,,Plots!$A$63))+INDIRECT(ADDRESS($B41,Plots!$H$3,,,Plots!$A$64))+INDIRECT(ADDRESS($B41,Plots!$H$3,,,Plots!$A$65))+INDIRECT(ADDRESS($B41,Plots!$H$3,,,Plots!$A$66))+INDIRECT(ADDRESS($B41,Plots!$H$3,,,Plots!$A$67))</f>
        <v>0</v>
      </c>
      <c r="I41">
        <f>'AARnetCBR-CamDTN1_tcpmon_ts_81'!H45+'AARnetCBR-CamDTN1_tcpmon_ts_82'!H45+'AARnetCBR-CamDTN1_tcpmon_ts_83'!H45+'AARnetCBR-CamDTN1_tcpmon_ts_84'!H45+'AARnetCBR-CamDTN1_tcpmon_ts_85'!H45+'AARnetCBR-CamDTN1_tcpmon_ts_86'!H45+'AARnetCBR-CamDTN1_tcpmon_ts_87'!H45+'AARnetCBR-CamDTN1_tcpmon_ts_88'!H45</f>
        <v>0</v>
      </c>
      <c r="L41" cm="1">
        <f t="array" aca="1" ref="L41" ca="1">INDIRECT(ADDRESS($B41,Plots!$H$4,,,Plots!$A$47))</f>
        <v>0</v>
      </c>
      <c r="M41" cm="1">
        <f t="array" aca="1" ref="M41" ca="1">INDIRECT(ADDRESS($B41,Plots!$H$4,,,Plots!$A$48))+INDIRECT(ADDRESS($B41,Plots!$H$4,,,Plots!$A$49))</f>
        <v>0</v>
      </c>
      <c r="N41" cm="1">
        <f t="array" aca="1" ref="N41" ca="1">INDIRECT(ADDRESS($B41,Plots!$H$4,,,Plots!$A$50))+INDIRECT(ADDRESS($B41,Plots!$H$4,,,Plots!$A$51))+INDIRECT(ADDRESS($B41,Plots!$H$4,,,Plots!$A$52))</f>
        <v>0</v>
      </c>
      <c r="O41" cm="1">
        <f t="array" aca="1" ref="O41" ca="1">INDIRECT(ADDRESS($B41,Plots!$H$4,,,Plots!$A$53))+INDIRECT(ADDRESS($B41,Plots!$H$4,,,Plots!$A$54))+INDIRECT(ADDRESS($B41,Plots!$H$4,,,Plots!$A$55))+INDIRECT(ADDRESS($B41,Plots!$H$4,,,Plots!$A$56))</f>
        <v>0</v>
      </c>
      <c r="P41" cm="1">
        <f t="array" aca="1" ref="P41" ca="1">INDIRECT(ADDRESS($B41,Plots!$H$4,,,Plots!$A$57))+INDIRECT(ADDRESS($B41,Plots!$H$4,,,Plots!$A$58))+INDIRECT(ADDRESS($B41,Plots!$H$4,,,Plots!$A$59))+INDIRECT(ADDRESS($B41,Plots!$H$4,,,Plots!$A$60))+INDIRECT(ADDRESS($B41,Plots!$H$4,,,Plots!$A$61))</f>
        <v>0</v>
      </c>
      <c r="Q41" cm="1">
        <f t="array" aca="1" ref="Q41" ca="1">INDIRECT(ADDRESS($B41,Plots!$H$4,,,Plots!$A$62))+INDIRECT(ADDRESS($B41,Plots!$H$4,,,Plots!$A$63))+INDIRECT(ADDRESS($B41,Plots!$H$4,,,Plots!$A$64))+INDIRECT(ADDRESS($B41,Plots!$H$4,,,Plots!$A$65))+INDIRECT(ADDRESS($B41,Plots!$H$4,,,Plots!$A$66))+INDIRECT(ADDRESS($B41,Plots!$H$4,,,Plots!$A$67))</f>
        <v>0</v>
      </c>
      <c r="R41">
        <f>'AARnetCBR-CamDTN1_tcpmon_ts_81'!J46+'AARnetCBR-CamDTN1_tcpmon_ts_82'!J46+'AARnetCBR-CamDTN1_tcpmon_ts_83'!J46+'AARnetCBR-CamDTN1_tcpmon_ts_84'!J46+'AARnetCBR-CamDTN1_tcpmon_ts_85'!J46+'AARnetCBR-CamDTN1_tcpmon_ts_86'!J46+'AARnetCBR-CamDTN1_tcpmon_ts_87'!J46+'AARnetCBR-CamDTN1_tcpmon_ts_88'!J46</f>
        <v>0</v>
      </c>
    </row>
    <row r="42" spans="1:18">
      <c r="A42" cm="1">
        <f t="array" aca="1" ref="A42" ca="1">INDIRECT(ADDRESS($B42,Plots!$H$6,,,Plots!$A$47))</f>
        <v>78</v>
      </c>
      <c r="B42">
        <f t="shared" si="0"/>
        <v>51</v>
      </c>
      <c r="C42" cm="1">
        <f t="array" aca="1" ref="C42" ca="1">INDIRECT(ADDRESS($B42,Plots!$H$3,,,Plots!$A$47))</f>
        <v>24.33</v>
      </c>
      <c r="D42" cm="1">
        <f t="array" aca="1" ref="D42" ca="1">INDIRECT(ADDRESS($B42,Plots!$H$3,,,Plots!$A$48))+INDIRECT(ADDRESS($B42,Plots!$H$3,,,Plots!$A$49))</f>
        <v>57.2</v>
      </c>
      <c r="E42" cm="1">
        <f t="array" aca="1" ref="E42" ca="1">INDIRECT(ADDRESS($B42,Plots!$H$3,,,Plots!$A$50))+INDIRECT(ADDRESS($B42,Plots!$H$3,,,Plots!$A$51))+INDIRECT(ADDRESS($B42,Plots!$H$3,,,Plots!$A$52))</f>
        <v>60.44</v>
      </c>
      <c r="F42" cm="1">
        <f t="array" aca="1" ref="F42" ca="1">INDIRECT(ADDRESS($B42,Plots!$H$3,,,Plots!$A$53))+INDIRECT(ADDRESS($B42,Plots!$H$3,,,Plots!$A$54))+INDIRECT(ADDRESS($B42,Plots!$H$3,,,Plots!$A$55))+INDIRECT(ADDRESS($B42,Plots!$H$3,,,Plots!$A$56))</f>
        <v>80.209999999999994</v>
      </c>
      <c r="G42" cm="1">
        <f t="array" aca="1" ref="G42" ca="1">INDIRECT(ADDRESS($B42,Plots!$H$3,,,Plots!$A$57))+INDIRECT(ADDRESS($B42,Plots!$H$3,,,Plots!$A$58))+INDIRECT(ADDRESS($B42,Plots!$H$3,,,Plots!$A$59))+INDIRECT(ADDRESS($B42,Plots!$H$3,,,Plots!$A$60))+INDIRECT(ADDRESS($B42,Plots!$H$3,,,Plots!$A$61))</f>
        <v>0</v>
      </c>
      <c r="H42" cm="1">
        <f t="array" aca="1" ref="H42" ca="1">INDIRECT(ADDRESS($B42,Plots!$H$3,,,Plots!$A$62))+INDIRECT(ADDRESS($B42,Plots!$H$3,,,Plots!$A$63))+INDIRECT(ADDRESS($B42,Plots!$H$3,,,Plots!$A$64))+INDIRECT(ADDRESS($B42,Plots!$H$3,,,Plots!$A$65))+INDIRECT(ADDRESS($B42,Plots!$H$3,,,Plots!$A$66))+INDIRECT(ADDRESS($B42,Plots!$H$3,,,Plots!$A$67))</f>
        <v>0</v>
      </c>
      <c r="I42">
        <f>'AARnetCBR-CamDTN1_tcpmon_ts_81'!H46+'AARnetCBR-CamDTN1_tcpmon_ts_82'!H46+'AARnetCBR-CamDTN1_tcpmon_ts_83'!H46+'AARnetCBR-CamDTN1_tcpmon_ts_84'!H46+'AARnetCBR-CamDTN1_tcpmon_ts_85'!H46+'AARnetCBR-CamDTN1_tcpmon_ts_86'!H46+'AARnetCBR-CamDTN1_tcpmon_ts_87'!H46+'AARnetCBR-CamDTN1_tcpmon_ts_88'!H46</f>
        <v>0</v>
      </c>
      <c r="L42" cm="1">
        <f t="array" aca="1" ref="L42" ca="1">INDIRECT(ADDRESS($B42,Plots!$H$4,,,Plots!$A$47))</f>
        <v>0</v>
      </c>
      <c r="M42" cm="1">
        <f t="array" aca="1" ref="M42" ca="1">INDIRECT(ADDRESS($B42,Plots!$H$4,,,Plots!$A$48))+INDIRECT(ADDRESS($B42,Plots!$H$4,,,Plots!$A$49))</f>
        <v>0</v>
      </c>
      <c r="N42" cm="1">
        <f t="array" aca="1" ref="N42" ca="1">INDIRECT(ADDRESS($B42,Plots!$H$4,,,Plots!$A$50))+INDIRECT(ADDRESS($B42,Plots!$H$4,,,Plots!$A$51))+INDIRECT(ADDRESS($B42,Plots!$H$4,,,Plots!$A$52))</f>
        <v>0</v>
      </c>
      <c r="O42" cm="1">
        <f t="array" aca="1" ref="O42" ca="1">INDIRECT(ADDRESS($B42,Plots!$H$4,,,Plots!$A$53))+INDIRECT(ADDRESS($B42,Plots!$H$4,,,Plots!$A$54))+INDIRECT(ADDRESS($B42,Plots!$H$4,,,Plots!$A$55))+INDIRECT(ADDRESS($B42,Plots!$H$4,,,Plots!$A$56))</f>
        <v>0</v>
      </c>
      <c r="P42" cm="1">
        <f t="array" aca="1" ref="P42" ca="1">INDIRECT(ADDRESS($B42,Plots!$H$4,,,Plots!$A$57))+INDIRECT(ADDRESS($B42,Plots!$H$4,,,Plots!$A$58))+INDIRECT(ADDRESS($B42,Plots!$H$4,,,Plots!$A$59))+INDIRECT(ADDRESS($B42,Plots!$H$4,,,Plots!$A$60))+INDIRECT(ADDRESS($B42,Plots!$H$4,,,Plots!$A$61))</f>
        <v>0</v>
      </c>
      <c r="Q42" cm="1">
        <f t="array" aca="1" ref="Q42" ca="1">INDIRECT(ADDRESS($B42,Plots!$H$4,,,Plots!$A$62))+INDIRECT(ADDRESS($B42,Plots!$H$4,,,Plots!$A$63))+INDIRECT(ADDRESS($B42,Plots!$H$4,,,Plots!$A$64))+INDIRECT(ADDRESS($B42,Plots!$H$4,,,Plots!$A$65))+INDIRECT(ADDRESS($B42,Plots!$H$4,,,Plots!$A$66))+INDIRECT(ADDRESS($B42,Plots!$H$4,,,Plots!$A$67))</f>
        <v>0</v>
      </c>
      <c r="R42">
        <f>'AARnetCBR-CamDTN1_tcpmon_ts_81'!J47+'AARnetCBR-CamDTN1_tcpmon_ts_82'!J47+'AARnetCBR-CamDTN1_tcpmon_ts_83'!J47+'AARnetCBR-CamDTN1_tcpmon_ts_84'!J47+'AARnetCBR-CamDTN1_tcpmon_ts_85'!J47+'AARnetCBR-CamDTN1_tcpmon_ts_86'!J47+'AARnetCBR-CamDTN1_tcpmon_ts_87'!J47+'AARnetCBR-CamDTN1_tcpmon_ts_88'!J47</f>
        <v>0</v>
      </c>
    </row>
    <row r="43" spans="1:18">
      <c r="A43" cm="1">
        <f t="array" aca="1" ref="A43" ca="1">INDIRECT(ADDRESS($B43,Plots!$H$6,,,Plots!$A$47))</f>
        <v>80</v>
      </c>
      <c r="B43">
        <f t="shared" si="0"/>
        <v>52</v>
      </c>
      <c r="C43" cm="1">
        <f t="array" aca="1" ref="C43" ca="1">INDIRECT(ADDRESS($B43,Plots!$H$3,,,Plots!$A$47))</f>
        <v>26.75</v>
      </c>
      <c r="D43" cm="1">
        <f t="array" aca="1" ref="D43" ca="1">INDIRECT(ADDRESS($B43,Plots!$H$3,,,Plots!$A$48))+INDIRECT(ADDRESS($B43,Plots!$H$3,,,Plots!$A$49))</f>
        <v>59.05</v>
      </c>
      <c r="E43" cm="1">
        <f t="array" aca="1" ref="E43" ca="1">INDIRECT(ADDRESS($B43,Plots!$H$3,,,Plots!$A$50))+INDIRECT(ADDRESS($B43,Plots!$H$3,,,Plots!$A$51))+INDIRECT(ADDRESS($B43,Plots!$H$3,,,Plots!$A$52))</f>
        <v>71.14</v>
      </c>
      <c r="F43" cm="1">
        <f t="array" aca="1" ref="F43" ca="1">INDIRECT(ADDRESS($B43,Plots!$H$3,,,Plots!$A$53))+INDIRECT(ADDRESS($B43,Plots!$H$3,,,Plots!$A$54))+INDIRECT(ADDRESS($B43,Plots!$H$3,,,Plots!$A$55))+INDIRECT(ADDRESS($B43,Plots!$H$3,,,Plots!$A$56))</f>
        <v>89.63</v>
      </c>
      <c r="G43" cm="1">
        <f t="array" aca="1" ref="G43" ca="1">INDIRECT(ADDRESS($B43,Plots!$H$3,,,Plots!$A$57))+INDIRECT(ADDRESS($B43,Plots!$H$3,,,Plots!$A$58))+INDIRECT(ADDRESS($B43,Plots!$H$3,,,Plots!$A$59))+INDIRECT(ADDRESS($B43,Plots!$H$3,,,Plots!$A$60))+INDIRECT(ADDRESS($B43,Plots!$H$3,,,Plots!$A$61))</f>
        <v>0</v>
      </c>
      <c r="H43" cm="1">
        <f t="array" aca="1" ref="H43" ca="1">INDIRECT(ADDRESS($B43,Plots!$H$3,,,Plots!$A$62))+INDIRECT(ADDRESS($B43,Plots!$H$3,,,Plots!$A$63))+INDIRECT(ADDRESS($B43,Plots!$H$3,,,Plots!$A$64))+INDIRECT(ADDRESS($B43,Plots!$H$3,,,Plots!$A$65))+INDIRECT(ADDRESS($B43,Plots!$H$3,,,Plots!$A$66))+INDIRECT(ADDRESS($B43,Plots!$H$3,,,Plots!$A$67))</f>
        <v>0</v>
      </c>
      <c r="I43">
        <f>'AARnetCBR-CamDTN1_tcpmon_ts_81'!H47+'AARnetCBR-CamDTN1_tcpmon_ts_82'!H47+'AARnetCBR-CamDTN1_tcpmon_ts_83'!H47+'AARnetCBR-CamDTN1_tcpmon_ts_84'!H47+'AARnetCBR-CamDTN1_tcpmon_ts_85'!H47+'AARnetCBR-CamDTN1_tcpmon_ts_86'!H47+'AARnetCBR-CamDTN1_tcpmon_ts_87'!H47+'AARnetCBR-CamDTN1_tcpmon_ts_88'!H47</f>
        <v>0</v>
      </c>
      <c r="L43" cm="1">
        <f t="array" aca="1" ref="L43" ca="1">INDIRECT(ADDRESS($B43,Plots!$H$4,,,Plots!$A$47))</f>
        <v>0</v>
      </c>
      <c r="M43" cm="1">
        <f t="array" aca="1" ref="M43" ca="1">INDIRECT(ADDRESS($B43,Plots!$H$4,,,Plots!$A$48))+INDIRECT(ADDRESS($B43,Plots!$H$4,,,Plots!$A$49))</f>
        <v>0</v>
      </c>
      <c r="N43" cm="1">
        <f t="array" aca="1" ref="N43" ca="1">INDIRECT(ADDRESS($B43,Plots!$H$4,,,Plots!$A$50))+INDIRECT(ADDRESS($B43,Plots!$H$4,,,Plots!$A$51))+INDIRECT(ADDRESS($B43,Plots!$H$4,,,Plots!$A$52))</f>
        <v>0</v>
      </c>
      <c r="O43" cm="1">
        <f t="array" aca="1" ref="O43" ca="1">INDIRECT(ADDRESS($B43,Plots!$H$4,,,Plots!$A$53))+INDIRECT(ADDRESS($B43,Plots!$H$4,,,Plots!$A$54))+INDIRECT(ADDRESS($B43,Plots!$H$4,,,Plots!$A$55))+INDIRECT(ADDRESS($B43,Plots!$H$4,,,Plots!$A$56))</f>
        <v>0</v>
      </c>
      <c r="P43" cm="1">
        <f t="array" aca="1" ref="P43" ca="1">INDIRECT(ADDRESS($B43,Plots!$H$4,,,Plots!$A$57))+INDIRECT(ADDRESS($B43,Plots!$H$4,,,Plots!$A$58))+INDIRECT(ADDRESS($B43,Plots!$H$4,,,Plots!$A$59))+INDIRECT(ADDRESS($B43,Plots!$H$4,,,Plots!$A$60))+INDIRECT(ADDRESS($B43,Plots!$H$4,,,Plots!$A$61))</f>
        <v>0</v>
      </c>
      <c r="Q43" cm="1">
        <f t="array" aca="1" ref="Q43" ca="1">INDIRECT(ADDRESS($B43,Plots!$H$4,,,Plots!$A$62))+INDIRECT(ADDRESS($B43,Plots!$H$4,,,Plots!$A$63))+INDIRECT(ADDRESS($B43,Plots!$H$4,,,Plots!$A$64))+INDIRECT(ADDRESS($B43,Plots!$H$4,,,Plots!$A$65))+INDIRECT(ADDRESS($B43,Plots!$H$4,,,Plots!$A$66))+INDIRECT(ADDRESS($B43,Plots!$H$4,,,Plots!$A$67))</f>
        <v>0</v>
      </c>
      <c r="R43">
        <f>'AARnetCBR-CamDTN1_tcpmon_ts_81'!J48+'AARnetCBR-CamDTN1_tcpmon_ts_82'!J48+'AARnetCBR-CamDTN1_tcpmon_ts_83'!J48+'AARnetCBR-CamDTN1_tcpmon_ts_84'!J48+'AARnetCBR-CamDTN1_tcpmon_ts_85'!J48+'AARnetCBR-CamDTN1_tcpmon_ts_86'!J48+'AARnetCBR-CamDTN1_tcpmon_ts_87'!J48+'AARnetCBR-CamDTN1_tcpmon_ts_88'!J48</f>
        <v>0</v>
      </c>
    </row>
    <row r="44" spans="1:18">
      <c r="A44" cm="1">
        <f t="array" aca="1" ref="A44" ca="1">INDIRECT(ADDRESS($B44,Plots!$H$6,,,Plots!$A$47))</f>
        <v>82</v>
      </c>
      <c r="B44">
        <f t="shared" si="0"/>
        <v>53</v>
      </c>
      <c r="C44" cm="1">
        <f t="array" aca="1" ref="C44" ca="1">INDIRECT(ADDRESS($B44,Plots!$H$3,,,Plots!$A$47))</f>
        <v>27.34</v>
      </c>
      <c r="D44" cm="1">
        <f t="array" aca="1" ref="D44" ca="1">INDIRECT(ADDRESS($B44,Plots!$H$3,,,Plots!$A$48))+INDIRECT(ADDRESS($B44,Plots!$H$3,,,Plots!$A$49))</f>
        <v>55.900000000000006</v>
      </c>
      <c r="E44" cm="1">
        <f t="array" aca="1" ref="E44" ca="1">INDIRECT(ADDRESS($B44,Plots!$H$3,,,Plots!$A$50))+INDIRECT(ADDRESS($B44,Plots!$H$3,,,Plots!$A$51))+INDIRECT(ADDRESS($B44,Plots!$H$3,,,Plots!$A$52))</f>
        <v>68.97</v>
      </c>
      <c r="F44" cm="1">
        <f t="array" aca="1" ref="F44" ca="1">INDIRECT(ADDRESS($B44,Plots!$H$3,,,Plots!$A$53))+INDIRECT(ADDRESS($B44,Plots!$H$3,,,Plots!$A$54))+INDIRECT(ADDRESS($B44,Plots!$H$3,,,Plots!$A$55))+INDIRECT(ADDRESS($B44,Plots!$H$3,,,Plots!$A$56))</f>
        <v>86.77</v>
      </c>
      <c r="G44" cm="1">
        <f t="array" aca="1" ref="G44" ca="1">INDIRECT(ADDRESS($B44,Plots!$H$3,,,Plots!$A$57))+INDIRECT(ADDRESS($B44,Plots!$H$3,,,Plots!$A$58))+INDIRECT(ADDRESS($B44,Plots!$H$3,,,Plots!$A$59))+INDIRECT(ADDRESS($B44,Plots!$H$3,,,Plots!$A$60))+INDIRECT(ADDRESS($B44,Plots!$H$3,,,Plots!$A$61))</f>
        <v>0</v>
      </c>
      <c r="H44" cm="1">
        <f t="array" aca="1" ref="H44" ca="1">INDIRECT(ADDRESS($B44,Plots!$H$3,,,Plots!$A$62))+INDIRECT(ADDRESS($B44,Plots!$H$3,,,Plots!$A$63))+INDIRECT(ADDRESS($B44,Plots!$H$3,,,Plots!$A$64))+INDIRECT(ADDRESS($B44,Plots!$H$3,,,Plots!$A$65))+INDIRECT(ADDRESS($B44,Plots!$H$3,,,Plots!$A$66))+INDIRECT(ADDRESS($B44,Plots!$H$3,,,Plots!$A$67))</f>
        <v>0</v>
      </c>
      <c r="I44">
        <f>'AARnetCBR-CamDTN1_tcpmon_ts_81'!H48+'AARnetCBR-CamDTN1_tcpmon_ts_82'!H48+'AARnetCBR-CamDTN1_tcpmon_ts_83'!H48+'AARnetCBR-CamDTN1_tcpmon_ts_84'!H48+'AARnetCBR-CamDTN1_tcpmon_ts_85'!H48+'AARnetCBR-CamDTN1_tcpmon_ts_86'!H48+'AARnetCBR-CamDTN1_tcpmon_ts_87'!H48+'AARnetCBR-CamDTN1_tcpmon_ts_88'!H48</f>
        <v>0</v>
      </c>
      <c r="L44" cm="1">
        <f t="array" aca="1" ref="L44" ca="1">INDIRECT(ADDRESS($B44,Plots!$H$4,,,Plots!$A$47))</f>
        <v>0</v>
      </c>
      <c r="M44" cm="1">
        <f t="array" aca="1" ref="M44" ca="1">INDIRECT(ADDRESS($B44,Plots!$H$4,,,Plots!$A$48))+INDIRECT(ADDRESS($B44,Plots!$H$4,,,Plots!$A$49))</f>
        <v>0</v>
      </c>
      <c r="N44" cm="1">
        <f t="array" aca="1" ref="N44" ca="1">INDIRECT(ADDRESS($B44,Plots!$H$4,,,Plots!$A$50))+INDIRECT(ADDRESS($B44,Plots!$H$4,,,Plots!$A$51))+INDIRECT(ADDRESS($B44,Plots!$H$4,,,Plots!$A$52))</f>
        <v>0</v>
      </c>
      <c r="O44" cm="1">
        <f t="array" aca="1" ref="O44" ca="1">INDIRECT(ADDRESS($B44,Plots!$H$4,,,Plots!$A$53))+INDIRECT(ADDRESS($B44,Plots!$H$4,,,Plots!$A$54))+INDIRECT(ADDRESS($B44,Plots!$H$4,,,Plots!$A$55))+INDIRECT(ADDRESS($B44,Plots!$H$4,,,Plots!$A$56))</f>
        <v>0</v>
      </c>
      <c r="P44" cm="1">
        <f t="array" aca="1" ref="P44" ca="1">INDIRECT(ADDRESS($B44,Plots!$H$4,,,Plots!$A$57))+INDIRECT(ADDRESS($B44,Plots!$H$4,,,Plots!$A$58))+INDIRECT(ADDRESS($B44,Plots!$H$4,,,Plots!$A$59))+INDIRECT(ADDRESS($B44,Plots!$H$4,,,Plots!$A$60))+INDIRECT(ADDRESS($B44,Plots!$H$4,,,Plots!$A$61))</f>
        <v>0</v>
      </c>
      <c r="Q44" cm="1">
        <f t="array" aca="1" ref="Q44" ca="1">INDIRECT(ADDRESS($B44,Plots!$H$4,,,Plots!$A$62))+INDIRECT(ADDRESS($B44,Plots!$H$4,,,Plots!$A$63))+INDIRECT(ADDRESS($B44,Plots!$H$4,,,Plots!$A$64))+INDIRECT(ADDRESS($B44,Plots!$H$4,,,Plots!$A$65))+INDIRECT(ADDRESS($B44,Plots!$H$4,,,Plots!$A$66))+INDIRECT(ADDRESS($B44,Plots!$H$4,,,Plots!$A$67))</f>
        <v>0</v>
      </c>
      <c r="R44">
        <f>'AARnetCBR-CamDTN1_tcpmon_ts_81'!J49+'AARnetCBR-CamDTN1_tcpmon_ts_82'!J49+'AARnetCBR-CamDTN1_tcpmon_ts_83'!J49+'AARnetCBR-CamDTN1_tcpmon_ts_84'!J49+'AARnetCBR-CamDTN1_tcpmon_ts_85'!J49+'AARnetCBR-CamDTN1_tcpmon_ts_86'!J49+'AARnetCBR-CamDTN1_tcpmon_ts_87'!J49+'AARnetCBR-CamDTN1_tcpmon_ts_88'!J49</f>
        <v>0</v>
      </c>
    </row>
    <row r="45" spans="1:18">
      <c r="A45" cm="1">
        <f t="array" aca="1" ref="A45" ca="1">INDIRECT(ADDRESS($B45,Plots!$H$6,,,Plots!$A$47))</f>
        <v>84</v>
      </c>
      <c r="B45">
        <f t="shared" si="0"/>
        <v>54</v>
      </c>
      <c r="C45" cm="1">
        <f t="array" aca="1" ref="C45" ca="1">INDIRECT(ADDRESS($B45,Plots!$H$3,,,Plots!$A$47))</f>
        <v>25.43</v>
      </c>
      <c r="D45" cm="1">
        <f t="array" aca="1" ref="D45" ca="1">INDIRECT(ADDRESS($B45,Plots!$H$3,,,Plots!$A$48))+INDIRECT(ADDRESS($B45,Plots!$H$3,,,Plots!$A$49))</f>
        <v>55.870000000000005</v>
      </c>
      <c r="E45" cm="1">
        <f t="array" aca="1" ref="E45" ca="1">INDIRECT(ADDRESS($B45,Plots!$H$3,,,Plots!$A$50))+INDIRECT(ADDRESS($B45,Plots!$H$3,,,Plots!$A$51))+INDIRECT(ADDRESS($B45,Plots!$H$3,,,Plots!$A$52))</f>
        <v>63.429999999999993</v>
      </c>
      <c r="F45" cm="1">
        <f t="array" aca="1" ref="F45" ca="1">INDIRECT(ADDRESS($B45,Plots!$H$3,,,Plots!$A$53))+INDIRECT(ADDRESS($B45,Plots!$H$3,,,Plots!$A$54))+INDIRECT(ADDRESS($B45,Plots!$H$3,,,Plots!$A$55))+INDIRECT(ADDRESS($B45,Plots!$H$3,,,Plots!$A$56))</f>
        <v>91.38000000000001</v>
      </c>
      <c r="G45" cm="1">
        <f t="array" aca="1" ref="G45" ca="1">INDIRECT(ADDRESS($B45,Plots!$H$3,,,Plots!$A$57))+INDIRECT(ADDRESS($B45,Plots!$H$3,,,Plots!$A$58))+INDIRECT(ADDRESS($B45,Plots!$H$3,,,Plots!$A$59))+INDIRECT(ADDRESS($B45,Plots!$H$3,,,Plots!$A$60))+INDIRECT(ADDRESS($B45,Plots!$H$3,,,Plots!$A$61))</f>
        <v>0</v>
      </c>
      <c r="H45" cm="1">
        <f t="array" aca="1" ref="H45" ca="1">INDIRECT(ADDRESS($B45,Plots!$H$3,,,Plots!$A$62))+INDIRECT(ADDRESS($B45,Plots!$H$3,,,Plots!$A$63))+INDIRECT(ADDRESS($B45,Plots!$H$3,,,Plots!$A$64))+INDIRECT(ADDRESS($B45,Plots!$H$3,,,Plots!$A$65))+INDIRECT(ADDRESS($B45,Plots!$H$3,,,Plots!$A$66))+INDIRECT(ADDRESS($B45,Plots!$H$3,,,Plots!$A$67))</f>
        <v>0</v>
      </c>
      <c r="I45">
        <f>'AARnetCBR-CamDTN1_tcpmon_ts_81'!H49+'AARnetCBR-CamDTN1_tcpmon_ts_82'!H49+'AARnetCBR-CamDTN1_tcpmon_ts_83'!H49+'AARnetCBR-CamDTN1_tcpmon_ts_84'!H49+'AARnetCBR-CamDTN1_tcpmon_ts_85'!H49+'AARnetCBR-CamDTN1_tcpmon_ts_86'!H49+'AARnetCBR-CamDTN1_tcpmon_ts_87'!H49+'AARnetCBR-CamDTN1_tcpmon_ts_88'!H49</f>
        <v>0</v>
      </c>
      <c r="L45" cm="1">
        <f t="array" aca="1" ref="L45" ca="1">INDIRECT(ADDRESS($B45,Plots!$H$4,,,Plots!$A$47))</f>
        <v>0</v>
      </c>
      <c r="M45" cm="1">
        <f t="array" aca="1" ref="M45" ca="1">INDIRECT(ADDRESS($B45,Plots!$H$4,,,Plots!$A$48))+INDIRECT(ADDRESS($B45,Plots!$H$4,,,Plots!$A$49))</f>
        <v>0</v>
      </c>
      <c r="N45" cm="1">
        <f t="array" aca="1" ref="N45" ca="1">INDIRECT(ADDRESS($B45,Plots!$H$4,,,Plots!$A$50))+INDIRECT(ADDRESS($B45,Plots!$H$4,,,Plots!$A$51))+INDIRECT(ADDRESS($B45,Plots!$H$4,,,Plots!$A$52))</f>
        <v>0</v>
      </c>
      <c r="O45" cm="1">
        <f t="array" aca="1" ref="O45" ca="1">INDIRECT(ADDRESS($B45,Plots!$H$4,,,Plots!$A$53))+INDIRECT(ADDRESS($B45,Plots!$H$4,,,Plots!$A$54))+INDIRECT(ADDRESS($B45,Plots!$H$4,,,Plots!$A$55))+INDIRECT(ADDRESS($B45,Plots!$H$4,,,Plots!$A$56))</f>
        <v>0</v>
      </c>
      <c r="P45" cm="1">
        <f t="array" aca="1" ref="P45" ca="1">INDIRECT(ADDRESS($B45,Plots!$H$4,,,Plots!$A$57))+INDIRECT(ADDRESS($B45,Plots!$H$4,,,Plots!$A$58))+INDIRECT(ADDRESS($B45,Plots!$H$4,,,Plots!$A$59))+INDIRECT(ADDRESS($B45,Plots!$H$4,,,Plots!$A$60))+INDIRECT(ADDRESS($B45,Plots!$H$4,,,Plots!$A$61))</f>
        <v>0</v>
      </c>
      <c r="Q45" cm="1">
        <f t="array" aca="1" ref="Q45" ca="1">INDIRECT(ADDRESS($B45,Plots!$H$4,,,Plots!$A$62))+INDIRECT(ADDRESS($B45,Plots!$H$4,,,Plots!$A$63))+INDIRECT(ADDRESS($B45,Plots!$H$4,,,Plots!$A$64))+INDIRECT(ADDRESS($B45,Plots!$H$4,,,Plots!$A$65))+INDIRECT(ADDRESS($B45,Plots!$H$4,,,Plots!$A$66))+INDIRECT(ADDRESS($B45,Plots!$H$4,,,Plots!$A$67))</f>
        <v>0</v>
      </c>
      <c r="R45">
        <f>'AARnetCBR-CamDTN1_tcpmon_ts_81'!J50+'AARnetCBR-CamDTN1_tcpmon_ts_82'!J50+'AARnetCBR-CamDTN1_tcpmon_ts_83'!J50+'AARnetCBR-CamDTN1_tcpmon_ts_84'!J50+'AARnetCBR-CamDTN1_tcpmon_ts_85'!J50+'AARnetCBR-CamDTN1_tcpmon_ts_86'!J50+'AARnetCBR-CamDTN1_tcpmon_ts_87'!J50+'AARnetCBR-CamDTN1_tcpmon_ts_88'!J50</f>
        <v>0</v>
      </c>
    </row>
    <row r="46" spans="1:18">
      <c r="A46" cm="1">
        <f t="array" aca="1" ref="A46" ca="1">INDIRECT(ADDRESS($B46,Plots!$H$6,,,Plots!$A$47))</f>
        <v>86</v>
      </c>
      <c r="B46">
        <f t="shared" si="0"/>
        <v>55</v>
      </c>
      <c r="C46" cm="1">
        <f t="array" aca="1" ref="C46" ca="1">INDIRECT(ADDRESS($B46,Plots!$H$3,,,Plots!$A$47))</f>
        <v>26.22</v>
      </c>
      <c r="D46" cm="1">
        <f t="array" aca="1" ref="D46" ca="1">INDIRECT(ADDRESS($B46,Plots!$H$3,,,Plots!$A$48))+INDIRECT(ADDRESS($B46,Plots!$H$3,,,Plots!$A$49))</f>
        <v>58.58</v>
      </c>
      <c r="E46" cm="1">
        <f t="array" aca="1" ref="E46" ca="1">INDIRECT(ADDRESS($B46,Plots!$H$3,,,Plots!$A$50))+INDIRECT(ADDRESS($B46,Plots!$H$3,,,Plots!$A$51))+INDIRECT(ADDRESS($B46,Plots!$H$3,,,Plots!$A$52))</f>
        <v>73.95</v>
      </c>
      <c r="F46" cm="1">
        <f t="array" aca="1" ref="F46" ca="1">INDIRECT(ADDRESS($B46,Plots!$H$3,,,Plots!$A$53))+INDIRECT(ADDRESS($B46,Plots!$H$3,,,Plots!$A$54))+INDIRECT(ADDRESS($B46,Plots!$H$3,,,Plots!$A$55))+INDIRECT(ADDRESS($B46,Plots!$H$3,,,Plots!$A$56))</f>
        <v>82.43</v>
      </c>
      <c r="G46" cm="1">
        <f t="array" aca="1" ref="G46" ca="1">INDIRECT(ADDRESS($B46,Plots!$H$3,,,Plots!$A$57))+INDIRECT(ADDRESS($B46,Plots!$H$3,,,Plots!$A$58))+INDIRECT(ADDRESS($B46,Plots!$H$3,,,Plots!$A$59))+INDIRECT(ADDRESS($B46,Plots!$H$3,,,Plots!$A$60))+INDIRECT(ADDRESS($B46,Plots!$H$3,,,Plots!$A$61))</f>
        <v>0</v>
      </c>
      <c r="H46" cm="1">
        <f t="array" aca="1" ref="H46" ca="1">INDIRECT(ADDRESS($B46,Plots!$H$3,,,Plots!$A$62))+INDIRECT(ADDRESS($B46,Plots!$H$3,,,Plots!$A$63))+INDIRECT(ADDRESS($B46,Plots!$H$3,,,Plots!$A$64))+INDIRECT(ADDRESS($B46,Plots!$H$3,,,Plots!$A$65))+INDIRECT(ADDRESS($B46,Plots!$H$3,,,Plots!$A$66))+INDIRECT(ADDRESS($B46,Plots!$H$3,,,Plots!$A$67))</f>
        <v>0</v>
      </c>
      <c r="I46">
        <f>'AARnetCBR-CamDTN1_tcpmon_ts_81'!H50+'AARnetCBR-CamDTN1_tcpmon_ts_82'!H50+'AARnetCBR-CamDTN1_tcpmon_ts_83'!H50+'AARnetCBR-CamDTN1_tcpmon_ts_84'!H50+'AARnetCBR-CamDTN1_tcpmon_ts_85'!H50+'AARnetCBR-CamDTN1_tcpmon_ts_86'!H50+'AARnetCBR-CamDTN1_tcpmon_ts_87'!H50+'AARnetCBR-CamDTN1_tcpmon_ts_88'!H50</f>
        <v>0</v>
      </c>
      <c r="L46" cm="1">
        <f t="array" aca="1" ref="L46" ca="1">INDIRECT(ADDRESS($B46,Plots!$H$4,,,Plots!$A$47))</f>
        <v>0</v>
      </c>
      <c r="M46" cm="1">
        <f t="array" aca="1" ref="M46" ca="1">INDIRECT(ADDRESS($B46,Plots!$H$4,,,Plots!$A$48))+INDIRECT(ADDRESS($B46,Plots!$H$4,,,Plots!$A$49))</f>
        <v>0</v>
      </c>
      <c r="N46" cm="1">
        <f t="array" aca="1" ref="N46" ca="1">INDIRECT(ADDRESS($B46,Plots!$H$4,,,Plots!$A$50))+INDIRECT(ADDRESS($B46,Plots!$H$4,,,Plots!$A$51))+INDIRECT(ADDRESS($B46,Plots!$H$4,,,Plots!$A$52))</f>
        <v>0</v>
      </c>
      <c r="O46" cm="1">
        <f t="array" aca="1" ref="O46" ca="1">INDIRECT(ADDRESS($B46,Plots!$H$4,,,Plots!$A$53))+INDIRECT(ADDRESS($B46,Plots!$H$4,,,Plots!$A$54))+INDIRECT(ADDRESS($B46,Plots!$H$4,,,Plots!$A$55))+INDIRECT(ADDRESS($B46,Plots!$H$4,,,Plots!$A$56))</f>
        <v>0</v>
      </c>
      <c r="P46" cm="1">
        <f t="array" aca="1" ref="P46" ca="1">INDIRECT(ADDRESS($B46,Plots!$H$4,,,Plots!$A$57))+INDIRECT(ADDRESS($B46,Plots!$H$4,,,Plots!$A$58))+INDIRECT(ADDRESS($B46,Plots!$H$4,,,Plots!$A$59))+INDIRECT(ADDRESS($B46,Plots!$H$4,,,Plots!$A$60))+INDIRECT(ADDRESS($B46,Plots!$H$4,,,Plots!$A$61))</f>
        <v>0</v>
      </c>
      <c r="Q46" cm="1">
        <f t="array" aca="1" ref="Q46" ca="1">INDIRECT(ADDRESS($B46,Plots!$H$4,,,Plots!$A$62))+INDIRECT(ADDRESS($B46,Plots!$H$4,,,Plots!$A$63))+INDIRECT(ADDRESS($B46,Plots!$H$4,,,Plots!$A$64))+INDIRECT(ADDRESS($B46,Plots!$H$4,,,Plots!$A$65))+INDIRECT(ADDRESS($B46,Plots!$H$4,,,Plots!$A$66))+INDIRECT(ADDRESS($B46,Plots!$H$4,,,Plots!$A$67))</f>
        <v>0</v>
      </c>
      <c r="R46">
        <f>'AARnetCBR-CamDTN1_tcpmon_ts_81'!J51+'AARnetCBR-CamDTN1_tcpmon_ts_82'!J51+'AARnetCBR-CamDTN1_tcpmon_ts_83'!J51+'AARnetCBR-CamDTN1_tcpmon_ts_84'!J51+'AARnetCBR-CamDTN1_tcpmon_ts_85'!J51+'AARnetCBR-CamDTN1_tcpmon_ts_86'!J51+'AARnetCBR-CamDTN1_tcpmon_ts_87'!J51+'AARnetCBR-CamDTN1_tcpmon_ts_88'!J51</f>
        <v>0</v>
      </c>
    </row>
    <row r="47" spans="1:18">
      <c r="A47" cm="1">
        <f t="array" aca="1" ref="A47" ca="1">INDIRECT(ADDRESS($B47,Plots!$H$6,,,Plots!$A$47))</f>
        <v>88</v>
      </c>
      <c r="B47">
        <f t="shared" si="0"/>
        <v>56</v>
      </c>
      <c r="C47" cm="1">
        <f t="array" aca="1" ref="C47" ca="1">INDIRECT(ADDRESS($B47,Plots!$H$3,,,Plots!$A$47))</f>
        <v>26.38</v>
      </c>
      <c r="D47" cm="1">
        <f t="array" aca="1" ref="D47" ca="1">INDIRECT(ADDRESS($B47,Plots!$H$3,,,Plots!$A$48))+INDIRECT(ADDRESS($B47,Plots!$H$3,,,Plots!$A$49))</f>
        <v>61.04</v>
      </c>
      <c r="E47" cm="1">
        <f t="array" aca="1" ref="E47" ca="1">INDIRECT(ADDRESS($B47,Plots!$H$3,,,Plots!$A$50))+INDIRECT(ADDRESS($B47,Plots!$H$3,,,Plots!$A$51))+INDIRECT(ADDRESS($B47,Plots!$H$3,,,Plots!$A$52))</f>
        <v>59.83</v>
      </c>
      <c r="F47" cm="1">
        <f t="array" aca="1" ref="F47" ca="1">INDIRECT(ADDRESS($B47,Plots!$H$3,,,Plots!$A$53))+INDIRECT(ADDRESS($B47,Plots!$H$3,,,Plots!$A$54))+INDIRECT(ADDRESS($B47,Plots!$H$3,,,Plots!$A$55))+INDIRECT(ADDRESS($B47,Plots!$H$3,,,Plots!$A$56))</f>
        <v>89.05</v>
      </c>
      <c r="G47" cm="1">
        <f t="array" aca="1" ref="G47" ca="1">INDIRECT(ADDRESS($B47,Plots!$H$3,,,Plots!$A$57))+INDIRECT(ADDRESS($B47,Plots!$H$3,,,Plots!$A$58))+INDIRECT(ADDRESS($B47,Plots!$H$3,,,Plots!$A$59))+INDIRECT(ADDRESS($B47,Plots!$H$3,,,Plots!$A$60))+INDIRECT(ADDRESS($B47,Plots!$H$3,,,Plots!$A$61))</f>
        <v>0</v>
      </c>
      <c r="H47" cm="1">
        <f t="array" aca="1" ref="H47" ca="1">INDIRECT(ADDRESS($B47,Plots!$H$3,,,Plots!$A$62))+INDIRECT(ADDRESS($B47,Plots!$H$3,,,Plots!$A$63))+INDIRECT(ADDRESS($B47,Plots!$H$3,,,Plots!$A$64))+INDIRECT(ADDRESS($B47,Plots!$H$3,,,Plots!$A$65))+INDIRECT(ADDRESS($B47,Plots!$H$3,,,Plots!$A$66))+INDIRECT(ADDRESS($B47,Plots!$H$3,,,Plots!$A$67))</f>
        <v>0</v>
      </c>
      <c r="I47">
        <f>'AARnetCBR-CamDTN1_tcpmon_ts_81'!H51+'AARnetCBR-CamDTN1_tcpmon_ts_82'!H51+'AARnetCBR-CamDTN1_tcpmon_ts_83'!H51+'AARnetCBR-CamDTN1_tcpmon_ts_84'!H51+'AARnetCBR-CamDTN1_tcpmon_ts_85'!H51+'AARnetCBR-CamDTN1_tcpmon_ts_86'!H51+'AARnetCBR-CamDTN1_tcpmon_ts_87'!H51+'AARnetCBR-CamDTN1_tcpmon_ts_88'!H51</f>
        <v>0</v>
      </c>
      <c r="L47" cm="1">
        <f t="array" aca="1" ref="L47" ca="1">INDIRECT(ADDRESS($B47,Plots!$H$4,,,Plots!$A$47))</f>
        <v>0</v>
      </c>
      <c r="M47" cm="1">
        <f t="array" aca="1" ref="M47" ca="1">INDIRECT(ADDRESS($B47,Plots!$H$4,,,Plots!$A$48))+INDIRECT(ADDRESS($B47,Plots!$H$4,,,Plots!$A$49))</f>
        <v>0</v>
      </c>
      <c r="N47" cm="1">
        <f t="array" aca="1" ref="N47" ca="1">INDIRECT(ADDRESS($B47,Plots!$H$4,,,Plots!$A$50))+INDIRECT(ADDRESS($B47,Plots!$H$4,,,Plots!$A$51))+INDIRECT(ADDRESS($B47,Plots!$H$4,,,Plots!$A$52))</f>
        <v>0</v>
      </c>
      <c r="O47" cm="1">
        <f t="array" aca="1" ref="O47" ca="1">INDIRECT(ADDRESS($B47,Plots!$H$4,,,Plots!$A$53))+INDIRECT(ADDRESS($B47,Plots!$H$4,,,Plots!$A$54))+INDIRECT(ADDRESS($B47,Plots!$H$4,,,Plots!$A$55))+INDIRECT(ADDRESS($B47,Plots!$H$4,,,Plots!$A$56))</f>
        <v>0</v>
      </c>
      <c r="P47" cm="1">
        <f t="array" aca="1" ref="P47" ca="1">INDIRECT(ADDRESS($B47,Plots!$H$4,,,Plots!$A$57))+INDIRECT(ADDRESS($B47,Plots!$H$4,,,Plots!$A$58))+INDIRECT(ADDRESS($B47,Plots!$H$4,,,Plots!$A$59))+INDIRECT(ADDRESS($B47,Plots!$H$4,,,Plots!$A$60))+INDIRECT(ADDRESS($B47,Plots!$H$4,,,Plots!$A$61))</f>
        <v>0</v>
      </c>
      <c r="Q47" cm="1">
        <f t="array" aca="1" ref="Q47" ca="1">INDIRECT(ADDRESS($B47,Plots!$H$4,,,Plots!$A$62))+INDIRECT(ADDRESS($B47,Plots!$H$4,,,Plots!$A$63))+INDIRECT(ADDRESS($B47,Plots!$H$4,,,Plots!$A$64))+INDIRECT(ADDRESS($B47,Plots!$H$4,,,Plots!$A$65))+INDIRECT(ADDRESS($B47,Plots!$H$4,,,Plots!$A$66))+INDIRECT(ADDRESS($B47,Plots!$H$4,,,Plots!$A$67))</f>
        <v>0</v>
      </c>
      <c r="R47">
        <f>'AARnetCBR-CamDTN1_tcpmon_ts_81'!J52+'AARnetCBR-CamDTN1_tcpmon_ts_82'!J52+'AARnetCBR-CamDTN1_tcpmon_ts_83'!J52+'AARnetCBR-CamDTN1_tcpmon_ts_84'!J52+'AARnetCBR-CamDTN1_tcpmon_ts_85'!J52+'AARnetCBR-CamDTN1_tcpmon_ts_86'!J52+'AARnetCBR-CamDTN1_tcpmon_ts_87'!J52+'AARnetCBR-CamDTN1_tcpmon_ts_88'!J52</f>
        <v>0</v>
      </c>
    </row>
    <row r="48" spans="1:18">
      <c r="A48" cm="1">
        <f t="array" aca="1" ref="A48" ca="1">INDIRECT(ADDRESS($B48,Plots!$H$6,,,Plots!$A$47))</f>
        <v>90</v>
      </c>
      <c r="B48">
        <f t="shared" si="0"/>
        <v>57</v>
      </c>
      <c r="C48" cm="1">
        <f t="array" aca="1" ref="C48" ca="1">INDIRECT(ADDRESS($B48,Plots!$H$3,,,Plots!$A$47))</f>
        <v>26.35</v>
      </c>
      <c r="D48" cm="1">
        <f t="array" aca="1" ref="D48" ca="1">INDIRECT(ADDRESS($B48,Plots!$H$3,,,Plots!$A$48))+INDIRECT(ADDRESS($B48,Plots!$H$3,,,Plots!$A$49))</f>
        <v>55.72</v>
      </c>
      <c r="E48" cm="1">
        <f t="array" aca="1" ref="E48" ca="1">INDIRECT(ADDRESS($B48,Plots!$H$3,,,Plots!$A$50))+INDIRECT(ADDRESS($B48,Plots!$H$3,,,Plots!$A$51))+INDIRECT(ADDRESS($B48,Plots!$H$3,,,Plots!$A$52))</f>
        <v>73.06</v>
      </c>
      <c r="F48" cm="1">
        <f t="array" aca="1" ref="F48" ca="1">INDIRECT(ADDRESS($B48,Plots!$H$3,,,Plots!$A$53))+INDIRECT(ADDRESS($B48,Plots!$H$3,,,Plots!$A$54))+INDIRECT(ADDRESS($B48,Plots!$H$3,,,Plots!$A$55))+INDIRECT(ADDRESS($B48,Plots!$H$3,,,Plots!$A$56))</f>
        <v>90.43</v>
      </c>
      <c r="G48" cm="1">
        <f t="array" aca="1" ref="G48" ca="1">INDIRECT(ADDRESS($B48,Plots!$H$3,,,Plots!$A$57))+INDIRECT(ADDRESS($B48,Plots!$H$3,,,Plots!$A$58))+INDIRECT(ADDRESS($B48,Plots!$H$3,,,Plots!$A$59))+INDIRECT(ADDRESS($B48,Plots!$H$3,,,Plots!$A$60))+INDIRECT(ADDRESS($B48,Plots!$H$3,,,Plots!$A$61))</f>
        <v>0</v>
      </c>
      <c r="H48" cm="1">
        <f t="array" aca="1" ref="H48" ca="1">INDIRECT(ADDRESS($B48,Plots!$H$3,,,Plots!$A$62))+INDIRECT(ADDRESS($B48,Plots!$H$3,,,Plots!$A$63))+INDIRECT(ADDRESS($B48,Plots!$H$3,,,Plots!$A$64))+INDIRECT(ADDRESS($B48,Plots!$H$3,,,Plots!$A$65))+INDIRECT(ADDRESS($B48,Plots!$H$3,,,Plots!$A$66))+INDIRECT(ADDRESS($B48,Plots!$H$3,,,Plots!$A$67))</f>
        <v>0</v>
      </c>
      <c r="I48">
        <f>'AARnetCBR-CamDTN1_tcpmon_ts_81'!H52+'AARnetCBR-CamDTN1_tcpmon_ts_82'!H52+'AARnetCBR-CamDTN1_tcpmon_ts_83'!H52+'AARnetCBR-CamDTN1_tcpmon_ts_84'!H52+'AARnetCBR-CamDTN1_tcpmon_ts_85'!H52+'AARnetCBR-CamDTN1_tcpmon_ts_86'!H52+'AARnetCBR-CamDTN1_tcpmon_ts_87'!H52+'AARnetCBR-CamDTN1_tcpmon_ts_88'!H52</f>
        <v>0</v>
      </c>
      <c r="L48" cm="1">
        <f t="array" aca="1" ref="L48" ca="1">INDIRECT(ADDRESS($B48,Plots!$H$4,,,Plots!$A$47))</f>
        <v>0</v>
      </c>
      <c r="M48" cm="1">
        <f t="array" aca="1" ref="M48" ca="1">INDIRECT(ADDRESS($B48,Plots!$H$4,,,Plots!$A$48))+INDIRECT(ADDRESS($B48,Plots!$H$4,,,Plots!$A$49))</f>
        <v>0</v>
      </c>
      <c r="N48" cm="1">
        <f t="array" aca="1" ref="N48" ca="1">INDIRECT(ADDRESS($B48,Plots!$H$4,,,Plots!$A$50))+INDIRECT(ADDRESS($B48,Plots!$H$4,,,Plots!$A$51))+INDIRECT(ADDRESS($B48,Plots!$H$4,,,Plots!$A$52))</f>
        <v>0</v>
      </c>
      <c r="O48" cm="1">
        <f t="array" aca="1" ref="O48" ca="1">INDIRECT(ADDRESS($B48,Plots!$H$4,,,Plots!$A$53))+INDIRECT(ADDRESS($B48,Plots!$H$4,,,Plots!$A$54))+INDIRECT(ADDRESS($B48,Plots!$H$4,,,Plots!$A$55))+INDIRECT(ADDRESS($B48,Plots!$H$4,,,Plots!$A$56))</f>
        <v>0</v>
      </c>
      <c r="P48" cm="1">
        <f t="array" aca="1" ref="P48" ca="1">INDIRECT(ADDRESS($B48,Plots!$H$4,,,Plots!$A$57))+INDIRECT(ADDRESS($B48,Plots!$H$4,,,Plots!$A$58))+INDIRECT(ADDRESS($B48,Plots!$H$4,,,Plots!$A$59))+INDIRECT(ADDRESS($B48,Plots!$H$4,,,Plots!$A$60))+INDIRECT(ADDRESS($B48,Plots!$H$4,,,Plots!$A$61))</f>
        <v>0</v>
      </c>
      <c r="Q48" cm="1">
        <f t="array" aca="1" ref="Q48" ca="1">INDIRECT(ADDRESS($B48,Plots!$H$4,,,Plots!$A$62))+INDIRECT(ADDRESS($B48,Plots!$H$4,,,Plots!$A$63))+INDIRECT(ADDRESS($B48,Plots!$H$4,,,Plots!$A$64))+INDIRECT(ADDRESS($B48,Plots!$H$4,,,Plots!$A$65))+INDIRECT(ADDRESS($B48,Plots!$H$4,,,Plots!$A$66))+INDIRECT(ADDRESS($B48,Plots!$H$4,,,Plots!$A$67))</f>
        <v>0</v>
      </c>
      <c r="R48">
        <f>'AARnetCBR-CamDTN1_tcpmon_ts_81'!J53+'AARnetCBR-CamDTN1_tcpmon_ts_82'!J53+'AARnetCBR-CamDTN1_tcpmon_ts_83'!J53+'AARnetCBR-CamDTN1_tcpmon_ts_84'!J53+'AARnetCBR-CamDTN1_tcpmon_ts_85'!J53+'AARnetCBR-CamDTN1_tcpmon_ts_86'!J53+'AARnetCBR-CamDTN1_tcpmon_ts_87'!J53+'AARnetCBR-CamDTN1_tcpmon_ts_88'!J53</f>
        <v>0</v>
      </c>
    </row>
    <row r="49" spans="1:18">
      <c r="A49" cm="1">
        <f t="array" aca="1" ref="A49" ca="1">INDIRECT(ADDRESS($B49,Plots!$H$6,,,Plots!$A$47))</f>
        <v>92</v>
      </c>
      <c r="B49">
        <f t="shared" si="0"/>
        <v>58</v>
      </c>
      <c r="C49" cm="1">
        <f t="array" aca="1" ref="C49" ca="1">INDIRECT(ADDRESS($B49,Plots!$H$3,,,Plots!$A$47))</f>
        <v>25.08</v>
      </c>
      <c r="D49" cm="1">
        <f t="array" aca="1" ref="D49" ca="1">INDIRECT(ADDRESS($B49,Plots!$H$3,,,Plots!$A$48))+INDIRECT(ADDRESS($B49,Plots!$H$3,,,Plots!$A$49))</f>
        <v>55.97</v>
      </c>
      <c r="E49" cm="1">
        <f t="array" aca="1" ref="E49" ca="1">INDIRECT(ADDRESS($B49,Plots!$H$3,,,Plots!$A$50))+INDIRECT(ADDRESS($B49,Plots!$H$3,,,Plots!$A$51))+INDIRECT(ADDRESS($B49,Plots!$H$3,,,Plots!$A$52))</f>
        <v>62.43</v>
      </c>
      <c r="F49" cm="1">
        <f t="array" aca="1" ref="F49" ca="1">INDIRECT(ADDRESS($B49,Plots!$H$3,,,Plots!$A$53))+INDIRECT(ADDRESS($B49,Plots!$H$3,,,Plots!$A$54))+INDIRECT(ADDRESS($B49,Plots!$H$3,,,Plots!$A$55))+INDIRECT(ADDRESS($B49,Plots!$H$3,,,Plots!$A$56))</f>
        <v>85.36999999999999</v>
      </c>
      <c r="G49" cm="1">
        <f t="array" aca="1" ref="G49" ca="1">INDIRECT(ADDRESS($B49,Plots!$H$3,,,Plots!$A$57))+INDIRECT(ADDRESS($B49,Plots!$H$3,,,Plots!$A$58))+INDIRECT(ADDRESS($B49,Plots!$H$3,,,Plots!$A$59))+INDIRECT(ADDRESS($B49,Plots!$H$3,,,Plots!$A$60))+INDIRECT(ADDRESS($B49,Plots!$H$3,,,Plots!$A$61))</f>
        <v>0</v>
      </c>
      <c r="H49" cm="1">
        <f t="array" aca="1" ref="H49" ca="1">INDIRECT(ADDRESS($B49,Plots!$H$3,,,Plots!$A$62))+INDIRECT(ADDRESS($B49,Plots!$H$3,,,Plots!$A$63))+INDIRECT(ADDRESS($B49,Plots!$H$3,,,Plots!$A$64))+INDIRECT(ADDRESS($B49,Plots!$H$3,,,Plots!$A$65))+INDIRECT(ADDRESS($B49,Plots!$H$3,,,Plots!$A$66))+INDIRECT(ADDRESS($B49,Plots!$H$3,,,Plots!$A$67))</f>
        <v>0</v>
      </c>
      <c r="I49">
        <f>'AARnetCBR-CamDTN1_tcpmon_ts_81'!H53+'AARnetCBR-CamDTN1_tcpmon_ts_82'!H53+'AARnetCBR-CamDTN1_tcpmon_ts_83'!H53+'AARnetCBR-CamDTN1_tcpmon_ts_84'!H53+'AARnetCBR-CamDTN1_tcpmon_ts_85'!H53+'AARnetCBR-CamDTN1_tcpmon_ts_86'!H53+'AARnetCBR-CamDTN1_tcpmon_ts_87'!H53+'AARnetCBR-CamDTN1_tcpmon_ts_88'!H53</f>
        <v>0</v>
      </c>
      <c r="L49" cm="1">
        <f t="array" aca="1" ref="L49" ca="1">INDIRECT(ADDRESS($B49,Plots!$H$4,,,Plots!$A$47))</f>
        <v>0</v>
      </c>
      <c r="M49" cm="1">
        <f t="array" aca="1" ref="M49" ca="1">INDIRECT(ADDRESS($B49,Plots!$H$4,,,Plots!$A$48))+INDIRECT(ADDRESS($B49,Plots!$H$4,,,Plots!$A$49))</f>
        <v>0</v>
      </c>
      <c r="N49" cm="1">
        <f t="array" aca="1" ref="N49" ca="1">INDIRECT(ADDRESS($B49,Plots!$H$4,,,Plots!$A$50))+INDIRECT(ADDRESS($B49,Plots!$H$4,,,Plots!$A$51))+INDIRECT(ADDRESS($B49,Plots!$H$4,,,Plots!$A$52))</f>
        <v>0</v>
      </c>
      <c r="O49" cm="1">
        <f t="array" aca="1" ref="O49" ca="1">INDIRECT(ADDRESS($B49,Plots!$H$4,,,Plots!$A$53))+INDIRECT(ADDRESS($B49,Plots!$H$4,,,Plots!$A$54))+INDIRECT(ADDRESS($B49,Plots!$H$4,,,Plots!$A$55))+INDIRECT(ADDRESS($B49,Plots!$H$4,,,Plots!$A$56))</f>
        <v>0</v>
      </c>
      <c r="P49" cm="1">
        <f t="array" aca="1" ref="P49" ca="1">INDIRECT(ADDRESS($B49,Plots!$H$4,,,Plots!$A$57))+INDIRECT(ADDRESS($B49,Plots!$H$4,,,Plots!$A$58))+INDIRECT(ADDRESS($B49,Plots!$H$4,,,Plots!$A$59))+INDIRECT(ADDRESS($B49,Plots!$H$4,,,Plots!$A$60))+INDIRECT(ADDRESS($B49,Plots!$H$4,,,Plots!$A$61))</f>
        <v>0</v>
      </c>
      <c r="Q49" cm="1">
        <f t="array" aca="1" ref="Q49" ca="1">INDIRECT(ADDRESS($B49,Plots!$H$4,,,Plots!$A$62))+INDIRECT(ADDRESS($B49,Plots!$H$4,,,Plots!$A$63))+INDIRECT(ADDRESS($B49,Plots!$H$4,,,Plots!$A$64))+INDIRECT(ADDRESS($B49,Plots!$H$4,,,Plots!$A$65))+INDIRECT(ADDRESS($B49,Plots!$H$4,,,Plots!$A$66))+INDIRECT(ADDRESS($B49,Plots!$H$4,,,Plots!$A$67))</f>
        <v>0</v>
      </c>
      <c r="R49">
        <f>'AARnetCBR-CamDTN1_tcpmon_ts_81'!J54+'AARnetCBR-CamDTN1_tcpmon_ts_82'!J54+'AARnetCBR-CamDTN1_tcpmon_ts_83'!J54+'AARnetCBR-CamDTN1_tcpmon_ts_84'!J54+'AARnetCBR-CamDTN1_tcpmon_ts_85'!J54+'AARnetCBR-CamDTN1_tcpmon_ts_86'!J54+'AARnetCBR-CamDTN1_tcpmon_ts_87'!J54+'AARnetCBR-CamDTN1_tcpmon_ts_88'!J54</f>
        <v>0</v>
      </c>
    </row>
    <row r="50" spans="1:18">
      <c r="A50" cm="1">
        <f t="array" aca="1" ref="A50" ca="1">INDIRECT(ADDRESS($B50,Plots!$H$6,,,Plots!$A$47))</f>
        <v>94</v>
      </c>
      <c r="B50">
        <f t="shared" si="0"/>
        <v>59</v>
      </c>
      <c r="C50" cm="1">
        <f t="array" aca="1" ref="C50" ca="1">INDIRECT(ADDRESS($B50,Plots!$H$3,,,Plots!$A$47))</f>
        <v>23.76</v>
      </c>
      <c r="D50" cm="1">
        <f t="array" aca="1" ref="D50" ca="1">INDIRECT(ADDRESS($B50,Plots!$H$3,,,Plots!$A$48))+INDIRECT(ADDRESS($B50,Plots!$H$3,,,Plots!$A$49))</f>
        <v>58.239999999999995</v>
      </c>
      <c r="E50" cm="1">
        <f t="array" aca="1" ref="E50" ca="1">INDIRECT(ADDRESS($B50,Plots!$H$3,,,Plots!$A$50))+INDIRECT(ADDRESS($B50,Plots!$H$3,,,Plots!$A$51))+INDIRECT(ADDRESS($B50,Plots!$H$3,,,Plots!$A$52))</f>
        <v>74.31</v>
      </c>
      <c r="F50" cm="1">
        <f t="array" aca="1" ref="F50" ca="1">INDIRECT(ADDRESS($B50,Plots!$H$3,,,Plots!$A$53))+INDIRECT(ADDRESS($B50,Plots!$H$3,,,Plots!$A$54))+INDIRECT(ADDRESS($B50,Plots!$H$3,,,Plots!$A$55))+INDIRECT(ADDRESS($B50,Plots!$H$3,,,Plots!$A$56))</f>
        <v>94.429999999999993</v>
      </c>
      <c r="G50" cm="1">
        <f t="array" aca="1" ref="G50" ca="1">INDIRECT(ADDRESS($B50,Plots!$H$3,,,Plots!$A$57))+INDIRECT(ADDRESS($B50,Plots!$H$3,,,Plots!$A$58))+INDIRECT(ADDRESS($B50,Plots!$H$3,,,Plots!$A$59))+INDIRECT(ADDRESS($B50,Plots!$H$3,,,Plots!$A$60))+INDIRECT(ADDRESS($B50,Plots!$H$3,,,Plots!$A$61))</f>
        <v>0</v>
      </c>
      <c r="H50" cm="1">
        <f t="array" aca="1" ref="H50" ca="1">INDIRECT(ADDRESS($B50,Plots!$H$3,,,Plots!$A$62))+INDIRECT(ADDRESS($B50,Plots!$H$3,,,Plots!$A$63))+INDIRECT(ADDRESS($B50,Plots!$H$3,,,Plots!$A$64))+INDIRECT(ADDRESS($B50,Plots!$H$3,,,Plots!$A$65))+INDIRECT(ADDRESS($B50,Plots!$H$3,,,Plots!$A$66))+INDIRECT(ADDRESS($B50,Plots!$H$3,,,Plots!$A$67))</f>
        <v>0</v>
      </c>
      <c r="I50">
        <f>'AARnetCBR-CamDTN1_tcpmon_ts_81'!H54+'AARnetCBR-CamDTN1_tcpmon_ts_82'!H54+'AARnetCBR-CamDTN1_tcpmon_ts_83'!H54+'AARnetCBR-CamDTN1_tcpmon_ts_84'!H54+'AARnetCBR-CamDTN1_tcpmon_ts_85'!H54+'AARnetCBR-CamDTN1_tcpmon_ts_86'!H54+'AARnetCBR-CamDTN1_tcpmon_ts_87'!H54+'AARnetCBR-CamDTN1_tcpmon_ts_88'!H54</f>
        <v>0</v>
      </c>
      <c r="L50" cm="1">
        <f t="array" aca="1" ref="L50" ca="1">INDIRECT(ADDRESS($B50,Plots!$H$4,,,Plots!$A$47))</f>
        <v>0</v>
      </c>
      <c r="M50" cm="1">
        <f t="array" aca="1" ref="M50" ca="1">INDIRECT(ADDRESS($B50,Plots!$H$4,,,Plots!$A$48))+INDIRECT(ADDRESS($B50,Plots!$H$4,,,Plots!$A$49))</f>
        <v>0</v>
      </c>
      <c r="N50" cm="1">
        <f t="array" aca="1" ref="N50" ca="1">INDIRECT(ADDRESS($B50,Plots!$H$4,,,Plots!$A$50))+INDIRECT(ADDRESS($B50,Plots!$H$4,,,Plots!$A$51))+INDIRECT(ADDRESS($B50,Plots!$H$4,,,Plots!$A$52))</f>
        <v>0</v>
      </c>
      <c r="O50" cm="1">
        <f t="array" aca="1" ref="O50" ca="1">INDIRECT(ADDRESS($B50,Plots!$H$4,,,Plots!$A$53))+INDIRECT(ADDRESS($B50,Plots!$H$4,,,Plots!$A$54))+INDIRECT(ADDRESS($B50,Plots!$H$4,,,Plots!$A$55))+INDIRECT(ADDRESS($B50,Plots!$H$4,,,Plots!$A$56))</f>
        <v>0</v>
      </c>
      <c r="P50" cm="1">
        <f t="array" aca="1" ref="P50" ca="1">INDIRECT(ADDRESS($B50,Plots!$H$4,,,Plots!$A$57))+INDIRECT(ADDRESS($B50,Plots!$H$4,,,Plots!$A$58))+INDIRECT(ADDRESS($B50,Plots!$H$4,,,Plots!$A$59))+INDIRECT(ADDRESS($B50,Plots!$H$4,,,Plots!$A$60))+INDIRECT(ADDRESS($B50,Plots!$H$4,,,Plots!$A$61))</f>
        <v>0</v>
      </c>
      <c r="Q50" cm="1">
        <f t="array" aca="1" ref="Q50" ca="1">INDIRECT(ADDRESS($B50,Plots!$H$4,,,Plots!$A$62))+INDIRECT(ADDRESS($B50,Plots!$H$4,,,Plots!$A$63))+INDIRECT(ADDRESS($B50,Plots!$H$4,,,Plots!$A$64))+INDIRECT(ADDRESS($B50,Plots!$H$4,,,Plots!$A$65))+INDIRECT(ADDRESS($B50,Plots!$H$4,,,Plots!$A$66))+INDIRECT(ADDRESS($B50,Plots!$H$4,,,Plots!$A$67))</f>
        <v>0</v>
      </c>
      <c r="R50">
        <f>'AARnetCBR-CamDTN1_tcpmon_ts_81'!J55+'AARnetCBR-CamDTN1_tcpmon_ts_82'!J55+'AARnetCBR-CamDTN1_tcpmon_ts_83'!J55+'AARnetCBR-CamDTN1_tcpmon_ts_84'!J55+'AARnetCBR-CamDTN1_tcpmon_ts_85'!J55+'AARnetCBR-CamDTN1_tcpmon_ts_86'!J55+'AARnetCBR-CamDTN1_tcpmon_ts_87'!J55+'AARnetCBR-CamDTN1_tcpmon_ts_88'!J55</f>
        <v>0</v>
      </c>
    </row>
    <row r="51" spans="1:18">
      <c r="A51" cm="1">
        <f t="array" aca="1" ref="A51" ca="1">INDIRECT(ADDRESS($B51,Plots!$H$6,,,Plots!$A$47))</f>
        <v>96</v>
      </c>
      <c r="B51">
        <f t="shared" si="0"/>
        <v>60</v>
      </c>
      <c r="C51" cm="1">
        <f t="array" aca="1" ref="C51" ca="1">INDIRECT(ADDRESS($B51,Plots!$H$3,,,Plots!$A$47))</f>
        <v>26.2</v>
      </c>
      <c r="D51" cm="1">
        <f t="array" aca="1" ref="D51" ca="1">INDIRECT(ADDRESS($B51,Plots!$H$3,,,Plots!$A$48))+INDIRECT(ADDRESS($B51,Plots!$H$3,,,Plots!$A$49))</f>
        <v>54.21</v>
      </c>
      <c r="E51" cm="1">
        <f t="array" aca="1" ref="E51" ca="1">INDIRECT(ADDRESS($B51,Plots!$H$3,,,Plots!$A$50))+INDIRECT(ADDRESS($B51,Plots!$H$3,,,Plots!$A$51))+INDIRECT(ADDRESS($B51,Plots!$H$3,,,Plots!$A$52))</f>
        <v>60.350000000000009</v>
      </c>
      <c r="F51" cm="1">
        <f t="array" aca="1" ref="F51" ca="1">INDIRECT(ADDRESS($B51,Plots!$H$3,,,Plots!$A$53))+INDIRECT(ADDRESS($B51,Plots!$H$3,,,Plots!$A$54))+INDIRECT(ADDRESS($B51,Plots!$H$3,,,Plots!$A$55))+INDIRECT(ADDRESS($B51,Plots!$H$3,,,Plots!$A$56))</f>
        <v>86.329999999999984</v>
      </c>
      <c r="G51" cm="1">
        <f t="array" aca="1" ref="G51" ca="1">INDIRECT(ADDRESS($B51,Plots!$H$3,,,Plots!$A$57))+INDIRECT(ADDRESS($B51,Plots!$H$3,,,Plots!$A$58))+INDIRECT(ADDRESS($B51,Plots!$H$3,,,Plots!$A$59))+INDIRECT(ADDRESS($B51,Plots!$H$3,,,Plots!$A$60))+INDIRECT(ADDRESS($B51,Plots!$H$3,,,Plots!$A$61))</f>
        <v>0</v>
      </c>
      <c r="H51">
        <f>'AARnetCBR-CamDTN1_tcpmon_ts_61'!H55+'AARnetCBR-CamDTN1_tcpmon_ts_62'!H55+'AARnetCBR-CamDTN1_tcpmon_ts_63'!H55+'AARnetCBR-CamDTN1_tcpmon_ts_64'!H55+'AARnetCBR-CamDTN1_tcpmon_ts_65'!H55+'AARnetCBR-CamDTN1_tcpmon_ts_66'!H55</f>
        <v>0</v>
      </c>
      <c r="I51">
        <f>'AARnetCBR-CamDTN1_tcpmon_ts_81'!H55+'AARnetCBR-CamDTN1_tcpmon_ts_82'!H55+'AARnetCBR-CamDTN1_tcpmon_ts_83'!H55+'AARnetCBR-CamDTN1_tcpmon_ts_84'!H55+'AARnetCBR-CamDTN1_tcpmon_ts_85'!H55+'AARnetCBR-CamDTN1_tcpmon_ts_86'!H55+'AARnetCBR-CamDTN1_tcpmon_ts_87'!H55+'AARnetCBR-CamDTN1_tcpmon_ts_88'!H55</f>
        <v>0</v>
      </c>
      <c r="L51" cm="1">
        <f t="array" aca="1" ref="L51" ca="1">INDIRECT(ADDRESS($B51,Plots!$H$4,,,Plots!$A$47))</f>
        <v>0</v>
      </c>
      <c r="M51" cm="1">
        <f t="array" aca="1" ref="M51" ca="1">INDIRECT(ADDRESS($B51,Plots!$H$4,,,Plots!$A$48))+INDIRECT(ADDRESS($B51,Plots!$H$4,,,Plots!$A$49))</f>
        <v>0</v>
      </c>
      <c r="N51" cm="1">
        <f t="array" aca="1" ref="N51" ca="1">INDIRECT(ADDRESS($B51,Plots!$H$4,,,Plots!$A$50))+INDIRECT(ADDRESS($B51,Plots!$H$4,,,Plots!$A$51))+INDIRECT(ADDRESS($B51,Plots!$H$4,,,Plots!$A$52))</f>
        <v>0</v>
      </c>
      <c r="O51" cm="1">
        <f t="array" aca="1" ref="O51" ca="1">INDIRECT(ADDRESS($B51,Plots!$H$4,,,Plots!$A$53))+INDIRECT(ADDRESS($B51,Plots!$H$4,,,Plots!$A$54))+INDIRECT(ADDRESS($B51,Plots!$H$4,,,Plots!$A$55))+INDIRECT(ADDRESS($B51,Plots!$H$4,,,Plots!$A$56))</f>
        <v>0</v>
      </c>
      <c r="P51" cm="1">
        <f t="array" aca="1" ref="P51" ca="1">INDIRECT(ADDRESS($B51,Plots!$H$4,,,Plots!$A$57))+INDIRECT(ADDRESS($B51,Plots!$H$4,,,Plots!$A$58))+INDIRECT(ADDRESS($B51,Plots!$H$4,,,Plots!$A$59))+INDIRECT(ADDRESS($B51,Plots!$H$4,,,Plots!$A$60))+INDIRECT(ADDRESS($B51,Plots!$H$4,,,Plots!$A$61))</f>
        <v>0</v>
      </c>
      <c r="Q51" cm="1">
        <f t="array" aca="1" ref="Q51" ca="1">INDIRECT(ADDRESS($B51,Plots!$H$4,,,Plots!$A$62))+INDIRECT(ADDRESS($B51,Plots!$H$4,,,Plots!$A$63))+INDIRECT(ADDRESS($B51,Plots!$H$4,,,Plots!$A$64))+INDIRECT(ADDRESS($B51,Plots!$H$4,,,Plots!$A$65))+INDIRECT(ADDRESS($B51,Plots!$H$4,,,Plots!$A$66))+INDIRECT(ADDRESS($B51,Plots!$H$4,,,Plots!$A$67))</f>
        <v>0</v>
      </c>
      <c r="R51">
        <f>'AARnetCBR-CamDTN1_tcpmon_ts_81'!J56+'AARnetCBR-CamDTN1_tcpmon_ts_82'!J56+'AARnetCBR-CamDTN1_tcpmon_ts_83'!J56+'AARnetCBR-CamDTN1_tcpmon_ts_84'!J56+'AARnetCBR-CamDTN1_tcpmon_ts_85'!J56+'AARnetCBR-CamDTN1_tcpmon_ts_86'!J56+'AARnetCBR-CamDTN1_tcpmon_ts_87'!J56+'AARnetCBR-CamDTN1_tcpmon_ts_88'!J56</f>
        <v>0</v>
      </c>
    </row>
    <row r="52" spans="1:18">
      <c r="A52" cm="1">
        <f t="array" aca="1" ref="A52" ca="1">INDIRECT(ADDRESS($B52,Plots!$H$6,,,Plots!$A$47))</f>
        <v>98</v>
      </c>
      <c r="B52">
        <f t="shared" si="0"/>
        <v>61</v>
      </c>
      <c r="C52" cm="1">
        <f t="array" aca="1" ref="C52" ca="1">INDIRECT(ADDRESS($B52,Plots!$H$3,,,Plots!$A$47))</f>
        <v>27.49</v>
      </c>
      <c r="D52" cm="1">
        <f t="array" aca="1" ref="D52" ca="1">INDIRECT(ADDRESS($B52,Plots!$H$3,,,Plots!$A$48))+INDIRECT(ADDRESS($B52,Plots!$H$3,,,Plots!$A$49))</f>
        <v>57.17</v>
      </c>
      <c r="E52" cm="1">
        <f t="array" aca="1" ref="E52" ca="1">INDIRECT(ADDRESS($B52,Plots!$H$3,,,Plots!$A$50))+INDIRECT(ADDRESS($B52,Plots!$H$3,,,Plots!$A$51))+INDIRECT(ADDRESS($B52,Plots!$H$3,,,Plots!$A$52))</f>
        <v>72.92</v>
      </c>
      <c r="F52" cm="1">
        <f t="array" aca="1" ref="F52" ca="1">INDIRECT(ADDRESS($B52,Plots!$H$3,,,Plots!$A$53))+INDIRECT(ADDRESS($B52,Plots!$H$3,,,Plots!$A$54))+INDIRECT(ADDRESS($B52,Plots!$H$3,,,Plots!$A$55))+INDIRECT(ADDRESS($B52,Plots!$H$3,,,Plots!$A$56))</f>
        <v>89.91</v>
      </c>
      <c r="G52" cm="1">
        <f t="array" aca="1" ref="G52" ca="1">INDIRECT(ADDRESS($B52,Plots!$H$3,,,Plots!$A$57))+INDIRECT(ADDRESS($B52,Plots!$H$3,,,Plots!$A$58))+INDIRECT(ADDRESS($B52,Plots!$H$3,,,Plots!$A$59))+INDIRECT(ADDRESS($B52,Plots!$H$3,,,Plots!$A$60))+INDIRECT(ADDRESS($B52,Plots!$H$3,,,Plots!$A$61))</f>
        <v>0</v>
      </c>
      <c r="H52">
        <f>'AARnetCBR-CamDTN1_tcpmon_ts_61'!H56+'AARnetCBR-CamDTN1_tcpmon_ts_62'!H56+'AARnetCBR-CamDTN1_tcpmon_ts_63'!H56+'AARnetCBR-CamDTN1_tcpmon_ts_64'!H56+'AARnetCBR-CamDTN1_tcpmon_ts_65'!H56+'AARnetCBR-CamDTN1_tcpmon_ts_66'!H56</f>
        <v>0</v>
      </c>
      <c r="I52">
        <f>'AARnetCBR-CamDTN1_tcpmon_ts_81'!H56+'AARnetCBR-CamDTN1_tcpmon_ts_82'!H56+'AARnetCBR-CamDTN1_tcpmon_ts_83'!H56+'AARnetCBR-CamDTN1_tcpmon_ts_84'!H56+'AARnetCBR-CamDTN1_tcpmon_ts_85'!H56+'AARnetCBR-CamDTN1_tcpmon_ts_86'!H56+'AARnetCBR-CamDTN1_tcpmon_ts_87'!H56+'AARnetCBR-CamDTN1_tcpmon_ts_88'!H56</f>
        <v>0</v>
      </c>
      <c r="L52" cm="1">
        <f t="array" aca="1" ref="L52" ca="1">INDIRECT(ADDRESS($B52,Plots!$H$4,,,Plots!$A$47))</f>
        <v>0</v>
      </c>
      <c r="M52" cm="1">
        <f t="array" aca="1" ref="M52" ca="1">INDIRECT(ADDRESS($B52,Plots!$H$4,,,Plots!$A$48))+INDIRECT(ADDRESS($B52,Plots!$H$4,,,Plots!$A$49))</f>
        <v>0</v>
      </c>
      <c r="N52" cm="1">
        <f t="array" aca="1" ref="N52" ca="1">INDIRECT(ADDRESS($B52,Plots!$H$4,,,Plots!$A$50))+INDIRECT(ADDRESS($B52,Plots!$H$4,,,Plots!$A$51))+INDIRECT(ADDRESS($B52,Plots!$H$4,,,Plots!$A$52))</f>
        <v>0</v>
      </c>
      <c r="O52" cm="1">
        <f t="array" aca="1" ref="O52" ca="1">INDIRECT(ADDRESS($B52,Plots!$H$4,,,Plots!$A$53))+INDIRECT(ADDRESS($B52,Plots!$H$4,,,Plots!$A$54))+INDIRECT(ADDRESS($B52,Plots!$H$4,,,Plots!$A$55))+INDIRECT(ADDRESS($B52,Plots!$H$4,,,Plots!$A$56))</f>
        <v>0</v>
      </c>
      <c r="P52" cm="1">
        <f t="array" aca="1" ref="P52" ca="1">INDIRECT(ADDRESS($B52,Plots!$H$4,,,Plots!$A$57))+INDIRECT(ADDRESS($B52,Plots!$H$4,,,Plots!$A$58))+INDIRECT(ADDRESS($B52,Plots!$H$4,,,Plots!$A$59))+INDIRECT(ADDRESS($B52,Plots!$H$4,,,Plots!$A$60))+INDIRECT(ADDRESS($B52,Plots!$H$4,,,Plots!$A$61))</f>
        <v>0</v>
      </c>
      <c r="Q52" cm="1">
        <f t="array" aca="1" ref="Q52" ca="1">INDIRECT(ADDRESS($B52,Plots!$H$4,,,Plots!$A$62))+INDIRECT(ADDRESS($B52,Plots!$H$4,,,Plots!$A$63))+INDIRECT(ADDRESS($B52,Plots!$H$4,,,Plots!$A$64))+INDIRECT(ADDRESS($B52,Plots!$H$4,,,Plots!$A$65))+INDIRECT(ADDRESS($B52,Plots!$H$4,,,Plots!$A$66))+INDIRECT(ADDRESS($B52,Plots!$H$4,,,Plots!$A$67))</f>
        <v>0</v>
      </c>
      <c r="R52">
        <f>'AARnetCBR-CamDTN1_tcpmon_ts_81'!J57+'AARnetCBR-CamDTN1_tcpmon_ts_82'!J57+'AARnetCBR-CamDTN1_tcpmon_ts_83'!J57+'AARnetCBR-CamDTN1_tcpmon_ts_84'!J57+'AARnetCBR-CamDTN1_tcpmon_ts_85'!J57+'AARnetCBR-CamDTN1_tcpmon_ts_86'!J57+'AARnetCBR-CamDTN1_tcpmon_ts_87'!J57+'AARnetCBR-CamDTN1_tcpmon_ts_88'!J57</f>
        <v>0</v>
      </c>
    </row>
    <row r="53" spans="1:18">
      <c r="A53" cm="1">
        <f t="array" aca="1" ref="A53" ca="1">INDIRECT(ADDRESS($B53,Plots!$H$6,,,Plots!$A$47))</f>
        <v>100</v>
      </c>
      <c r="B53">
        <f t="shared" si="0"/>
        <v>62</v>
      </c>
      <c r="C53" cm="1">
        <f t="array" aca="1" ref="C53" ca="1">INDIRECT(ADDRESS($B53,Plots!$H$3,,,Plots!$A$47))</f>
        <v>26.07</v>
      </c>
      <c r="D53" cm="1">
        <f t="array" aca="1" ref="D53" ca="1">INDIRECT(ADDRESS($B53,Plots!$H$3,,,Plots!$A$48))+INDIRECT(ADDRESS($B53,Plots!$H$3,,,Plots!$A$49))</f>
        <v>62.69</v>
      </c>
      <c r="E53" cm="1">
        <f t="array" aca="1" ref="E53" ca="1">INDIRECT(ADDRESS($B53,Plots!$H$3,,,Plots!$A$50))+INDIRECT(ADDRESS($B53,Plots!$H$3,,,Plots!$A$51))+INDIRECT(ADDRESS($B53,Plots!$H$3,,,Plots!$A$52))</f>
        <v>62.34</v>
      </c>
      <c r="F53" cm="1">
        <f t="array" aca="1" ref="F53" ca="1">INDIRECT(ADDRESS($B53,Plots!$H$3,,,Plots!$A$53))+INDIRECT(ADDRESS($B53,Plots!$H$3,,,Plots!$A$54))+INDIRECT(ADDRESS($B53,Plots!$H$3,,,Plots!$A$55))+INDIRECT(ADDRESS($B53,Plots!$H$3,,,Plots!$A$56))</f>
        <v>86.8</v>
      </c>
      <c r="G53" cm="1">
        <f t="array" aca="1" ref="G53" ca="1">INDIRECT(ADDRESS($B53,Plots!$H$3,,,Plots!$A$57))+INDIRECT(ADDRESS($B53,Plots!$H$3,,,Plots!$A$58))+INDIRECT(ADDRESS($B53,Plots!$H$3,,,Plots!$A$59))+INDIRECT(ADDRESS($B53,Plots!$H$3,,,Plots!$A$60))+INDIRECT(ADDRESS($B53,Plots!$H$3,,,Plots!$A$61))</f>
        <v>0</v>
      </c>
      <c r="H53">
        <f>'AARnetCBR-CamDTN1_tcpmon_ts_61'!H57+'AARnetCBR-CamDTN1_tcpmon_ts_62'!H57+'AARnetCBR-CamDTN1_tcpmon_ts_63'!H57+'AARnetCBR-CamDTN1_tcpmon_ts_64'!H57+'AARnetCBR-CamDTN1_tcpmon_ts_65'!H57+'AARnetCBR-CamDTN1_tcpmon_ts_66'!H57</f>
        <v>0</v>
      </c>
      <c r="I53">
        <f>'AARnetCBR-CamDTN1_tcpmon_ts_81'!H57+'AARnetCBR-CamDTN1_tcpmon_ts_82'!H57+'AARnetCBR-CamDTN1_tcpmon_ts_83'!H57+'AARnetCBR-CamDTN1_tcpmon_ts_84'!H57+'AARnetCBR-CamDTN1_tcpmon_ts_85'!H57+'AARnetCBR-CamDTN1_tcpmon_ts_86'!H57+'AARnetCBR-CamDTN1_tcpmon_ts_87'!H57+'AARnetCBR-CamDTN1_tcpmon_ts_88'!H57</f>
        <v>0</v>
      </c>
      <c r="L53" cm="1">
        <f t="array" aca="1" ref="L53" ca="1">INDIRECT(ADDRESS($B53,Plots!$H$4,,,Plots!$A$47))</f>
        <v>0</v>
      </c>
      <c r="M53" cm="1">
        <f t="array" aca="1" ref="M53" ca="1">INDIRECT(ADDRESS($B53,Plots!$H$4,,,Plots!$A$48))+INDIRECT(ADDRESS($B53,Plots!$H$4,,,Plots!$A$49))</f>
        <v>0</v>
      </c>
      <c r="N53" cm="1">
        <f t="array" aca="1" ref="N53" ca="1">INDIRECT(ADDRESS($B53,Plots!$H$4,,,Plots!$A$50))+INDIRECT(ADDRESS($B53,Plots!$H$4,,,Plots!$A$51))+INDIRECT(ADDRESS($B53,Plots!$H$4,,,Plots!$A$52))</f>
        <v>0</v>
      </c>
      <c r="O53" cm="1">
        <f t="array" aca="1" ref="O53" ca="1">INDIRECT(ADDRESS($B53,Plots!$H$4,,,Plots!$A$53))+INDIRECT(ADDRESS($B53,Plots!$H$4,,,Plots!$A$54))+INDIRECT(ADDRESS($B53,Plots!$H$4,,,Plots!$A$55))+INDIRECT(ADDRESS($B53,Plots!$H$4,,,Plots!$A$56))</f>
        <v>0</v>
      </c>
      <c r="P53" cm="1">
        <f t="array" aca="1" ref="P53" ca="1">INDIRECT(ADDRESS($B53,Plots!$H$4,,,Plots!$A$57))+INDIRECT(ADDRESS($B53,Plots!$H$4,,,Plots!$A$58))+INDIRECT(ADDRESS($B53,Plots!$H$4,,,Plots!$A$59))+INDIRECT(ADDRESS($B53,Plots!$H$4,,,Plots!$A$60))+INDIRECT(ADDRESS($B53,Plots!$H$4,,,Plots!$A$61))</f>
        <v>0</v>
      </c>
      <c r="Q53" cm="1">
        <f t="array" aca="1" ref="Q53" ca="1">INDIRECT(ADDRESS($B53,Plots!$H$4,,,Plots!$A$62))+INDIRECT(ADDRESS($B53,Plots!$H$4,,,Plots!$A$63))+INDIRECT(ADDRESS($B53,Plots!$H$4,,,Plots!$A$64))+INDIRECT(ADDRESS($B53,Plots!$H$4,,,Plots!$A$65))+INDIRECT(ADDRESS($B53,Plots!$H$4,,,Plots!$A$66))+INDIRECT(ADDRESS($B53,Plots!$H$4,,,Plots!$A$67))</f>
        <v>0</v>
      </c>
      <c r="R53">
        <f>'AARnetCBR-CamDTN1_tcpmon_ts_81'!J58+'AARnetCBR-CamDTN1_tcpmon_ts_82'!J58+'AARnetCBR-CamDTN1_tcpmon_ts_83'!J58+'AARnetCBR-CamDTN1_tcpmon_ts_84'!J58+'AARnetCBR-CamDTN1_tcpmon_ts_85'!J58+'AARnetCBR-CamDTN1_tcpmon_ts_86'!J58+'AARnetCBR-CamDTN1_tcpmon_ts_87'!J58+'AARnetCBR-CamDTN1_tcpmon_ts_88'!J58</f>
        <v>0</v>
      </c>
    </row>
    <row r="54" spans="1:18">
      <c r="A54" cm="1">
        <f t="array" aca="1" ref="A54" ca="1">INDIRECT(ADDRESS($B54,Plots!$H$6,,,Plots!$A$47))</f>
        <v>102</v>
      </c>
      <c r="B54">
        <f t="shared" si="0"/>
        <v>63</v>
      </c>
      <c r="C54" cm="1">
        <f t="array" aca="1" ref="C54" ca="1">INDIRECT(ADDRESS($B54,Plots!$H$3,,,Plots!$A$47))</f>
        <v>24.66</v>
      </c>
      <c r="D54" cm="1">
        <f t="array" aca="1" ref="D54" ca="1">INDIRECT(ADDRESS($B54,Plots!$H$3,,,Plots!$A$48))+INDIRECT(ADDRESS($B54,Plots!$H$3,,,Plots!$A$49))</f>
        <v>53.81</v>
      </c>
      <c r="E54" cm="1">
        <f t="array" aca="1" ref="E54" ca="1">INDIRECT(ADDRESS($B54,Plots!$H$3,,,Plots!$A$50))+INDIRECT(ADDRESS($B54,Plots!$H$3,,,Plots!$A$51))+INDIRECT(ADDRESS($B54,Plots!$H$3,,,Plots!$A$52))</f>
        <v>74.11</v>
      </c>
      <c r="F54" cm="1">
        <f t="array" aca="1" ref="F54" ca="1">INDIRECT(ADDRESS($B54,Plots!$H$3,,,Plots!$A$53))+INDIRECT(ADDRESS($B54,Plots!$H$3,,,Plots!$A$54))+INDIRECT(ADDRESS($B54,Plots!$H$3,,,Plots!$A$55))+INDIRECT(ADDRESS($B54,Plots!$H$3,,,Plots!$A$56))</f>
        <v>91.66</v>
      </c>
      <c r="G54" cm="1">
        <f t="array" aca="1" ref="G54" ca="1">INDIRECT(ADDRESS($B54,Plots!$H$3,,,Plots!$A$57))+INDIRECT(ADDRESS($B54,Plots!$H$3,,,Plots!$A$58))+INDIRECT(ADDRESS($B54,Plots!$H$3,,,Plots!$A$59))+INDIRECT(ADDRESS($B54,Plots!$H$3,,,Plots!$A$60))+INDIRECT(ADDRESS($B54,Plots!$H$3,,,Plots!$A$61))</f>
        <v>0</v>
      </c>
      <c r="H54">
        <f>'AARnetCBR-CamDTN1_tcpmon_ts_61'!H58+'AARnetCBR-CamDTN1_tcpmon_ts_62'!H58+'AARnetCBR-CamDTN1_tcpmon_ts_63'!H58+'AARnetCBR-CamDTN1_tcpmon_ts_64'!H58+'AARnetCBR-CamDTN1_tcpmon_ts_65'!H58+'AARnetCBR-CamDTN1_tcpmon_ts_66'!H58</f>
        <v>0</v>
      </c>
      <c r="I54">
        <f>'AARnetCBR-CamDTN1_tcpmon_ts_81'!H58+'AARnetCBR-CamDTN1_tcpmon_ts_82'!H58+'AARnetCBR-CamDTN1_tcpmon_ts_83'!H58+'AARnetCBR-CamDTN1_tcpmon_ts_84'!H58+'AARnetCBR-CamDTN1_tcpmon_ts_85'!H58+'AARnetCBR-CamDTN1_tcpmon_ts_86'!H58+'AARnetCBR-CamDTN1_tcpmon_ts_87'!H58+'AARnetCBR-CamDTN1_tcpmon_ts_88'!H58</f>
        <v>0</v>
      </c>
      <c r="L54" cm="1">
        <f t="array" aca="1" ref="L54" ca="1">INDIRECT(ADDRESS($B54,Plots!$H$4,,,Plots!$A$47))</f>
        <v>0</v>
      </c>
      <c r="M54" cm="1">
        <f t="array" aca="1" ref="M54" ca="1">INDIRECT(ADDRESS($B54,Plots!$H$4,,,Plots!$A$48))+INDIRECT(ADDRESS($B54,Plots!$H$4,,,Plots!$A$49))</f>
        <v>0</v>
      </c>
      <c r="N54" cm="1">
        <f t="array" aca="1" ref="N54" ca="1">INDIRECT(ADDRESS($B54,Plots!$H$4,,,Plots!$A$50))+INDIRECT(ADDRESS($B54,Plots!$H$4,,,Plots!$A$51))+INDIRECT(ADDRESS($B54,Plots!$H$4,,,Plots!$A$52))</f>
        <v>0</v>
      </c>
      <c r="O54" cm="1">
        <f t="array" aca="1" ref="O54" ca="1">INDIRECT(ADDRESS($B54,Plots!$H$4,,,Plots!$A$53))+INDIRECT(ADDRESS($B54,Plots!$H$4,,,Plots!$A$54))+INDIRECT(ADDRESS($B54,Plots!$H$4,,,Plots!$A$55))+INDIRECT(ADDRESS($B54,Plots!$H$4,,,Plots!$A$56))</f>
        <v>0</v>
      </c>
      <c r="P54" cm="1">
        <f t="array" aca="1" ref="P54" ca="1">INDIRECT(ADDRESS($B54,Plots!$H$4,,,Plots!$A$57))+INDIRECT(ADDRESS($B54,Plots!$H$4,,,Plots!$A$58))+INDIRECT(ADDRESS($B54,Plots!$H$4,,,Plots!$A$59))+INDIRECT(ADDRESS($B54,Plots!$H$4,,,Plots!$A$60))+INDIRECT(ADDRESS($B54,Plots!$H$4,,,Plots!$A$61))</f>
        <v>0</v>
      </c>
      <c r="Q54" cm="1">
        <f t="array" aca="1" ref="Q54" ca="1">INDIRECT(ADDRESS($B54,Plots!$H$4,,,Plots!$A$62))+INDIRECT(ADDRESS($B54,Plots!$H$4,,,Plots!$A$63))+INDIRECT(ADDRESS($B54,Plots!$H$4,,,Plots!$A$64))+INDIRECT(ADDRESS($B54,Plots!$H$4,,,Plots!$A$65))+INDIRECT(ADDRESS($B54,Plots!$H$4,,,Plots!$A$66))+INDIRECT(ADDRESS($B54,Plots!$H$4,,,Plots!$A$67))</f>
        <v>0</v>
      </c>
      <c r="R54">
        <f>'AARnetCBR-CamDTN1_tcpmon_ts_81'!J59+'AARnetCBR-CamDTN1_tcpmon_ts_82'!J59+'AARnetCBR-CamDTN1_tcpmon_ts_83'!J59+'AARnetCBR-CamDTN1_tcpmon_ts_84'!J59+'AARnetCBR-CamDTN1_tcpmon_ts_85'!J59+'AARnetCBR-CamDTN1_tcpmon_ts_86'!J59+'AARnetCBR-CamDTN1_tcpmon_ts_87'!J59+'AARnetCBR-CamDTN1_tcpmon_ts_88'!J59</f>
        <v>0</v>
      </c>
    </row>
    <row r="55" spans="1:18">
      <c r="A55" cm="1">
        <f t="array" aca="1" ref="A55" ca="1">INDIRECT(ADDRESS($B55,Plots!$H$6,,,Plots!$A$47))</f>
        <v>104</v>
      </c>
      <c r="B55">
        <f t="shared" si="0"/>
        <v>64</v>
      </c>
      <c r="C55" cm="1">
        <f t="array" aca="1" ref="C55" ca="1">INDIRECT(ADDRESS($B55,Plots!$H$3,,,Plots!$A$47))</f>
        <v>25.6</v>
      </c>
      <c r="D55" cm="1">
        <f t="array" aca="1" ref="D55" ca="1">INDIRECT(ADDRESS($B55,Plots!$H$3,,,Plots!$A$48))+INDIRECT(ADDRESS($B55,Plots!$H$3,,,Plots!$A$49))</f>
        <v>57.35</v>
      </c>
      <c r="E55" cm="1">
        <f t="array" aca="1" ref="E55" ca="1">INDIRECT(ADDRESS($B55,Plots!$H$3,,,Plots!$A$50))+INDIRECT(ADDRESS($B55,Plots!$H$3,,,Plots!$A$51))+INDIRECT(ADDRESS($B55,Plots!$H$3,,,Plots!$A$52))</f>
        <v>61.81</v>
      </c>
      <c r="F55" cm="1">
        <f t="array" aca="1" ref="F55" ca="1">INDIRECT(ADDRESS($B55,Plots!$H$3,,,Plots!$A$53))+INDIRECT(ADDRESS($B55,Plots!$H$3,,,Plots!$A$54))+INDIRECT(ADDRESS($B55,Plots!$H$3,,,Plots!$A$55))+INDIRECT(ADDRESS($B55,Plots!$H$3,,,Plots!$A$56))</f>
        <v>88.24</v>
      </c>
      <c r="G55" cm="1">
        <f t="array" aca="1" ref="G55" ca="1">INDIRECT(ADDRESS($B55,Plots!$H$3,,,Plots!$A$57))+INDIRECT(ADDRESS($B55,Plots!$H$3,,,Plots!$A$58))+INDIRECT(ADDRESS($B55,Plots!$H$3,,,Plots!$A$59))+INDIRECT(ADDRESS($B55,Plots!$H$3,,,Plots!$A$60))+INDIRECT(ADDRESS($B55,Plots!$H$3,,,Plots!$A$61))</f>
        <v>0</v>
      </c>
      <c r="H55">
        <f>'AARnetCBR-CamDTN1_tcpmon_ts_61'!H59+'AARnetCBR-CamDTN1_tcpmon_ts_62'!H59+'AARnetCBR-CamDTN1_tcpmon_ts_63'!H59+'AARnetCBR-CamDTN1_tcpmon_ts_64'!H59+'AARnetCBR-CamDTN1_tcpmon_ts_65'!H59+'AARnetCBR-CamDTN1_tcpmon_ts_66'!H59</f>
        <v>0</v>
      </c>
      <c r="I55">
        <f>'AARnetCBR-CamDTN1_tcpmon_ts_81'!H59+'AARnetCBR-CamDTN1_tcpmon_ts_82'!H59+'AARnetCBR-CamDTN1_tcpmon_ts_83'!H59+'AARnetCBR-CamDTN1_tcpmon_ts_84'!H59+'AARnetCBR-CamDTN1_tcpmon_ts_85'!H59+'AARnetCBR-CamDTN1_tcpmon_ts_86'!H59+'AARnetCBR-CamDTN1_tcpmon_ts_87'!H59+'AARnetCBR-CamDTN1_tcpmon_ts_88'!H59</f>
        <v>0</v>
      </c>
      <c r="L55" cm="1">
        <f t="array" aca="1" ref="L55" ca="1">INDIRECT(ADDRESS($B55,Plots!$H$4,,,Plots!$A$47))</f>
        <v>0</v>
      </c>
      <c r="M55" cm="1">
        <f t="array" aca="1" ref="M55" ca="1">INDIRECT(ADDRESS($B55,Plots!$H$4,,,Plots!$A$48))+INDIRECT(ADDRESS($B55,Plots!$H$4,,,Plots!$A$49))</f>
        <v>0</v>
      </c>
      <c r="N55" cm="1">
        <f t="array" aca="1" ref="N55" ca="1">INDIRECT(ADDRESS($B55,Plots!$H$4,,,Plots!$A$50))+INDIRECT(ADDRESS($B55,Plots!$H$4,,,Plots!$A$51))+INDIRECT(ADDRESS($B55,Plots!$H$4,,,Plots!$A$52))</f>
        <v>0</v>
      </c>
      <c r="O55" cm="1">
        <f t="array" aca="1" ref="O55" ca="1">INDIRECT(ADDRESS($B55,Plots!$H$4,,,Plots!$A$53))+INDIRECT(ADDRESS($B55,Plots!$H$4,,,Plots!$A$54))+INDIRECT(ADDRESS($B55,Plots!$H$4,,,Plots!$A$55))+INDIRECT(ADDRESS($B55,Plots!$H$4,,,Plots!$A$56))</f>
        <v>0</v>
      </c>
      <c r="P55" cm="1">
        <f t="array" aca="1" ref="P55" ca="1">INDIRECT(ADDRESS($B55,Plots!$H$4,,,Plots!$A$57))+INDIRECT(ADDRESS($B55,Plots!$H$4,,,Plots!$A$58))+INDIRECT(ADDRESS($B55,Plots!$H$4,,,Plots!$A$59))+INDIRECT(ADDRESS($B55,Plots!$H$4,,,Plots!$A$60))+INDIRECT(ADDRESS($B55,Plots!$H$4,,,Plots!$A$61))</f>
        <v>0</v>
      </c>
      <c r="Q55" cm="1">
        <f t="array" aca="1" ref="Q55" ca="1">INDIRECT(ADDRESS($B55,Plots!$H$4,,,Plots!$A$62))+INDIRECT(ADDRESS($B55,Plots!$H$4,,,Plots!$A$63))+INDIRECT(ADDRESS($B55,Plots!$H$4,,,Plots!$A$64))+INDIRECT(ADDRESS($B55,Plots!$H$4,,,Plots!$A$65))+INDIRECT(ADDRESS($B55,Plots!$H$4,,,Plots!$A$66))+INDIRECT(ADDRESS($B55,Plots!$H$4,,,Plots!$A$67))</f>
        <v>0</v>
      </c>
      <c r="R55">
        <f>'AARnetCBR-CamDTN1_tcpmon_ts_81'!J60+'AARnetCBR-CamDTN1_tcpmon_ts_82'!J60+'AARnetCBR-CamDTN1_tcpmon_ts_83'!J60+'AARnetCBR-CamDTN1_tcpmon_ts_84'!J60+'AARnetCBR-CamDTN1_tcpmon_ts_85'!J60+'AARnetCBR-CamDTN1_tcpmon_ts_86'!J60+'AARnetCBR-CamDTN1_tcpmon_ts_87'!J60+'AARnetCBR-CamDTN1_tcpmon_ts_88'!J60</f>
        <v>0</v>
      </c>
    </row>
    <row r="56" spans="1:18">
      <c r="A56" cm="1">
        <f t="array" aca="1" ref="A56" ca="1">INDIRECT(ADDRESS($B56,Plots!$H$6,,,Plots!$A$47))</f>
        <v>106</v>
      </c>
      <c r="B56">
        <f t="shared" si="0"/>
        <v>65</v>
      </c>
      <c r="C56" cm="1">
        <f t="array" aca="1" ref="C56" ca="1">INDIRECT(ADDRESS($B56,Plots!$H$3,,,Plots!$A$47))</f>
        <v>25.83</v>
      </c>
      <c r="D56" cm="1">
        <f t="array" aca="1" ref="D56" ca="1">INDIRECT(ADDRESS($B56,Plots!$H$3,,,Plots!$A$48))+INDIRECT(ADDRESS($B56,Plots!$H$3,,,Plots!$A$49))</f>
        <v>56.41</v>
      </c>
      <c r="E56" cm="1">
        <f t="array" aca="1" ref="E56" ca="1">INDIRECT(ADDRESS($B56,Plots!$H$3,,,Plots!$A$50))+INDIRECT(ADDRESS($B56,Plots!$H$3,,,Plots!$A$51))+INDIRECT(ADDRESS($B56,Plots!$H$3,,,Plots!$A$52))</f>
        <v>71.92</v>
      </c>
      <c r="F56" cm="1">
        <f t="array" aca="1" ref="F56" ca="1">INDIRECT(ADDRESS($B56,Plots!$H$3,,,Plots!$A$53))+INDIRECT(ADDRESS($B56,Plots!$H$3,,,Plots!$A$54))+INDIRECT(ADDRESS($B56,Plots!$H$3,,,Plots!$A$55))+INDIRECT(ADDRESS($B56,Plots!$H$3,,,Plots!$A$56))</f>
        <v>87.14</v>
      </c>
      <c r="G56" cm="1">
        <f t="array" aca="1" ref="G56" ca="1">INDIRECT(ADDRESS($B56,Plots!$H$3,,,Plots!$A$57))+INDIRECT(ADDRESS($B56,Plots!$H$3,,,Plots!$A$58))+INDIRECT(ADDRESS($B56,Plots!$H$3,,,Plots!$A$59))+INDIRECT(ADDRESS($B56,Plots!$H$3,,,Plots!$A$60))+INDIRECT(ADDRESS($B56,Plots!$H$3,,,Plots!$A$61))</f>
        <v>0</v>
      </c>
      <c r="H56">
        <f>'AARnetCBR-CamDTN1_tcpmon_ts_61'!H60+'AARnetCBR-CamDTN1_tcpmon_ts_62'!H60+'AARnetCBR-CamDTN1_tcpmon_ts_63'!H60+'AARnetCBR-CamDTN1_tcpmon_ts_64'!H60+'AARnetCBR-CamDTN1_tcpmon_ts_65'!H60+'AARnetCBR-CamDTN1_tcpmon_ts_66'!H60</f>
        <v>0</v>
      </c>
      <c r="I56">
        <f>'AARnetCBR-CamDTN1_tcpmon_ts_81'!H60+'AARnetCBR-CamDTN1_tcpmon_ts_82'!H60+'AARnetCBR-CamDTN1_tcpmon_ts_83'!H60+'AARnetCBR-CamDTN1_tcpmon_ts_84'!H60+'AARnetCBR-CamDTN1_tcpmon_ts_85'!H60+'AARnetCBR-CamDTN1_tcpmon_ts_86'!H60+'AARnetCBR-CamDTN1_tcpmon_ts_87'!H60+'AARnetCBR-CamDTN1_tcpmon_ts_88'!H60</f>
        <v>0</v>
      </c>
      <c r="L56" cm="1">
        <f t="array" aca="1" ref="L56" ca="1">INDIRECT(ADDRESS($B56,Plots!$H$4,,,Plots!$A$47))</f>
        <v>0</v>
      </c>
      <c r="M56" cm="1">
        <f t="array" aca="1" ref="M56" ca="1">INDIRECT(ADDRESS($B56,Plots!$H$4,,,Plots!$A$48))+INDIRECT(ADDRESS($B56,Plots!$H$4,,,Plots!$A$49))</f>
        <v>0</v>
      </c>
      <c r="N56" cm="1">
        <f t="array" aca="1" ref="N56" ca="1">INDIRECT(ADDRESS($B56,Plots!$H$4,,,Plots!$A$50))+INDIRECT(ADDRESS($B56,Plots!$H$4,,,Plots!$A$51))+INDIRECT(ADDRESS($B56,Plots!$H$4,,,Plots!$A$52))</f>
        <v>0</v>
      </c>
      <c r="O56" cm="1">
        <f t="array" aca="1" ref="O56" ca="1">INDIRECT(ADDRESS($B56,Plots!$H$4,,,Plots!$A$53))+INDIRECT(ADDRESS($B56,Plots!$H$4,,,Plots!$A$54))+INDIRECT(ADDRESS($B56,Plots!$H$4,,,Plots!$A$55))+INDIRECT(ADDRESS($B56,Plots!$H$4,,,Plots!$A$56))</f>
        <v>0</v>
      </c>
      <c r="P56" cm="1">
        <f t="array" aca="1" ref="P56" ca="1">INDIRECT(ADDRESS($B56,Plots!$H$4,,,Plots!$A$57))+INDIRECT(ADDRESS($B56,Plots!$H$4,,,Plots!$A$58))+INDIRECT(ADDRESS($B56,Plots!$H$4,,,Plots!$A$59))+INDIRECT(ADDRESS($B56,Plots!$H$4,,,Plots!$A$60))+INDIRECT(ADDRESS($B56,Plots!$H$4,,,Plots!$A$61))</f>
        <v>0</v>
      </c>
      <c r="Q56" cm="1">
        <f t="array" aca="1" ref="Q56" ca="1">INDIRECT(ADDRESS($B56,Plots!$H$4,,,Plots!$A$62))+INDIRECT(ADDRESS($B56,Plots!$H$4,,,Plots!$A$63))+INDIRECT(ADDRESS($B56,Plots!$H$4,,,Plots!$A$64))+INDIRECT(ADDRESS($B56,Plots!$H$4,,,Plots!$A$65))+INDIRECT(ADDRESS($B56,Plots!$H$4,,,Plots!$A$66))+INDIRECT(ADDRESS($B56,Plots!$H$4,,,Plots!$A$67))</f>
        <v>0</v>
      </c>
      <c r="R56">
        <f>'AARnetCBR-CamDTN1_tcpmon_ts_81'!J61+'AARnetCBR-CamDTN1_tcpmon_ts_82'!J61+'AARnetCBR-CamDTN1_tcpmon_ts_83'!J61+'AARnetCBR-CamDTN1_tcpmon_ts_84'!J61+'AARnetCBR-CamDTN1_tcpmon_ts_85'!J61+'AARnetCBR-CamDTN1_tcpmon_ts_86'!J61+'AARnetCBR-CamDTN1_tcpmon_ts_87'!J61+'AARnetCBR-CamDTN1_tcpmon_ts_88'!J61</f>
        <v>0</v>
      </c>
    </row>
    <row r="57" spans="1:18">
      <c r="A57" cm="1">
        <f t="array" aca="1" ref="A57" ca="1">INDIRECT(ADDRESS($B57,Plots!$H$6,,,Plots!$A$47))</f>
        <v>108</v>
      </c>
      <c r="B57">
        <f t="shared" si="0"/>
        <v>66</v>
      </c>
      <c r="C57" cm="1">
        <f t="array" aca="1" ref="C57" ca="1">INDIRECT(ADDRESS($B57,Plots!$H$3,,,Plots!$A$47))</f>
        <v>25.9</v>
      </c>
      <c r="D57" cm="1">
        <f t="array" aca="1" ref="D57" ca="1">INDIRECT(ADDRESS($B57,Plots!$H$3,,,Plots!$A$48))+INDIRECT(ADDRESS($B57,Plots!$H$3,,,Plots!$A$49))</f>
        <v>58.47</v>
      </c>
      <c r="E57" cm="1">
        <f t="array" aca="1" ref="E57" ca="1">INDIRECT(ADDRESS($B57,Plots!$H$3,,,Plots!$A$50))+INDIRECT(ADDRESS($B57,Plots!$H$3,,,Plots!$A$51))+INDIRECT(ADDRESS($B57,Plots!$H$3,,,Plots!$A$52))</f>
        <v>63.05</v>
      </c>
      <c r="F57" cm="1">
        <f t="array" aca="1" ref="F57" ca="1">INDIRECT(ADDRESS($B57,Plots!$H$3,,,Plots!$A$53))+INDIRECT(ADDRESS($B57,Plots!$H$3,,,Plots!$A$54))+INDIRECT(ADDRESS($B57,Plots!$H$3,,,Plots!$A$55))+INDIRECT(ADDRESS($B57,Plots!$H$3,,,Plots!$A$56))</f>
        <v>91.69</v>
      </c>
      <c r="G57" cm="1">
        <f t="array" aca="1" ref="G57" ca="1">INDIRECT(ADDRESS($B57,Plots!$H$3,,,Plots!$A$57))+INDIRECT(ADDRESS($B57,Plots!$H$3,,,Plots!$A$58))+INDIRECT(ADDRESS($B57,Plots!$H$3,,,Plots!$A$59))+INDIRECT(ADDRESS($B57,Plots!$H$3,,,Plots!$A$60))+INDIRECT(ADDRESS($B57,Plots!$H$3,,,Plots!$A$61))</f>
        <v>0</v>
      </c>
      <c r="H57">
        <f>'AARnetCBR-CamDTN1_tcpmon_ts_61'!H61+'AARnetCBR-CamDTN1_tcpmon_ts_62'!H61+'AARnetCBR-CamDTN1_tcpmon_ts_63'!H61+'AARnetCBR-CamDTN1_tcpmon_ts_64'!H61+'AARnetCBR-CamDTN1_tcpmon_ts_65'!H61+'AARnetCBR-CamDTN1_tcpmon_ts_66'!H61</f>
        <v>0</v>
      </c>
      <c r="I57">
        <f>'AARnetCBR-CamDTN1_tcpmon_ts_81'!H61+'AARnetCBR-CamDTN1_tcpmon_ts_82'!H61+'AARnetCBR-CamDTN1_tcpmon_ts_83'!H61+'AARnetCBR-CamDTN1_tcpmon_ts_84'!H61+'AARnetCBR-CamDTN1_tcpmon_ts_85'!H61+'AARnetCBR-CamDTN1_tcpmon_ts_86'!H61+'AARnetCBR-CamDTN1_tcpmon_ts_87'!H61+'AARnetCBR-CamDTN1_tcpmon_ts_88'!H61</f>
        <v>0</v>
      </c>
      <c r="L57" cm="1">
        <f t="array" aca="1" ref="L57" ca="1">INDIRECT(ADDRESS($B57,Plots!$H$4,,,Plots!$A$47))</f>
        <v>0</v>
      </c>
      <c r="M57" cm="1">
        <f t="array" aca="1" ref="M57" ca="1">INDIRECT(ADDRESS($B57,Plots!$H$4,,,Plots!$A$48))+INDIRECT(ADDRESS($B57,Plots!$H$4,,,Plots!$A$49))</f>
        <v>0</v>
      </c>
      <c r="N57" cm="1">
        <f t="array" aca="1" ref="N57" ca="1">INDIRECT(ADDRESS($B57,Plots!$H$4,,,Plots!$A$50))+INDIRECT(ADDRESS($B57,Plots!$H$4,,,Plots!$A$51))+INDIRECT(ADDRESS($B57,Plots!$H$4,,,Plots!$A$52))</f>
        <v>0</v>
      </c>
      <c r="O57" cm="1">
        <f t="array" aca="1" ref="O57" ca="1">INDIRECT(ADDRESS($B57,Plots!$H$4,,,Plots!$A$53))+INDIRECT(ADDRESS($B57,Plots!$H$4,,,Plots!$A$54))+INDIRECT(ADDRESS($B57,Plots!$H$4,,,Plots!$A$55))+INDIRECT(ADDRESS($B57,Plots!$H$4,,,Plots!$A$56))</f>
        <v>0</v>
      </c>
      <c r="P57" cm="1">
        <f t="array" aca="1" ref="P57" ca="1">INDIRECT(ADDRESS($B57,Plots!$H$4,,,Plots!$A$57))+INDIRECT(ADDRESS($B57,Plots!$H$4,,,Plots!$A$58))+INDIRECT(ADDRESS($B57,Plots!$H$4,,,Plots!$A$59))+INDIRECT(ADDRESS($B57,Plots!$H$4,,,Plots!$A$60))+INDIRECT(ADDRESS($B57,Plots!$H$4,,,Plots!$A$61))</f>
        <v>0</v>
      </c>
      <c r="Q57" cm="1">
        <f t="array" aca="1" ref="Q57" ca="1">INDIRECT(ADDRESS($B57,Plots!$H$4,,,Plots!$A$62))+INDIRECT(ADDRESS($B57,Plots!$H$4,,,Plots!$A$63))+INDIRECT(ADDRESS($B57,Plots!$H$4,,,Plots!$A$64))+INDIRECT(ADDRESS($B57,Plots!$H$4,,,Plots!$A$65))+INDIRECT(ADDRESS($B57,Plots!$H$4,,,Plots!$A$66))+INDIRECT(ADDRESS($B57,Plots!$H$4,,,Plots!$A$67))</f>
        <v>0</v>
      </c>
      <c r="R57">
        <f>'AARnetCBR-CamDTN1_tcpmon_ts_81'!J62+'AARnetCBR-CamDTN1_tcpmon_ts_82'!J62+'AARnetCBR-CamDTN1_tcpmon_ts_83'!J62+'AARnetCBR-CamDTN1_tcpmon_ts_84'!J62+'AARnetCBR-CamDTN1_tcpmon_ts_85'!J62+'AARnetCBR-CamDTN1_tcpmon_ts_86'!J62+'AARnetCBR-CamDTN1_tcpmon_ts_87'!J62+'AARnetCBR-CamDTN1_tcpmon_ts_88'!J62</f>
        <v>0</v>
      </c>
    </row>
    <row r="58" spans="1:18">
      <c r="A58" cm="1">
        <f t="array" aca="1" ref="A58" ca="1">INDIRECT(ADDRESS($B58,Plots!$H$6,,,Plots!$A$47))</f>
        <v>110</v>
      </c>
      <c r="B58">
        <f t="shared" si="0"/>
        <v>67</v>
      </c>
      <c r="C58" cm="1">
        <f t="array" aca="1" ref="C58" ca="1">INDIRECT(ADDRESS($B58,Plots!$H$3,,,Plots!$A$47))</f>
        <v>25.98</v>
      </c>
      <c r="D58" cm="1">
        <f t="array" aca="1" ref="D58" ca="1">INDIRECT(ADDRESS($B58,Plots!$H$3,,,Plots!$A$48))+INDIRECT(ADDRESS($B58,Plots!$H$3,,,Plots!$A$49))</f>
        <v>54.68</v>
      </c>
      <c r="E58" cm="1">
        <f t="array" aca="1" ref="E58" ca="1">INDIRECT(ADDRESS($B58,Plots!$H$3,,,Plots!$A$50))+INDIRECT(ADDRESS($B58,Plots!$H$3,,,Plots!$A$51))+INDIRECT(ADDRESS($B58,Plots!$H$3,,,Plots!$A$52))</f>
        <v>72.92</v>
      </c>
      <c r="F58" cm="1">
        <f t="array" aca="1" ref="F58" ca="1">INDIRECT(ADDRESS($B58,Plots!$H$3,,,Plots!$A$53))+INDIRECT(ADDRESS($B58,Plots!$H$3,,,Plots!$A$54))+INDIRECT(ADDRESS($B58,Plots!$H$3,,,Plots!$A$55))+INDIRECT(ADDRESS($B58,Plots!$H$3,,,Plots!$A$56))</f>
        <v>87.61999999999999</v>
      </c>
      <c r="G58" cm="1">
        <f t="array" aca="1" ref="G58" ca="1">INDIRECT(ADDRESS($B58,Plots!$H$3,,,Plots!$A$57))+INDIRECT(ADDRESS($B58,Plots!$H$3,,,Plots!$A$58))+INDIRECT(ADDRESS($B58,Plots!$H$3,,,Plots!$A$59))+INDIRECT(ADDRESS($B58,Plots!$H$3,,,Plots!$A$60))+INDIRECT(ADDRESS($B58,Plots!$H$3,,,Plots!$A$61))</f>
        <v>0</v>
      </c>
      <c r="H58">
        <f>'AARnetCBR-CamDTN1_tcpmon_ts_61'!H62+'AARnetCBR-CamDTN1_tcpmon_ts_62'!H62+'AARnetCBR-CamDTN1_tcpmon_ts_63'!H62+'AARnetCBR-CamDTN1_tcpmon_ts_64'!H62+'AARnetCBR-CamDTN1_tcpmon_ts_65'!H62+'AARnetCBR-CamDTN1_tcpmon_ts_66'!H62</f>
        <v>0</v>
      </c>
      <c r="I58">
        <f>'AARnetCBR-CamDTN1_tcpmon_ts_81'!H62+'AARnetCBR-CamDTN1_tcpmon_ts_82'!H62+'AARnetCBR-CamDTN1_tcpmon_ts_83'!H62+'AARnetCBR-CamDTN1_tcpmon_ts_84'!H62+'AARnetCBR-CamDTN1_tcpmon_ts_85'!H62+'AARnetCBR-CamDTN1_tcpmon_ts_86'!H62+'AARnetCBR-CamDTN1_tcpmon_ts_87'!H62+'AARnetCBR-CamDTN1_tcpmon_ts_88'!H62</f>
        <v>0</v>
      </c>
      <c r="L58" cm="1">
        <f t="array" aca="1" ref="L58" ca="1">INDIRECT(ADDRESS($B58,Plots!$H$4,,,Plots!$A$47))</f>
        <v>0</v>
      </c>
      <c r="M58" cm="1">
        <f t="array" aca="1" ref="M58" ca="1">INDIRECT(ADDRESS($B58,Plots!$H$4,,,Plots!$A$48))+INDIRECT(ADDRESS($B58,Plots!$H$4,,,Plots!$A$49))</f>
        <v>0</v>
      </c>
      <c r="N58" cm="1">
        <f t="array" aca="1" ref="N58" ca="1">INDIRECT(ADDRESS($B58,Plots!$H$4,,,Plots!$A$50))+INDIRECT(ADDRESS($B58,Plots!$H$4,,,Plots!$A$51))+INDIRECT(ADDRESS($B58,Plots!$H$4,,,Plots!$A$52))</f>
        <v>0</v>
      </c>
      <c r="O58" cm="1">
        <f t="array" aca="1" ref="O58" ca="1">INDIRECT(ADDRESS($B58,Plots!$H$4,,,Plots!$A$53))+INDIRECT(ADDRESS($B58,Plots!$H$4,,,Plots!$A$54))+INDIRECT(ADDRESS($B58,Plots!$H$4,,,Plots!$A$55))+INDIRECT(ADDRESS($B58,Plots!$H$4,,,Plots!$A$56))</f>
        <v>0</v>
      </c>
      <c r="P58" cm="1">
        <f t="array" aca="1" ref="P58" ca="1">INDIRECT(ADDRESS($B58,Plots!$H$4,,,Plots!$A$57))+INDIRECT(ADDRESS($B58,Plots!$H$4,,,Plots!$A$58))+INDIRECT(ADDRESS($B58,Plots!$H$4,,,Plots!$A$59))+INDIRECT(ADDRESS($B58,Plots!$H$4,,,Plots!$A$60))+INDIRECT(ADDRESS($B58,Plots!$H$4,,,Plots!$A$61))</f>
        <v>0</v>
      </c>
      <c r="Q58" cm="1">
        <f t="array" aca="1" ref="Q58" ca="1">INDIRECT(ADDRESS($B58,Plots!$H$4,,,Plots!$A$62))+INDIRECT(ADDRESS($B58,Plots!$H$4,,,Plots!$A$63))+INDIRECT(ADDRESS($B58,Plots!$H$4,,,Plots!$A$64))+INDIRECT(ADDRESS($B58,Plots!$H$4,,,Plots!$A$65))+INDIRECT(ADDRESS($B58,Plots!$H$4,,,Plots!$A$66))+INDIRECT(ADDRESS($B58,Plots!$H$4,,,Plots!$A$67))</f>
        <v>0</v>
      </c>
      <c r="R58">
        <f>'AARnetCBR-CamDTN1_tcpmon_ts_81'!J63+'AARnetCBR-CamDTN1_tcpmon_ts_82'!J63+'AARnetCBR-CamDTN1_tcpmon_ts_83'!J63+'AARnetCBR-CamDTN1_tcpmon_ts_84'!J63+'AARnetCBR-CamDTN1_tcpmon_ts_85'!J63+'AARnetCBR-CamDTN1_tcpmon_ts_86'!J63+'AARnetCBR-CamDTN1_tcpmon_ts_87'!J63+'AARnetCBR-CamDTN1_tcpmon_ts_88'!J63</f>
        <v>0</v>
      </c>
    </row>
    <row r="59" spans="1:18">
      <c r="A59" cm="1">
        <f t="array" aca="1" ref="A59" ca="1">INDIRECT(ADDRESS($B59,Plots!$H$6,,,Plots!$A$47))</f>
        <v>112</v>
      </c>
      <c r="B59">
        <f t="shared" si="0"/>
        <v>68</v>
      </c>
      <c r="C59" cm="1">
        <f t="array" aca="1" ref="C59" ca="1">INDIRECT(ADDRESS($B59,Plots!$H$3,,,Plots!$A$47))</f>
        <v>25.97</v>
      </c>
      <c r="D59" cm="1">
        <f t="array" aca="1" ref="D59" ca="1">INDIRECT(ADDRESS($B59,Plots!$H$3,,,Plots!$A$48))+INDIRECT(ADDRESS($B59,Plots!$H$3,,,Plots!$A$49))</f>
        <v>56.620000000000005</v>
      </c>
      <c r="E59" cm="1">
        <f t="array" aca="1" ref="E59" ca="1">INDIRECT(ADDRESS($B59,Plots!$H$3,,,Plots!$A$50))+INDIRECT(ADDRESS($B59,Plots!$H$3,,,Plots!$A$51))+INDIRECT(ADDRESS($B59,Plots!$H$3,,,Plots!$A$52))</f>
        <v>61.230000000000004</v>
      </c>
      <c r="F59" cm="1">
        <f t="array" aca="1" ref="F59" ca="1">INDIRECT(ADDRESS($B59,Plots!$H$3,,,Plots!$A$53))+INDIRECT(ADDRESS($B59,Plots!$H$3,,,Plots!$A$54))+INDIRECT(ADDRESS($B59,Plots!$H$3,,,Plots!$A$55))+INDIRECT(ADDRESS($B59,Plots!$H$3,,,Plots!$A$56))</f>
        <v>89.3</v>
      </c>
      <c r="G59" cm="1">
        <f t="array" aca="1" ref="G59" ca="1">INDIRECT(ADDRESS($B59,Plots!$H$3,,,Plots!$A$57))+INDIRECT(ADDRESS($B59,Plots!$H$3,,,Plots!$A$58))+INDIRECT(ADDRESS($B59,Plots!$H$3,,,Plots!$A$59))+INDIRECT(ADDRESS($B59,Plots!$H$3,,,Plots!$A$60))+INDIRECT(ADDRESS($B59,Plots!$H$3,,,Plots!$A$61))</f>
        <v>0</v>
      </c>
      <c r="H59">
        <f>'AARnetCBR-CamDTN1_tcpmon_ts_61'!H63+'AARnetCBR-CamDTN1_tcpmon_ts_62'!H63+'AARnetCBR-CamDTN1_tcpmon_ts_63'!H63+'AARnetCBR-CamDTN1_tcpmon_ts_64'!H63+'AARnetCBR-CamDTN1_tcpmon_ts_65'!H63+'AARnetCBR-CamDTN1_tcpmon_ts_66'!H63</f>
        <v>0</v>
      </c>
      <c r="I59">
        <f>'AARnetCBR-CamDTN1_tcpmon_ts_81'!H63+'AARnetCBR-CamDTN1_tcpmon_ts_82'!H63+'AARnetCBR-CamDTN1_tcpmon_ts_83'!H63+'AARnetCBR-CamDTN1_tcpmon_ts_84'!H63+'AARnetCBR-CamDTN1_tcpmon_ts_85'!H63+'AARnetCBR-CamDTN1_tcpmon_ts_86'!H63+'AARnetCBR-CamDTN1_tcpmon_ts_87'!H63+'AARnetCBR-CamDTN1_tcpmon_ts_88'!H63</f>
        <v>0</v>
      </c>
      <c r="L59" cm="1">
        <f t="array" aca="1" ref="L59" ca="1">INDIRECT(ADDRESS($B59,Plots!$H$4,,,Plots!$A$47))</f>
        <v>0</v>
      </c>
      <c r="M59" cm="1">
        <f t="array" aca="1" ref="M59" ca="1">INDIRECT(ADDRESS($B59,Plots!$H$4,,,Plots!$A$48))+INDIRECT(ADDRESS($B59,Plots!$H$4,,,Plots!$A$49))</f>
        <v>0</v>
      </c>
      <c r="N59" cm="1">
        <f t="array" aca="1" ref="N59" ca="1">INDIRECT(ADDRESS($B59,Plots!$H$4,,,Plots!$A$50))+INDIRECT(ADDRESS($B59,Plots!$H$4,,,Plots!$A$51))+INDIRECT(ADDRESS($B59,Plots!$H$4,,,Plots!$A$52))</f>
        <v>0</v>
      </c>
      <c r="O59" cm="1">
        <f t="array" aca="1" ref="O59" ca="1">INDIRECT(ADDRESS($B59,Plots!$H$4,,,Plots!$A$53))+INDIRECT(ADDRESS($B59,Plots!$H$4,,,Plots!$A$54))+INDIRECT(ADDRESS($B59,Plots!$H$4,,,Plots!$A$55))+INDIRECT(ADDRESS($B59,Plots!$H$4,,,Plots!$A$56))</f>
        <v>0</v>
      </c>
      <c r="P59" cm="1">
        <f t="array" aca="1" ref="P59" ca="1">INDIRECT(ADDRESS($B59,Plots!$H$4,,,Plots!$A$57))+INDIRECT(ADDRESS($B59,Plots!$H$4,,,Plots!$A$58))+INDIRECT(ADDRESS($B59,Plots!$H$4,,,Plots!$A$59))+INDIRECT(ADDRESS($B59,Plots!$H$4,,,Plots!$A$60))+INDIRECT(ADDRESS($B59,Plots!$H$4,,,Plots!$A$61))</f>
        <v>0</v>
      </c>
      <c r="Q59" cm="1">
        <f t="array" aca="1" ref="Q59" ca="1">INDIRECT(ADDRESS($B59,Plots!$H$4,,,Plots!$A$62))+INDIRECT(ADDRESS($B59,Plots!$H$4,,,Plots!$A$63))+INDIRECT(ADDRESS($B59,Plots!$H$4,,,Plots!$A$64))+INDIRECT(ADDRESS($B59,Plots!$H$4,,,Plots!$A$65))+INDIRECT(ADDRESS($B59,Plots!$H$4,,,Plots!$A$66))+INDIRECT(ADDRESS($B59,Plots!$H$4,,,Plots!$A$67))</f>
        <v>0</v>
      </c>
      <c r="R59">
        <f>'AARnetCBR-CamDTN1_tcpmon_ts_81'!J64+'AARnetCBR-CamDTN1_tcpmon_ts_82'!J64+'AARnetCBR-CamDTN1_tcpmon_ts_83'!J64+'AARnetCBR-CamDTN1_tcpmon_ts_84'!J64+'AARnetCBR-CamDTN1_tcpmon_ts_85'!J64+'AARnetCBR-CamDTN1_tcpmon_ts_86'!J64+'AARnetCBR-CamDTN1_tcpmon_ts_87'!J64+'AARnetCBR-CamDTN1_tcpmon_ts_88'!J64</f>
        <v>0</v>
      </c>
    </row>
    <row r="60" spans="1:18">
      <c r="A60" cm="1">
        <f t="array" aca="1" ref="A60" ca="1">INDIRECT(ADDRESS($B60,Plots!$H$6,,,Plots!$A$47))</f>
        <v>114</v>
      </c>
      <c r="B60">
        <f t="shared" si="0"/>
        <v>69</v>
      </c>
      <c r="C60" cm="1">
        <f t="array" aca="1" ref="C60" ca="1">INDIRECT(ADDRESS($B60,Plots!$H$3,,,Plots!$A$47))</f>
        <v>26.11</v>
      </c>
      <c r="D60" cm="1">
        <f t="array" aca="1" ref="D60" ca="1">INDIRECT(ADDRESS($B60,Plots!$H$3,,,Plots!$A$48))+INDIRECT(ADDRESS($B60,Plots!$H$3,,,Plots!$A$49))</f>
        <v>58.519999999999996</v>
      </c>
      <c r="E60" cm="1">
        <f t="array" aca="1" ref="E60" ca="1">INDIRECT(ADDRESS($B60,Plots!$H$3,,,Plots!$A$50))+INDIRECT(ADDRESS($B60,Plots!$H$3,,,Plots!$A$51))+INDIRECT(ADDRESS($B60,Plots!$H$3,,,Plots!$A$52))</f>
        <v>74.19</v>
      </c>
      <c r="F60" cm="1">
        <f t="array" aca="1" ref="F60" ca="1">INDIRECT(ADDRESS($B60,Plots!$H$3,,,Plots!$A$53))+INDIRECT(ADDRESS($B60,Plots!$H$3,,,Plots!$A$54))+INDIRECT(ADDRESS($B60,Plots!$H$3,,,Plots!$A$55))+INDIRECT(ADDRESS($B60,Plots!$H$3,,,Plots!$A$56))</f>
        <v>92.039999999999992</v>
      </c>
      <c r="G60" cm="1">
        <f t="array" aca="1" ref="G60" ca="1">INDIRECT(ADDRESS($B60,Plots!$H$3,,,Plots!$A$57))+INDIRECT(ADDRESS($B60,Plots!$H$3,,,Plots!$A$58))+INDIRECT(ADDRESS($B60,Plots!$H$3,,,Plots!$A$59))+INDIRECT(ADDRESS($B60,Plots!$H$3,,,Plots!$A$60))+INDIRECT(ADDRESS($B60,Plots!$H$3,,,Plots!$A$61))</f>
        <v>0</v>
      </c>
      <c r="H60">
        <f>'AARnetCBR-CamDTN1_tcpmon_ts_61'!H64+'AARnetCBR-CamDTN1_tcpmon_ts_62'!H64+'AARnetCBR-CamDTN1_tcpmon_ts_63'!H64+'AARnetCBR-CamDTN1_tcpmon_ts_64'!H64+'AARnetCBR-CamDTN1_tcpmon_ts_65'!H64+'AARnetCBR-CamDTN1_tcpmon_ts_66'!H64</f>
        <v>0</v>
      </c>
      <c r="I60">
        <f>'AARnetCBR-CamDTN1_tcpmon_ts_81'!H64+'AARnetCBR-CamDTN1_tcpmon_ts_82'!H64+'AARnetCBR-CamDTN1_tcpmon_ts_83'!H64+'AARnetCBR-CamDTN1_tcpmon_ts_84'!H64+'AARnetCBR-CamDTN1_tcpmon_ts_85'!H64+'AARnetCBR-CamDTN1_tcpmon_ts_86'!H64+'AARnetCBR-CamDTN1_tcpmon_ts_87'!H64+'AARnetCBR-CamDTN1_tcpmon_ts_88'!H64</f>
        <v>0</v>
      </c>
      <c r="L60" cm="1">
        <f t="array" aca="1" ref="L60" ca="1">INDIRECT(ADDRESS($B60,Plots!$H$4,,,Plots!$A$47))</f>
        <v>0</v>
      </c>
      <c r="M60" cm="1">
        <f t="array" aca="1" ref="M60" ca="1">INDIRECT(ADDRESS($B60,Plots!$H$4,,,Plots!$A$48))+INDIRECT(ADDRESS($B60,Plots!$H$4,,,Plots!$A$49))</f>
        <v>0</v>
      </c>
      <c r="N60" cm="1">
        <f t="array" aca="1" ref="N60" ca="1">INDIRECT(ADDRESS($B60,Plots!$H$4,,,Plots!$A$50))+INDIRECT(ADDRESS($B60,Plots!$H$4,,,Plots!$A$51))+INDIRECT(ADDRESS($B60,Plots!$H$4,,,Plots!$A$52))</f>
        <v>0</v>
      </c>
      <c r="O60" cm="1">
        <f t="array" aca="1" ref="O60" ca="1">INDIRECT(ADDRESS($B60,Plots!$H$4,,,Plots!$A$53))+INDIRECT(ADDRESS($B60,Plots!$H$4,,,Plots!$A$54))+INDIRECT(ADDRESS($B60,Plots!$H$4,,,Plots!$A$55))+INDIRECT(ADDRESS($B60,Plots!$H$4,,,Plots!$A$56))</f>
        <v>0</v>
      </c>
      <c r="P60" cm="1">
        <f t="array" aca="1" ref="P60" ca="1">INDIRECT(ADDRESS($B60,Plots!$H$4,,,Plots!$A$57))+INDIRECT(ADDRESS($B60,Plots!$H$4,,,Plots!$A$58))+INDIRECT(ADDRESS($B60,Plots!$H$4,,,Plots!$A$59))+INDIRECT(ADDRESS($B60,Plots!$H$4,,,Plots!$A$60))+INDIRECT(ADDRESS($B60,Plots!$H$4,,,Plots!$A$61))</f>
        <v>0</v>
      </c>
      <c r="Q60" cm="1">
        <f t="array" aca="1" ref="Q60" ca="1">INDIRECT(ADDRESS($B60,Plots!$H$4,,,Plots!$A$62))+INDIRECT(ADDRESS($B60,Plots!$H$4,,,Plots!$A$63))+INDIRECT(ADDRESS($B60,Plots!$H$4,,,Plots!$A$64))+INDIRECT(ADDRESS($B60,Plots!$H$4,,,Plots!$A$65))+INDIRECT(ADDRESS($B60,Plots!$H$4,,,Plots!$A$66))+INDIRECT(ADDRESS($B60,Plots!$H$4,,,Plots!$A$67))</f>
        <v>0</v>
      </c>
      <c r="R60">
        <f>'AARnetCBR-CamDTN1_tcpmon_ts_81'!J65+'AARnetCBR-CamDTN1_tcpmon_ts_82'!J65+'AARnetCBR-CamDTN1_tcpmon_ts_83'!J65+'AARnetCBR-CamDTN1_tcpmon_ts_84'!J65+'AARnetCBR-CamDTN1_tcpmon_ts_85'!J65+'AARnetCBR-CamDTN1_tcpmon_ts_86'!J65+'AARnetCBR-CamDTN1_tcpmon_ts_87'!J65+'AARnetCBR-CamDTN1_tcpmon_ts_88'!J65</f>
        <v>0</v>
      </c>
    </row>
    <row r="61" spans="1:18">
      <c r="A61" cm="1">
        <f t="array" aca="1" ref="A61" ca="1">INDIRECT(ADDRESS($B61,Plots!$H$6,,,Plots!$A$47))</f>
        <v>116</v>
      </c>
      <c r="B61">
        <f t="shared" si="0"/>
        <v>70</v>
      </c>
      <c r="C61" cm="1">
        <f t="array" aca="1" ref="C61" ca="1">INDIRECT(ADDRESS($B61,Plots!$H$3,,,Plots!$A$47))</f>
        <v>27.6</v>
      </c>
      <c r="D61" cm="1">
        <f t="array" aca="1" ref="D61" ca="1">INDIRECT(ADDRESS($B61,Plots!$H$3,,,Plots!$A$48))+INDIRECT(ADDRESS($B61,Plots!$H$3,,,Plots!$A$49))</f>
        <v>59.41</v>
      </c>
      <c r="E61" cm="1">
        <f t="array" aca="1" ref="E61" ca="1">INDIRECT(ADDRESS($B61,Plots!$H$3,,,Plots!$A$50))+INDIRECT(ADDRESS($B61,Plots!$H$3,,,Plots!$A$51))+INDIRECT(ADDRESS($B61,Plots!$H$3,,,Plots!$A$52))</f>
        <v>60.67</v>
      </c>
      <c r="F61" cm="1">
        <f t="array" aca="1" ref="F61" ca="1">INDIRECT(ADDRESS($B61,Plots!$H$3,,,Plots!$A$53))+INDIRECT(ADDRESS($B61,Plots!$H$3,,,Plots!$A$54))+INDIRECT(ADDRESS($B61,Plots!$H$3,,,Plots!$A$55))+INDIRECT(ADDRESS($B61,Plots!$H$3,,,Plots!$A$56))</f>
        <v>92.92</v>
      </c>
      <c r="G61" cm="1">
        <f t="array" aca="1" ref="G61" ca="1">INDIRECT(ADDRESS($B61,Plots!$H$3,,,Plots!$A$57))+INDIRECT(ADDRESS($B61,Plots!$H$3,,,Plots!$A$58))+INDIRECT(ADDRESS($B61,Plots!$H$3,,,Plots!$A$59))+INDIRECT(ADDRESS($B61,Plots!$H$3,,,Plots!$A$60))+INDIRECT(ADDRESS($B61,Plots!$H$3,,,Plots!$A$61))</f>
        <v>0</v>
      </c>
      <c r="H61">
        <f>'AARnetCBR-CamDTN1_tcpmon_ts_61'!H65+'AARnetCBR-CamDTN1_tcpmon_ts_62'!H65+'AARnetCBR-CamDTN1_tcpmon_ts_63'!H65+'AARnetCBR-CamDTN1_tcpmon_ts_64'!H65+'AARnetCBR-CamDTN1_tcpmon_ts_65'!H65+'AARnetCBR-CamDTN1_tcpmon_ts_66'!H65</f>
        <v>0</v>
      </c>
      <c r="I61">
        <f>'AARnetCBR-CamDTN1_tcpmon_ts_81'!H65+'AARnetCBR-CamDTN1_tcpmon_ts_82'!H65+'AARnetCBR-CamDTN1_tcpmon_ts_83'!H65+'AARnetCBR-CamDTN1_tcpmon_ts_84'!H65+'AARnetCBR-CamDTN1_tcpmon_ts_85'!H65+'AARnetCBR-CamDTN1_tcpmon_ts_86'!H65+'AARnetCBR-CamDTN1_tcpmon_ts_87'!H65+'AARnetCBR-CamDTN1_tcpmon_ts_88'!H65</f>
        <v>0</v>
      </c>
      <c r="L61" cm="1">
        <f t="array" aca="1" ref="L61" ca="1">INDIRECT(ADDRESS($B61,Plots!$H$4,,,Plots!$A$47))</f>
        <v>0</v>
      </c>
      <c r="M61" cm="1">
        <f t="array" aca="1" ref="M61" ca="1">INDIRECT(ADDRESS($B61,Plots!$H$4,,,Plots!$A$48))+INDIRECT(ADDRESS($B61,Plots!$H$4,,,Plots!$A$49))</f>
        <v>0</v>
      </c>
      <c r="N61" cm="1">
        <f t="array" aca="1" ref="N61" ca="1">INDIRECT(ADDRESS($B61,Plots!$H$4,,,Plots!$A$50))+INDIRECT(ADDRESS($B61,Plots!$H$4,,,Plots!$A$51))+INDIRECT(ADDRESS($B61,Plots!$H$4,,,Plots!$A$52))</f>
        <v>0</v>
      </c>
      <c r="O61" cm="1">
        <f t="array" aca="1" ref="O61" ca="1">INDIRECT(ADDRESS($B61,Plots!$H$4,,,Plots!$A$53))+INDIRECT(ADDRESS($B61,Plots!$H$4,,,Plots!$A$54))+INDIRECT(ADDRESS($B61,Plots!$H$4,,,Plots!$A$55))+INDIRECT(ADDRESS($B61,Plots!$H$4,,,Plots!$A$56))</f>
        <v>0</v>
      </c>
      <c r="P61" cm="1">
        <f t="array" aca="1" ref="P61" ca="1">INDIRECT(ADDRESS($B61,Plots!$H$4,,,Plots!$A$57))+INDIRECT(ADDRESS($B61,Plots!$H$4,,,Plots!$A$58))+INDIRECT(ADDRESS($B61,Plots!$H$4,,,Plots!$A$59))+INDIRECT(ADDRESS($B61,Plots!$H$4,,,Plots!$A$60))+INDIRECT(ADDRESS($B61,Plots!$H$4,,,Plots!$A$61))</f>
        <v>0</v>
      </c>
      <c r="Q61" cm="1">
        <f t="array" aca="1" ref="Q61" ca="1">INDIRECT(ADDRESS($B61,Plots!$H$4,,,Plots!$A$62))+INDIRECT(ADDRESS($B61,Plots!$H$4,,,Plots!$A$63))+INDIRECT(ADDRESS($B61,Plots!$H$4,,,Plots!$A$64))+INDIRECT(ADDRESS($B61,Plots!$H$4,,,Plots!$A$65))+INDIRECT(ADDRESS($B61,Plots!$H$4,,,Plots!$A$66))+INDIRECT(ADDRESS($B61,Plots!$H$4,,,Plots!$A$67))</f>
        <v>0</v>
      </c>
      <c r="R61">
        <f>'AARnetCBR-CamDTN1_tcpmon_ts_81'!J66+'AARnetCBR-CamDTN1_tcpmon_ts_82'!J66+'AARnetCBR-CamDTN1_tcpmon_ts_83'!J66+'AARnetCBR-CamDTN1_tcpmon_ts_84'!J66+'AARnetCBR-CamDTN1_tcpmon_ts_85'!J66+'AARnetCBR-CamDTN1_tcpmon_ts_86'!J66+'AARnetCBR-CamDTN1_tcpmon_ts_87'!J66+'AARnetCBR-CamDTN1_tcpmon_ts_88'!J66</f>
        <v>0</v>
      </c>
    </row>
    <row r="62" spans="1:18">
      <c r="A62" cm="1">
        <f t="array" aca="1" ref="A62" ca="1">INDIRECT(ADDRESS($B62,Plots!$H$6,,,Plots!$A$47))</f>
        <v>118</v>
      </c>
      <c r="B62">
        <f t="shared" si="0"/>
        <v>71</v>
      </c>
      <c r="C62" cm="1">
        <f t="array" aca="1" ref="C62" ca="1">INDIRECT(ADDRESS($B62,Plots!$H$3,,,Plots!$A$47))</f>
        <v>25.96</v>
      </c>
      <c r="D62" cm="1">
        <f t="array" aca="1" ref="D62" ca="1">INDIRECT(ADDRESS($B62,Plots!$H$3,,,Plots!$A$48))+INDIRECT(ADDRESS($B62,Plots!$H$3,,,Plots!$A$49))</f>
        <v>55.3</v>
      </c>
      <c r="E62" cm="1">
        <f t="array" aca="1" ref="E62" ca="1">INDIRECT(ADDRESS($B62,Plots!$H$3,,,Plots!$A$50))+INDIRECT(ADDRESS($B62,Plots!$H$3,,,Plots!$A$51))+INDIRECT(ADDRESS($B62,Plots!$H$3,,,Plots!$A$52))</f>
        <v>74.789999999999992</v>
      </c>
      <c r="F62" cm="1">
        <f t="array" aca="1" ref="F62" ca="1">INDIRECT(ADDRESS($B62,Plots!$H$3,,,Plots!$A$53))+INDIRECT(ADDRESS($B62,Plots!$H$3,,,Plots!$A$54))+INDIRECT(ADDRESS($B62,Plots!$H$3,,,Plots!$A$55))+INDIRECT(ADDRESS($B62,Plots!$H$3,,,Plots!$A$56))</f>
        <v>84.03</v>
      </c>
      <c r="G62" cm="1">
        <f t="array" aca="1" ref="G62" ca="1">INDIRECT(ADDRESS($B62,Plots!$H$3,,,Plots!$A$57))+INDIRECT(ADDRESS($B62,Plots!$H$3,,,Plots!$A$58))+INDIRECT(ADDRESS($B62,Plots!$H$3,,,Plots!$A$59))+INDIRECT(ADDRESS($B62,Plots!$H$3,,,Plots!$A$60))+INDIRECT(ADDRESS($B62,Plots!$H$3,,,Plots!$A$61))</f>
        <v>0</v>
      </c>
      <c r="H62">
        <f>'AARnetCBR-CamDTN1_tcpmon_ts_61'!C26+'AARnetCBR-CamDTN1_tcpmon_ts_62'!C26+'AARnetCBR-CamDTN1_tcpmon_ts_63'!C26+'AARnetCBR-CamDTN1_tcpmon_ts_64'!C26+'AARnetCBR-CamDTN1_tcpmon_ts_65'!C26+'AARnetCBR-CamDTN1_tcpmon_ts_66'!C26</f>
        <v>0</v>
      </c>
      <c r="I62">
        <f>'AARnetCBR-CamDTN1_tcpmon_ts_81'!C26+'AARnetCBR-CamDTN1_tcpmon_ts_82'!C26+'AARnetCBR-CamDTN1_tcpmon_ts_83'!C26+'AARnetCBR-CamDTN1_tcpmon_ts_84'!C26+'AARnetCBR-CamDTN1_tcpmon_ts_85'!C26+'AARnetCBR-CamDTN1_tcpmon_ts_86'!C26+'AARnetCBR-CamDTN1_tcpmon_ts_87'!C26+'AARnetCBR-CamDTN1_tcpmon_ts_88'!C26</f>
        <v>0</v>
      </c>
      <c r="L62" cm="1">
        <f t="array" aca="1" ref="L62" ca="1">INDIRECT(ADDRESS($B62,Plots!$H$4,,,Plots!$A$47))</f>
        <v>0</v>
      </c>
      <c r="M62" cm="1">
        <f t="array" aca="1" ref="M62" ca="1">INDIRECT(ADDRESS($B62,Plots!$H$4,,,Plots!$A$48))+INDIRECT(ADDRESS($B62,Plots!$H$4,,,Plots!$A$49))</f>
        <v>0</v>
      </c>
      <c r="N62" cm="1">
        <f t="array" aca="1" ref="N62" ca="1">INDIRECT(ADDRESS($B62,Plots!$H$4,,,Plots!$A$50))+INDIRECT(ADDRESS($B62,Plots!$H$4,,,Plots!$A$51))+INDIRECT(ADDRESS($B62,Plots!$H$4,,,Plots!$A$52))</f>
        <v>0</v>
      </c>
      <c r="O62" cm="1">
        <f t="array" aca="1" ref="O62" ca="1">INDIRECT(ADDRESS($B62,Plots!$H$4,,,Plots!$A$53))+INDIRECT(ADDRESS($B62,Plots!$H$4,,,Plots!$A$54))+INDIRECT(ADDRESS($B62,Plots!$H$4,,,Plots!$A$55))+INDIRECT(ADDRESS($B62,Plots!$H$4,,,Plots!$A$56))</f>
        <v>0</v>
      </c>
      <c r="P62" cm="1">
        <f t="array" aca="1" ref="P62" ca="1">INDIRECT(ADDRESS($B62,Plots!$H$4,,,Plots!$A$57))+INDIRECT(ADDRESS($B62,Plots!$H$4,,,Plots!$A$58))+INDIRECT(ADDRESS($B62,Plots!$H$4,,,Plots!$A$59))+INDIRECT(ADDRESS($B62,Plots!$H$4,,,Plots!$A$60))+INDIRECT(ADDRESS($B62,Plots!$H$4,,,Plots!$A$61))</f>
        <v>0</v>
      </c>
      <c r="Q62" cm="1">
        <f t="array" aca="1" ref="Q62" ca="1">INDIRECT(ADDRESS($B62,Plots!$H$4,,,Plots!$A$62))+INDIRECT(ADDRESS($B62,Plots!$H$4,,,Plots!$A$63))+INDIRECT(ADDRESS($B62,Plots!$H$4,,,Plots!$A$64))+INDIRECT(ADDRESS($B62,Plots!$H$4,,,Plots!$A$65))+INDIRECT(ADDRESS($B62,Plots!$H$4,,,Plots!$A$66))+INDIRECT(ADDRESS($B62,Plots!$H$4,,,Plots!$A$67))</f>
        <v>0</v>
      </c>
      <c r="R62">
        <f>'AARnetCBR-CamDTN1_tcpmon_ts_81'!J67+'AARnetCBR-CamDTN1_tcpmon_ts_82'!J67+'AARnetCBR-CamDTN1_tcpmon_ts_83'!J67+'AARnetCBR-CamDTN1_tcpmon_ts_84'!J67+'AARnetCBR-CamDTN1_tcpmon_ts_85'!J67+'AARnetCBR-CamDTN1_tcpmon_ts_86'!J67+'AARnetCBR-CamDTN1_tcpmon_ts_87'!J67+'AARnetCBR-CamDTN1_tcpmon_ts_88'!J67</f>
        <v>0</v>
      </c>
    </row>
    <row r="63" spans="1:18">
      <c r="A63" cm="1">
        <f t="array" aca="1" ref="A63" ca="1">INDIRECT(ADDRESS($B63,Plots!$H$6,,,Plots!$A$47))</f>
        <v>120</v>
      </c>
      <c r="B63">
        <f t="shared" si="0"/>
        <v>72</v>
      </c>
      <c r="C63" cm="1">
        <f t="array" aca="1" ref="C63" ca="1">INDIRECT(ADDRESS($B63,Plots!$H$3,,,Plots!$A$47))</f>
        <v>25.03</v>
      </c>
      <c r="D63" cm="1">
        <f t="array" aca="1" ref="D63" ca="1">INDIRECT(ADDRESS($B63,Plots!$H$3,,,Plots!$A$48))+INDIRECT(ADDRESS($B63,Plots!$H$3,,,Plots!$A$49))</f>
        <v>58.06</v>
      </c>
      <c r="E63" cm="1">
        <f t="array" aca="1" ref="E63" ca="1">INDIRECT(ADDRESS($B63,Plots!$H$3,,,Plots!$A$50))+INDIRECT(ADDRESS($B63,Plots!$H$3,,,Plots!$A$51))+INDIRECT(ADDRESS($B63,Plots!$H$3,,,Plots!$A$52))</f>
        <v>60.2</v>
      </c>
      <c r="F63" cm="1">
        <f t="array" aca="1" ref="F63" ca="1">INDIRECT(ADDRESS($B63,Plots!$H$3,,,Plots!$A$53))+INDIRECT(ADDRESS($B63,Plots!$H$3,,,Plots!$A$54))+INDIRECT(ADDRESS($B63,Plots!$H$3,,,Plots!$A$55))+INDIRECT(ADDRESS($B63,Plots!$H$3,,,Plots!$A$56))</f>
        <v>98.03</v>
      </c>
      <c r="G63" cm="1">
        <f t="array" aca="1" ref="G63" ca="1">INDIRECT(ADDRESS($B63,Plots!$H$3,,,Plots!$A$57))+INDIRECT(ADDRESS($B63,Plots!$H$3,,,Plots!$A$58))+INDIRECT(ADDRESS($B63,Plots!$H$3,,,Plots!$A$59))+INDIRECT(ADDRESS($B63,Plots!$H$3,,,Plots!$A$60))+INDIRECT(ADDRESS($B63,Plots!$H$3,,,Plots!$A$61))</f>
        <v>0</v>
      </c>
      <c r="H63">
        <f>'AARnetCBR-CamDTN1_tcpmon_ts_61'!C27+'AARnetCBR-CamDTN1_tcpmon_ts_62'!C27+'AARnetCBR-CamDTN1_tcpmon_ts_63'!C27+'AARnetCBR-CamDTN1_tcpmon_ts_64'!C27+'AARnetCBR-CamDTN1_tcpmon_ts_65'!C27+'AARnetCBR-CamDTN1_tcpmon_ts_66'!C27</f>
        <v>0</v>
      </c>
      <c r="I63">
        <f>'AARnetCBR-CamDTN1_tcpmon_ts_81'!C27+'AARnetCBR-CamDTN1_tcpmon_ts_82'!C27+'AARnetCBR-CamDTN1_tcpmon_ts_83'!C27+'AARnetCBR-CamDTN1_tcpmon_ts_84'!C27+'AARnetCBR-CamDTN1_tcpmon_ts_85'!C27+'AARnetCBR-CamDTN1_tcpmon_ts_86'!C27+'AARnetCBR-CamDTN1_tcpmon_ts_87'!C27+'AARnetCBR-CamDTN1_tcpmon_ts_88'!C27</f>
        <v>0</v>
      </c>
      <c r="L63" cm="1">
        <f t="array" aca="1" ref="L63" ca="1">INDIRECT(ADDRESS($B63,Plots!$H$4,,,Plots!$A$47))</f>
        <v>0</v>
      </c>
      <c r="M63" cm="1">
        <f t="array" aca="1" ref="M63" ca="1">INDIRECT(ADDRESS($B63,Plots!$H$4,,,Plots!$A$48))+INDIRECT(ADDRESS($B63,Plots!$H$4,,,Plots!$A$49))</f>
        <v>0</v>
      </c>
      <c r="N63" cm="1">
        <f t="array" aca="1" ref="N63" ca="1">INDIRECT(ADDRESS($B63,Plots!$H$4,,,Plots!$A$50))+INDIRECT(ADDRESS($B63,Plots!$H$4,,,Plots!$A$51))+INDIRECT(ADDRESS($B63,Plots!$H$4,,,Plots!$A$52))</f>
        <v>0</v>
      </c>
      <c r="O63" cm="1">
        <f t="array" aca="1" ref="O63" ca="1">INDIRECT(ADDRESS($B63,Plots!$H$4,,,Plots!$A$53))+INDIRECT(ADDRESS($B63,Plots!$H$4,,,Plots!$A$54))+INDIRECT(ADDRESS($B63,Plots!$H$4,,,Plots!$A$55))+INDIRECT(ADDRESS($B63,Plots!$H$4,,,Plots!$A$56))</f>
        <v>0</v>
      </c>
      <c r="P63" cm="1">
        <f t="array" aca="1" ref="P63" ca="1">INDIRECT(ADDRESS($B63,Plots!$H$4,,,Plots!$A$57))+INDIRECT(ADDRESS($B63,Plots!$H$4,,,Plots!$A$58))+INDIRECT(ADDRESS($B63,Plots!$H$4,,,Plots!$A$59))+INDIRECT(ADDRESS($B63,Plots!$H$4,,,Plots!$A$60))+INDIRECT(ADDRESS($B63,Plots!$H$4,,,Plots!$A$61))</f>
        <v>0</v>
      </c>
      <c r="Q63" cm="1">
        <f t="array" aca="1" ref="Q63" ca="1">INDIRECT(ADDRESS($B63,Plots!$H$4,,,Plots!$A$62))+INDIRECT(ADDRESS($B63,Plots!$H$4,,,Plots!$A$63))+INDIRECT(ADDRESS($B63,Plots!$H$4,,,Plots!$A$64))+INDIRECT(ADDRESS($B63,Plots!$H$4,,,Plots!$A$65))+INDIRECT(ADDRESS($B63,Plots!$H$4,,,Plots!$A$66))+INDIRECT(ADDRESS($B63,Plots!$H$4,,,Plots!$A$67))</f>
        <v>0</v>
      </c>
      <c r="R63">
        <f>'AARnetCBR-CamDTN1_tcpmon_ts_81'!J68+'AARnetCBR-CamDTN1_tcpmon_ts_82'!J68+'AARnetCBR-CamDTN1_tcpmon_ts_83'!J68+'AARnetCBR-CamDTN1_tcpmon_ts_84'!J68+'AARnetCBR-CamDTN1_tcpmon_ts_85'!J68+'AARnetCBR-CamDTN1_tcpmon_ts_86'!J68+'AARnetCBR-CamDTN1_tcpmon_ts_87'!J68+'AARnetCBR-CamDTN1_tcpmon_ts_88'!J68</f>
        <v>0</v>
      </c>
    </row>
    <row r="64" spans="1:18">
      <c r="A64" cm="1">
        <f t="array" aca="1" ref="A64" ca="1">INDIRECT(ADDRESS($B64,Plots!$H$6,,,Plots!$A$47))</f>
        <v>122</v>
      </c>
      <c r="B64">
        <f t="shared" si="0"/>
        <v>73</v>
      </c>
      <c r="C64" cm="1">
        <f t="array" aca="1" ref="C64" ca="1">INDIRECT(ADDRESS($B64,Plots!$H$3,,,Plots!$A$47))</f>
        <v>25.35</v>
      </c>
      <c r="D64" cm="1">
        <f t="array" aca="1" ref="D64" ca="1">INDIRECT(ADDRESS($B64,Plots!$H$3,,,Plots!$A$48))+INDIRECT(ADDRESS($B64,Plots!$H$3,,,Plots!$A$49))</f>
        <v>58.24</v>
      </c>
      <c r="E64" cm="1">
        <f t="array" aca="1" ref="E64" ca="1">INDIRECT(ADDRESS($B64,Plots!$H$3,,,Plots!$A$50))+INDIRECT(ADDRESS($B64,Plots!$H$3,,,Plots!$A$51))+INDIRECT(ADDRESS($B64,Plots!$H$3,,,Plots!$A$52))</f>
        <v>75.210000000000008</v>
      </c>
      <c r="F64" cm="1">
        <f t="array" aca="1" ref="F64" ca="1">INDIRECT(ADDRESS($B64,Plots!$H$3,,,Plots!$A$53))+INDIRECT(ADDRESS($B64,Plots!$H$3,,,Plots!$A$54))+INDIRECT(ADDRESS($B64,Plots!$H$3,,,Plots!$A$55))+INDIRECT(ADDRESS($B64,Plots!$H$3,,,Plots!$A$56))</f>
        <v>92.34</v>
      </c>
      <c r="G64" cm="1">
        <f t="array" aca="1" ref="G64" ca="1">INDIRECT(ADDRESS($B64,Plots!$H$3,,,Plots!$A$57))+INDIRECT(ADDRESS($B64,Plots!$H$3,,,Plots!$A$58))+INDIRECT(ADDRESS($B64,Plots!$H$3,,,Plots!$A$59))+INDIRECT(ADDRESS($B64,Plots!$H$3,,,Plots!$A$60))+INDIRECT(ADDRESS($B64,Plots!$H$3,,,Plots!$A$61))</f>
        <v>0</v>
      </c>
      <c r="H64">
        <f>'AARnetCBR-CamDTN1_tcpmon_ts_61'!C28+'AARnetCBR-CamDTN1_tcpmon_ts_62'!C28+'AARnetCBR-CamDTN1_tcpmon_ts_63'!C28+'AARnetCBR-CamDTN1_tcpmon_ts_64'!C28+'AARnetCBR-CamDTN1_tcpmon_ts_65'!C28+'AARnetCBR-CamDTN1_tcpmon_ts_66'!C28</f>
        <v>0</v>
      </c>
      <c r="I64">
        <f>'AARnetCBR-CamDTN1_tcpmon_ts_81'!C28+'AARnetCBR-CamDTN1_tcpmon_ts_82'!C28+'AARnetCBR-CamDTN1_tcpmon_ts_83'!C28+'AARnetCBR-CamDTN1_tcpmon_ts_84'!C28+'AARnetCBR-CamDTN1_tcpmon_ts_85'!C28+'AARnetCBR-CamDTN1_tcpmon_ts_86'!C28+'AARnetCBR-CamDTN1_tcpmon_ts_87'!C28+'AARnetCBR-CamDTN1_tcpmon_ts_88'!C28</f>
        <v>0</v>
      </c>
      <c r="L64" cm="1">
        <f t="array" aca="1" ref="L64" ca="1">INDIRECT(ADDRESS($B64,Plots!$H$4,,,Plots!$A$47))</f>
        <v>0</v>
      </c>
      <c r="M64" cm="1">
        <f t="array" aca="1" ref="M64" ca="1">INDIRECT(ADDRESS($B64,Plots!$H$4,,,Plots!$A$48))+INDIRECT(ADDRESS($B64,Plots!$H$4,,,Plots!$A$49))</f>
        <v>0</v>
      </c>
      <c r="N64" cm="1">
        <f t="array" aca="1" ref="N64" ca="1">INDIRECT(ADDRESS($B64,Plots!$H$4,,,Plots!$A$50))+INDIRECT(ADDRESS($B64,Plots!$H$4,,,Plots!$A$51))+INDIRECT(ADDRESS($B64,Plots!$H$4,,,Plots!$A$52))</f>
        <v>0</v>
      </c>
      <c r="O64" cm="1">
        <f t="array" aca="1" ref="O64" ca="1">INDIRECT(ADDRESS($B64,Plots!$H$4,,,Plots!$A$53))+INDIRECT(ADDRESS($B64,Plots!$H$4,,,Plots!$A$54))+INDIRECT(ADDRESS($B64,Plots!$H$4,,,Plots!$A$55))+INDIRECT(ADDRESS($B64,Plots!$H$4,,,Plots!$A$56))</f>
        <v>0</v>
      </c>
      <c r="P64" cm="1">
        <f t="array" aca="1" ref="P64" ca="1">INDIRECT(ADDRESS($B64,Plots!$H$4,,,Plots!$A$57))+INDIRECT(ADDRESS($B64,Plots!$H$4,,,Plots!$A$58))+INDIRECT(ADDRESS($B64,Plots!$H$4,,,Plots!$A$59))+INDIRECT(ADDRESS($B64,Plots!$H$4,,,Plots!$A$60))+INDIRECT(ADDRESS($B64,Plots!$H$4,,,Plots!$A$61))</f>
        <v>0</v>
      </c>
      <c r="Q64" cm="1">
        <f t="array" aca="1" ref="Q64" ca="1">INDIRECT(ADDRESS($B64,Plots!$H$4,,,Plots!$A$62))+INDIRECT(ADDRESS($B64,Plots!$H$4,,,Plots!$A$63))+INDIRECT(ADDRESS($B64,Plots!$H$4,,,Plots!$A$64))+INDIRECT(ADDRESS($B64,Plots!$H$4,,,Plots!$A$65))+INDIRECT(ADDRESS($B64,Plots!$H$4,,,Plots!$A$66))+INDIRECT(ADDRESS($B64,Plots!$H$4,,,Plots!$A$67))</f>
        <v>0</v>
      </c>
      <c r="R64">
        <f>'AARnetCBR-CamDTN1_tcpmon_ts_81'!J69+'AARnetCBR-CamDTN1_tcpmon_ts_82'!J69+'AARnetCBR-CamDTN1_tcpmon_ts_83'!J69+'AARnetCBR-CamDTN1_tcpmon_ts_84'!J69+'AARnetCBR-CamDTN1_tcpmon_ts_85'!J69+'AARnetCBR-CamDTN1_tcpmon_ts_86'!J69+'AARnetCBR-CamDTN1_tcpmon_ts_87'!J69+'AARnetCBR-CamDTN1_tcpmon_ts_88'!J69</f>
        <v>0</v>
      </c>
    </row>
    <row r="65" spans="1:18">
      <c r="A65" cm="1">
        <f t="array" aca="1" ref="A65" ca="1">INDIRECT(ADDRESS($B65,Plots!$H$6,,,Plots!$A$47))</f>
        <v>124</v>
      </c>
      <c r="B65">
        <f t="shared" si="0"/>
        <v>74</v>
      </c>
      <c r="C65" cm="1">
        <f t="array" aca="1" ref="C65" ca="1">INDIRECT(ADDRESS($B65,Plots!$H$3,,,Plots!$A$47))</f>
        <v>25.82</v>
      </c>
      <c r="D65" cm="1">
        <f t="array" aca="1" ref="D65" ca="1">INDIRECT(ADDRESS($B65,Plots!$H$3,,,Plots!$A$48))+INDIRECT(ADDRESS($B65,Plots!$H$3,,,Plots!$A$49))</f>
        <v>55.54</v>
      </c>
      <c r="E65" cm="1">
        <f t="array" aca="1" ref="E65" ca="1">INDIRECT(ADDRESS($B65,Plots!$H$3,,,Plots!$A$50))+INDIRECT(ADDRESS($B65,Plots!$H$3,,,Plots!$A$51))+INDIRECT(ADDRESS($B65,Plots!$H$3,,,Plots!$A$52))</f>
        <v>60.19</v>
      </c>
      <c r="F65" cm="1">
        <f t="array" aca="1" ref="F65" ca="1">INDIRECT(ADDRESS($B65,Plots!$H$3,,,Plots!$A$53))+INDIRECT(ADDRESS($B65,Plots!$H$3,,,Plots!$A$54))+INDIRECT(ADDRESS($B65,Plots!$H$3,,,Plots!$A$55))+INDIRECT(ADDRESS($B65,Plots!$H$3,,,Plots!$A$56))</f>
        <v>91.570000000000007</v>
      </c>
      <c r="G65" cm="1">
        <f t="array" aca="1" ref="G65" ca="1">INDIRECT(ADDRESS($B65,Plots!$H$3,,,Plots!$A$57))+INDIRECT(ADDRESS($B65,Plots!$H$3,,,Plots!$A$58))+INDIRECT(ADDRESS($B65,Plots!$H$3,,,Plots!$A$59))+INDIRECT(ADDRESS($B65,Plots!$H$3,,,Plots!$A$60))+INDIRECT(ADDRESS($B65,Plots!$H$3,,,Plots!$A$61))</f>
        <v>0</v>
      </c>
      <c r="H65">
        <f>'AARnetCBR-CamDTN1_tcpmon_ts_61'!C29+'AARnetCBR-CamDTN1_tcpmon_ts_62'!C29+'AARnetCBR-CamDTN1_tcpmon_ts_63'!C29+'AARnetCBR-CamDTN1_tcpmon_ts_64'!C29+'AARnetCBR-CamDTN1_tcpmon_ts_65'!C29+'AARnetCBR-CamDTN1_tcpmon_ts_66'!C29</f>
        <v>0</v>
      </c>
      <c r="I65">
        <f>'AARnetCBR-CamDTN1_tcpmon_ts_81'!C29+'AARnetCBR-CamDTN1_tcpmon_ts_82'!C29+'AARnetCBR-CamDTN1_tcpmon_ts_83'!C29+'AARnetCBR-CamDTN1_tcpmon_ts_84'!C29+'AARnetCBR-CamDTN1_tcpmon_ts_85'!C29+'AARnetCBR-CamDTN1_tcpmon_ts_86'!C29+'AARnetCBR-CamDTN1_tcpmon_ts_87'!C29+'AARnetCBR-CamDTN1_tcpmon_ts_88'!C29</f>
        <v>0</v>
      </c>
      <c r="L65" cm="1">
        <f t="array" aca="1" ref="L65" ca="1">INDIRECT(ADDRESS($B65,Plots!$H$4,,,Plots!$A$47))</f>
        <v>0</v>
      </c>
      <c r="M65" cm="1">
        <f t="array" aca="1" ref="M65" ca="1">INDIRECT(ADDRESS($B65,Plots!$H$4,,,Plots!$A$48))+INDIRECT(ADDRESS($B65,Plots!$H$4,,,Plots!$A$49))</f>
        <v>0</v>
      </c>
      <c r="N65" cm="1">
        <f t="array" aca="1" ref="N65" ca="1">INDIRECT(ADDRESS($B65,Plots!$H$4,,,Plots!$A$50))+INDIRECT(ADDRESS($B65,Plots!$H$4,,,Plots!$A$51))+INDIRECT(ADDRESS($B65,Plots!$H$4,,,Plots!$A$52))</f>
        <v>0</v>
      </c>
      <c r="O65" cm="1">
        <f t="array" aca="1" ref="O65" ca="1">INDIRECT(ADDRESS($B65,Plots!$H$4,,,Plots!$A$53))+INDIRECT(ADDRESS($B65,Plots!$H$4,,,Plots!$A$54))+INDIRECT(ADDRESS($B65,Plots!$H$4,,,Plots!$A$55))+INDIRECT(ADDRESS($B65,Plots!$H$4,,,Plots!$A$56))</f>
        <v>0</v>
      </c>
      <c r="P65" cm="1">
        <f t="array" aca="1" ref="P65" ca="1">INDIRECT(ADDRESS($B65,Plots!$H$4,,,Plots!$A$57))+INDIRECT(ADDRESS($B65,Plots!$H$4,,,Plots!$A$58))+INDIRECT(ADDRESS($B65,Plots!$H$4,,,Plots!$A$59))+INDIRECT(ADDRESS($B65,Plots!$H$4,,,Plots!$A$60))+INDIRECT(ADDRESS($B65,Plots!$H$4,,,Plots!$A$61))</f>
        <v>0</v>
      </c>
      <c r="Q65" cm="1">
        <f t="array" aca="1" ref="Q65" ca="1">INDIRECT(ADDRESS($B65,Plots!$H$4,,,Plots!$A$62))+INDIRECT(ADDRESS($B65,Plots!$H$4,,,Plots!$A$63))+INDIRECT(ADDRESS($B65,Plots!$H$4,,,Plots!$A$64))+INDIRECT(ADDRESS($B65,Plots!$H$4,,,Plots!$A$65))+INDIRECT(ADDRESS($B65,Plots!$H$4,,,Plots!$A$66))+INDIRECT(ADDRESS($B65,Plots!$H$4,,,Plots!$A$67))</f>
        <v>0</v>
      </c>
      <c r="R65">
        <f>'AARnetCBR-CamDTN1_tcpmon_ts_81'!J70+'AARnetCBR-CamDTN1_tcpmon_ts_82'!J70+'AARnetCBR-CamDTN1_tcpmon_ts_83'!J70+'AARnetCBR-CamDTN1_tcpmon_ts_84'!J70+'AARnetCBR-CamDTN1_tcpmon_ts_85'!J70+'AARnetCBR-CamDTN1_tcpmon_ts_86'!J70+'AARnetCBR-CamDTN1_tcpmon_ts_87'!J70+'AARnetCBR-CamDTN1_tcpmon_ts_88'!J70</f>
        <v>0</v>
      </c>
    </row>
    <row r="66" spans="1:18">
      <c r="A66" cm="1">
        <f t="array" aca="1" ref="A66" ca="1">INDIRECT(ADDRESS($B66,Plots!$H$6,,,Plots!$A$47))</f>
        <v>126</v>
      </c>
      <c r="B66">
        <f t="shared" si="0"/>
        <v>75</v>
      </c>
      <c r="C66" cm="1">
        <f t="array" aca="1" ref="C66" ca="1">INDIRECT(ADDRESS($B66,Plots!$H$3,,,Plots!$A$47))</f>
        <v>25.92</v>
      </c>
      <c r="D66" cm="1">
        <f t="array" aca="1" ref="D66" ca="1">INDIRECT(ADDRESS($B66,Plots!$H$3,,,Plots!$A$48))+INDIRECT(ADDRESS($B66,Plots!$H$3,,,Plots!$A$49))</f>
        <v>58.08</v>
      </c>
      <c r="E66" cm="1">
        <f t="array" aca="1" ref="E66" ca="1">INDIRECT(ADDRESS($B66,Plots!$H$3,,,Plots!$A$50))+INDIRECT(ADDRESS($B66,Plots!$H$3,,,Plots!$A$51))+INDIRECT(ADDRESS($B66,Plots!$H$3,,,Plots!$A$52))</f>
        <v>73.569999999999993</v>
      </c>
      <c r="F66" cm="1">
        <f t="array" aca="1" ref="F66" ca="1">INDIRECT(ADDRESS($B66,Plots!$H$3,,,Plots!$A$53))+INDIRECT(ADDRESS($B66,Plots!$H$3,,,Plots!$A$54))+INDIRECT(ADDRESS($B66,Plots!$H$3,,,Plots!$A$55))+INDIRECT(ADDRESS($B66,Plots!$H$3,,,Plots!$A$56))</f>
        <v>92.11</v>
      </c>
      <c r="G66" cm="1">
        <f t="array" aca="1" ref="G66" ca="1">INDIRECT(ADDRESS($B66,Plots!$H$3,,,Plots!$A$57))+INDIRECT(ADDRESS($B66,Plots!$H$3,,,Plots!$A$58))+INDIRECT(ADDRESS($B66,Plots!$H$3,,,Plots!$A$59))+INDIRECT(ADDRESS($B66,Plots!$H$3,,,Plots!$A$60))+INDIRECT(ADDRESS($B66,Plots!$H$3,,,Plots!$A$61))</f>
        <v>0</v>
      </c>
      <c r="H66">
        <f>'AARnetCBR-CamDTN1_tcpmon_ts_61'!C20+'AARnetCBR-CamDTN1_tcpmon_ts_62'!C20+'AARnetCBR-CamDTN1_tcpmon_ts_63'!C20+'AARnetCBR-CamDTN1_tcpmon_ts_64'!C20+'AARnetCBR-CamDTN1_tcpmon_ts_65'!C20+'AARnetCBR-CamDTN1_tcpmon_ts_66'!C20</f>
        <v>0</v>
      </c>
      <c r="I66">
        <f>'AARnetCBR-CamDTN1_tcpmon_ts_81'!C20+'AARnetCBR-CamDTN1_tcpmon_ts_82'!C20+'AARnetCBR-CamDTN1_tcpmon_ts_83'!C20+'AARnetCBR-CamDTN1_tcpmon_ts_84'!C20+'AARnetCBR-CamDTN1_tcpmon_ts_85'!C20+'AARnetCBR-CamDTN1_tcpmon_ts_86'!C20+'AARnetCBR-CamDTN1_tcpmon_ts_87'!C20+'AARnetCBR-CamDTN1_tcpmon_ts_88'!C20</f>
        <v>0</v>
      </c>
      <c r="L66" cm="1">
        <f t="array" aca="1" ref="L66" ca="1">INDIRECT(ADDRESS($B66,Plots!$H$4,,,Plots!$A$47))</f>
        <v>0</v>
      </c>
      <c r="M66" cm="1">
        <f t="array" aca="1" ref="M66" ca="1">INDIRECT(ADDRESS($B66,Plots!$H$4,,,Plots!$A$48))+INDIRECT(ADDRESS($B66,Plots!$H$4,,,Plots!$A$49))</f>
        <v>0</v>
      </c>
      <c r="N66" cm="1">
        <f t="array" aca="1" ref="N66" ca="1">INDIRECT(ADDRESS($B66,Plots!$H$4,,,Plots!$A$50))+INDIRECT(ADDRESS($B66,Plots!$H$4,,,Plots!$A$51))+INDIRECT(ADDRESS($B66,Plots!$H$4,,,Plots!$A$52))</f>
        <v>0</v>
      </c>
      <c r="O66" cm="1">
        <f t="array" aca="1" ref="O66" ca="1">INDIRECT(ADDRESS($B66,Plots!$H$4,,,Plots!$A$53))+INDIRECT(ADDRESS($B66,Plots!$H$4,,,Plots!$A$54))+INDIRECT(ADDRESS($B66,Plots!$H$4,,,Plots!$A$55))+INDIRECT(ADDRESS($B66,Plots!$H$4,,,Plots!$A$56))</f>
        <v>0</v>
      </c>
      <c r="P66" cm="1">
        <f t="array" aca="1" ref="P66" ca="1">INDIRECT(ADDRESS($B66,Plots!$H$4,,,Plots!$A$57))+INDIRECT(ADDRESS($B66,Plots!$H$4,,,Plots!$A$58))+INDIRECT(ADDRESS($B66,Plots!$H$4,,,Plots!$A$59))+INDIRECT(ADDRESS($B66,Plots!$H$4,,,Plots!$A$60))+INDIRECT(ADDRESS($B66,Plots!$H$4,,,Plots!$A$61))</f>
        <v>0</v>
      </c>
      <c r="Q66" cm="1">
        <f t="array" aca="1" ref="Q66" ca="1">INDIRECT(ADDRESS($B66,Plots!$H$4,,,Plots!$A$62))+INDIRECT(ADDRESS($B66,Plots!$H$4,,,Plots!$A$63))+INDIRECT(ADDRESS($B66,Plots!$H$4,,,Plots!$A$64))+INDIRECT(ADDRESS($B66,Plots!$H$4,,,Plots!$A$65))+INDIRECT(ADDRESS($B66,Plots!$H$4,,,Plots!$A$66))+INDIRECT(ADDRESS($B66,Plots!$H$4,,,Plots!$A$67))</f>
        <v>0</v>
      </c>
      <c r="R66">
        <f>'AARnetCBR-CamDTN1_tcpmon_ts_81'!J71+'AARnetCBR-CamDTN1_tcpmon_ts_82'!J71+'AARnetCBR-CamDTN1_tcpmon_ts_83'!J71+'AARnetCBR-CamDTN1_tcpmon_ts_84'!J71+'AARnetCBR-CamDTN1_tcpmon_ts_85'!J71+'AARnetCBR-CamDTN1_tcpmon_ts_86'!J71+'AARnetCBR-CamDTN1_tcpmon_ts_87'!J71+'AARnetCBR-CamDTN1_tcpmon_ts_88'!J71</f>
        <v>0</v>
      </c>
    </row>
    <row r="67" spans="1:18">
      <c r="A67" cm="1">
        <f t="array" aca="1" ref="A67" ca="1">INDIRECT(ADDRESS($B67,Plots!$H$6,,,Plots!$A$47))</f>
        <v>128</v>
      </c>
      <c r="B67">
        <f t="shared" si="0"/>
        <v>76</v>
      </c>
      <c r="C67" cm="1">
        <f t="array" aca="1" ref="C67" ca="1">INDIRECT(ADDRESS($B67,Plots!$H$3,,,Plots!$A$47))</f>
        <v>26.28</v>
      </c>
      <c r="D67" cm="1">
        <f t="array" aca="1" ref="D67" ca="1">INDIRECT(ADDRESS($B67,Plots!$H$3,,,Plots!$A$48))+INDIRECT(ADDRESS($B67,Plots!$H$3,,,Plots!$A$49))</f>
        <v>56.269999999999996</v>
      </c>
      <c r="E67" cm="1">
        <f t="array" aca="1" ref="E67" ca="1">INDIRECT(ADDRESS($B67,Plots!$H$3,,,Plots!$A$50))+INDIRECT(ADDRESS($B67,Plots!$H$3,,,Plots!$A$51))+INDIRECT(ADDRESS($B67,Plots!$H$3,,,Plots!$A$52))</f>
        <v>66.41</v>
      </c>
      <c r="F67" cm="1">
        <f t="array" aca="1" ref="F67" ca="1">INDIRECT(ADDRESS($B67,Plots!$H$3,,,Plots!$A$53))+INDIRECT(ADDRESS($B67,Plots!$H$3,,,Plots!$A$54))+INDIRECT(ADDRESS($B67,Plots!$H$3,,,Plots!$A$55))+INDIRECT(ADDRESS($B67,Plots!$H$3,,,Plots!$A$56))</f>
        <v>94.820000000000007</v>
      </c>
      <c r="G67" cm="1">
        <f t="array" aca="1" ref="G67" ca="1">INDIRECT(ADDRESS($B67,Plots!$H$3,,,Plots!$A$57))+INDIRECT(ADDRESS($B67,Plots!$H$3,,,Plots!$A$58))+INDIRECT(ADDRESS($B67,Plots!$H$3,,,Plots!$A$59))+INDIRECT(ADDRESS($B67,Plots!$H$3,,,Plots!$A$60))+INDIRECT(ADDRESS($B67,Plots!$H$3,,,Plots!$A$61))</f>
        <v>0</v>
      </c>
      <c r="H67">
        <f>'AARnetCBR-CamDTN1_tcpmon_ts_61'!C21+'AARnetCBR-CamDTN1_tcpmon_ts_62'!C21+'AARnetCBR-CamDTN1_tcpmon_ts_63'!C21+'AARnetCBR-CamDTN1_tcpmon_ts_64'!C21+'AARnetCBR-CamDTN1_tcpmon_ts_65'!C21+'AARnetCBR-CamDTN1_tcpmon_ts_66'!C21</f>
        <v>0</v>
      </c>
      <c r="I67">
        <f>'AARnetCBR-CamDTN1_tcpmon_ts_81'!C21+'AARnetCBR-CamDTN1_tcpmon_ts_82'!C21+'AARnetCBR-CamDTN1_tcpmon_ts_83'!C21+'AARnetCBR-CamDTN1_tcpmon_ts_84'!C21+'AARnetCBR-CamDTN1_tcpmon_ts_85'!C21+'AARnetCBR-CamDTN1_tcpmon_ts_86'!C21+'AARnetCBR-CamDTN1_tcpmon_ts_87'!C21+'AARnetCBR-CamDTN1_tcpmon_ts_88'!C21</f>
        <v>0</v>
      </c>
      <c r="L67" cm="1">
        <f t="array" aca="1" ref="L67" ca="1">INDIRECT(ADDRESS($B67,Plots!$H$4,,,Plots!$A$47))</f>
        <v>0</v>
      </c>
      <c r="M67" cm="1">
        <f t="array" aca="1" ref="M67" ca="1">INDIRECT(ADDRESS($B67,Plots!$H$4,,,Plots!$A$48))+INDIRECT(ADDRESS($B67,Plots!$H$4,,,Plots!$A$49))</f>
        <v>0</v>
      </c>
      <c r="N67" cm="1">
        <f t="array" aca="1" ref="N67" ca="1">INDIRECT(ADDRESS($B67,Plots!$H$4,,,Plots!$A$50))+INDIRECT(ADDRESS($B67,Plots!$H$4,,,Plots!$A$51))+INDIRECT(ADDRESS($B67,Plots!$H$4,,,Plots!$A$52))</f>
        <v>0</v>
      </c>
      <c r="O67" cm="1">
        <f t="array" aca="1" ref="O67" ca="1">INDIRECT(ADDRESS($B67,Plots!$H$4,,,Plots!$A$53))+INDIRECT(ADDRESS($B67,Plots!$H$4,,,Plots!$A$54))+INDIRECT(ADDRESS($B67,Plots!$H$4,,,Plots!$A$55))+INDIRECT(ADDRESS($B67,Plots!$H$4,,,Plots!$A$56))</f>
        <v>0</v>
      </c>
      <c r="P67" cm="1">
        <f t="array" aca="1" ref="P67" ca="1">INDIRECT(ADDRESS($B67,Plots!$H$4,,,Plots!$A$57))+INDIRECT(ADDRESS($B67,Plots!$H$4,,,Plots!$A$58))+INDIRECT(ADDRESS($B67,Plots!$H$4,,,Plots!$A$59))+INDIRECT(ADDRESS($B67,Plots!$H$4,,,Plots!$A$60))+INDIRECT(ADDRESS($B67,Plots!$H$4,,,Plots!$A$61))</f>
        <v>0</v>
      </c>
      <c r="Q67" cm="1">
        <f t="array" aca="1" ref="Q67" ca="1">INDIRECT(ADDRESS($B67,Plots!$H$4,,,Plots!$A$62))+INDIRECT(ADDRESS($B67,Plots!$H$4,,,Plots!$A$63))+INDIRECT(ADDRESS($B67,Plots!$H$4,,,Plots!$A$64))+INDIRECT(ADDRESS($B67,Plots!$H$4,,,Plots!$A$65))+INDIRECT(ADDRESS($B67,Plots!$H$4,,,Plots!$A$66))+INDIRECT(ADDRESS($B67,Plots!$H$4,,,Plots!$A$67))</f>
        <v>0</v>
      </c>
      <c r="R67">
        <f>'AARnetCBR-CamDTN1_tcpmon_ts_81'!J72+'AARnetCBR-CamDTN1_tcpmon_ts_82'!J72+'AARnetCBR-CamDTN1_tcpmon_ts_83'!J72+'AARnetCBR-CamDTN1_tcpmon_ts_84'!J72+'AARnetCBR-CamDTN1_tcpmon_ts_85'!J72+'AARnetCBR-CamDTN1_tcpmon_ts_86'!J72+'AARnetCBR-CamDTN1_tcpmon_ts_87'!J72+'AARnetCBR-CamDTN1_tcpmon_ts_88'!J72</f>
        <v>0</v>
      </c>
    </row>
    <row r="68" spans="1:18">
      <c r="A68" cm="1">
        <f t="array" aca="1" ref="A68" ca="1">INDIRECT(ADDRESS($B68,Plots!$H$6,,,Plots!$A$47))</f>
        <v>130</v>
      </c>
      <c r="B68">
        <f t="shared" si="0"/>
        <v>77</v>
      </c>
      <c r="C68" cm="1">
        <f t="array" aca="1" ref="C68" ca="1">INDIRECT(ADDRESS($B68,Plots!$H$3,,,Plots!$A$47))</f>
        <v>26.18</v>
      </c>
      <c r="D68" cm="1">
        <f t="array" aca="1" ref="D68" ca="1">INDIRECT(ADDRESS($B68,Plots!$H$3,,,Plots!$A$48))+INDIRECT(ADDRESS($B68,Plots!$H$3,,,Plots!$A$49))</f>
        <v>58.81</v>
      </c>
      <c r="E68" cm="1">
        <f t="array" aca="1" ref="E68" ca="1">INDIRECT(ADDRESS($B68,Plots!$H$3,,,Plots!$A$50))+INDIRECT(ADDRESS($B68,Plots!$H$3,,,Plots!$A$51))+INDIRECT(ADDRESS($B68,Plots!$H$3,,,Plots!$A$52))</f>
        <v>63.59</v>
      </c>
      <c r="F68" cm="1">
        <f t="array" aca="1" ref="F68" ca="1">INDIRECT(ADDRESS($B68,Plots!$H$3,,,Plots!$A$53))+INDIRECT(ADDRESS($B68,Plots!$H$3,,,Plots!$A$54))+INDIRECT(ADDRESS($B68,Plots!$H$3,,,Plots!$A$55))+INDIRECT(ADDRESS($B68,Plots!$H$3,,,Plots!$A$56))</f>
        <v>92.69</v>
      </c>
      <c r="G68" cm="1">
        <f t="array" aca="1" ref="G68" ca="1">INDIRECT(ADDRESS($B68,Plots!$H$3,,,Plots!$A$57))+INDIRECT(ADDRESS($B68,Plots!$H$3,,,Plots!$A$58))+INDIRECT(ADDRESS($B68,Plots!$H$3,,,Plots!$A$59))+INDIRECT(ADDRESS($B68,Plots!$H$3,,,Plots!$A$60))+INDIRECT(ADDRESS($B68,Plots!$H$3,,,Plots!$A$61))</f>
        <v>0</v>
      </c>
      <c r="H68">
        <f>'AARnetCBR-CamDTN1_tcpmon_ts_61'!C22+'AARnetCBR-CamDTN1_tcpmon_ts_62'!C22+'AARnetCBR-CamDTN1_tcpmon_ts_63'!C22+'AARnetCBR-CamDTN1_tcpmon_ts_64'!C22+'AARnetCBR-CamDTN1_tcpmon_ts_65'!C22+'AARnetCBR-CamDTN1_tcpmon_ts_66'!C22</f>
        <v>0</v>
      </c>
      <c r="I68">
        <f>'AARnetCBR-CamDTN1_tcpmon_ts_81'!C22+'AARnetCBR-CamDTN1_tcpmon_ts_82'!C22+'AARnetCBR-CamDTN1_tcpmon_ts_83'!C22+'AARnetCBR-CamDTN1_tcpmon_ts_84'!C22+'AARnetCBR-CamDTN1_tcpmon_ts_85'!C22+'AARnetCBR-CamDTN1_tcpmon_ts_86'!C22+'AARnetCBR-CamDTN1_tcpmon_ts_87'!C22+'AARnetCBR-CamDTN1_tcpmon_ts_88'!C22</f>
        <v>0</v>
      </c>
      <c r="L68" cm="1">
        <f t="array" aca="1" ref="L68" ca="1">INDIRECT(ADDRESS($B68,Plots!$H$4,,,Plots!$A$47))</f>
        <v>0</v>
      </c>
      <c r="M68" cm="1">
        <f t="array" aca="1" ref="M68" ca="1">INDIRECT(ADDRESS($B68,Plots!$H$4,,,Plots!$A$48))+INDIRECT(ADDRESS($B68,Plots!$H$4,,,Plots!$A$49))</f>
        <v>0</v>
      </c>
      <c r="N68" cm="1">
        <f t="array" aca="1" ref="N68" ca="1">INDIRECT(ADDRESS($B68,Plots!$H$4,,,Plots!$A$50))+INDIRECT(ADDRESS($B68,Plots!$H$4,,,Plots!$A$51))+INDIRECT(ADDRESS($B68,Plots!$H$4,,,Plots!$A$52))</f>
        <v>0</v>
      </c>
      <c r="O68" cm="1">
        <f t="array" aca="1" ref="O68" ca="1">INDIRECT(ADDRESS($B68,Plots!$H$4,,,Plots!$A$53))+INDIRECT(ADDRESS($B68,Plots!$H$4,,,Plots!$A$54))+INDIRECT(ADDRESS($B68,Plots!$H$4,,,Plots!$A$55))+INDIRECT(ADDRESS($B68,Plots!$H$4,,,Plots!$A$56))</f>
        <v>0</v>
      </c>
      <c r="P68" cm="1">
        <f t="array" aca="1" ref="P68" ca="1">INDIRECT(ADDRESS($B68,Plots!$H$4,,,Plots!$A$57))+INDIRECT(ADDRESS($B68,Plots!$H$4,,,Plots!$A$58))+INDIRECT(ADDRESS($B68,Plots!$H$4,,,Plots!$A$59))+INDIRECT(ADDRESS($B68,Plots!$H$4,,,Plots!$A$60))+INDIRECT(ADDRESS($B68,Plots!$H$4,,,Plots!$A$61))</f>
        <v>0</v>
      </c>
      <c r="Q68" cm="1">
        <f t="array" aca="1" ref="Q68" ca="1">INDIRECT(ADDRESS($B68,Plots!$H$4,,,Plots!$A$62))+INDIRECT(ADDRESS($B68,Plots!$H$4,,,Plots!$A$63))+INDIRECT(ADDRESS($B68,Plots!$H$4,,,Plots!$A$64))+INDIRECT(ADDRESS($B68,Plots!$H$4,,,Plots!$A$65))+INDIRECT(ADDRESS($B68,Plots!$H$4,,,Plots!$A$66))+INDIRECT(ADDRESS($B68,Plots!$H$4,,,Plots!$A$67))</f>
        <v>0</v>
      </c>
      <c r="R68">
        <f>'AARnetCBR-CamDTN1_tcpmon_ts_81'!J73+'AARnetCBR-CamDTN1_tcpmon_ts_82'!J73+'AARnetCBR-CamDTN1_tcpmon_ts_83'!J73+'AARnetCBR-CamDTN1_tcpmon_ts_84'!J73+'AARnetCBR-CamDTN1_tcpmon_ts_85'!J73+'AARnetCBR-CamDTN1_tcpmon_ts_86'!J73+'AARnetCBR-CamDTN1_tcpmon_ts_87'!J73+'AARnetCBR-CamDTN1_tcpmon_ts_88'!J73</f>
        <v>0</v>
      </c>
    </row>
    <row r="69" spans="1:18">
      <c r="A69" cm="1">
        <f t="array" aca="1" ref="A69" ca="1">INDIRECT(ADDRESS($B69,Plots!$H$6,,,Plots!$A$47))</f>
        <v>132</v>
      </c>
      <c r="B69">
        <f t="shared" si="0"/>
        <v>78</v>
      </c>
      <c r="C69" cm="1">
        <f t="array" aca="1" ref="C69" ca="1">INDIRECT(ADDRESS($B69,Plots!$H$3,,,Plots!$A$47))</f>
        <v>27</v>
      </c>
      <c r="D69" cm="1">
        <f t="array" aca="1" ref="D69" ca="1">INDIRECT(ADDRESS($B69,Plots!$H$3,,,Plots!$A$48))+INDIRECT(ADDRESS($B69,Plots!$H$3,,,Plots!$A$49))</f>
        <v>56.58</v>
      </c>
      <c r="E69" cm="1">
        <f t="array" aca="1" ref="E69" ca="1">INDIRECT(ADDRESS($B69,Plots!$H$3,,,Plots!$A$50))+INDIRECT(ADDRESS($B69,Plots!$H$3,,,Plots!$A$51))+INDIRECT(ADDRESS($B69,Plots!$H$3,,,Plots!$A$52))</f>
        <v>72.61</v>
      </c>
      <c r="F69" cm="1">
        <f t="array" aca="1" ref="F69" ca="1">INDIRECT(ADDRESS($B69,Plots!$H$3,,,Plots!$A$53))+INDIRECT(ADDRESS($B69,Plots!$H$3,,,Plots!$A$54))+INDIRECT(ADDRESS($B69,Plots!$H$3,,,Plots!$A$55))+INDIRECT(ADDRESS($B69,Plots!$H$3,,,Plots!$A$56))</f>
        <v>65.16</v>
      </c>
      <c r="G69" cm="1">
        <f t="array" aca="1" ref="G69" ca="1">INDIRECT(ADDRESS($B69,Plots!$H$3,,,Plots!$A$57))+INDIRECT(ADDRESS($B69,Plots!$H$3,,,Plots!$A$58))+INDIRECT(ADDRESS($B69,Plots!$H$3,,,Plots!$A$59))+INDIRECT(ADDRESS($B69,Plots!$H$3,,,Plots!$A$60))+INDIRECT(ADDRESS($B69,Plots!$H$3,,,Plots!$A$61))</f>
        <v>0</v>
      </c>
      <c r="H69">
        <f>'AARnetCBR-CamDTN1_tcpmon_ts_61'!C23+'AARnetCBR-CamDTN1_tcpmon_ts_62'!C23+'AARnetCBR-CamDTN1_tcpmon_ts_63'!C23+'AARnetCBR-CamDTN1_tcpmon_ts_64'!C23+'AARnetCBR-CamDTN1_tcpmon_ts_65'!C23+'AARnetCBR-CamDTN1_tcpmon_ts_66'!C23</f>
        <v>0</v>
      </c>
      <c r="I69">
        <f>'AARnetCBR-CamDTN1_tcpmon_ts_81'!C23+'AARnetCBR-CamDTN1_tcpmon_ts_82'!C23+'AARnetCBR-CamDTN1_tcpmon_ts_83'!C23+'AARnetCBR-CamDTN1_tcpmon_ts_84'!C23+'AARnetCBR-CamDTN1_tcpmon_ts_85'!C23+'AARnetCBR-CamDTN1_tcpmon_ts_86'!C23+'AARnetCBR-CamDTN1_tcpmon_ts_87'!C23+'AARnetCBR-CamDTN1_tcpmon_ts_88'!C23</f>
        <v>0</v>
      </c>
      <c r="L69" cm="1">
        <f t="array" aca="1" ref="L69" ca="1">INDIRECT(ADDRESS($B69,Plots!$H$4,,,Plots!$A$47))</f>
        <v>0</v>
      </c>
      <c r="M69" cm="1">
        <f t="array" aca="1" ref="M69" ca="1">INDIRECT(ADDRESS($B69,Plots!$H$4,,,Plots!$A$48))+INDIRECT(ADDRESS($B69,Plots!$H$4,,,Plots!$A$49))</f>
        <v>0</v>
      </c>
      <c r="N69" cm="1">
        <f t="array" aca="1" ref="N69" ca="1">INDIRECT(ADDRESS($B69,Plots!$H$4,,,Plots!$A$50))+INDIRECT(ADDRESS($B69,Plots!$H$4,,,Plots!$A$51))+INDIRECT(ADDRESS($B69,Plots!$H$4,,,Plots!$A$52))</f>
        <v>0</v>
      </c>
      <c r="O69" cm="1">
        <f t="array" aca="1" ref="O69" ca="1">INDIRECT(ADDRESS($B69,Plots!$H$4,,,Plots!$A$53))+INDIRECT(ADDRESS($B69,Plots!$H$4,,,Plots!$A$54))+INDIRECT(ADDRESS($B69,Plots!$H$4,,,Plots!$A$55))+INDIRECT(ADDRESS($B69,Plots!$H$4,,,Plots!$A$56))</f>
        <v>1165</v>
      </c>
      <c r="P69" cm="1">
        <f t="array" aca="1" ref="P69" ca="1">INDIRECT(ADDRESS($B69,Plots!$H$4,,,Plots!$A$57))+INDIRECT(ADDRESS($B69,Plots!$H$4,,,Plots!$A$58))+INDIRECT(ADDRESS($B69,Plots!$H$4,,,Plots!$A$59))+INDIRECT(ADDRESS($B69,Plots!$H$4,,,Plots!$A$60))+INDIRECT(ADDRESS($B69,Plots!$H$4,,,Plots!$A$61))</f>
        <v>0</v>
      </c>
      <c r="Q69" cm="1">
        <f t="array" aca="1" ref="Q69" ca="1">INDIRECT(ADDRESS($B69,Plots!$H$4,,,Plots!$A$62))+INDIRECT(ADDRESS($B69,Plots!$H$4,,,Plots!$A$63))+INDIRECT(ADDRESS($B69,Plots!$H$4,,,Plots!$A$64))+INDIRECT(ADDRESS($B69,Plots!$H$4,,,Plots!$A$65))+INDIRECT(ADDRESS($B69,Plots!$H$4,,,Plots!$A$66))+INDIRECT(ADDRESS($B69,Plots!$H$4,,,Plots!$A$67))</f>
        <v>0</v>
      </c>
      <c r="R69">
        <f>'AARnetCBR-CamDTN1_tcpmon_ts_81'!J74+'AARnetCBR-CamDTN1_tcpmon_ts_82'!J74+'AARnetCBR-CamDTN1_tcpmon_ts_83'!J74+'AARnetCBR-CamDTN1_tcpmon_ts_84'!J74+'AARnetCBR-CamDTN1_tcpmon_ts_85'!J74+'AARnetCBR-CamDTN1_tcpmon_ts_86'!J74+'AARnetCBR-CamDTN1_tcpmon_ts_87'!J74+'AARnetCBR-CamDTN1_tcpmon_ts_88'!J74</f>
        <v>0</v>
      </c>
    </row>
    <row r="70" spans="1:18">
      <c r="A70" cm="1">
        <f t="array" aca="1" ref="A70" ca="1">INDIRECT(ADDRESS($B70,Plots!$H$6,,,Plots!$A$47))</f>
        <v>134</v>
      </c>
      <c r="B70">
        <f t="shared" ref="B70" si="1">B69+1</f>
        <v>79</v>
      </c>
      <c r="C70" cm="1">
        <f t="array" aca="1" ref="C70" ca="1">INDIRECT(ADDRESS($B70,Plots!$H$3,,,Plots!$A$47))</f>
        <v>26.33</v>
      </c>
      <c r="D70" cm="1">
        <f t="array" aca="1" ref="D70" ca="1">INDIRECT(ADDRESS($B70,Plots!$H$3,,,Plots!$A$48))+INDIRECT(ADDRESS($B70,Plots!$H$3,,,Plots!$A$49))</f>
        <v>56.55</v>
      </c>
      <c r="E70" cm="1">
        <f t="array" aca="1" ref="E70" ca="1">INDIRECT(ADDRESS($B70,Plots!$H$3,,,Plots!$A$50))+INDIRECT(ADDRESS($B70,Plots!$H$3,,,Plots!$A$51))+INDIRECT(ADDRESS($B70,Plots!$H$3,,,Plots!$A$52))</f>
        <v>60.959999999999994</v>
      </c>
      <c r="F70" cm="1">
        <f t="array" aca="1" ref="F70" ca="1">INDIRECT(ADDRESS($B70,Plots!$H$3,,,Plots!$A$53))+INDIRECT(ADDRESS($B70,Plots!$H$3,,,Plots!$A$54))+INDIRECT(ADDRESS($B70,Plots!$H$3,,,Plots!$A$55))+INDIRECT(ADDRESS($B70,Plots!$H$3,,,Plots!$A$56))</f>
        <v>80.400000000000006</v>
      </c>
      <c r="G70" cm="1">
        <f t="array" aca="1" ref="G70" ca="1">INDIRECT(ADDRESS($B70,Plots!$H$3,,,Plots!$A$57))+INDIRECT(ADDRESS($B70,Plots!$H$3,,,Plots!$A$58))+INDIRECT(ADDRESS($B70,Plots!$H$3,,,Plots!$A$59))+INDIRECT(ADDRESS($B70,Plots!$H$3,,,Plots!$A$60))+INDIRECT(ADDRESS($B70,Plots!$H$3,,,Plots!$A$61))</f>
        <v>0</v>
      </c>
      <c r="H70">
        <f>'AARnetCBR-CamDTN1_tcpmon_ts_61'!C24+'AARnetCBR-CamDTN1_tcpmon_ts_62'!C24+'AARnetCBR-CamDTN1_tcpmon_ts_63'!C24+'AARnetCBR-CamDTN1_tcpmon_ts_64'!C24+'AARnetCBR-CamDTN1_tcpmon_ts_65'!C24+'AARnetCBR-CamDTN1_tcpmon_ts_66'!C24</f>
        <v>0</v>
      </c>
      <c r="I70">
        <f>'AARnetCBR-CamDTN1_tcpmon_ts_81'!C24+'AARnetCBR-CamDTN1_tcpmon_ts_82'!C24+'AARnetCBR-CamDTN1_tcpmon_ts_83'!C24+'AARnetCBR-CamDTN1_tcpmon_ts_84'!C24+'AARnetCBR-CamDTN1_tcpmon_ts_85'!C24+'AARnetCBR-CamDTN1_tcpmon_ts_86'!C24+'AARnetCBR-CamDTN1_tcpmon_ts_87'!C24+'AARnetCBR-CamDTN1_tcpmon_ts_88'!C24</f>
        <v>0</v>
      </c>
      <c r="L70" cm="1">
        <f t="array" aca="1" ref="L70" ca="1">INDIRECT(ADDRESS($B70,Plots!$H$4,,,Plots!$A$47))</f>
        <v>0</v>
      </c>
      <c r="M70" cm="1">
        <f t="array" aca="1" ref="M70" ca="1">INDIRECT(ADDRESS($B70,Plots!$H$4,,,Plots!$A$48))+INDIRECT(ADDRESS($B70,Plots!$H$4,,,Plots!$A$49))</f>
        <v>0</v>
      </c>
      <c r="N70" cm="1">
        <f t="array" aca="1" ref="N70" ca="1">INDIRECT(ADDRESS($B70,Plots!$H$4,,,Plots!$A$50))+INDIRECT(ADDRESS($B70,Plots!$H$4,,,Plots!$A$51))+INDIRECT(ADDRESS($B70,Plots!$H$4,,,Plots!$A$52))</f>
        <v>0</v>
      </c>
      <c r="O70" cm="1">
        <f t="array" aca="1" ref="O70" ca="1">INDIRECT(ADDRESS($B70,Plots!$H$4,,,Plots!$A$53))+INDIRECT(ADDRESS($B70,Plots!$H$4,,,Plots!$A$54))+INDIRECT(ADDRESS($B70,Plots!$H$4,,,Plots!$A$55))+INDIRECT(ADDRESS($B70,Plots!$H$4,,,Plots!$A$56))</f>
        <v>0</v>
      </c>
      <c r="P70" cm="1">
        <f t="array" aca="1" ref="P70" ca="1">INDIRECT(ADDRESS($B70,Plots!$H$4,,,Plots!$A$57))+INDIRECT(ADDRESS($B70,Plots!$H$4,,,Plots!$A$58))+INDIRECT(ADDRESS($B70,Plots!$H$4,,,Plots!$A$59))+INDIRECT(ADDRESS($B70,Plots!$H$4,,,Plots!$A$60))+INDIRECT(ADDRESS($B70,Plots!$H$4,,,Plots!$A$61))</f>
        <v>0</v>
      </c>
      <c r="Q70" cm="1">
        <f t="array" aca="1" ref="Q70" ca="1">INDIRECT(ADDRESS($B70,Plots!$H$4,,,Plots!$A$62))+INDIRECT(ADDRESS($B70,Plots!$H$4,,,Plots!$A$63))+INDIRECT(ADDRESS($B70,Plots!$H$4,,,Plots!$A$64))+INDIRECT(ADDRESS($B70,Plots!$H$4,,,Plots!$A$65))+INDIRECT(ADDRESS($B70,Plots!$H$4,,,Plots!$A$66))+INDIRECT(ADDRESS($B70,Plots!$H$4,,,Plots!$A$67))</f>
        <v>0</v>
      </c>
      <c r="R70">
        <f>'AARnetCBR-CamDTN1_tcpmon_ts_81'!J75+'AARnetCBR-CamDTN1_tcpmon_ts_82'!J75+'AARnetCBR-CamDTN1_tcpmon_ts_83'!J75+'AARnetCBR-CamDTN1_tcpmon_ts_84'!J75+'AARnetCBR-CamDTN1_tcpmon_ts_85'!J75+'AARnetCBR-CamDTN1_tcpmon_ts_86'!J75+'AARnetCBR-CamDTN1_tcpmon_ts_87'!J75+'AARnetCBR-CamDTN1_tcpmon_ts_88'!J75</f>
        <v>0</v>
      </c>
    </row>
    <row r="71" spans="1:18">
      <c r="A71" cm="1">
        <f t="array" aca="1" ref="A71" ca="1">INDIRECT(ADDRESS($B71,Plots!$H$6,,,Plots!$A$47))</f>
        <v>136</v>
      </c>
      <c r="B71">
        <f t="shared" si="0"/>
        <v>80</v>
      </c>
      <c r="C71" cm="1">
        <f t="array" aca="1" ref="C71" ca="1">INDIRECT(ADDRESS($B71,Plots!$H$3,,,Plots!$A$47))</f>
        <v>26</v>
      </c>
      <c r="D71" cm="1">
        <f t="array" aca="1" ref="D71" ca="1">INDIRECT(ADDRESS($B71,Plots!$H$3,,,Plots!$A$48))+INDIRECT(ADDRESS($B71,Plots!$H$3,,,Plots!$A$49))</f>
        <v>57.55</v>
      </c>
      <c r="E71" cm="1">
        <f t="array" aca="1" ref="E71" ca="1">INDIRECT(ADDRESS($B71,Plots!$H$3,,,Plots!$A$50))+INDIRECT(ADDRESS($B71,Plots!$H$3,,,Plots!$A$51))+INDIRECT(ADDRESS($B71,Plots!$H$3,,,Plots!$A$52))</f>
        <v>74.62</v>
      </c>
      <c r="F71" cm="1">
        <f t="array" aca="1" ref="F71" ca="1">INDIRECT(ADDRESS($B71,Plots!$H$3,,,Plots!$A$53))+INDIRECT(ADDRESS($B71,Plots!$H$3,,,Plots!$A$54))+INDIRECT(ADDRESS($B71,Plots!$H$3,,,Plots!$A$55))+INDIRECT(ADDRESS($B71,Plots!$H$3,,,Plots!$A$56))</f>
        <v>75.94</v>
      </c>
      <c r="G71" cm="1">
        <f t="array" aca="1" ref="G71" ca="1">INDIRECT(ADDRESS($B71,Plots!$H$3,,,Plots!$A$57))+INDIRECT(ADDRESS($B71,Plots!$H$3,,,Plots!$A$58))+INDIRECT(ADDRESS($B71,Plots!$H$3,,,Plots!$A$59))+INDIRECT(ADDRESS($B71,Plots!$H$3,,,Plots!$A$60))+INDIRECT(ADDRESS($B71,Plots!$H$3,,,Plots!$A$61))</f>
        <v>0</v>
      </c>
      <c r="H71">
        <f>'AARnetCBR-CamDTN1_tcpmon_ts_61'!C25+'AARnetCBR-CamDTN1_tcpmon_ts_62'!C25+'AARnetCBR-CamDTN1_tcpmon_ts_63'!C25+'AARnetCBR-CamDTN1_tcpmon_ts_64'!C25+'AARnetCBR-CamDTN1_tcpmon_ts_65'!C25+'AARnetCBR-CamDTN1_tcpmon_ts_66'!C25</f>
        <v>0</v>
      </c>
      <c r="I71">
        <f>'AARnetCBR-CamDTN1_tcpmon_ts_81'!C25+'AARnetCBR-CamDTN1_tcpmon_ts_82'!C25+'AARnetCBR-CamDTN1_tcpmon_ts_83'!C25+'AARnetCBR-CamDTN1_tcpmon_ts_84'!C25+'AARnetCBR-CamDTN1_tcpmon_ts_85'!C25+'AARnetCBR-CamDTN1_tcpmon_ts_86'!C25+'AARnetCBR-CamDTN1_tcpmon_ts_87'!C25+'AARnetCBR-CamDTN1_tcpmon_ts_88'!C25</f>
        <v>0</v>
      </c>
      <c r="L71" cm="1">
        <f t="array" aca="1" ref="L71" ca="1">INDIRECT(ADDRESS($B71,Plots!$H$4,,,Plots!$A$47))</f>
        <v>0</v>
      </c>
      <c r="M71" cm="1">
        <f t="array" aca="1" ref="M71" ca="1">INDIRECT(ADDRESS($B71,Plots!$H$4,,,Plots!$A$48))+INDIRECT(ADDRESS($B71,Plots!$H$4,,,Plots!$A$49))</f>
        <v>0</v>
      </c>
      <c r="N71" cm="1">
        <f t="array" aca="1" ref="N71" ca="1">INDIRECT(ADDRESS($B71,Plots!$H$4,,,Plots!$A$50))+INDIRECT(ADDRESS($B71,Plots!$H$4,,,Plots!$A$51))+INDIRECT(ADDRESS($B71,Plots!$H$4,,,Plots!$A$52))</f>
        <v>0</v>
      </c>
      <c r="O71" cm="1">
        <f t="array" aca="1" ref="O71" ca="1">INDIRECT(ADDRESS($B71,Plots!$H$4,,,Plots!$A$53))+INDIRECT(ADDRESS($B71,Plots!$H$4,,,Plots!$A$54))+INDIRECT(ADDRESS($B71,Plots!$H$4,,,Plots!$A$55))+INDIRECT(ADDRESS($B71,Plots!$H$4,,,Plots!$A$56))</f>
        <v>0</v>
      </c>
      <c r="P71" cm="1">
        <f t="array" aca="1" ref="P71" ca="1">INDIRECT(ADDRESS($B71,Plots!$H$4,,,Plots!$A$57))+INDIRECT(ADDRESS($B71,Plots!$H$4,,,Plots!$A$58))+INDIRECT(ADDRESS($B71,Plots!$H$4,,,Plots!$A$59))+INDIRECT(ADDRESS($B71,Plots!$H$4,,,Plots!$A$60))+INDIRECT(ADDRESS($B71,Plots!$H$4,,,Plots!$A$61))</f>
        <v>0</v>
      </c>
      <c r="Q71" cm="1">
        <f t="array" aca="1" ref="Q71" ca="1">INDIRECT(ADDRESS($B71,Plots!$H$4,,,Plots!$A$62))+INDIRECT(ADDRESS($B71,Plots!$H$4,,,Plots!$A$63))+INDIRECT(ADDRESS($B71,Plots!$H$4,,,Plots!$A$64))+INDIRECT(ADDRESS($B71,Plots!$H$4,,,Plots!$A$65))+INDIRECT(ADDRESS($B71,Plots!$H$4,,,Plots!$A$66))+INDIRECT(ADDRESS($B71,Plots!$H$4,,,Plots!$A$67))</f>
        <v>0</v>
      </c>
      <c r="R71">
        <f>'AARnetCBR-CamDTN1_tcpmon_ts_81'!J76+'AARnetCBR-CamDTN1_tcpmon_ts_82'!J76+'AARnetCBR-CamDTN1_tcpmon_ts_83'!J76+'AARnetCBR-CamDTN1_tcpmon_ts_84'!J76+'AARnetCBR-CamDTN1_tcpmon_ts_85'!J76+'AARnetCBR-CamDTN1_tcpmon_ts_86'!J76+'AARnetCBR-CamDTN1_tcpmon_ts_87'!J76+'AARnetCBR-CamDTN1_tcpmon_ts_88'!J76</f>
        <v>0</v>
      </c>
    </row>
    <row r="72" spans="1:18">
      <c r="A72" cm="1">
        <f t="array" aca="1" ref="A72" ca="1">INDIRECT(ADDRESS($B72,Plots!$H$6,,,Plots!$A$47))</f>
        <v>138</v>
      </c>
      <c r="B72">
        <f t="shared" si="0"/>
        <v>81</v>
      </c>
      <c r="C72" cm="1">
        <f t="array" aca="1" ref="C72" ca="1">INDIRECT(ADDRESS($B72,Plots!$H$3,,,Plots!$A$47))</f>
        <v>26.21</v>
      </c>
      <c r="D72" cm="1">
        <f t="array" aca="1" ref="D72" ca="1">INDIRECT(ADDRESS($B72,Plots!$H$3,,,Plots!$A$48))+INDIRECT(ADDRESS($B72,Plots!$H$3,,,Plots!$A$49))</f>
        <v>56.56</v>
      </c>
      <c r="E72" cm="1">
        <f t="array" aca="1" ref="E72" ca="1">INDIRECT(ADDRESS($B72,Plots!$H$3,,,Plots!$A$50))+INDIRECT(ADDRESS($B72,Plots!$H$3,,,Plots!$A$51))+INDIRECT(ADDRESS($B72,Plots!$H$3,,,Plots!$A$52))</f>
        <v>60.349999999999994</v>
      </c>
      <c r="F72" cm="1">
        <f t="array" aca="1" ref="F72" ca="1">INDIRECT(ADDRESS($B72,Plots!$H$3,,,Plots!$A$53))+INDIRECT(ADDRESS($B72,Plots!$H$3,,,Plots!$A$54))+INDIRECT(ADDRESS($B72,Plots!$H$3,,,Plots!$A$55))+INDIRECT(ADDRESS($B72,Plots!$H$3,,,Plots!$A$56))</f>
        <v>82.110000000000014</v>
      </c>
      <c r="G72" cm="1">
        <f t="array" aca="1" ref="G72" ca="1">INDIRECT(ADDRESS($B72,Plots!$H$3,,,Plots!$A$57))+INDIRECT(ADDRESS($B72,Plots!$H$3,,,Plots!$A$58))+INDIRECT(ADDRESS($B72,Plots!$H$3,,,Plots!$A$59))+INDIRECT(ADDRESS($B72,Plots!$H$3,,,Plots!$A$60))+INDIRECT(ADDRESS($B72,Plots!$H$3,,,Plots!$A$61))</f>
        <v>0</v>
      </c>
      <c r="H72">
        <f>'AARnetCBR-CamDTN1_tcpmon_ts_61'!C26+'AARnetCBR-CamDTN1_tcpmon_ts_62'!C26+'AARnetCBR-CamDTN1_tcpmon_ts_63'!C26+'AARnetCBR-CamDTN1_tcpmon_ts_64'!C26+'AARnetCBR-CamDTN1_tcpmon_ts_65'!C26+'AARnetCBR-CamDTN1_tcpmon_ts_66'!C26</f>
        <v>0</v>
      </c>
      <c r="I72">
        <f>'AARnetCBR-CamDTN1_tcpmon_ts_81'!C26+'AARnetCBR-CamDTN1_tcpmon_ts_82'!C26+'AARnetCBR-CamDTN1_tcpmon_ts_83'!C26+'AARnetCBR-CamDTN1_tcpmon_ts_84'!C26+'AARnetCBR-CamDTN1_tcpmon_ts_85'!C26+'AARnetCBR-CamDTN1_tcpmon_ts_86'!C26+'AARnetCBR-CamDTN1_tcpmon_ts_87'!C26+'AARnetCBR-CamDTN1_tcpmon_ts_88'!C26</f>
        <v>0</v>
      </c>
      <c r="L72" cm="1">
        <f t="array" aca="1" ref="L72" ca="1">INDIRECT(ADDRESS($B72,Plots!$H$4,,,Plots!$A$47))</f>
        <v>0</v>
      </c>
      <c r="M72" cm="1">
        <f t="array" aca="1" ref="M72" ca="1">INDIRECT(ADDRESS($B72,Plots!$H$4,,,Plots!$A$48))+INDIRECT(ADDRESS($B72,Plots!$H$4,,,Plots!$A$49))</f>
        <v>0</v>
      </c>
      <c r="N72" cm="1">
        <f t="array" aca="1" ref="N72" ca="1">INDIRECT(ADDRESS($B72,Plots!$H$4,,,Plots!$A$50))+INDIRECT(ADDRESS($B72,Plots!$H$4,,,Plots!$A$51))+INDIRECT(ADDRESS($B72,Plots!$H$4,,,Plots!$A$52))</f>
        <v>0</v>
      </c>
      <c r="O72" cm="1">
        <f t="array" aca="1" ref="O72" ca="1">INDIRECT(ADDRESS($B72,Plots!$H$4,,,Plots!$A$53))+INDIRECT(ADDRESS($B72,Plots!$H$4,,,Plots!$A$54))+INDIRECT(ADDRESS($B72,Plots!$H$4,,,Plots!$A$55))+INDIRECT(ADDRESS($B72,Plots!$H$4,,,Plots!$A$56))</f>
        <v>0</v>
      </c>
      <c r="P72" cm="1">
        <f t="array" aca="1" ref="P72" ca="1">INDIRECT(ADDRESS($B72,Plots!$H$4,,,Plots!$A$57))+INDIRECT(ADDRESS($B72,Plots!$H$4,,,Plots!$A$58))+INDIRECT(ADDRESS($B72,Plots!$H$4,,,Plots!$A$59))+INDIRECT(ADDRESS($B72,Plots!$H$4,,,Plots!$A$60))+INDIRECT(ADDRESS($B72,Plots!$H$4,,,Plots!$A$61))</f>
        <v>0</v>
      </c>
      <c r="Q72" cm="1">
        <f t="array" aca="1" ref="Q72" ca="1">INDIRECT(ADDRESS($B72,Plots!$H$4,,,Plots!$A$62))+INDIRECT(ADDRESS($B72,Plots!$H$4,,,Plots!$A$63))+INDIRECT(ADDRESS($B72,Plots!$H$4,,,Plots!$A$64))+INDIRECT(ADDRESS($B72,Plots!$H$4,,,Plots!$A$65))+INDIRECT(ADDRESS($B72,Plots!$H$4,,,Plots!$A$66))+INDIRECT(ADDRESS($B72,Plots!$H$4,,,Plots!$A$67))</f>
        <v>0</v>
      </c>
      <c r="R72">
        <f>'AARnetCBR-CamDTN1_tcpmon_ts_81'!J77+'AARnetCBR-CamDTN1_tcpmon_ts_82'!J77+'AARnetCBR-CamDTN1_tcpmon_ts_83'!J77+'AARnetCBR-CamDTN1_tcpmon_ts_84'!J77+'AARnetCBR-CamDTN1_tcpmon_ts_85'!J77+'AARnetCBR-CamDTN1_tcpmon_ts_86'!J77+'AARnetCBR-CamDTN1_tcpmon_ts_87'!J77+'AARnetCBR-CamDTN1_tcpmon_ts_88'!J77</f>
        <v>0</v>
      </c>
    </row>
    <row r="73" spans="1:18">
      <c r="A73" cm="1">
        <f t="array" aca="1" ref="A73" ca="1">INDIRECT(ADDRESS($B73,Plots!$H$6,,,Plots!$A$47))</f>
        <v>140</v>
      </c>
      <c r="B73">
        <f t="shared" ref="B73:B161" si="2">B72+1</f>
        <v>82</v>
      </c>
      <c r="C73" cm="1">
        <f t="array" aca="1" ref="C73" ca="1">INDIRECT(ADDRESS($B73,Plots!$H$3,,,Plots!$A$47))</f>
        <v>26.35</v>
      </c>
      <c r="D73" cm="1">
        <f t="array" aca="1" ref="D73" ca="1">INDIRECT(ADDRESS($B73,Plots!$H$3,,,Plots!$A$48))+INDIRECT(ADDRESS($B73,Plots!$H$3,,,Plots!$A$49))</f>
        <v>57.93</v>
      </c>
      <c r="E73" cm="1">
        <f t="array" aca="1" ref="E73" ca="1">INDIRECT(ADDRESS($B73,Plots!$H$3,,,Plots!$A$50))+INDIRECT(ADDRESS($B73,Plots!$H$3,,,Plots!$A$51))+INDIRECT(ADDRESS($B73,Plots!$H$3,,,Plots!$A$52))</f>
        <v>74.23</v>
      </c>
      <c r="F73" cm="1">
        <f t="array" aca="1" ref="F73" ca="1">INDIRECT(ADDRESS($B73,Plots!$H$3,,,Plots!$A$53))+INDIRECT(ADDRESS($B73,Plots!$H$3,,,Plots!$A$54))+INDIRECT(ADDRESS($B73,Plots!$H$3,,,Plots!$A$55))+INDIRECT(ADDRESS($B73,Plots!$H$3,,,Plots!$A$56))</f>
        <v>91.18</v>
      </c>
      <c r="G73" cm="1">
        <f t="array" aca="1" ref="G73" ca="1">INDIRECT(ADDRESS($B73,Plots!$H$3,,,Plots!$A$57))+INDIRECT(ADDRESS($B73,Plots!$H$3,,,Plots!$A$58))+INDIRECT(ADDRESS($B73,Plots!$H$3,,,Plots!$A$59))+INDIRECT(ADDRESS($B73,Plots!$H$3,,,Plots!$A$60))+INDIRECT(ADDRESS($B73,Plots!$H$3,,,Plots!$A$61))</f>
        <v>0</v>
      </c>
      <c r="H73">
        <f>'AARnetCBR-CamDTN1_tcpmon_ts_61'!C27+'AARnetCBR-CamDTN1_tcpmon_ts_62'!C27+'AARnetCBR-CamDTN1_tcpmon_ts_63'!C27+'AARnetCBR-CamDTN1_tcpmon_ts_64'!C27+'AARnetCBR-CamDTN1_tcpmon_ts_65'!C27+'AARnetCBR-CamDTN1_tcpmon_ts_66'!C27</f>
        <v>0</v>
      </c>
      <c r="I73">
        <f>'AARnetCBR-CamDTN1_tcpmon_ts_81'!C27+'AARnetCBR-CamDTN1_tcpmon_ts_82'!C27+'AARnetCBR-CamDTN1_tcpmon_ts_83'!C27+'AARnetCBR-CamDTN1_tcpmon_ts_84'!C27+'AARnetCBR-CamDTN1_tcpmon_ts_85'!C27+'AARnetCBR-CamDTN1_tcpmon_ts_86'!C27+'AARnetCBR-CamDTN1_tcpmon_ts_87'!C27+'AARnetCBR-CamDTN1_tcpmon_ts_88'!C27</f>
        <v>0</v>
      </c>
      <c r="L73" cm="1">
        <f t="array" aca="1" ref="L73" ca="1">INDIRECT(ADDRESS($B73,Plots!$H$4,,,Plots!$A$47))</f>
        <v>0</v>
      </c>
      <c r="M73" cm="1">
        <f t="array" aca="1" ref="M73" ca="1">INDIRECT(ADDRESS($B73,Plots!$H$4,,,Plots!$A$48))+INDIRECT(ADDRESS($B73,Plots!$H$4,,,Plots!$A$49))</f>
        <v>0</v>
      </c>
      <c r="N73" cm="1">
        <f t="array" aca="1" ref="N73" ca="1">INDIRECT(ADDRESS($B73,Plots!$H$4,,,Plots!$A$50))+INDIRECT(ADDRESS($B73,Plots!$H$4,,,Plots!$A$51))+INDIRECT(ADDRESS($B73,Plots!$H$4,,,Plots!$A$52))</f>
        <v>0</v>
      </c>
      <c r="O73" cm="1">
        <f t="array" aca="1" ref="O73" ca="1">INDIRECT(ADDRESS($B73,Plots!$H$4,,,Plots!$A$53))+INDIRECT(ADDRESS($B73,Plots!$H$4,,,Plots!$A$54))+INDIRECT(ADDRESS($B73,Plots!$H$4,,,Plots!$A$55))+INDIRECT(ADDRESS($B73,Plots!$H$4,,,Plots!$A$56))</f>
        <v>0</v>
      </c>
      <c r="P73" cm="1">
        <f t="array" aca="1" ref="P73" ca="1">INDIRECT(ADDRESS($B73,Plots!$H$4,,,Plots!$A$57))+INDIRECT(ADDRESS($B73,Plots!$H$4,,,Plots!$A$58))+INDIRECT(ADDRESS($B73,Plots!$H$4,,,Plots!$A$59))+INDIRECT(ADDRESS($B73,Plots!$H$4,,,Plots!$A$60))+INDIRECT(ADDRESS($B73,Plots!$H$4,,,Plots!$A$61))</f>
        <v>0</v>
      </c>
      <c r="Q73" cm="1">
        <f t="array" aca="1" ref="Q73" ca="1">INDIRECT(ADDRESS($B73,Plots!$H$4,,,Plots!$A$62))+INDIRECT(ADDRESS($B73,Plots!$H$4,,,Plots!$A$63))+INDIRECT(ADDRESS($B73,Plots!$H$4,,,Plots!$A$64))+INDIRECT(ADDRESS($B73,Plots!$H$4,,,Plots!$A$65))+INDIRECT(ADDRESS($B73,Plots!$H$4,,,Plots!$A$66))+INDIRECT(ADDRESS($B73,Plots!$H$4,,,Plots!$A$67))</f>
        <v>0</v>
      </c>
      <c r="R73">
        <f>'AARnetCBR-CamDTN1_tcpmon_ts_81'!J78+'AARnetCBR-CamDTN1_tcpmon_ts_82'!J78+'AARnetCBR-CamDTN1_tcpmon_ts_83'!J78+'AARnetCBR-CamDTN1_tcpmon_ts_84'!J78+'AARnetCBR-CamDTN1_tcpmon_ts_85'!J78+'AARnetCBR-CamDTN1_tcpmon_ts_86'!J78+'AARnetCBR-CamDTN1_tcpmon_ts_87'!J78+'AARnetCBR-CamDTN1_tcpmon_ts_88'!J78</f>
        <v>0</v>
      </c>
    </row>
    <row r="74" spans="1:18">
      <c r="A74" cm="1">
        <f t="array" aca="1" ref="A74" ca="1">INDIRECT(ADDRESS($B74,Plots!$H$6,,,Plots!$A$47))</f>
        <v>142</v>
      </c>
      <c r="B74">
        <f t="shared" si="2"/>
        <v>83</v>
      </c>
      <c r="C74" cm="1">
        <f t="array" aca="1" ref="C74" ca="1">INDIRECT(ADDRESS($B74,Plots!$H$3,,,Plots!$A$47))</f>
        <v>26.23</v>
      </c>
      <c r="D74" cm="1">
        <f t="array" aca="1" ref="D74" ca="1">INDIRECT(ADDRESS($B74,Plots!$H$3,,,Plots!$A$48))+INDIRECT(ADDRESS($B74,Plots!$H$3,,,Plots!$A$49))</f>
        <v>56.26</v>
      </c>
      <c r="E74" cm="1">
        <f t="array" aca="1" ref="E74" ca="1">INDIRECT(ADDRESS($B74,Plots!$H$3,,,Plots!$A$50))+INDIRECT(ADDRESS($B74,Plots!$H$3,,,Plots!$A$51))+INDIRECT(ADDRESS($B74,Plots!$H$3,,,Plots!$A$52))</f>
        <v>60.870000000000005</v>
      </c>
      <c r="F74" cm="1">
        <f t="array" aca="1" ref="F74" ca="1">INDIRECT(ADDRESS($B74,Plots!$H$3,,,Plots!$A$53))+INDIRECT(ADDRESS($B74,Plots!$H$3,,,Plots!$A$54))+INDIRECT(ADDRESS($B74,Plots!$H$3,,,Plots!$A$55))+INDIRECT(ADDRESS($B74,Plots!$H$3,,,Plots!$A$56))</f>
        <v>89.18</v>
      </c>
      <c r="G74" cm="1">
        <f t="array" aca="1" ref="G74" ca="1">INDIRECT(ADDRESS($B74,Plots!$H$3,,,Plots!$A$57))+INDIRECT(ADDRESS($B74,Plots!$H$3,,,Plots!$A$58))+INDIRECT(ADDRESS($B74,Plots!$H$3,,,Plots!$A$59))+INDIRECT(ADDRESS($B74,Plots!$H$3,,,Plots!$A$60))+INDIRECT(ADDRESS($B74,Plots!$H$3,,,Plots!$A$61))</f>
        <v>0</v>
      </c>
      <c r="H74">
        <f>'AARnetCBR-CamDTN1_tcpmon_ts_61'!C28+'AARnetCBR-CamDTN1_tcpmon_ts_62'!C28+'AARnetCBR-CamDTN1_tcpmon_ts_63'!C28+'AARnetCBR-CamDTN1_tcpmon_ts_64'!C28+'AARnetCBR-CamDTN1_tcpmon_ts_65'!C28+'AARnetCBR-CamDTN1_tcpmon_ts_66'!C28</f>
        <v>0</v>
      </c>
      <c r="I74">
        <f>'AARnetCBR-CamDTN1_tcpmon_ts_81'!C28+'AARnetCBR-CamDTN1_tcpmon_ts_82'!C28+'AARnetCBR-CamDTN1_tcpmon_ts_83'!C28+'AARnetCBR-CamDTN1_tcpmon_ts_84'!C28+'AARnetCBR-CamDTN1_tcpmon_ts_85'!C28+'AARnetCBR-CamDTN1_tcpmon_ts_86'!C28+'AARnetCBR-CamDTN1_tcpmon_ts_87'!C28+'AARnetCBR-CamDTN1_tcpmon_ts_88'!C28</f>
        <v>0</v>
      </c>
      <c r="L74" cm="1">
        <f t="array" aca="1" ref="L74" ca="1">INDIRECT(ADDRESS($B74,Plots!$H$4,,,Plots!$A$47))</f>
        <v>0</v>
      </c>
      <c r="M74" cm="1">
        <f t="array" aca="1" ref="M74" ca="1">INDIRECT(ADDRESS($B74,Plots!$H$4,,,Plots!$A$48))+INDIRECT(ADDRESS($B74,Plots!$H$4,,,Plots!$A$49))</f>
        <v>0</v>
      </c>
      <c r="N74" cm="1">
        <f t="array" aca="1" ref="N74" ca="1">INDIRECT(ADDRESS($B74,Plots!$H$4,,,Plots!$A$50))+INDIRECT(ADDRESS($B74,Plots!$H$4,,,Plots!$A$51))+INDIRECT(ADDRESS($B74,Plots!$H$4,,,Plots!$A$52))</f>
        <v>0</v>
      </c>
      <c r="O74" cm="1">
        <f t="array" aca="1" ref="O74" ca="1">INDIRECT(ADDRESS($B74,Plots!$H$4,,,Plots!$A$53))+INDIRECT(ADDRESS($B74,Plots!$H$4,,,Plots!$A$54))+INDIRECT(ADDRESS($B74,Plots!$H$4,,,Plots!$A$55))+INDIRECT(ADDRESS($B74,Plots!$H$4,,,Plots!$A$56))</f>
        <v>0</v>
      </c>
      <c r="P74" cm="1">
        <f t="array" aca="1" ref="P74" ca="1">INDIRECT(ADDRESS($B74,Plots!$H$4,,,Plots!$A$57))+INDIRECT(ADDRESS($B74,Plots!$H$4,,,Plots!$A$58))+INDIRECT(ADDRESS($B74,Plots!$H$4,,,Plots!$A$59))+INDIRECT(ADDRESS($B74,Plots!$H$4,,,Plots!$A$60))+INDIRECT(ADDRESS($B74,Plots!$H$4,,,Plots!$A$61))</f>
        <v>0</v>
      </c>
      <c r="Q74" cm="1">
        <f t="array" aca="1" ref="Q74" ca="1">INDIRECT(ADDRESS($B74,Plots!$H$4,,,Plots!$A$62))+INDIRECT(ADDRESS($B74,Plots!$H$4,,,Plots!$A$63))+INDIRECT(ADDRESS($B74,Plots!$H$4,,,Plots!$A$64))+INDIRECT(ADDRESS($B74,Plots!$H$4,,,Plots!$A$65))+INDIRECT(ADDRESS($B74,Plots!$H$4,,,Plots!$A$66))+INDIRECT(ADDRESS($B74,Plots!$H$4,,,Plots!$A$67))</f>
        <v>0</v>
      </c>
      <c r="R74">
        <f>'AARnetCBR-CamDTN1_tcpmon_ts_81'!J79+'AARnetCBR-CamDTN1_tcpmon_ts_82'!J79+'AARnetCBR-CamDTN1_tcpmon_ts_83'!J79+'AARnetCBR-CamDTN1_tcpmon_ts_84'!J79+'AARnetCBR-CamDTN1_tcpmon_ts_85'!J79+'AARnetCBR-CamDTN1_tcpmon_ts_86'!J79+'AARnetCBR-CamDTN1_tcpmon_ts_87'!J79+'AARnetCBR-CamDTN1_tcpmon_ts_88'!J79</f>
        <v>0</v>
      </c>
    </row>
    <row r="75" spans="1:18">
      <c r="A75" cm="1">
        <f t="array" aca="1" ref="A75" ca="1">INDIRECT(ADDRESS($B75,Plots!$H$6,,,Plots!$A$47))</f>
        <v>144</v>
      </c>
      <c r="B75">
        <f t="shared" si="2"/>
        <v>84</v>
      </c>
      <c r="C75" cm="1">
        <f t="array" aca="1" ref="C75" ca="1">INDIRECT(ADDRESS($B75,Plots!$H$3,,,Plots!$A$47))</f>
        <v>26</v>
      </c>
      <c r="D75" cm="1">
        <f t="array" aca="1" ref="D75" ca="1">INDIRECT(ADDRESS($B75,Plots!$H$3,,,Plots!$A$48))+INDIRECT(ADDRESS($B75,Plots!$H$3,,,Plots!$A$49))</f>
        <v>58.36</v>
      </c>
      <c r="E75" cm="1">
        <f t="array" aca="1" ref="E75" ca="1">INDIRECT(ADDRESS($B75,Plots!$H$3,,,Plots!$A$50))+INDIRECT(ADDRESS($B75,Plots!$H$3,,,Plots!$A$51))+INDIRECT(ADDRESS($B75,Plots!$H$3,,,Plots!$A$52))</f>
        <v>73.5</v>
      </c>
      <c r="F75" cm="1">
        <f t="array" aca="1" ref="F75" ca="1">INDIRECT(ADDRESS($B75,Plots!$H$3,,,Plots!$A$53))+INDIRECT(ADDRESS($B75,Plots!$H$3,,,Plots!$A$54))+INDIRECT(ADDRESS($B75,Plots!$H$3,,,Plots!$A$55))+INDIRECT(ADDRESS($B75,Plots!$H$3,,,Plots!$A$56))</f>
        <v>92.259999999999991</v>
      </c>
      <c r="G75" cm="1">
        <f t="array" aca="1" ref="G75" ca="1">INDIRECT(ADDRESS($B75,Plots!$H$3,,,Plots!$A$57))+INDIRECT(ADDRESS($B75,Plots!$H$3,,,Plots!$A$58))+INDIRECT(ADDRESS($B75,Plots!$H$3,,,Plots!$A$59))+INDIRECT(ADDRESS($B75,Plots!$H$3,,,Plots!$A$60))+INDIRECT(ADDRESS($B75,Plots!$H$3,,,Plots!$A$61))</f>
        <v>0</v>
      </c>
      <c r="H75">
        <f>'AARnetCBR-CamDTN1_tcpmon_ts_61'!C29+'AARnetCBR-CamDTN1_tcpmon_ts_62'!C29+'AARnetCBR-CamDTN1_tcpmon_ts_63'!C29+'AARnetCBR-CamDTN1_tcpmon_ts_64'!C29+'AARnetCBR-CamDTN1_tcpmon_ts_65'!C29+'AARnetCBR-CamDTN1_tcpmon_ts_66'!C29</f>
        <v>0</v>
      </c>
      <c r="I75">
        <f>'AARnetCBR-CamDTN1_tcpmon_ts_81'!C29+'AARnetCBR-CamDTN1_tcpmon_ts_82'!C29+'AARnetCBR-CamDTN1_tcpmon_ts_83'!C29+'AARnetCBR-CamDTN1_tcpmon_ts_84'!C29+'AARnetCBR-CamDTN1_tcpmon_ts_85'!C29+'AARnetCBR-CamDTN1_tcpmon_ts_86'!C29+'AARnetCBR-CamDTN1_tcpmon_ts_87'!C29+'AARnetCBR-CamDTN1_tcpmon_ts_88'!C29</f>
        <v>0</v>
      </c>
      <c r="L75" cm="1">
        <f t="array" aca="1" ref="L75" ca="1">INDIRECT(ADDRESS($B75,Plots!$H$4,,,Plots!$A$47))</f>
        <v>0</v>
      </c>
      <c r="M75" cm="1">
        <f t="array" aca="1" ref="M75" ca="1">INDIRECT(ADDRESS($B75,Plots!$H$4,,,Plots!$A$48))+INDIRECT(ADDRESS($B75,Plots!$H$4,,,Plots!$A$49))</f>
        <v>0</v>
      </c>
      <c r="N75" cm="1">
        <f t="array" aca="1" ref="N75" ca="1">INDIRECT(ADDRESS($B75,Plots!$H$4,,,Plots!$A$50))+INDIRECT(ADDRESS($B75,Plots!$H$4,,,Plots!$A$51))+INDIRECT(ADDRESS($B75,Plots!$H$4,,,Plots!$A$52))</f>
        <v>0</v>
      </c>
      <c r="O75" cm="1">
        <f t="array" aca="1" ref="O75" ca="1">INDIRECT(ADDRESS($B75,Plots!$H$4,,,Plots!$A$53))+INDIRECT(ADDRESS($B75,Plots!$H$4,,,Plots!$A$54))+INDIRECT(ADDRESS($B75,Plots!$H$4,,,Plots!$A$55))+INDIRECT(ADDRESS($B75,Plots!$H$4,,,Plots!$A$56))</f>
        <v>0</v>
      </c>
      <c r="P75" cm="1">
        <f t="array" aca="1" ref="P75" ca="1">INDIRECT(ADDRESS($B75,Plots!$H$4,,,Plots!$A$57))+INDIRECT(ADDRESS($B75,Plots!$H$4,,,Plots!$A$58))+INDIRECT(ADDRESS($B75,Plots!$H$4,,,Plots!$A$59))+INDIRECT(ADDRESS($B75,Plots!$H$4,,,Plots!$A$60))+INDIRECT(ADDRESS($B75,Plots!$H$4,,,Plots!$A$61))</f>
        <v>0</v>
      </c>
      <c r="Q75" cm="1">
        <f t="array" aca="1" ref="Q75" ca="1">INDIRECT(ADDRESS($B75,Plots!$H$4,,,Plots!$A$62))+INDIRECT(ADDRESS($B75,Plots!$H$4,,,Plots!$A$63))+INDIRECT(ADDRESS($B75,Plots!$H$4,,,Plots!$A$64))+INDIRECT(ADDRESS($B75,Plots!$H$4,,,Plots!$A$65))+INDIRECT(ADDRESS($B75,Plots!$H$4,,,Plots!$A$66))+INDIRECT(ADDRESS($B75,Plots!$H$4,,,Plots!$A$67))</f>
        <v>0</v>
      </c>
      <c r="R75">
        <f>'AARnetCBR-CamDTN1_tcpmon_ts_81'!J80+'AARnetCBR-CamDTN1_tcpmon_ts_82'!J80+'AARnetCBR-CamDTN1_tcpmon_ts_83'!J80+'AARnetCBR-CamDTN1_tcpmon_ts_84'!J80+'AARnetCBR-CamDTN1_tcpmon_ts_85'!J80+'AARnetCBR-CamDTN1_tcpmon_ts_86'!J80+'AARnetCBR-CamDTN1_tcpmon_ts_87'!J80+'AARnetCBR-CamDTN1_tcpmon_ts_88'!J80</f>
        <v>0</v>
      </c>
    </row>
    <row r="76" spans="1:18">
      <c r="A76" cm="1">
        <f t="array" aca="1" ref="A76" ca="1">INDIRECT(ADDRESS($B76,Plots!$H$6,,,Plots!$A$47))</f>
        <v>146</v>
      </c>
      <c r="B76">
        <f t="shared" si="2"/>
        <v>85</v>
      </c>
      <c r="C76" cm="1">
        <f t="array" aca="1" ref="C76" ca="1">INDIRECT(ADDRESS($B76,Plots!$H$3,,,Plots!$A$47))</f>
        <v>26.33</v>
      </c>
      <c r="D76" cm="1">
        <f t="array" aca="1" ref="D76" ca="1">INDIRECT(ADDRESS($B76,Plots!$H$3,,,Plots!$A$48))+INDIRECT(ADDRESS($B76,Plots!$H$3,,,Plots!$A$49))</f>
        <v>55.7</v>
      </c>
      <c r="E76" cm="1">
        <f t="array" aca="1" ref="E76" ca="1">INDIRECT(ADDRESS($B76,Plots!$H$3,,,Plots!$A$50))+INDIRECT(ADDRESS($B76,Plots!$H$3,,,Plots!$A$51))+INDIRECT(ADDRESS($B76,Plots!$H$3,,,Plots!$A$52))</f>
        <v>62.08</v>
      </c>
      <c r="F76" cm="1">
        <f t="array" aca="1" ref="F76" ca="1">INDIRECT(ADDRESS($B76,Plots!$H$3,,,Plots!$A$53))+INDIRECT(ADDRESS($B76,Plots!$H$3,,,Plots!$A$54))+INDIRECT(ADDRESS($B76,Plots!$H$3,,,Plots!$A$55))+INDIRECT(ADDRESS($B76,Plots!$H$3,,,Plots!$A$56))</f>
        <v>91.72999999999999</v>
      </c>
      <c r="G76" cm="1">
        <f t="array" aca="1" ref="G76" ca="1">INDIRECT(ADDRESS($B76,Plots!$H$3,,,Plots!$A$57))+INDIRECT(ADDRESS($B76,Plots!$H$3,,,Plots!$A$58))+INDIRECT(ADDRESS($B76,Plots!$H$3,,,Plots!$A$59))+INDIRECT(ADDRESS($B76,Plots!$H$3,,,Plots!$A$60))+INDIRECT(ADDRESS($B76,Plots!$H$3,,,Plots!$A$61))</f>
        <v>0</v>
      </c>
      <c r="H76">
        <f>'AARnetCBR-CamDTN1_tcpmon_ts_61'!C30+'AARnetCBR-CamDTN1_tcpmon_ts_62'!C30+'AARnetCBR-CamDTN1_tcpmon_ts_63'!C30+'AARnetCBR-CamDTN1_tcpmon_ts_64'!C30+'AARnetCBR-CamDTN1_tcpmon_ts_65'!C30+'AARnetCBR-CamDTN1_tcpmon_ts_66'!C30</f>
        <v>0</v>
      </c>
      <c r="I76">
        <f>'AARnetCBR-CamDTN1_tcpmon_ts_81'!C30+'AARnetCBR-CamDTN1_tcpmon_ts_82'!C30+'AARnetCBR-CamDTN1_tcpmon_ts_83'!C30+'AARnetCBR-CamDTN1_tcpmon_ts_84'!C30+'AARnetCBR-CamDTN1_tcpmon_ts_85'!C30+'AARnetCBR-CamDTN1_tcpmon_ts_86'!C30+'AARnetCBR-CamDTN1_tcpmon_ts_87'!C30+'AARnetCBR-CamDTN1_tcpmon_ts_88'!C30</f>
        <v>0</v>
      </c>
      <c r="L76" cm="1">
        <f t="array" aca="1" ref="L76" ca="1">INDIRECT(ADDRESS($B76,Plots!$H$4,,,Plots!$A$47))</f>
        <v>0</v>
      </c>
      <c r="M76" cm="1">
        <f t="array" aca="1" ref="M76" ca="1">INDIRECT(ADDRESS($B76,Plots!$H$4,,,Plots!$A$48))+INDIRECT(ADDRESS($B76,Plots!$H$4,,,Plots!$A$49))</f>
        <v>0</v>
      </c>
      <c r="N76" cm="1">
        <f t="array" aca="1" ref="N76" ca="1">INDIRECT(ADDRESS($B76,Plots!$H$4,,,Plots!$A$50))+INDIRECT(ADDRESS($B76,Plots!$H$4,,,Plots!$A$51))+INDIRECT(ADDRESS($B76,Plots!$H$4,,,Plots!$A$52))</f>
        <v>0</v>
      </c>
      <c r="O76" cm="1">
        <f t="array" aca="1" ref="O76" ca="1">INDIRECT(ADDRESS($B76,Plots!$H$4,,,Plots!$A$53))+INDIRECT(ADDRESS($B76,Plots!$H$4,,,Plots!$A$54))+INDIRECT(ADDRESS($B76,Plots!$H$4,,,Plots!$A$55))+INDIRECT(ADDRESS($B76,Plots!$H$4,,,Plots!$A$56))</f>
        <v>0</v>
      </c>
      <c r="P76" cm="1">
        <f t="array" aca="1" ref="P76" ca="1">INDIRECT(ADDRESS($B76,Plots!$H$4,,,Plots!$A$57))+INDIRECT(ADDRESS($B76,Plots!$H$4,,,Plots!$A$58))+INDIRECT(ADDRESS($B76,Plots!$H$4,,,Plots!$A$59))+INDIRECT(ADDRESS($B76,Plots!$H$4,,,Plots!$A$60))+INDIRECT(ADDRESS($B76,Plots!$H$4,,,Plots!$A$61))</f>
        <v>0</v>
      </c>
      <c r="Q76" cm="1">
        <f t="array" aca="1" ref="Q76" ca="1">INDIRECT(ADDRESS($B76,Plots!$H$4,,,Plots!$A$62))+INDIRECT(ADDRESS($B76,Plots!$H$4,,,Plots!$A$63))+INDIRECT(ADDRESS($B76,Plots!$H$4,,,Plots!$A$64))+INDIRECT(ADDRESS($B76,Plots!$H$4,,,Plots!$A$65))+INDIRECT(ADDRESS($B76,Plots!$H$4,,,Plots!$A$66))+INDIRECT(ADDRESS($B76,Plots!$H$4,,,Plots!$A$67))</f>
        <v>0</v>
      </c>
      <c r="R76">
        <f>'AARnetCBR-CamDTN1_tcpmon_ts_81'!J81+'AARnetCBR-CamDTN1_tcpmon_ts_82'!J81+'AARnetCBR-CamDTN1_tcpmon_ts_83'!J81+'AARnetCBR-CamDTN1_tcpmon_ts_84'!J81+'AARnetCBR-CamDTN1_tcpmon_ts_85'!J81+'AARnetCBR-CamDTN1_tcpmon_ts_86'!J81+'AARnetCBR-CamDTN1_tcpmon_ts_87'!J81+'AARnetCBR-CamDTN1_tcpmon_ts_88'!J81</f>
        <v>0</v>
      </c>
    </row>
    <row r="77" spans="1:18">
      <c r="A77" cm="1">
        <f t="array" aca="1" ref="A77" ca="1">INDIRECT(ADDRESS($B77,Plots!$H$6,,,Plots!$A$47))</f>
        <v>148</v>
      </c>
      <c r="B77">
        <f t="shared" si="2"/>
        <v>86</v>
      </c>
      <c r="C77" cm="1">
        <f t="array" aca="1" ref="C77" ca="1">INDIRECT(ADDRESS($B77,Plots!$H$3,,,Plots!$A$47))</f>
        <v>25.59</v>
      </c>
      <c r="D77" cm="1">
        <f t="array" aca="1" ref="D77" ca="1">INDIRECT(ADDRESS($B77,Plots!$H$3,,,Plots!$A$48))+INDIRECT(ADDRESS($B77,Plots!$H$3,,,Plots!$A$49))</f>
        <v>58.09</v>
      </c>
      <c r="E77" cm="1">
        <f t="array" aca="1" ref="E77" ca="1">INDIRECT(ADDRESS($B77,Plots!$H$3,,,Plots!$A$50))+INDIRECT(ADDRESS($B77,Plots!$H$3,,,Plots!$A$51))+INDIRECT(ADDRESS($B77,Plots!$H$3,,,Plots!$A$52))</f>
        <v>74.31</v>
      </c>
      <c r="F77" cm="1">
        <f t="array" aca="1" ref="F77" ca="1">INDIRECT(ADDRESS($B77,Plots!$H$3,,,Plots!$A$53))+INDIRECT(ADDRESS($B77,Plots!$H$3,,,Plots!$A$54))+INDIRECT(ADDRESS($B77,Plots!$H$3,,,Plots!$A$55))+INDIRECT(ADDRESS($B77,Plots!$H$3,,,Plots!$A$56))</f>
        <v>91.33</v>
      </c>
      <c r="G77" cm="1">
        <f t="array" aca="1" ref="G77" ca="1">INDIRECT(ADDRESS($B77,Plots!$H$3,,,Plots!$A$57))+INDIRECT(ADDRESS($B77,Plots!$H$3,,,Plots!$A$58))+INDIRECT(ADDRESS($B77,Plots!$H$3,,,Plots!$A$59))+INDIRECT(ADDRESS($B77,Plots!$H$3,,,Plots!$A$60))+INDIRECT(ADDRESS($B77,Plots!$H$3,,,Plots!$A$61))</f>
        <v>0</v>
      </c>
      <c r="H77">
        <f>'AARnetCBR-CamDTN1_tcpmon_ts_61'!C31+'AARnetCBR-CamDTN1_tcpmon_ts_62'!C31+'AARnetCBR-CamDTN1_tcpmon_ts_63'!C31+'AARnetCBR-CamDTN1_tcpmon_ts_64'!C31+'AARnetCBR-CamDTN1_tcpmon_ts_65'!C31+'AARnetCBR-CamDTN1_tcpmon_ts_66'!C31</f>
        <v>0</v>
      </c>
      <c r="I77">
        <f>'AARnetCBR-CamDTN1_tcpmon_ts_81'!C31+'AARnetCBR-CamDTN1_tcpmon_ts_82'!C31+'AARnetCBR-CamDTN1_tcpmon_ts_83'!C31+'AARnetCBR-CamDTN1_tcpmon_ts_84'!C31+'AARnetCBR-CamDTN1_tcpmon_ts_85'!C31+'AARnetCBR-CamDTN1_tcpmon_ts_86'!C31+'AARnetCBR-CamDTN1_tcpmon_ts_87'!C31+'AARnetCBR-CamDTN1_tcpmon_ts_88'!C31</f>
        <v>0</v>
      </c>
      <c r="L77" cm="1">
        <f t="array" aca="1" ref="L77" ca="1">INDIRECT(ADDRESS($B77,Plots!$H$4,,,Plots!$A$47))</f>
        <v>0</v>
      </c>
      <c r="M77" cm="1">
        <f t="array" aca="1" ref="M77" ca="1">INDIRECT(ADDRESS($B77,Plots!$H$4,,,Plots!$A$48))+INDIRECT(ADDRESS($B77,Plots!$H$4,,,Plots!$A$49))</f>
        <v>0</v>
      </c>
      <c r="N77" cm="1">
        <f t="array" aca="1" ref="N77" ca="1">INDIRECT(ADDRESS($B77,Plots!$H$4,,,Plots!$A$50))+INDIRECT(ADDRESS($B77,Plots!$H$4,,,Plots!$A$51))+INDIRECT(ADDRESS($B77,Plots!$H$4,,,Plots!$A$52))</f>
        <v>0</v>
      </c>
      <c r="O77" cm="1">
        <f t="array" aca="1" ref="O77" ca="1">INDIRECT(ADDRESS($B77,Plots!$H$4,,,Plots!$A$53))+INDIRECT(ADDRESS($B77,Plots!$H$4,,,Plots!$A$54))+INDIRECT(ADDRESS($B77,Plots!$H$4,,,Plots!$A$55))+INDIRECT(ADDRESS($B77,Plots!$H$4,,,Plots!$A$56))</f>
        <v>0</v>
      </c>
      <c r="P77" cm="1">
        <f t="array" aca="1" ref="P77" ca="1">INDIRECT(ADDRESS($B77,Plots!$H$4,,,Plots!$A$57))+INDIRECT(ADDRESS($B77,Plots!$H$4,,,Plots!$A$58))+INDIRECT(ADDRESS($B77,Plots!$H$4,,,Plots!$A$59))+INDIRECT(ADDRESS($B77,Plots!$H$4,,,Plots!$A$60))+INDIRECT(ADDRESS($B77,Plots!$H$4,,,Plots!$A$61))</f>
        <v>0</v>
      </c>
      <c r="Q77" cm="1">
        <f t="array" aca="1" ref="Q77" ca="1">INDIRECT(ADDRESS($B77,Plots!$H$4,,,Plots!$A$62))+INDIRECT(ADDRESS($B77,Plots!$H$4,,,Plots!$A$63))+INDIRECT(ADDRESS($B77,Plots!$H$4,,,Plots!$A$64))+INDIRECT(ADDRESS($B77,Plots!$H$4,,,Plots!$A$65))+INDIRECT(ADDRESS($B77,Plots!$H$4,,,Plots!$A$66))+INDIRECT(ADDRESS($B77,Plots!$H$4,,,Plots!$A$67))</f>
        <v>0</v>
      </c>
      <c r="R77">
        <f>'AARnetCBR-CamDTN1_tcpmon_ts_81'!J82+'AARnetCBR-CamDTN1_tcpmon_ts_82'!J82+'AARnetCBR-CamDTN1_tcpmon_ts_83'!J82+'AARnetCBR-CamDTN1_tcpmon_ts_84'!J82+'AARnetCBR-CamDTN1_tcpmon_ts_85'!J82+'AARnetCBR-CamDTN1_tcpmon_ts_86'!J82+'AARnetCBR-CamDTN1_tcpmon_ts_87'!J82+'AARnetCBR-CamDTN1_tcpmon_ts_88'!J82</f>
        <v>0</v>
      </c>
    </row>
    <row r="78" spans="1:18">
      <c r="A78" cm="1">
        <f t="array" aca="1" ref="A78" ca="1">INDIRECT(ADDRESS($B78,Plots!$H$6,,,Plots!$A$47))</f>
        <v>150</v>
      </c>
      <c r="B78">
        <f t="shared" si="2"/>
        <v>87</v>
      </c>
      <c r="C78" cm="1">
        <f t="array" aca="1" ref="C78" ca="1">INDIRECT(ADDRESS($B78,Plots!$H$3,,,Plots!$A$47))</f>
        <v>26.47</v>
      </c>
      <c r="D78" cm="1">
        <f t="array" aca="1" ref="D78" ca="1">INDIRECT(ADDRESS($B78,Plots!$H$3,,,Plots!$A$48))+INDIRECT(ADDRESS($B78,Plots!$H$3,,,Plots!$A$49))</f>
        <v>57.08</v>
      </c>
      <c r="E78" cm="1">
        <f t="array" aca="1" ref="E78" ca="1">INDIRECT(ADDRESS($B78,Plots!$H$3,,,Plots!$A$50))+INDIRECT(ADDRESS($B78,Plots!$H$3,,,Plots!$A$51))+INDIRECT(ADDRESS($B78,Plots!$H$3,,,Plots!$A$52))</f>
        <v>60.83</v>
      </c>
      <c r="F78" cm="1">
        <f t="array" aca="1" ref="F78" ca="1">INDIRECT(ADDRESS($B78,Plots!$H$3,,,Plots!$A$53))+INDIRECT(ADDRESS($B78,Plots!$H$3,,,Plots!$A$54))+INDIRECT(ADDRESS($B78,Plots!$H$3,,,Plots!$A$55))+INDIRECT(ADDRESS($B78,Plots!$H$3,,,Plots!$A$56))</f>
        <v>94.759999999999991</v>
      </c>
      <c r="G78" cm="1">
        <f t="array" aca="1" ref="G78" ca="1">INDIRECT(ADDRESS($B78,Plots!$H$3,,,Plots!$A$57))+INDIRECT(ADDRESS($B78,Plots!$H$3,,,Plots!$A$58))+INDIRECT(ADDRESS($B78,Plots!$H$3,,,Plots!$A$59))+INDIRECT(ADDRESS($B78,Plots!$H$3,,,Plots!$A$60))+INDIRECT(ADDRESS($B78,Plots!$H$3,,,Plots!$A$61))</f>
        <v>0</v>
      </c>
      <c r="H78">
        <f>'AARnetCBR-CamDTN1_tcpmon_ts_61'!C32+'AARnetCBR-CamDTN1_tcpmon_ts_62'!C32+'AARnetCBR-CamDTN1_tcpmon_ts_63'!C32+'AARnetCBR-CamDTN1_tcpmon_ts_64'!C32+'AARnetCBR-CamDTN1_tcpmon_ts_65'!C32+'AARnetCBR-CamDTN1_tcpmon_ts_66'!C32</f>
        <v>0</v>
      </c>
      <c r="I78">
        <f>'AARnetCBR-CamDTN1_tcpmon_ts_81'!C32+'AARnetCBR-CamDTN1_tcpmon_ts_82'!C32+'AARnetCBR-CamDTN1_tcpmon_ts_83'!C32+'AARnetCBR-CamDTN1_tcpmon_ts_84'!C32+'AARnetCBR-CamDTN1_tcpmon_ts_85'!C32+'AARnetCBR-CamDTN1_tcpmon_ts_86'!C32+'AARnetCBR-CamDTN1_tcpmon_ts_87'!C32+'AARnetCBR-CamDTN1_tcpmon_ts_88'!C32</f>
        <v>0</v>
      </c>
      <c r="L78" cm="1">
        <f t="array" aca="1" ref="L78" ca="1">INDIRECT(ADDRESS($B78,Plots!$H$4,,,Plots!$A$47))</f>
        <v>0</v>
      </c>
      <c r="M78" cm="1">
        <f t="array" aca="1" ref="M78" ca="1">INDIRECT(ADDRESS($B78,Plots!$H$4,,,Plots!$A$48))+INDIRECT(ADDRESS($B78,Plots!$H$4,,,Plots!$A$49))</f>
        <v>0</v>
      </c>
      <c r="N78" cm="1">
        <f t="array" aca="1" ref="N78" ca="1">INDIRECT(ADDRESS($B78,Plots!$H$4,,,Plots!$A$50))+INDIRECT(ADDRESS($B78,Plots!$H$4,,,Plots!$A$51))+INDIRECT(ADDRESS($B78,Plots!$H$4,,,Plots!$A$52))</f>
        <v>0</v>
      </c>
      <c r="O78" cm="1">
        <f t="array" aca="1" ref="O78" ca="1">INDIRECT(ADDRESS($B78,Plots!$H$4,,,Plots!$A$53))+INDIRECT(ADDRESS($B78,Plots!$H$4,,,Plots!$A$54))+INDIRECT(ADDRESS($B78,Plots!$H$4,,,Plots!$A$55))+INDIRECT(ADDRESS($B78,Plots!$H$4,,,Plots!$A$56))</f>
        <v>0</v>
      </c>
      <c r="P78" cm="1">
        <f t="array" aca="1" ref="P78" ca="1">INDIRECT(ADDRESS($B78,Plots!$H$4,,,Plots!$A$57))+INDIRECT(ADDRESS($B78,Plots!$H$4,,,Plots!$A$58))+INDIRECT(ADDRESS($B78,Plots!$H$4,,,Plots!$A$59))+INDIRECT(ADDRESS($B78,Plots!$H$4,,,Plots!$A$60))+INDIRECT(ADDRESS($B78,Plots!$H$4,,,Plots!$A$61))</f>
        <v>0</v>
      </c>
      <c r="Q78" cm="1">
        <f t="array" aca="1" ref="Q78" ca="1">INDIRECT(ADDRESS($B78,Plots!$H$4,,,Plots!$A$62))+INDIRECT(ADDRESS($B78,Plots!$H$4,,,Plots!$A$63))+INDIRECT(ADDRESS($B78,Plots!$H$4,,,Plots!$A$64))+INDIRECT(ADDRESS($B78,Plots!$H$4,,,Plots!$A$65))+INDIRECT(ADDRESS($B78,Plots!$H$4,,,Plots!$A$66))+INDIRECT(ADDRESS($B78,Plots!$H$4,,,Plots!$A$67))</f>
        <v>0</v>
      </c>
      <c r="R78">
        <f>'AARnetCBR-CamDTN1_tcpmon_ts_81'!J83+'AARnetCBR-CamDTN1_tcpmon_ts_82'!J83+'AARnetCBR-CamDTN1_tcpmon_ts_83'!J83+'AARnetCBR-CamDTN1_tcpmon_ts_84'!J83+'AARnetCBR-CamDTN1_tcpmon_ts_85'!J83+'AARnetCBR-CamDTN1_tcpmon_ts_86'!J83+'AARnetCBR-CamDTN1_tcpmon_ts_87'!J83+'AARnetCBR-CamDTN1_tcpmon_ts_88'!J83</f>
        <v>0</v>
      </c>
    </row>
    <row r="79" spans="1:18">
      <c r="A79" cm="1">
        <f t="array" aca="1" ref="A79" ca="1">INDIRECT(ADDRESS($B79,Plots!$H$6,,,Plots!$A$47))</f>
        <v>152</v>
      </c>
      <c r="B79">
        <f t="shared" si="2"/>
        <v>88</v>
      </c>
      <c r="C79" cm="1">
        <f t="array" aca="1" ref="C79" ca="1">INDIRECT(ADDRESS($B79,Plots!$H$3,,,Plots!$A$47))</f>
        <v>25.48</v>
      </c>
      <c r="D79" cm="1">
        <f t="array" aca="1" ref="D79" ca="1">INDIRECT(ADDRESS($B79,Plots!$H$3,,,Plots!$A$48))+INDIRECT(ADDRESS($B79,Plots!$H$3,,,Plots!$A$49))</f>
        <v>57.64</v>
      </c>
      <c r="E79" cm="1">
        <f t="array" aca="1" ref="E79" ca="1">INDIRECT(ADDRESS($B79,Plots!$H$3,,,Plots!$A$50))+INDIRECT(ADDRESS($B79,Plots!$H$3,,,Plots!$A$51))+INDIRECT(ADDRESS($B79,Plots!$H$3,,,Plots!$A$52))</f>
        <v>72.27000000000001</v>
      </c>
      <c r="F79" cm="1">
        <f t="array" aca="1" ref="F79" ca="1">INDIRECT(ADDRESS($B79,Plots!$H$3,,,Plots!$A$53))+INDIRECT(ADDRESS($B79,Plots!$H$3,,,Plots!$A$54))+INDIRECT(ADDRESS($B79,Plots!$H$3,,,Plots!$A$55))+INDIRECT(ADDRESS($B79,Plots!$H$3,,,Plots!$A$56))</f>
        <v>93.679999999999993</v>
      </c>
      <c r="G79" cm="1">
        <f t="array" aca="1" ref="G79" ca="1">INDIRECT(ADDRESS($B79,Plots!$H$3,,,Plots!$A$57))+INDIRECT(ADDRESS($B79,Plots!$H$3,,,Plots!$A$58))+INDIRECT(ADDRESS($B79,Plots!$H$3,,,Plots!$A$59))+INDIRECT(ADDRESS($B79,Plots!$H$3,,,Plots!$A$60))+INDIRECT(ADDRESS($B79,Plots!$H$3,,,Plots!$A$61))</f>
        <v>0</v>
      </c>
      <c r="H79">
        <f>'AARnetCBR-CamDTN1_tcpmon_ts_61'!C33+'AARnetCBR-CamDTN1_tcpmon_ts_62'!C33+'AARnetCBR-CamDTN1_tcpmon_ts_63'!C33+'AARnetCBR-CamDTN1_tcpmon_ts_64'!C33+'AARnetCBR-CamDTN1_tcpmon_ts_65'!C33+'AARnetCBR-CamDTN1_tcpmon_ts_66'!C33</f>
        <v>0</v>
      </c>
      <c r="I79">
        <f>'AARnetCBR-CamDTN1_tcpmon_ts_81'!C33+'AARnetCBR-CamDTN1_tcpmon_ts_82'!C33+'AARnetCBR-CamDTN1_tcpmon_ts_83'!C33+'AARnetCBR-CamDTN1_tcpmon_ts_84'!C33+'AARnetCBR-CamDTN1_tcpmon_ts_85'!C33+'AARnetCBR-CamDTN1_tcpmon_ts_86'!C33+'AARnetCBR-CamDTN1_tcpmon_ts_87'!C33+'AARnetCBR-CamDTN1_tcpmon_ts_88'!C33</f>
        <v>0</v>
      </c>
      <c r="L79" cm="1">
        <f t="array" aca="1" ref="L79" ca="1">INDIRECT(ADDRESS($B79,Plots!$H$4,,,Plots!$A$47))</f>
        <v>0</v>
      </c>
      <c r="M79" cm="1">
        <f t="array" aca="1" ref="M79" ca="1">INDIRECT(ADDRESS($B79,Plots!$H$4,,,Plots!$A$48))+INDIRECT(ADDRESS($B79,Plots!$H$4,,,Plots!$A$49))</f>
        <v>0</v>
      </c>
      <c r="N79" cm="1">
        <f t="array" aca="1" ref="N79" ca="1">INDIRECT(ADDRESS($B79,Plots!$H$4,,,Plots!$A$50))+INDIRECT(ADDRESS($B79,Plots!$H$4,,,Plots!$A$51))+INDIRECT(ADDRESS($B79,Plots!$H$4,,,Plots!$A$52))</f>
        <v>0</v>
      </c>
      <c r="O79" cm="1">
        <f t="array" aca="1" ref="O79" ca="1">INDIRECT(ADDRESS($B79,Plots!$H$4,,,Plots!$A$53))+INDIRECT(ADDRESS($B79,Plots!$H$4,,,Plots!$A$54))+INDIRECT(ADDRESS($B79,Plots!$H$4,,,Plots!$A$55))+INDIRECT(ADDRESS($B79,Plots!$H$4,,,Plots!$A$56))</f>
        <v>0</v>
      </c>
      <c r="P79" cm="1">
        <f t="array" aca="1" ref="P79" ca="1">INDIRECT(ADDRESS($B79,Plots!$H$4,,,Plots!$A$57))+INDIRECT(ADDRESS($B79,Plots!$H$4,,,Plots!$A$58))+INDIRECT(ADDRESS($B79,Plots!$H$4,,,Plots!$A$59))+INDIRECT(ADDRESS($B79,Plots!$H$4,,,Plots!$A$60))+INDIRECT(ADDRESS($B79,Plots!$H$4,,,Plots!$A$61))</f>
        <v>0</v>
      </c>
      <c r="Q79" cm="1">
        <f t="array" aca="1" ref="Q79" ca="1">INDIRECT(ADDRESS($B79,Plots!$H$4,,,Plots!$A$62))+INDIRECT(ADDRESS($B79,Plots!$H$4,,,Plots!$A$63))+INDIRECT(ADDRESS($B79,Plots!$H$4,,,Plots!$A$64))+INDIRECT(ADDRESS($B79,Plots!$H$4,,,Plots!$A$65))+INDIRECT(ADDRESS($B79,Plots!$H$4,,,Plots!$A$66))+INDIRECT(ADDRESS($B79,Plots!$H$4,,,Plots!$A$67))</f>
        <v>0</v>
      </c>
      <c r="R79">
        <f>'AARnetCBR-CamDTN1_tcpmon_ts_81'!J84+'AARnetCBR-CamDTN1_tcpmon_ts_82'!J84+'AARnetCBR-CamDTN1_tcpmon_ts_83'!J84+'AARnetCBR-CamDTN1_tcpmon_ts_84'!J84+'AARnetCBR-CamDTN1_tcpmon_ts_85'!J84+'AARnetCBR-CamDTN1_tcpmon_ts_86'!J84+'AARnetCBR-CamDTN1_tcpmon_ts_87'!J84+'AARnetCBR-CamDTN1_tcpmon_ts_88'!J84</f>
        <v>0</v>
      </c>
    </row>
    <row r="80" spans="1:18">
      <c r="A80" cm="1">
        <f t="array" aca="1" ref="A80" ca="1">INDIRECT(ADDRESS($B80,Plots!$H$6,,,Plots!$A$47))</f>
        <v>154</v>
      </c>
      <c r="B80">
        <f t="shared" si="2"/>
        <v>89</v>
      </c>
      <c r="C80" cm="1">
        <f t="array" aca="1" ref="C80" ca="1">INDIRECT(ADDRESS($B80,Plots!$H$3,,,Plots!$A$47))</f>
        <v>26.06</v>
      </c>
      <c r="D80" cm="1">
        <f t="array" aca="1" ref="D80" ca="1">INDIRECT(ADDRESS($B80,Plots!$H$3,,,Plots!$A$48))+INDIRECT(ADDRESS($B80,Plots!$H$3,,,Plots!$A$49))</f>
        <v>55.54</v>
      </c>
      <c r="E80" cm="1">
        <f t="array" aca="1" ref="E80" ca="1">INDIRECT(ADDRESS($B80,Plots!$H$3,,,Plots!$A$50))+INDIRECT(ADDRESS($B80,Plots!$H$3,,,Plots!$A$51))+INDIRECT(ADDRESS($B80,Plots!$H$3,,,Plots!$A$52))</f>
        <v>64.09</v>
      </c>
      <c r="F80" cm="1">
        <f t="array" aca="1" ref="F80" ca="1">INDIRECT(ADDRESS($B80,Plots!$H$3,,,Plots!$A$53))+INDIRECT(ADDRESS($B80,Plots!$H$3,,,Plots!$A$54))+INDIRECT(ADDRESS($B80,Plots!$H$3,,,Plots!$A$55))+INDIRECT(ADDRESS($B80,Plots!$H$3,,,Plots!$A$56))</f>
        <v>90.6</v>
      </c>
      <c r="G80" cm="1">
        <f t="array" aca="1" ref="G80" ca="1">INDIRECT(ADDRESS($B80,Plots!$H$3,,,Plots!$A$57))+INDIRECT(ADDRESS($B80,Plots!$H$3,,,Plots!$A$58))+INDIRECT(ADDRESS($B80,Plots!$H$3,,,Plots!$A$59))+INDIRECT(ADDRESS($B80,Plots!$H$3,,,Plots!$A$60))+INDIRECT(ADDRESS($B80,Plots!$H$3,,,Plots!$A$61))</f>
        <v>0</v>
      </c>
      <c r="H80">
        <f>'AARnetCBR-CamDTN1_tcpmon_ts_61'!C34+'AARnetCBR-CamDTN1_tcpmon_ts_62'!C34+'AARnetCBR-CamDTN1_tcpmon_ts_63'!C34+'AARnetCBR-CamDTN1_tcpmon_ts_64'!C34+'AARnetCBR-CamDTN1_tcpmon_ts_65'!C34+'AARnetCBR-CamDTN1_tcpmon_ts_66'!C34</f>
        <v>0</v>
      </c>
      <c r="I80">
        <f>'AARnetCBR-CamDTN1_tcpmon_ts_81'!C34+'AARnetCBR-CamDTN1_tcpmon_ts_82'!C34+'AARnetCBR-CamDTN1_tcpmon_ts_83'!C34+'AARnetCBR-CamDTN1_tcpmon_ts_84'!C34+'AARnetCBR-CamDTN1_tcpmon_ts_85'!C34+'AARnetCBR-CamDTN1_tcpmon_ts_86'!C34+'AARnetCBR-CamDTN1_tcpmon_ts_87'!C34+'AARnetCBR-CamDTN1_tcpmon_ts_88'!C34</f>
        <v>0</v>
      </c>
      <c r="L80" cm="1">
        <f t="array" aca="1" ref="L80" ca="1">INDIRECT(ADDRESS($B80,Plots!$H$4,,,Plots!$A$47))</f>
        <v>0</v>
      </c>
      <c r="M80" cm="1">
        <f t="array" aca="1" ref="M80" ca="1">INDIRECT(ADDRESS($B80,Plots!$H$4,,,Plots!$A$48))+INDIRECT(ADDRESS($B80,Plots!$H$4,,,Plots!$A$49))</f>
        <v>0</v>
      </c>
      <c r="N80" cm="1">
        <f t="array" aca="1" ref="N80" ca="1">INDIRECT(ADDRESS($B80,Plots!$H$4,,,Plots!$A$50))+INDIRECT(ADDRESS($B80,Plots!$H$4,,,Plots!$A$51))+INDIRECT(ADDRESS($B80,Plots!$H$4,,,Plots!$A$52))</f>
        <v>0</v>
      </c>
      <c r="O80" cm="1">
        <f t="array" aca="1" ref="O80" ca="1">INDIRECT(ADDRESS($B80,Plots!$H$4,,,Plots!$A$53))+INDIRECT(ADDRESS($B80,Plots!$H$4,,,Plots!$A$54))+INDIRECT(ADDRESS($B80,Plots!$H$4,,,Plots!$A$55))+INDIRECT(ADDRESS($B80,Plots!$H$4,,,Plots!$A$56))</f>
        <v>0</v>
      </c>
      <c r="P80" cm="1">
        <f t="array" aca="1" ref="P80" ca="1">INDIRECT(ADDRESS($B80,Plots!$H$4,,,Plots!$A$57))+INDIRECT(ADDRESS($B80,Plots!$H$4,,,Plots!$A$58))+INDIRECT(ADDRESS($B80,Plots!$H$4,,,Plots!$A$59))+INDIRECT(ADDRESS($B80,Plots!$H$4,,,Plots!$A$60))+INDIRECT(ADDRESS($B80,Plots!$H$4,,,Plots!$A$61))</f>
        <v>0</v>
      </c>
      <c r="Q80" cm="1">
        <f t="array" aca="1" ref="Q80" ca="1">INDIRECT(ADDRESS($B80,Plots!$H$4,,,Plots!$A$62))+INDIRECT(ADDRESS($B80,Plots!$H$4,,,Plots!$A$63))+INDIRECT(ADDRESS($B80,Plots!$H$4,,,Plots!$A$64))+INDIRECT(ADDRESS($B80,Plots!$H$4,,,Plots!$A$65))+INDIRECT(ADDRESS($B80,Plots!$H$4,,,Plots!$A$66))+INDIRECT(ADDRESS($B80,Plots!$H$4,,,Plots!$A$67))</f>
        <v>0</v>
      </c>
      <c r="R80">
        <f>'AARnetCBR-CamDTN1_tcpmon_ts_81'!J85+'AARnetCBR-CamDTN1_tcpmon_ts_82'!J85+'AARnetCBR-CamDTN1_tcpmon_ts_83'!J85+'AARnetCBR-CamDTN1_tcpmon_ts_84'!J85+'AARnetCBR-CamDTN1_tcpmon_ts_85'!J85+'AARnetCBR-CamDTN1_tcpmon_ts_86'!J85+'AARnetCBR-CamDTN1_tcpmon_ts_87'!J85+'AARnetCBR-CamDTN1_tcpmon_ts_88'!J85</f>
        <v>0</v>
      </c>
    </row>
    <row r="81" spans="1:18">
      <c r="A81" cm="1">
        <f t="array" aca="1" ref="A81" ca="1">INDIRECT(ADDRESS($B81,Plots!$H$6,,,Plots!$A$47))</f>
        <v>156</v>
      </c>
      <c r="B81">
        <f t="shared" si="2"/>
        <v>90</v>
      </c>
      <c r="C81" cm="1">
        <f t="array" aca="1" ref="C81" ca="1">INDIRECT(ADDRESS($B81,Plots!$H$3,,,Plots!$A$47))</f>
        <v>26.2</v>
      </c>
      <c r="D81" cm="1">
        <f t="array" aca="1" ref="D81" ca="1">INDIRECT(ADDRESS($B81,Plots!$H$3,,,Plots!$A$48))+INDIRECT(ADDRESS($B81,Plots!$H$3,,,Plots!$A$49))</f>
        <v>57.879999999999995</v>
      </c>
      <c r="E81" cm="1">
        <f t="array" aca="1" ref="E81" ca="1">INDIRECT(ADDRESS($B81,Plots!$H$3,,,Plots!$A$50))+INDIRECT(ADDRESS($B81,Plots!$H$3,,,Plots!$A$51))+INDIRECT(ADDRESS($B81,Plots!$H$3,,,Plots!$A$52))</f>
        <v>72.88</v>
      </c>
      <c r="F81" cm="1">
        <f t="array" aca="1" ref="F81" ca="1">INDIRECT(ADDRESS($B81,Plots!$H$3,,,Plots!$A$53))+INDIRECT(ADDRESS($B81,Plots!$H$3,,,Plots!$A$54))+INDIRECT(ADDRESS($B81,Plots!$H$3,,,Plots!$A$55))+INDIRECT(ADDRESS($B81,Plots!$H$3,,,Plots!$A$56))</f>
        <v>91.91</v>
      </c>
      <c r="G81" cm="1">
        <f t="array" aca="1" ref="G81" ca="1">INDIRECT(ADDRESS($B81,Plots!$H$3,,,Plots!$A$57))+INDIRECT(ADDRESS($B81,Plots!$H$3,,,Plots!$A$58))+INDIRECT(ADDRESS($B81,Plots!$H$3,,,Plots!$A$59))+INDIRECT(ADDRESS($B81,Plots!$H$3,,,Plots!$A$60))+INDIRECT(ADDRESS($B81,Plots!$H$3,,,Plots!$A$61))</f>
        <v>0</v>
      </c>
      <c r="H81">
        <f>'AARnetCBR-CamDTN1_tcpmon_ts_61'!C35+'AARnetCBR-CamDTN1_tcpmon_ts_62'!C35+'AARnetCBR-CamDTN1_tcpmon_ts_63'!C35+'AARnetCBR-CamDTN1_tcpmon_ts_64'!C35+'AARnetCBR-CamDTN1_tcpmon_ts_65'!C35+'AARnetCBR-CamDTN1_tcpmon_ts_66'!C35</f>
        <v>0</v>
      </c>
      <c r="I81">
        <f>'AARnetCBR-CamDTN1_tcpmon_ts_81'!C35+'AARnetCBR-CamDTN1_tcpmon_ts_82'!C35+'AARnetCBR-CamDTN1_tcpmon_ts_83'!C35+'AARnetCBR-CamDTN1_tcpmon_ts_84'!C35+'AARnetCBR-CamDTN1_tcpmon_ts_85'!C35+'AARnetCBR-CamDTN1_tcpmon_ts_86'!C35+'AARnetCBR-CamDTN1_tcpmon_ts_87'!C35+'AARnetCBR-CamDTN1_tcpmon_ts_88'!C35</f>
        <v>0</v>
      </c>
      <c r="L81" cm="1">
        <f t="array" aca="1" ref="L81" ca="1">INDIRECT(ADDRESS($B81,Plots!$H$4,,,Plots!$A$47))</f>
        <v>0</v>
      </c>
      <c r="M81" cm="1">
        <f t="array" aca="1" ref="M81" ca="1">INDIRECT(ADDRESS($B81,Plots!$H$4,,,Plots!$A$48))+INDIRECT(ADDRESS($B81,Plots!$H$4,,,Plots!$A$49))</f>
        <v>0</v>
      </c>
      <c r="N81" cm="1">
        <f t="array" aca="1" ref="N81" ca="1">INDIRECT(ADDRESS($B81,Plots!$H$4,,,Plots!$A$50))+INDIRECT(ADDRESS($B81,Plots!$H$4,,,Plots!$A$51))+INDIRECT(ADDRESS($B81,Plots!$H$4,,,Plots!$A$52))</f>
        <v>0</v>
      </c>
      <c r="O81" cm="1">
        <f t="array" aca="1" ref="O81" ca="1">INDIRECT(ADDRESS($B81,Plots!$H$4,,,Plots!$A$53))+INDIRECT(ADDRESS($B81,Plots!$H$4,,,Plots!$A$54))+INDIRECT(ADDRESS($B81,Plots!$H$4,,,Plots!$A$55))+INDIRECT(ADDRESS($B81,Plots!$H$4,,,Plots!$A$56))</f>
        <v>0</v>
      </c>
      <c r="P81" cm="1">
        <f t="array" aca="1" ref="P81" ca="1">INDIRECT(ADDRESS($B81,Plots!$H$4,,,Plots!$A$57))+INDIRECT(ADDRESS($B81,Plots!$H$4,,,Plots!$A$58))+INDIRECT(ADDRESS($B81,Plots!$H$4,,,Plots!$A$59))+INDIRECT(ADDRESS($B81,Plots!$H$4,,,Plots!$A$60))+INDIRECT(ADDRESS($B81,Plots!$H$4,,,Plots!$A$61))</f>
        <v>0</v>
      </c>
      <c r="Q81" cm="1">
        <f t="array" aca="1" ref="Q81" ca="1">INDIRECT(ADDRESS($B81,Plots!$H$4,,,Plots!$A$62))+INDIRECT(ADDRESS($B81,Plots!$H$4,,,Plots!$A$63))+INDIRECT(ADDRESS($B81,Plots!$H$4,,,Plots!$A$64))+INDIRECT(ADDRESS($B81,Plots!$H$4,,,Plots!$A$65))+INDIRECT(ADDRESS($B81,Plots!$H$4,,,Plots!$A$66))+INDIRECT(ADDRESS($B81,Plots!$H$4,,,Plots!$A$67))</f>
        <v>0</v>
      </c>
      <c r="R81">
        <f>'AARnetCBR-CamDTN1_tcpmon_ts_81'!J86+'AARnetCBR-CamDTN1_tcpmon_ts_82'!J86+'AARnetCBR-CamDTN1_tcpmon_ts_83'!J86+'AARnetCBR-CamDTN1_tcpmon_ts_84'!J86+'AARnetCBR-CamDTN1_tcpmon_ts_85'!J86+'AARnetCBR-CamDTN1_tcpmon_ts_86'!J86+'AARnetCBR-CamDTN1_tcpmon_ts_87'!J86+'AARnetCBR-CamDTN1_tcpmon_ts_88'!J86</f>
        <v>0</v>
      </c>
    </row>
    <row r="82" spans="1:18">
      <c r="A82" cm="1">
        <f t="array" aca="1" ref="A82" ca="1">INDIRECT(ADDRESS($B82,Plots!$H$6,,,Plots!$A$47))</f>
        <v>158</v>
      </c>
      <c r="B82">
        <f t="shared" si="2"/>
        <v>91</v>
      </c>
      <c r="C82" cm="1">
        <f t="array" aca="1" ref="C82" ca="1">INDIRECT(ADDRESS($B82,Plots!$H$3,,,Plots!$A$47))</f>
        <v>25.8</v>
      </c>
      <c r="D82" cm="1">
        <f t="array" aca="1" ref="D82" ca="1">INDIRECT(ADDRESS($B82,Plots!$H$3,,,Plots!$A$48))+INDIRECT(ADDRESS($B82,Plots!$H$3,,,Plots!$A$49))</f>
        <v>58.89</v>
      </c>
      <c r="E82" cm="1">
        <f t="array" aca="1" ref="E82" ca="1">INDIRECT(ADDRESS($B82,Plots!$H$3,,,Plots!$A$50))+INDIRECT(ADDRESS($B82,Plots!$H$3,,,Plots!$A$51))+INDIRECT(ADDRESS($B82,Plots!$H$3,,,Plots!$A$52))</f>
        <v>59.899999999999991</v>
      </c>
      <c r="F82" cm="1">
        <f t="array" aca="1" ref="F82" ca="1">INDIRECT(ADDRESS($B82,Plots!$H$3,,,Plots!$A$53))+INDIRECT(ADDRESS($B82,Plots!$H$3,,,Plots!$A$54))+INDIRECT(ADDRESS($B82,Plots!$H$3,,,Plots!$A$55))+INDIRECT(ADDRESS($B82,Plots!$H$3,,,Plots!$A$56))</f>
        <v>93.34</v>
      </c>
      <c r="G82" cm="1">
        <f t="array" aca="1" ref="G82" ca="1">INDIRECT(ADDRESS($B82,Plots!$H$3,,,Plots!$A$57))+INDIRECT(ADDRESS($B82,Plots!$H$3,,,Plots!$A$58))+INDIRECT(ADDRESS($B82,Plots!$H$3,,,Plots!$A$59))+INDIRECT(ADDRESS($B82,Plots!$H$3,,,Plots!$A$60))+INDIRECT(ADDRESS($B82,Plots!$H$3,,,Plots!$A$61))</f>
        <v>0</v>
      </c>
      <c r="H82">
        <f>'AARnetCBR-CamDTN1_tcpmon_ts_61'!C36+'AARnetCBR-CamDTN1_tcpmon_ts_62'!C36+'AARnetCBR-CamDTN1_tcpmon_ts_63'!C36+'AARnetCBR-CamDTN1_tcpmon_ts_64'!C36+'AARnetCBR-CamDTN1_tcpmon_ts_65'!C36+'AARnetCBR-CamDTN1_tcpmon_ts_66'!C36</f>
        <v>0</v>
      </c>
      <c r="I82">
        <f>'AARnetCBR-CamDTN1_tcpmon_ts_81'!C36+'AARnetCBR-CamDTN1_tcpmon_ts_82'!C36+'AARnetCBR-CamDTN1_tcpmon_ts_83'!C36+'AARnetCBR-CamDTN1_tcpmon_ts_84'!C36+'AARnetCBR-CamDTN1_tcpmon_ts_85'!C36+'AARnetCBR-CamDTN1_tcpmon_ts_86'!C36+'AARnetCBR-CamDTN1_tcpmon_ts_87'!C36+'AARnetCBR-CamDTN1_tcpmon_ts_88'!C36</f>
        <v>0</v>
      </c>
      <c r="L82" cm="1">
        <f t="array" aca="1" ref="L82" ca="1">INDIRECT(ADDRESS($B82,Plots!$H$4,,,Plots!$A$47))</f>
        <v>0</v>
      </c>
      <c r="M82" cm="1">
        <f t="array" aca="1" ref="M82" ca="1">INDIRECT(ADDRESS($B82,Plots!$H$4,,,Plots!$A$48))+INDIRECT(ADDRESS($B82,Plots!$H$4,,,Plots!$A$49))</f>
        <v>0</v>
      </c>
      <c r="N82" cm="1">
        <f t="array" aca="1" ref="N82" ca="1">INDIRECT(ADDRESS($B82,Plots!$H$4,,,Plots!$A$50))+INDIRECT(ADDRESS($B82,Plots!$H$4,,,Plots!$A$51))+INDIRECT(ADDRESS($B82,Plots!$H$4,,,Plots!$A$52))</f>
        <v>0</v>
      </c>
      <c r="O82" cm="1">
        <f t="array" aca="1" ref="O82" ca="1">INDIRECT(ADDRESS($B82,Plots!$H$4,,,Plots!$A$53))+INDIRECT(ADDRESS($B82,Plots!$H$4,,,Plots!$A$54))+INDIRECT(ADDRESS($B82,Plots!$H$4,,,Plots!$A$55))+INDIRECT(ADDRESS($B82,Plots!$H$4,,,Plots!$A$56))</f>
        <v>0</v>
      </c>
      <c r="P82" cm="1">
        <f t="array" aca="1" ref="P82" ca="1">INDIRECT(ADDRESS($B82,Plots!$H$4,,,Plots!$A$57))+INDIRECT(ADDRESS($B82,Plots!$H$4,,,Plots!$A$58))+INDIRECT(ADDRESS($B82,Plots!$H$4,,,Plots!$A$59))+INDIRECT(ADDRESS($B82,Plots!$H$4,,,Plots!$A$60))+INDIRECT(ADDRESS($B82,Plots!$H$4,,,Plots!$A$61))</f>
        <v>0</v>
      </c>
      <c r="Q82" cm="1">
        <f t="array" aca="1" ref="Q82" ca="1">INDIRECT(ADDRESS($B82,Plots!$H$4,,,Plots!$A$62))+INDIRECT(ADDRESS($B82,Plots!$H$4,,,Plots!$A$63))+INDIRECT(ADDRESS($B82,Plots!$H$4,,,Plots!$A$64))+INDIRECT(ADDRESS($B82,Plots!$H$4,,,Plots!$A$65))+INDIRECT(ADDRESS($B82,Plots!$H$4,,,Plots!$A$66))+INDIRECT(ADDRESS($B82,Plots!$H$4,,,Plots!$A$67))</f>
        <v>0</v>
      </c>
      <c r="R82">
        <f>'AARnetCBR-CamDTN1_tcpmon_ts_81'!J87+'AARnetCBR-CamDTN1_tcpmon_ts_82'!J87+'AARnetCBR-CamDTN1_tcpmon_ts_83'!J87+'AARnetCBR-CamDTN1_tcpmon_ts_84'!J87+'AARnetCBR-CamDTN1_tcpmon_ts_85'!J87+'AARnetCBR-CamDTN1_tcpmon_ts_86'!J87+'AARnetCBR-CamDTN1_tcpmon_ts_87'!J87+'AARnetCBR-CamDTN1_tcpmon_ts_88'!J87</f>
        <v>0</v>
      </c>
    </row>
    <row r="83" spans="1:18">
      <c r="A83" cm="1">
        <f t="array" aca="1" ref="A83" ca="1">INDIRECT(ADDRESS($B83,Plots!$H$6,,,Plots!$A$47))</f>
        <v>160</v>
      </c>
      <c r="B83">
        <f t="shared" si="2"/>
        <v>92</v>
      </c>
      <c r="C83" cm="1">
        <f t="array" aca="1" ref="C83" ca="1">INDIRECT(ADDRESS($B83,Plots!$H$3,,,Plots!$A$47))</f>
        <v>25.91</v>
      </c>
      <c r="D83" cm="1">
        <f t="array" aca="1" ref="D83" ca="1">INDIRECT(ADDRESS($B83,Plots!$H$3,,,Plots!$A$48))+INDIRECT(ADDRESS($B83,Plots!$H$3,,,Plots!$A$49))</f>
        <v>56.31</v>
      </c>
      <c r="E83" cm="1">
        <f t="array" aca="1" ref="E83" ca="1">INDIRECT(ADDRESS($B83,Plots!$H$3,,,Plots!$A$50))+INDIRECT(ADDRESS($B83,Plots!$H$3,,,Plots!$A$51))+INDIRECT(ADDRESS($B83,Plots!$H$3,,,Plots!$A$52))</f>
        <v>74.58</v>
      </c>
      <c r="F83" cm="1">
        <f t="array" aca="1" ref="F83" ca="1">INDIRECT(ADDRESS($B83,Plots!$H$3,,,Plots!$A$53))+INDIRECT(ADDRESS($B83,Plots!$H$3,,,Plots!$A$54))+INDIRECT(ADDRESS($B83,Plots!$H$3,,,Plots!$A$55))+INDIRECT(ADDRESS($B83,Plots!$H$3,,,Plots!$A$56))</f>
        <v>89.9</v>
      </c>
      <c r="G83" cm="1">
        <f t="array" aca="1" ref="G83" ca="1">INDIRECT(ADDRESS($B83,Plots!$H$3,,,Plots!$A$57))+INDIRECT(ADDRESS($B83,Plots!$H$3,,,Plots!$A$58))+INDIRECT(ADDRESS($B83,Plots!$H$3,,,Plots!$A$59))+INDIRECT(ADDRESS($B83,Plots!$H$3,,,Plots!$A$60))+INDIRECT(ADDRESS($B83,Plots!$H$3,,,Plots!$A$61))</f>
        <v>0</v>
      </c>
      <c r="H83">
        <f>'AARnetCBR-CamDTN1_tcpmon_ts_61'!C37+'AARnetCBR-CamDTN1_tcpmon_ts_62'!C37+'AARnetCBR-CamDTN1_tcpmon_ts_63'!C37+'AARnetCBR-CamDTN1_tcpmon_ts_64'!C37+'AARnetCBR-CamDTN1_tcpmon_ts_65'!C37+'AARnetCBR-CamDTN1_tcpmon_ts_66'!C37</f>
        <v>0</v>
      </c>
      <c r="I83">
        <f>'AARnetCBR-CamDTN1_tcpmon_ts_81'!C37+'AARnetCBR-CamDTN1_tcpmon_ts_82'!C37+'AARnetCBR-CamDTN1_tcpmon_ts_83'!C37+'AARnetCBR-CamDTN1_tcpmon_ts_84'!C37+'AARnetCBR-CamDTN1_tcpmon_ts_85'!C37+'AARnetCBR-CamDTN1_tcpmon_ts_86'!C37+'AARnetCBR-CamDTN1_tcpmon_ts_87'!C37+'AARnetCBR-CamDTN1_tcpmon_ts_88'!C37</f>
        <v>0</v>
      </c>
      <c r="L83" cm="1">
        <f t="array" aca="1" ref="L83" ca="1">INDIRECT(ADDRESS($B83,Plots!$H$4,,,Plots!$A$47))</f>
        <v>0</v>
      </c>
      <c r="M83" cm="1">
        <f t="array" aca="1" ref="M83" ca="1">INDIRECT(ADDRESS($B83,Plots!$H$4,,,Plots!$A$48))+INDIRECT(ADDRESS($B83,Plots!$H$4,,,Plots!$A$49))</f>
        <v>0</v>
      </c>
      <c r="N83" cm="1">
        <f t="array" aca="1" ref="N83" ca="1">INDIRECT(ADDRESS($B83,Plots!$H$4,,,Plots!$A$50))+INDIRECT(ADDRESS($B83,Plots!$H$4,,,Plots!$A$51))+INDIRECT(ADDRESS($B83,Plots!$H$4,,,Plots!$A$52))</f>
        <v>0</v>
      </c>
      <c r="O83" cm="1">
        <f t="array" aca="1" ref="O83" ca="1">INDIRECT(ADDRESS($B83,Plots!$H$4,,,Plots!$A$53))+INDIRECT(ADDRESS($B83,Plots!$H$4,,,Plots!$A$54))+INDIRECT(ADDRESS($B83,Plots!$H$4,,,Plots!$A$55))+INDIRECT(ADDRESS($B83,Plots!$H$4,,,Plots!$A$56))</f>
        <v>0</v>
      </c>
      <c r="P83" cm="1">
        <f t="array" aca="1" ref="P83" ca="1">INDIRECT(ADDRESS($B83,Plots!$H$4,,,Plots!$A$57))+INDIRECT(ADDRESS($B83,Plots!$H$4,,,Plots!$A$58))+INDIRECT(ADDRESS($B83,Plots!$H$4,,,Plots!$A$59))+INDIRECT(ADDRESS($B83,Plots!$H$4,,,Plots!$A$60))+INDIRECT(ADDRESS($B83,Plots!$H$4,,,Plots!$A$61))</f>
        <v>0</v>
      </c>
      <c r="Q83" cm="1">
        <f t="array" aca="1" ref="Q83" ca="1">INDIRECT(ADDRESS($B83,Plots!$H$4,,,Plots!$A$62))+INDIRECT(ADDRESS($B83,Plots!$H$4,,,Plots!$A$63))+INDIRECT(ADDRESS($B83,Plots!$H$4,,,Plots!$A$64))+INDIRECT(ADDRESS($B83,Plots!$H$4,,,Plots!$A$65))+INDIRECT(ADDRESS($B83,Plots!$H$4,,,Plots!$A$66))+INDIRECT(ADDRESS($B83,Plots!$H$4,,,Plots!$A$67))</f>
        <v>0</v>
      </c>
      <c r="R83">
        <f>'AARnetCBR-CamDTN1_tcpmon_ts_81'!J88+'AARnetCBR-CamDTN1_tcpmon_ts_82'!J88+'AARnetCBR-CamDTN1_tcpmon_ts_83'!J88+'AARnetCBR-CamDTN1_tcpmon_ts_84'!J88+'AARnetCBR-CamDTN1_tcpmon_ts_85'!J88+'AARnetCBR-CamDTN1_tcpmon_ts_86'!J88+'AARnetCBR-CamDTN1_tcpmon_ts_87'!J88+'AARnetCBR-CamDTN1_tcpmon_ts_88'!J88</f>
        <v>0</v>
      </c>
    </row>
    <row r="84" spans="1:18">
      <c r="A84" cm="1">
        <f t="array" aca="1" ref="A84" ca="1">INDIRECT(ADDRESS($B84,Plots!$H$6,,,Plots!$A$47))</f>
        <v>162</v>
      </c>
      <c r="B84">
        <f t="shared" si="2"/>
        <v>93</v>
      </c>
      <c r="C84" cm="1">
        <f t="array" aca="1" ref="C84" ca="1">INDIRECT(ADDRESS($B84,Plots!$H$3,,,Plots!$A$47))</f>
        <v>26.45</v>
      </c>
      <c r="D84" cm="1">
        <f t="array" aca="1" ref="D84" ca="1">INDIRECT(ADDRESS($B84,Plots!$H$3,,,Plots!$A$48))+INDIRECT(ADDRESS($B84,Plots!$H$3,,,Plots!$A$49))</f>
        <v>57.129999999999995</v>
      </c>
      <c r="E84" cm="1">
        <f t="array" aca="1" ref="E84" ca="1">INDIRECT(ADDRESS($B84,Plots!$H$3,,,Plots!$A$50))+INDIRECT(ADDRESS($B84,Plots!$H$3,,,Plots!$A$51))+INDIRECT(ADDRESS($B84,Plots!$H$3,,,Plots!$A$52))</f>
        <v>60.5</v>
      </c>
      <c r="F84" cm="1">
        <f t="array" aca="1" ref="F84" ca="1">INDIRECT(ADDRESS($B84,Plots!$H$3,,,Plots!$A$53))+INDIRECT(ADDRESS($B84,Plots!$H$3,,,Plots!$A$54))+INDIRECT(ADDRESS($B84,Plots!$H$3,,,Plots!$A$55))+INDIRECT(ADDRESS($B84,Plots!$H$3,,,Plots!$A$56))</f>
        <v>91.679999999999993</v>
      </c>
      <c r="G84" cm="1">
        <f t="array" aca="1" ref="G84" ca="1">INDIRECT(ADDRESS($B84,Plots!$H$3,,,Plots!$A$57))+INDIRECT(ADDRESS($B84,Plots!$H$3,,,Plots!$A$58))+INDIRECT(ADDRESS($B84,Plots!$H$3,,,Plots!$A$59))+INDIRECT(ADDRESS($B84,Plots!$H$3,,,Plots!$A$60))+INDIRECT(ADDRESS($B84,Plots!$H$3,,,Plots!$A$61))</f>
        <v>0</v>
      </c>
      <c r="H84">
        <f>'AARnetCBR-CamDTN1_tcpmon_ts_61'!C38+'AARnetCBR-CamDTN1_tcpmon_ts_62'!C38+'AARnetCBR-CamDTN1_tcpmon_ts_63'!C38+'AARnetCBR-CamDTN1_tcpmon_ts_64'!C38+'AARnetCBR-CamDTN1_tcpmon_ts_65'!C38+'AARnetCBR-CamDTN1_tcpmon_ts_66'!C38</f>
        <v>0</v>
      </c>
      <c r="I84">
        <f>'AARnetCBR-CamDTN1_tcpmon_ts_81'!C38+'AARnetCBR-CamDTN1_tcpmon_ts_82'!C38+'AARnetCBR-CamDTN1_tcpmon_ts_83'!C38+'AARnetCBR-CamDTN1_tcpmon_ts_84'!C38+'AARnetCBR-CamDTN1_tcpmon_ts_85'!C38+'AARnetCBR-CamDTN1_tcpmon_ts_86'!C38+'AARnetCBR-CamDTN1_tcpmon_ts_87'!C38+'AARnetCBR-CamDTN1_tcpmon_ts_88'!C38</f>
        <v>0</v>
      </c>
      <c r="L84" cm="1">
        <f t="array" aca="1" ref="L84" ca="1">INDIRECT(ADDRESS($B84,Plots!$H$4,,,Plots!$A$47))</f>
        <v>0</v>
      </c>
      <c r="M84" cm="1">
        <f t="array" aca="1" ref="M84" ca="1">INDIRECT(ADDRESS($B84,Plots!$H$4,,,Plots!$A$48))+INDIRECT(ADDRESS($B84,Plots!$H$4,,,Plots!$A$49))</f>
        <v>0</v>
      </c>
      <c r="N84" cm="1">
        <f t="array" aca="1" ref="N84" ca="1">INDIRECT(ADDRESS($B84,Plots!$H$4,,,Plots!$A$50))+INDIRECT(ADDRESS($B84,Plots!$H$4,,,Plots!$A$51))+INDIRECT(ADDRESS($B84,Plots!$H$4,,,Plots!$A$52))</f>
        <v>0</v>
      </c>
      <c r="O84" cm="1">
        <f t="array" aca="1" ref="O84" ca="1">INDIRECT(ADDRESS($B84,Plots!$H$4,,,Plots!$A$53))+INDIRECT(ADDRESS($B84,Plots!$H$4,,,Plots!$A$54))+INDIRECT(ADDRESS($B84,Plots!$H$4,,,Plots!$A$55))+INDIRECT(ADDRESS($B84,Plots!$H$4,,,Plots!$A$56))</f>
        <v>0</v>
      </c>
      <c r="P84" cm="1">
        <f t="array" aca="1" ref="P84" ca="1">INDIRECT(ADDRESS($B84,Plots!$H$4,,,Plots!$A$57))+INDIRECT(ADDRESS($B84,Plots!$H$4,,,Plots!$A$58))+INDIRECT(ADDRESS($B84,Plots!$H$4,,,Plots!$A$59))+INDIRECT(ADDRESS($B84,Plots!$H$4,,,Plots!$A$60))+INDIRECT(ADDRESS($B84,Plots!$H$4,,,Plots!$A$61))</f>
        <v>0</v>
      </c>
      <c r="Q84" cm="1">
        <f t="array" aca="1" ref="Q84" ca="1">INDIRECT(ADDRESS($B84,Plots!$H$4,,,Plots!$A$62))+INDIRECT(ADDRESS($B84,Plots!$H$4,,,Plots!$A$63))+INDIRECT(ADDRESS($B84,Plots!$H$4,,,Plots!$A$64))+INDIRECT(ADDRESS($B84,Plots!$H$4,,,Plots!$A$65))+INDIRECT(ADDRESS($B84,Plots!$H$4,,,Plots!$A$66))+INDIRECT(ADDRESS($B84,Plots!$H$4,,,Plots!$A$67))</f>
        <v>0</v>
      </c>
      <c r="R84">
        <f>'AARnetCBR-CamDTN1_tcpmon_ts_81'!J89+'AARnetCBR-CamDTN1_tcpmon_ts_82'!J89+'AARnetCBR-CamDTN1_tcpmon_ts_83'!J89+'AARnetCBR-CamDTN1_tcpmon_ts_84'!J89+'AARnetCBR-CamDTN1_tcpmon_ts_85'!J89+'AARnetCBR-CamDTN1_tcpmon_ts_86'!J89+'AARnetCBR-CamDTN1_tcpmon_ts_87'!J89+'AARnetCBR-CamDTN1_tcpmon_ts_88'!J89</f>
        <v>0</v>
      </c>
    </row>
    <row r="85" spans="1:18">
      <c r="A85" cm="1">
        <f t="array" aca="1" ref="A85" ca="1">INDIRECT(ADDRESS($B85,Plots!$H$6,,,Plots!$A$47))</f>
        <v>164</v>
      </c>
      <c r="B85">
        <f t="shared" si="2"/>
        <v>94</v>
      </c>
      <c r="C85" cm="1">
        <f t="array" aca="1" ref="C85" ca="1">INDIRECT(ADDRESS($B85,Plots!$H$3,,,Plots!$A$47))</f>
        <v>25.11</v>
      </c>
      <c r="D85" cm="1">
        <f t="array" aca="1" ref="D85" ca="1">INDIRECT(ADDRESS($B85,Plots!$H$3,,,Plots!$A$48))+INDIRECT(ADDRESS($B85,Plots!$H$3,,,Plots!$A$49))</f>
        <v>58.15</v>
      </c>
      <c r="E85" cm="1">
        <f t="array" aca="1" ref="E85" ca="1">INDIRECT(ADDRESS($B85,Plots!$H$3,,,Plots!$A$50))+INDIRECT(ADDRESS($B85,Plots!$H$3,,,Plots!$A$51))+INDIRECT(ADDRESS($B85,Plots!$H$3,,,Plots!$A$52))</f>
        <v>74.28</v>
      </c>
      <c r="F85" cm="1">
        <f t="array" aca="1" ref="F85" ca="1">INDIRECT(ADDRESS($B85,Plots!$H$3,,,Plots!$A$53))+INDIRECT(ADDRESS($B85,Plots!$H$3,,,Plots!$A$54))+INDIRECT(ADDRESS($B85,Plots!$H$3,,,Plots!$A$55))+INDIRECT(ADDRESS($B85,Plots!$H$3,,,Plots!$A$56))</f>
        <v>95.3</v>
      </c>
      <c r="G85" cm="1">
        <f t="array" aca="1" ref="G85" ca="1">INDIRECT(ADDRESS($B85,Plots!$H$3,,,Plots!$A$57))+INDIRECT(ADDRESS($B85,Plots!$H$3,,,Plots!$A$58))+INDIRECT(ADDRESS($B85,Plots!$H$3,,,Plots!$A$59))+INDIRECT(ADDRESS($B85,Plots!$H$3,,,Plots!$A$60))+INDIRECT(ADDRESS($B85,Plots!$H$3,,,Plots!$A$61))</f>
        <v>0</v>
      </c>
      <c r="H85">
        <f>'AARnetCBR-CamDTN1_tcpmon_ts_61'!C39+'AARnetCBR-CamDTN1_tcpmon_ts_62'!C39+'AARnetCBR-CamDTN1_tcpmon_ts_63'!C39+'AARnetCBR-CamDTN1_tcpmon_ts_64'!C39+'AARnetCBR-CamDTN1_tcpmon_ts_65'!C39+'AARnetCBR-CamDTN1_tcpmon_ts_66'!C39</f>
        <v>0</v>
      </c>
      <c r="I85">
        <f>'AARnetCBR-CamDTN1_tcpmon_ts_81'!C39+'AARnetCBR-CamDTN1_tcpmon_ts_82'!C39+'AARnetCBR-CamDTN1_tcpmon_ts_83'!C39+'AARnetCBR-CamDTN1_tcpmon_ts_84'!C39+'AARnetCBR-CamDTN1_tcpmon_ts_85'!C39+'AARnetCBR-CamDTN1_tcpmon_ts_86'!C39+'AARnetCBR-CamDTN1_tcpmon_ts_87'!C39+'AARnetCBR-CamDTN1_tcpmon_ts_88'!C39</f>
        <v>0</v>
      </c>
      <c r="L85" cm="1">
        <f t="array" aca="1" ref="L85" ca="1">INDIRECT(ADDRESS($B85,Plots!$H$4,,,Plots!$A$47))</f>
        <v>0</v>
      </c>
      <c r="M85" cm="1">
        <f t="array" aca="1" ref="M85" ca="1">INDIRECT(ADDRESS($B85,Plots!$H$4,,,Plots!$A$48))+INDIRECT(ADDRESS($B85,Plots!$H$4,,,Plots!$A$49))</f>
        <v>0</v>
      </c>
      <c r="N85" cm="1">
        <f t="array" aca="1" ref="N85" ca="1">INDIRECT(ADDRESS($B85,Plots!$H$4,,,Plots!$A$50))+INDIRECT(ADDRESS($B85,Plots!$H$4,,,Plots!$A$51))+INDIRECT(ADDRESS($B85,Plots!$H$4,,,Plots!$A$52))</f>
        <v>0</v>
      </c>
      <c r="O85" cm="1">
        <f t="array" aca="1" ref="O85" ca="1">INDIRECT(ADDRESS($B85,Plots!$H$4,,,Plots!$A$53))+INDIRECT(ADDRESS($B85,Plots!$H$4,,,Plots!$A$54))+INDIRECT(ADDRESS($B85,Plots!$H$4,,,Plots!$A$55))+INDIRECT(ADDRESS($B85,Plots!$H$4,,,Plots!$A$56))</f>
        <v>0</v>
      </c>
      <c r="P85" cm="1">
        <f t="array" aca="1" ref="P85" ca="1">INDIRECT(ADDRESS($B85,Plots!$H$4,,,Plots!$A$57))+INDIRECT(ADDRESS($B85,Plots!$H$4,,,Plots!$A$58))+INDIRECT(ADDRESS($B85,Plots!$H$4,,,Plots!$A$59))+INDIRECT(ADDRESS($B85,Plots!$H$4,,,Plots!$A$60))+INDIRECT(ADDRESS($B85,Plots!$H$4,,,Plots!$A$61))</f>
        <v>0</v>
      </c>
      <c r="Q85" cm="1">
        <f t="array" aca="1" ref="Q85" ca="1">INDIRECT(ADDRESS($B85,Plots!$H$4,,,Plots!$A$62))+INDIRECT(ADDRESS($B85,Plots!$H$4,,,Plots!$A$63))+INDIRECT(ADDRESS($B85,Plots!$H$4,,,Plots!$A$64))+INDIRECT(ADDRESS($B85,Plots!$H$4,,,Plots!$A$65))+INDIRECT(ADDRESS($B85,Plots!$H$4,,,Plots!$A$66))+INDIRECT(ADDRESS($B85,Plots!$H$4,,,Plots!$A$67))</f>
        <v>0</v>
      </c>
      <c r="R85">
        <f>'AARnetCBR-CamDTN1_tcpmon_ts_81'!J90+'AARnetCBR-CamDTN1_tcpmon_ts_82'!J90+'AARnetCBR-CamDTN1_tcpmon_ts_83'!J90+'AARnetCBR-CamDTN1_tcpmon_ts_84'!J90+'AARnetCBR-CamDTN1_tcpmon_ts_85'!J90+'AARnetCBR-CamDTN1_tcpmon_ts_86'!J90+'AARnetCBR-CamDTN1_tcpmon_ts_87'!J90+'AARnetCBR-CamDTN1_tcpmon_ts_88'!J90</f>
        <v>0</v>
      </c>
    </row>
    <row r="86" spans="1:18">
      <c r="A86" cm="1">
        <f t="array" aca="1" ref="A86" ca="1">INDIRECT(ADDRESS($B86,Plots!$H$6,,,Plots!$A$47))</f>
        <v>166</v>
      </c>
      <c r="B86">
        <f t="shared" si="2"/>
        <v>95</v>
      </c>
      <c r="C86" cm="1">
        <f t="array" aca="1" ref="C86" ca="1">INDIRECT(ADDRESS($B86,Plots!$H$3,,,Plots!$A$47))</f>
        <v>25.22</v>
      </c>
      <c r="D86" cm="1">
        <f t="array" aca="1" ref="D86" ca="1">INDIRECT(ADDRESS($B86,Plots!$H$3,,,Plots!$A$48))+INDIRECT(ADDRESS($B86,Plots!$H$3,,,Plots!$A$49))</f>
        <v>55.7</v>
      </c>
      <c r="E86" cm="1">
        <f t="array" aca="1" ref="E86" ca="1">INDIRECT(ADDRESS($B86,Plots!$H$3,,,Plots!$A$50))+INDIRECT(ADDRESS($B86,Plots!$H$3,,,Plots!$A$51))+INDIRECT(ADDRESS($B86,Plots!$H$3,,,Plots!$A$52))</f>
        <v>61.04</v>
      </c>
      <c r="F86" cm="1">
        <f t="array" aca="1" ref="F86" ca="1">INDIRECT(ADDRESS($B86,Plots!$H$3,,,Plots!$A$53))+INDIRECT(ADDRESS($B86,Plots!$H$3,,,Plots!$A$54))+INDIRECT(ADDRESS($B86,Plots!$H$3,,,Plots!$A$55))+INDIRECT(ADDRESS($B86,Plots!$H$3,,,Plots!$A$56))</f>
        <v>63.96</v>
      </c>
      <c r="G86" cm="1">
        <f t="array" aca="1" ref="G86" ca="1">INDIRECT(ADDRESS($B86,Plots!$H$3,,,Plots!$A$57))+INDIRECT(ADDRESS($B86,Plots!$H$3,,,Plots!$A$58))+INDIRECT(ADDRESS($B86,Plots!$H$3,,,Plots!$A$59))+INDIRECT(ADDRESS($B86,Plots!$H$3,,,Plots!$A$60))+INDIRECT(ADDRESS($B86,Plots!$H$3,,,Plots!$A$61))</f>
        <v>0</v>
      </c>
      <c r="H86">
        <f>'AARnetCBR-CamDTN1_tcpmon_ts_61'!C40+'AARnetCBR-CamDTN1_tcpmon_ts_62'!C40+'AARnetCBR-CamDTN1_tcpmon_ts_63'!C40+'AARnetCBR-CamDTN1_tcpmon_ts_64'!C40+'AARnetCBR-CamDTN1_tcpmon_ts_65'!C40+'AARnetCBR-CamDTN1_tcpmon_ts_66'!C40</f>
        <v>0</v>
      </c>
      <c r="I86">
        <f>'AARnetCBR-CamDTN1_tcpmon_ts_81'!C40+'AARnetCBR-CamDTN1_tcpmon_ts_82'!C40+'AARnetCBR-CamDTN1_tcpmon_ts_83'!C40+'AARnetCBR-CamDTN1_tcpmon_ts_84'!C40+'AARnetCBR-CamDTN1_tcpmon_ts_85'!C40+'AARnetCBR-CamDTN1_tcpmon_ts_86'!C40+'AARnetCBR-CamDTN1_tcpmon_ts_87'!C40+'AARnetCBR-CamDTN1_tcpmon_ts_88'!C40</f>
        <v>0</v>
      </c>
      <c r="L86" cm="1">
        <f t="array" aca="1" ref="L86" ca="1">INDIRECT(ADDRESS($B86,Plots!$H$4,,,Plots!$A$47))</f>
        <v>0</v>
      </c>
      <c r="M86" cm="1">
        <f t="array" aca="1" ref="M86" ca="1">INDIRECT(ADDRESS($B86,Plots!$H$4,,,Plots!$A$48))+INDIRECT(ADDRESS($B86,Plots!$H$4,,,Plots!$A$49))</f>
        <v>0</v>
      </c>
      <c r="N86" cm="1">
        <f t="array" aca="1" ref="N86" ca="1">INDIRECT(ADDRESS($B86,Plots!$H$4,,,Plots!$A$50))+INDIRECT(ADDRESS($B86,Plots!$H$4,,,Plots!$A$51))+INDIRECT(ADDRESS($B86,Plots!$H$4,,,Plots!$A$52))</f>
        <v>0</v>
      </c>
      <c r="O86" cm="1">
        <f t="array" aca="1" ref="O86" ca="1">INDIRECT(ADDRESS($B86,Plots!$H$4,,,Plots!$A$53))+INDIRECT(ADDRESS($B86,Plots!$H$4,,,Plots!$A$54))+INDIRECT(ADDRESS($B86,Plots!$H$4,,,Plots!$A$55))+INDIRECT(ADDRESS($B86,Plots!$H$4,,,Plots!$A$56))</f>
        <v>18060</v>
      </c>
      <c r="P86" cm="1">
        <f t="array" aca="1" ref="P86" ca="1">INDIRECT(ADDRESS($B86,Plots!$H$4,,,Plots!$A$57))+INDIRECT(ADDRESS($B86,Plots!$H$4,,,Plots!$A$58))+INDIRECT(ADDRESS($B86,Plots!$H$4,,,Plots!$A$59))+INDIRECT(ADDRESS($B86,Plots!$H$4,,,Plots!$A$60))+INDIRECT(ADDRESS($B86,Plots!$H$4,,,Plots!$A$61))</f>
        <v>0</v>
      </c>
      <c r="Q86" cm="1">
        <f t="array" aca="1" ref="Q86" ca="1">INDIRECT(ADDRESS($B86,Plots!$H$4,,,Plots!$A$62))+INDIRECT(ADDRESS($B86,Plots!$H$4,,,Plots!$A$63))+INDIRECT(ADDRESS($B86,Plots!$H$4,,,Plots!$A$64))+INDIRECT(ADDRESS($B86,Plots!$H$4,,,Plots!$A$65))+INDIRECT(ADDRESS($B86,Plots!$H$4,,,Plots!$A$66))+INDIRECT(ADDRESS($B86,Plots!$H$4,,,Plots!$A$67))</f>
        <v>0</v>
      </c>
      <c r="R86">
        <f>'AARnetCBR-CamDTN1_tcpmon_ts_81'!J91+'AARnetCBR-CamDTN1_tcpmon_ts_82'!J91+'AARnetCBR-CamDTN1_tcpmon_ts_83'!J91+'AARnetCBR-CamDTN1_tcpmon_ts_84'!J91+'AARnetCBR-CamDTN1_tcpmon_ts_85'!J91+'AARnetCBR-CamDTN1_tcpmon_ts_86'!J91+'AARnetCBR-CamDTN1_tcpmon_ts_87'!J91+'AARnetCBR-CamDTN1_tcpmon_ts_88'!J91</f>
        <v>0</v>
      </c>
    </row>
    <row r="87" spans="1:18">
      <c r="A87" cm="1">
        <f t="array" aca="1" ref="A87" ca="1">INDIRECT(ADDRESS($B87,Plots!$H$6,,,Plots!$A$47))</f>
        <v>168</v>
      </c>
      <c r="B87">
        <f t="shared" si="2"/>
        <v>96</v>
      </c>
      <c r="C87" cm="1">
        <f t="array" aca="1" ref="C87" ca="1">INDIRECT(ADDRESS($B87,Plots!$H$3,,,Plots!$A$47))</f>
        <v>26.39</v>
      </c>
      <c r="D87" cm="1">
        <f t="array" aca="1" ref="D87" ca="1">INDIRECT(ADDRESS($B87,Plots!$H$3,,,Plots!$A$48))+INDIRECT(ADDRESS($B87,Plots!$H$3,,,Plots!$A$49))</f>
        <v>57.83</v>
      </c>
      <c r="E87" cm="1">
        <f t="array" aca="1" ref="E87" ca="1">INDIRECT(ADDRESS($B87,Plots!$H$3,,,Plots!$A$50))+INDIRECT(ADDRESS($B87,Plots!$H$3,,,Plots!$A$51))+INDIRECT(ADDRESS($B87,Plots!$H$3,,,Plots!$A$52))</f>
        <v>72.81</v>
      </c>
      <c r="F87" cm="1">
        <f t="array" aca="1" ref="F87" ca="1">INDIRECT(ADDRESS($B87,Plots!$H$3,,,Plots!$A$53))+INDIRECT(ADDRESS($B87,Plots!$H$3,,,Plots!$A$54))+INDIRECT(ADDRESS($B87,Plots!$H$3,,,Plots!$A$55))+INDIRECT(ADDRESS($B87,Plots!$H$3,,,Plots!$A$56))</f>
        <v>75.990000000000009</v>
      </c>
      <c r="G87" cm="1">
        <f t="array" aca="1" ref="G87" ca="1">INDIRECT(ADDRESS($B87,Plots!$H$3,,,Plots!$A$57))+INDIRECT(ADDRESS($B87,Plots!$H$3,,,Plots!$A$58))+INDIRECT(ADDRESS($B87,Plots!$H$3,,,Plots!$A$59))+INDIRECT(ADDRESS($B87,Plots!$H$3,,,Plots!$A$60))+INDIRECT(ADDRESS($B87,Plots!$H$3,,,Plots!$A$61))</f>
        <v>0</v>
      </c>
      <c r="H87">
        <f>'AARnetCBR-CamDTN1_tcpmon_ts_61'!C41+'AARnetCBR-CamDTN1_tcpmon_ts_62'!C41+'AARnetCBR-CamDTN1_tcpmon_ts_63'!C41+'AARnetCBR-CamDTN1_tcpmon_ts_64'!C41+'AARnetCBR-CamDTN1_tcpmon_ts_65'!C41+'AARnetCBR-CamDTN1_tcpmon_ts_66'!C41</f>
        <v>0</v>
      </c>
      <c r="I87">
        <f>'AARnetCBR-CamDTN1_tcpmon_ts_81'!C41+'AARnetCBR-CamDTN1_tcpmon_ts_82'!C41+'AARnetCBR-CamDTN1_tcpmon_ts_83'!C41+'AARnetCBR-CamDTN1_tcpmon_ts_84'!C41+'AARnetCBR-CamDTN1_tcpmon_ts_85'!C41+'AARnetCBR-CamDTN1_tcpmon_ts_86'!C41+'AARnetCBR-CamDTN1_tcpmon_ts_87'!C41+'AARnetCBR-CamDTN1_tcpmon_ts_88'!C41</f>
        <v>0</v>
      </c>
      <c r="L87" cm="1">
        <f t="array" aca="1" ref="L87" ca="1">INDIRECT(ADDRESS($B87,Plots!$H$4,,,Plots!$A$47))</f>
        <v>0</v>
      </c>
      <c r="M87" cm="1">
        <f t="array" aca="1" ref="M87" ca="1">INDIRECT(ADDRESS($B87,Plots!$H$4,,,Plots!$A$48))+INDIRECT(ADDRESS($B87,Plots!$H$4,,,Plots!$A$49))</f>
        <v>0</v>
      </c>
      <c r="N87" cm="1">
        <f t="array" aca="1" ref="N87" ca="1">INDIRECT(ADDRESS($B87,Plots!$H$4,,,Plots!$A$50))+INDIRECT(ADDRESS($B87,Plots!$H$4,,,Plots!$A$51))+INDIRECT(ADDRESS($B87,Plots!$H$4,,,Plots!$A$52))</f>
        <v>0</v>
      </c>
      <c r="O87" cm="1">
        <f t="array" aca="1" ref="O87" ca="1">INDIRECT(ADDRESS($B87,Plots!$H$4,,,Plots!$A$53))+INDIRECT(ADDRESS($B87,Plots!$H$4,,,Plots!$A$54))+INDIRECT(ADDRESS($B87,Plots!$H$4,,,Plots!$A$55))+INDIRECT(ADDRESS($B87,Plots!$H$4,,,Plots!$A$56))</f>
        <v>0</v>
      </c>
      <c r="P87" cm="1">
        <f t="array" aca="1" ref="P87" ca="1">INDIRECT(ADDRESS($B87,Plots!$H$4,,,Plots!$A$57))+INDIRECT(ADDRESS($B87,Plots!$H$4,,,Plots!$A$58))+INDIRECT(ADDRESS($B87,Plots!$H$4,,,Plots!$A$59))+INDIRECT(ADDRESS($B87,Plots!$H$4,,,Plots!$A$60))+INDIRECT(ADDRESS($B87,Plots!$H$4,,,Plots!$A$61))</f>
        <v>0</v>
      </c>
      <c r="Q87" cm="1">
        <f t="array" aca="1" ref="Q87" ca="1">INDIRECT(ADDRESS($B87,Plots!$H$4,,,Plots!$A$62))+INDIRECT(ADDRESS($B87,Plots!$H$4,,,Plots!$A$63))+INDIRECT(ADDRESS($B87,Plots!$H$4,,,Plots!$A$64))+INDIRECT(ADDRESS($B87,Plots!$H$4,,,Plots!$A$65))+INDIRECT(ADDRESS($B87,Plots!$H$4,,,Plots!$A$66))+INDIRECT(ADDRESS($B87,Plots!$H$4,,,Plots!$A$67))</f>
        <v>0</v>
      </c>
      <c r="R87">
        <f>'AARnetCBR-CamDTN1_tcpmon_ts_81'!J92+'AARnetCBR-CamDTN1_tcpmon_ts_82'!J92+'AARnetCBR-CamDTN1_tcpmon_ts_83'!J92+'AARnetCBR-CamDTN1_tcpmon_ts_84'!J92+'AARnetCBR-CamDTN1_tcpmon_ts_85'!J92+'AARnetCBR-CamDTN1_tcpmon_ts_86'!J92+'AARnetCBR-CamDTN1_tcpmon_ts_87'!J92+'AARnetCBR-CamDTN1_tcpmon_ts_88'!J92</f>
        <v>0</v>
      </c>
    </row>
    <row r="88" spans="1:18">
      <c r="A88" cm="1">
        <f t="array" aca="1" ref="A88" ca="1">INDIRECT(ADDRESS($B88,Plots!$H$6,,,Plots!$A$47))</f>
        <v>170</v>
      </c>
      <c r="B88">
        <f t="shared" si="2"/>
        <v>97</v>
      </c>
      <c r="C88" cm="1">
        <f t="array" aca="1" ref="C88" ca="1">INDIRECT(ADDRESS($B88,Plots!$H$3,,,Plots!$A$47))</f>
        <v>26.47</v>
      </c>
      <c r="D88" cm="1">
        <f t="array" aca="1" ref="D88" ca="1">INDIRECT(ADDRESS($B88,Plots!$H$3,,,Plots!$A$48))+INDIRECT(ADDRESS($B88,Plots!$H$3,,,Plots!$A$49))</f>
        <v>56.22</v>
      </c>
      <c r="E88" cm="1">
        <f t="array" aca="1" ref="E88" ca="1">INDIRECT(ADDRESS($B88,Plots!$H$3,,,Plots!$A$50))+INDIRECT(ADDRESS($B88,Plots!$H$3,,,Plots!$A$51))+INDIRECT(ADDRESS($B88,Plots!$H$3,,,Plots!$A$52))</f>
        <v>62.33</v>
      </c>
      <c r="F88" cm="1">
        <f t="array" aca="1" ref="F88" ca="1">INDIRECT(ADDRESS($B88,Plots!$H$3,,,Plots!$A$53))+INDIRECT(ADDRESS($B88,Plots!$H$3,,,Plots!$A$54))+INDIRECT(ADDRESS($B88,Plots!$H$3,,,Plots!$A$55))+INDIRECT(ADDRESS($B88,Plots!$H$3,,,Plots!$A$56))</f>
        <v>76.930000000000007</v>
      </c>
      <c r="G88" cm="1">
        <f t="array" aca="1" ref="G88" ca="1">INDIRECT(ADDRESS($B88,Plots!$H$3,,,Plots!$A$57))+INDIRECT(ADDRESS($B88,Plots!$H$3,,,Plots!$A$58))+INDIRECT(ADDRESS($B88,Plots!$H$3,,,Plots!$A$59))+INDIRECT(ADDRESS($B88,Plots!$H$3,,,Plots!$A$60))+INDIRECT(ADDRESS($B88,Plots!$H$3,,,Plots!$A$61))</f>
        <v>0</v>
      </c>
      <c r="H88">
        <f>'AARnetCBR-CamDTN1_tcpmon_ts_61'!C42+'AARnetCBR-CamDTN1_tcpmon_ts_62'!C42+'AARnetCBR-CamDTN1_tcpmon_ts_63'!C42+'AARnetCBR-CamDTN1_tcpmon_ts_64'!C42+'AARnetCBR-CamDTN1_tcpmon_ts_65'!C42+'AARnetCBR-CamDTN1_tcpmon_ts_66'!C42</f>
        <v>0</v>
      </c>
      <c r="I88">
        <f>'AARnetCBR-CamDTN1_tcpmon_ts_81'!C42+'AARnetCBR-CamDTN1_tcpmon_ts_82'!C42+'AARnetCBR-CamDTN1_tcpmon_ts_83'!C42+'AARnetCBR-CamDTN1_tcpmon_ts_84'!C42+'AARnetCBR-CamDTN1_tcpmon_ts_85'!C42+'AARnetCBR-CamDTN1_tcpmon_ts_86'!C42+'AARnetCBR-CamDTN1_tcpmon_ts_87'!C42+'AARnetCBR-CamDTN1_tcpmon_ts_88'!C42</f>
        <v>0</v>
      </c>
      <c r="L88" cm="1">
        <f t="array" aca="1" ref="L88" ca="1">INDIRECT(ADDRESS($B88,Plots!$H$4,,,Plots!$A$47))</f>
        <v>0</v>
      </c>
      <c r="M88" cm="1">
        <f t="array" aca="1" ref="M88" ca="1">INDIRECT(ADDRESS($B88,Plots!$H$4,,,Plots!$A$48))+INDIRECT(ADDRESS($B88,Plots!$H$4,,,Plots!$A$49))</f>
        <v>0</v>
      </c>
      <c r="N88" cm="1">
        <f t="array" aca="1" ref="N88" ca="1">INDIRECT(ADDRESS($B88,Plots!$H$4,,,Plots!$A$50))+INDIRECT(ADDRESS($B88,Plots!$H$4,,,Plots!$A$51))+INDIRECT(ADDRESS($B88,Plots!$H$4,,,Plots!$A$52))</f>
        <v>0</v>
      </c>
      <c r="O88" cm="1">
        <f t="array" aca="1" ref="O88" ca="1">INDIRECT(ADDRESS($B88,Plots!$H$4,,,Plots!$A$53))+INDIRECT(ADDRESS($B88,Plots!$H$4,,,Plots!$A$54))+INDIRECT(ADDRESS($B88,Plots!$H$4,,,Plots!$A$55))+INDIRECT(ADDRESS($B88,Plots!$H$4,,,Plots!$A$56))</f>
        <v>0</v>
      </c>
      <c r="P88" cm="1">
        <f t="array" aca="1" ref="P88" ca="1">INDIRECT(ADDRESS($B88,Plots!$H$4,,,Plots!$A$57))+INDIRECT(ADDRESS($B88,Plots!$H$4,,,Plots!$A$58))+INDIRECT(ADDRESS($B88,Plots!$H$4,,,Plots!$A$59))+INDIRECT(ADDRESS($B88,Plots!$H$4,,,Plots!$A$60))+INDIRECT(ADDRESS($B88,Plots!$H$4,,,Plots!$A$61))</f>
        <v>0</v>
      </c>
      <c r="Q88" cm="1">
        <f t="array" aca="1" ref="Q88" ca="1">INDIRECT(ADDRESS($B88,Plots!$H$4,,,Plots!$A$62))+INDIRECT(ADDRESS($B88,Plots!$H$4,,,Plots!$A$63))+INDIRECT(ADDRESS($B88,Plots!$H$4,,,Plots!$A$64))+INDIRECT(ADDRESS($B88,Plots!$H$4,,,Plots!$A$65))+INDIRECT(ADDRESS($B88,Plots!$H$4,,,Plots!$A$66))+INDIRECT(ADDRESS($B88,Plots!$H$4,,,Plots!$A$67))</f>
        <v>0</v>
      </c>
      <c r="R88">
        <f>'AARnetCBR-CamDTN1_tcpmon_ts_81'!J93+'AARnetCBR-CamDTN1_tcpmon_ts_82'!J93+'AARnetCBR-CamDTN1_tcpmon_ts_83'!J93+'AARnetCBR-CamDTN1_tcpmon_ts_84'!J93+'AARnetCBR-CamDTN1_tcpmon_ts_85'!J93+'AARnetCBR-CamDTN1_tcpmon_ts_86'!J93+'AARnetCBR-CamDTN1_tcpmon_ts_87'!J93+'AARnetCBR-CamDTN1_tcpmon_ts_88'!J93</f>
        <v>0</v>
      </c>
    </row>
    <row r="89" spans="1:18">
      <c r="A89" cm="1">
        <f t="array" aca="1" ref="A89" ca="1">INDIRECT(ADDRESS($B89,Plots!$H$6,,,Plots!$A$47))</f>
        <v>172</v>
      </c>
      <c r="B89">
        <f t="shared" si="2"/>
        <v>98</v>
      </c>
      <c r="C89" cm="1">
        <f t="array" aca="1" ref="C89" ca="1">INDIRECT(ADDRESS($B89,Plots!$H$3,,,Plots!$A$47))</f>
        <v>26.33</v>
      </c>
      <c r="D89" cm="1">
        <f t="array" aca="1" ref="D89" ca="1">INDIRECT(ADDRESS($B89,Plots!$H$3,,,Plots!$A$48))+INDIRECT(ADDRESS($B89,Plots!$H$3,,,Plots!$A$49))</f>
        <v>57.730000000000004</v>
      </c>
      <c r="E89" cm="1">
        <f t="array" aca="1" ref="E89" ca="1">INDIRECT(ADDRESS($B89,Plots!$H$3,,,Plots!$A$50))+INDIRECT(ADDRESS($B89,Plots!$H$3,,,Plots!$A$51))+INDIRECT(ADDRESS($B89,Plots!$H$3,,,Plots!$A$52))</f>
        <v>74.77</v>
      </c>
      <c r="F89" cm="1">
        <f t="array" aca="1" ref="F89" ca="1">INDIRECT(ADDRESS($B89,Plots!$H$3,,,Plots!$A$53))+INDIRECT(ADDRESS($B89,Plots!$H$3,,,Plots!$A$54))+INDIRECT(ADDRESS($B89,Plots!$H$3,,,Plots!$A$55))+INDIRECT(ADDRESS($B89,Plots!$H$3,,,Plots!$A$56))</f>
        <v>77.88</v>
      </c>
      <c r="G89" cm="1">
        <f t="array" aca="1" ref="G89" ca="1">INDIRECT(ADDRESS($B89,Plots!$H$3,,,Plots!$A$57))+INDIRECT(ADDRESS($B89,Plots!$H$3,,,Plots!$A$58))+INDIRECT(ADDRESS($B89,Plots!$H$3,,,Plots!$A$59))+INDIRECT(ADDRESS($B89,Plots!$H$3,,,Plots!$A$60))+INDIRECT(ADDRESS($B89,Plots!$H$3,,,Plots!$A$61))</f>
        <v>0</v>
      </c>
      <c r="H89">
        <f>'AARnetCBR-CamDTN1_tcpmon_ts_61'!C43+'AARnetCBR-CamDTN1_tcpmon_ts_62'!C43+'AARnetCBR-CamDTN1_tcpmon_ts_63'!C43+'AARnetCBR-CamDTN1_tcpmon_ts_64'!C43+'AARnetCBR-CamDTN1_tcpmon_ts_65'!C43+'AARnetCBR-CamDTN1_tcpmon_ts_66'!C43</f>
        <v>0</v>
      </c>
      <c r="I89">
        <f>'AARnetCBR-CamDTN1_tcpmon_ts_81'!C43+'AARnetCBR-CamDTN1_tcpmon_ts_82'!C43+'AARnetCBR-CamDTN1_tcpmon_ts_83'!C43+'AARnetCBR-CamDTN1_tcpmon_ts_84'!C43+'AARnetCBR-CamDTN1_tcpmon_ts_85'!C43+'AARnetCBR-CamDTN1_tcpmon_ts_86'!C43+'AARnetCBR-CamDTN1_tcpmon_ts_87'!C43+'AARnetCBR-CamDTN1_tcpmon_ts_88'!C43</f>
        <v>0</v>
      </c>
      <c r="L89" cm="1">
        <f t="array" aca="1" ref="L89" ca="1">INDIRECT(ADDRESS($B89,Plots!$H$4,,,Plots!$A$47))</f>
        <v>0</v>
      </c>
      <c r="M89" cm="1">
        <f t="array" aca="1" ref="M89" ca="1">INDIRECT(ADDRESS($B89,Plots!$H$4,,,Plots!$A$48))+INDIRECT(ADDRESS($B89,Plots!$H$4,,,Plots!$A$49))</f>
        <v>0</v>
      </c>
      <c r="N89" cm="1">
        <f t="array" aca="1" ref="N89" ca="1">INDIRECT(ADDRESS($B89,Plots!$H$4,,,Plots!$A$50))+INDIRECT(ADDRESS($B89,Plots!$H$4,,,Plots!$A$51))+INDIRECT(ADDRESS($B89,Plots!$H$4,,,Plots!$A$52))</f>
        <v>0</v>
      </c>
      <c r="O89" cm="1">
        <f t="array" aca="1" ref="O89" ca="1">INDIRECT(ADDRESS($B89,Plots!$H$4,,,Plots!$A$53))+INDIRECT(ADDRESS($B89,Plots!$H$4,,,Plots!$A$54))+INDIRECT(ADDRESS($B89,Plots!$H$4,,,Plots!$A$55))+INDIRECT(ADDRESS($B89,Plots!$H$4,,,Plots!$A$56))</f>
        <v>0</v>
      </c>
      <c r="P89" cm="1">
        <f t="array" aca="1" ref="P89" ca="1">INDIRECT(ADDRESS($B89,Plots!$H$4,,,Plots!$A$57))+INDIRECT(ADDRESS($B89,Plots!$H$4,,,Plots!$A$58))+INDIRECT(ADDRESS($B89,Plots!$H$4,,,Plots!$A$59))+INDIRECT(ADDRESS($B89,Plots!$H$4,,,Plots!$A$60))+INDIRECT(ADDRESS($B89,Plots!$H$4,,,Plots!$A$61))</f>
        <v>0</v>
      </c>
      <c r="Q89" cm="1">
        <f t="array" aca="1" ref="Q89" ca="1">INDIRECT(ADDRESS($B89,Plots!$H$4,,,Plots!$A$62))+INDIRECT(ADDRESS($B89,Plots!$H$4,,,Plots!$A$63))+INDIRECT(ADDRESS($B89,Plots!$H$4,,,Plots!$A$64))+INDIRECT(ADDRESS($B89,Plots!$H$4,,,Plots!$A$65))+INDIRECT(ADDRESS($B89,Plots!$H$4,,,Plots!$A$66))+INDIRECT(ADDRESS($B89,Plots!$H$4,,,Plots!$A$67))</f>
        <v>0</v>
      </c>
      <c r="R89">
        <f>'AARnetCBR-CamDTN1_tcpmon_ts_81'!J94+'AARnetCBR-CamDTN1_tcpmon_ts_82'!J94+'AARnetCBR-CamDTN1_tcpmon_ts_83'!J94+'AARnetCBR-CamDTN1_tcpmon_ts_84'!J94+'AARnetCBR-CamDTN1_tcpmon_ts_85'!J94+'AARnetCBR-CamDTN1_tcpmon_ts_86'!J94+'AARnetCBR-CamDTN1_tcpmon_ts_87'!J94+'AARnetCBR-CamDTN1_tcpmon_ts_88'!J94</f>
        <v>0</v>
      </c>
    </row>
    <row r="90" spans="1:18">
      <c r="A90" cm="1">
        <f t="array" aca="1" ref="A90" ca="1">INDIRECT(ADDRESS($B90,Plots!$H$6,,,Plots!$A$47))</f>
        <v>174</v>
      </c>
      <c r="B90">
        <f t="shared" si="2"/>
        <v>99</v>
      </c>
      <c r="C90" cm="1">
        <f t="array" aca="1" ref="C90" ca="1">INDIRECT(ADDRESS($B90,Plots!$H$3,,,Plots!$A$47))</f>
        <v>25.84</v>
      </c>
      <c r="D90" cm="1">
        <f t="array" aca="1" ref="D90" ca="1">INDIRECT(ADDRESS($B90,Plots!$H$3,,,Plots!$A$48))+INDIRECT(ADDRESS($B90,Plots!$H$3,,,Plots!$A$49))</f>
        <v>57.19</v>
      </c>
      <c r="E90" cm="1">
        <f t="array" aca="1" ref="E90" ca="1">INDIRECT(ADDRESS($B90,Plots!$H$3,,,Plots!$A$50))+INDIRECT(ADDRESS($B90,Plots!$H$3,,,Plots!$A$51))+INDIRECT(ADDRESS($B90,Plots!$H$3,,,Plots!$A$52))</f>
        <v>60.1</v>
      </c>
      <c r="F90" cm="1">
        <f t="array" aca="1" ref="F90" ca="1">INDIRECT(ADDRESS($B90,Plots!$H$3,,,Plots!$A$53))+INDIRECT(ADDRESS($B90,Plots!$H$3,,,Plots!$A$54))+INDIRECT(ADDRESS($B90,Plots!$H$3,,,Plots!$A$55))+INDIRECT(ADDRESS($B90,Plots!$H$3,,,Plots!$A$56))</f>
        <v>79.19</v>
      </c>
      <c r="G90" cm="1">
        <f t="array" aca="1" ref="G90" ca="1">INDIRECT(ADDRESS($B90,Plots!$H$3,,,Plots!$A$57))+INDIRECT(ADDRESS($B90,Plots!$H$3,,,Plots!$A$58))+INDIRECT(ADDRESS($B90,Plots!$H$3,,,Plots!$A$59))+INDIRECT(ADDRESS($B90,Plots!$H$3,,,Plots!$A$60))+INDIRECT(ADDRESS($B90,Plots!$H$3,,,Plots!$A$61))</f>
        <v>0</v>
      </c>
      <c r="H90">
        <f>'AARnetCBR-CamDTN1_tcpmon_ts_61'!C44+'AARnetCBR-CamDTN1_tcpmon_ts_62'!C44+'AARnetCBR-CamDTN1_tcpmon_ts_63'!C44+'AARnetCBR-CamDTN1_tcpmon_ts_64'!C44+'AARnetCBR-CamDTN1_tcpmon_ts_65'!C44+'AARnetCBR-CamDTN1_tcpmon_ts_66'!C44</f>
        <v>0</v>
      </c>
      <c r="I90">
        <f>'AARnetCBR-CamDTN1_tcpmon_ts_81'!C44+'AARnetCBR-CamDTN1_tcpmon_ts_82'!C44+'AARnetCBR-CamDTN1_tcpmon_ts_83'!C44+'AARnetCBR-CamDTN1_tcpmon_ts_84'!C44+'AARnetCBR-CamDTN1_tcpmon_ts_85'!C44+'AARnetCBR-CamDTN1_tcpmon_ts_86'!C44+'AARnetCBR-CamDTN1_tcpmon_ts_87'!C44+'AARnetCBR-CamDTN1_tcpmon_ts_88'!C44</f>
        <v>0</v>
      </c>
      <c r="L90" cm="1">
        <f t="array" aca="1" ref="L90" ca="1">INDIRECT(ADDRESS($B90,Plots!$H$4,,,Plots!$A$47))</f>
        <v>0</v>
      </c>
      <c r="M90" cm="1">
        <f t="array" aca="1" ref="M90" ca="1">INDIRECT(ADDRESS($B90,Plots!$H$4,,,Plots!$A$48))+INDIRECT(ADDRESS($B90,Plots!$H$4,,,Plots!$A$49))</f>
        <v>0</v>
      </c>
      <c r="N90" cm="1">
        <f t="array" aca="1" ref="N90" ca="1">INDIRECT(ADDRESS($B90,Plots!$H$4,,,Plots!$A$50))+INDIRECT(ADDRESS($B90,Plots!$H$4,,,Plots!$A$51))+INDIRECT(ADDRESS($B90,Plots!$H$4,,,Plots!$A$52))</f>
        <v>0</v>
      </c>
      <c r="O90" cm="1">
        <f t="array" aca="1" ref="O90" ca="1">INDIRECT(ADDRESS($B90,Plots!$H$4,,,Plots!$A$53))+INDIRECT(ADDRESS($B90,Plots!$H$4,,,Plots!$A$54))+INDIRECT(ADDRESS($B90,Plots!$H$4,,,Plots!$A$55))+INDIRECT(ADDRESS($B90,Plots!$H$4,,,Plots!$A$56))</f>
        <v>0</v>
      </c>
      <c r="P90" cm="1">
        <f t="array" aca="1" ref="P90" ca="1">INDIRECT(ADDRESS($B90,Plots!$H$4,,,Plots!$A$57))+INDIRECT(ADDRESS($B90,Plots!$H$4,,,Plots!$A$58))+INDIRECT(ADDRESS($B90,Plots!$H$4,,,Plots!$A$59))+INDIRECT(ADDRESS($B90,Plots!$H$4,,,Plots!$A$60))+INDIRECT(ADDRESS($B90,Plots!$H$4,,,Plots!$A$61))</f>
        <v>0</v>
      </c>
      <c r="Q90" cm="1">
        <f t="array" aca="1" ref="Q90" ca="1">INDIRECT(ADDRESS($B90,Plots!$H$4,,,Plots!$A$62))+INDIRECT(ADDRESS($B90,Plots!$H$4,,,Plots!$A$63))+INDIRECT(ADDRESS($B90,Plots!$H$4,,,Plots!$A$64))+INDIRECT(ADDRESS($B90,Plots!$H$4,,,Plots!$A$65))+INDIRECT(ADDRESS($B90,Plots!$H$4,,,Plots!$A$66))+INDIRECT(ADDRESS($B90,Plots!$H$4,,,Plots!$A$67))</f>
        <v>0</v>
      </c>
      <c r="R90">
        <f>'AARnetCBR-CamDTN1_tcpmon_ts_81'!J95+'AARnetCBR-CamDTN1_tcpmon_ts_82'!J95+'AARnetCBR-CamDTN1_tcpmon_ts_83'!J95+'AARnetCBR-CamDTN1_tcpmon_ts_84'!J95+'AARnetCBR-CamDTN1_tcpmon_ts_85'!J95+'AARnetCBR-CamDTN1_tcpmon_ts_86'!J95+'AARnetCBR-CamDTN1_tcpmon_ts_87'!J95+'AARnetCBR-CamDTN1_tcpmon_ts_88'!J95</f>
        <v>0</v>
      </c>
    </row>
    <row r="91" spans="1:18">
      <c r="A91" cm="1">
        <f t="array" aca="1" ref="A91" ca="1">INDIRECT(ADDRESS($B91,Plots!$H$6,,,Plots!$A$47))</f>
        <v>176</v>
      </c>
      <c r="B91">
        <f t="shared" si="2"/>
        <v>100</v>
      </c>
      <c r="C91" cm="1">
        <f t="array" aca="1" ref="C91" ca="1">INDIRECT(ADDRESS($B91,Plots!$H$3,,,Plots!$A$47))</f>
        <v>26.12</v>
      </c>
      <c r="D91" cm="1">
        <f t="array" aca="1" ref="D91" ca="1">INDIRECT(ADDRESS($B91,Plots!$H$3,,,Plots!$A$48))+INDIRECT(ADDRESS($B91,Plots!$H$3,,,Plots!$A$49))</f>
        <v>57.39</v>
      </c>
      <c r="E91" cm="1">
        <f t="array" aca="1" ref="E91" ca="1">INDIRECT(ADDRESS($B91,Plots!$H$3,,,Plots!$A$50))+INDIRECT(ADDRESS($B91,Plots!$H$3,,,Plots!$A$51))+INDIRECT(ADDRESS($B91,Plots!$H$3,,,Plots!$A$52))</f>
        <v>74.319999999999993</v>
      </c>
      <c r="F91" cm="1">
        <f t="array" aca="1" ref="F91" ca="1">INDIRECT(ADDRESS($B91,Plots!$H$3,,,Plots!$A$53))+INDIRECT(ADDRESS($B91,Plots!$H$3,,,Plots!$A$54))+INDIRECT(ADDRESS($B91,Plots!$H$3,,,Plots!$A$55))+INDIRECT(ADDRESS($B91,Plots!$H$3,,,Plots!$A$56))</f>
        <v>80.66</v>
      </c>
      <c r="G91" cm="1">
        <f t="array" aca="1" ref="G91" ca="1">INDIRECT(ADDRESS($B91,Plots!$H$3,,,Plots!$A$57))+INDIRECT(ADDRESS($B91,Plots!$H$3,,,Plots!$A$58))+INDIRECT(ADDRESS($B91,Plots!$H$3,,,Plots!$A$59))+INDIRECT(ADDRESS($B91,Plots!$H$3,,,Plots!$A$60))+INDIRECT(ADDRESS($B91,Plots!$H$3,,,Plots!$A$61))</f>
        <v>0</v>
      </c>
      <c r="H91">
        <f>'AARnetCBR-CamDTN1_tcpmon_ts_61'!C45+'AARnetCBR-CamDTN1_tcpmon_ts_62'!C45+'AARnetCBR-CamDTN1_tcpmon_ts_63'!C45+'AARnetCBR-CamDTN1_tcpmon_ts_64'!C45+'AARnetCBR-CamDTN1_tcpmon_ts_65'!C45+'AARnetCBR-CamDTN1_tcpmon_ts_66'!C45</f>
        <v>0</v>
      </c>
      <c r="I91">
        <f>'AARnetCBR-CamDTN1_tcpmon_ts_81'!C45+'AARnetCBR-CamDTN1_tcpmon_ts_82'!C45+'AARnetCBR-CamDTN1_tcpmon_ts_83'!C45+'AARnetCBR-CamDTN1_tcpmon_ts_84'!C45+'AARnetCBR-CamDTN1_tcpmon_ts_85'!C45+'AARnetCBR-CamDTN1_tcpmon_ts_86'!C45+'AARnetCBR-CamDTN1_tcpmon_ts_87'!C45+'AARnetCBR-CamDTN1_tcpmon_ts_88'!C45</f>
        <v>0</v>
      </c>
      <c r="L91" cm="1">
        <f t="array" aca="1" ref="L91" ca="1">INDIRECT(ADDRESS($B91,Plots!$H$4,,,Plots!$A$47))</f>
        <v>0</v>
      </c>
      <c r="M91" cm="1">
        <f t="array" aca="1" ref="M91" ca="1">INDIRECT(ADDRESS($B91,Plots!$H$4,,,Plots!$A$48))+INDIRECT(ADDRESS($B91,Plots!$H$4,,,Plots!$A$49))</f>
        <v>0</v>
      </c>
      <c r="N91" cm="1">
        <f t="array" aca="1" ref="N91" ca="1">INDIRECT(ADDRESS($B91,Plots!$H$4,,,Plots!$A$50))+INDIRECT(ADDRESS($B91,Plots!$H$4,,,Plots!$A$51))+INDIRECT(ADDRESS($B91,Plots!$H$4,,,Plots!$A$52))</f>
        <v>0</v>
      </c>
      <c r="O91" cm="1">
        <f t="array" aca="1" ref="O91" ca="1">INDIRECT(ADDRESS($B91,Plots!$H$4,,,Plots!$A$53))+INDIRECT(ADDRESS($B91,Plots!$H$4,,,Plots!$A$54))+INDIRECT(ADDRESS($B91,Plots!$H$4,,,Plots!$A$55))+INDIRECT(ADDRESS($B91,Plots!$H$4,,,Plots!$A$56))</f>
        <v>0</v>
      </c>
      <c r="P91" cm="1">
        <f t="array" aca="1" ref="P91" ca="1">INDIRECT(ADDRESS($B91,Plots!$H$4,,,Plots!$A$57))+INDIRECT(ADDRESS($B91,Plots!$H$4,,,Plots!$A$58))+INDIRECT(ADDRESS($B91,Plots!$H$4,,,Plots!$A$59))+INDIRECT(ADDRESS($B91,Plots!$H$4,,,Plots!$A$60))+INDIRECT(ADDRESS($B91,Plots!$H$4,,,Plots!$A$61))</f>
        <v>0</v>
      </c>
      <c r="Q91" cm="1">
        <f t="array" aca="1" ref="Q91" ca="1">INDIRECT(ADDRESS($B91,Plots!$H$4,,,Plots!$A$62))+INDIRECT(ADDRESS($B91,Plots!$H$4,,,Plots!$A$63))+INDIRECT(ADDRESS($B91,Plots!$H$4,,,Plots!$A$64))+INDIRECT(ADDRESS($B91,Plots!$H$4,,,Plots!$A$65))+INDIRECT(ADDRESS($B91,Plots!$H$4,,,Plots!$A$66))+INDIRECT(ADDRESS($B91,Plots!$H$4,,,Plots!$A$67))</f>
        <v>0</v>
      </c>
      <c r="R91">
        <f>'AARnetCBR-CamDTN1_tcpmon_ts_81'!J96+'AARnetCBR-CamDTN1_tcpmon_ts_82'!J96+'AARnetCBR-CamDTN1_tcpmon_ts_83'!J96+'AARnetCBR-CamDTN1_tcpmon_ts_84'!J96+'AARnetCBR-CamDTN1_tcpmon_ts_85'!J96+'AARnetCBR-CamDTN1_tcpmon_ts_86'!J96+'AARnetCBR-CamDTN1_tcpmon_ts_87'!J96+'AARnetCBR-CamDTN1_tcpmon_ts_88'!J96</f>
        <v>0</v>
      </c>
    </row>
    <row r="92" spans="1:18">
      <c r="A92" cm="1">
        <f t="array" aca="1" ref="A92" ca="1">INDIRECT(ADDRESS($B92,Plots!$H$6,,,Plots!$A$47))</f>
        <v>178</v>
      </c>
      <c r="B92">
        <f t="shared" si="2"/>
        <v>101</v>
      </c>
      <c r="C92" cm="1">
        <f t="array" aca="1" ref="C92" ca="1">INDIRECT(ADDRESS($B92,Plots!$H$3,,,Plots!$A$47))</f>
        <v>26.14</v>
      </c>
      <c r="D92" cm="1">
        <f t="array" aca="1" ref="D92" ca="1">INDIRECT(ADDRESS($B92,Plots!$H$3,,,Plots!$A$48))+INDIRECT(ADDRESS($B92,Plots!$H$3,,,Plots!$A$49))</f>
        <v>56.5</v>
      </c>
      <c r="E92" cm="1">
        <f t="array" aca="1" ref="E92" ca="1">INDIRECT(ADDRESS($B92,Plots!$H$3,,,Plots!$A$50))+INDIRECT(ADDRESS($B92,Plots!$H$3,,,Plots!$A$51))+INDIRECT(ADDRESS($B92,Plots!$H$3,,,Plots!$A$52))</f>
        <v>60.65</v>
      </c>
      <c r="F92" cm="1">
        <f t="array" aca="1" ref="F92" ca="1">INDIRECT(ADDRESS($B92,Plots!$H$3,,,Plots!$A$53))+INDIRECT(ADDRESS($B92,Plots!$H$3,,,Plots!$A$54))+INDIRECT(ADDRESS($B92,Plots!$H$3,,,Plots!$A$55))+INDIRECT(ADDRESS($B92,Plots!$H$3,,,Plots!$A$56))</f>
        <v>78.570000000000007</v>
      </c>
      <c r="G92" cm="1">
        <f t="array" aca="1" ref="G92" ca="1">INDIRECT(ADDRESS($B92,Plots!$H$3,,,Plots!$A$57))+INDIRECT(ADDRESS($B92,Plots!$H$3,,,Plots!$A$58))+INDIRECT(ADDRESS($B92,Plots!$H$3,,,Plots!$A$59))+INDIRECT(ADDRESS($B92,Plots!$H$3,,,Plots!$A$60))+INDIRECT(ADDRESS($B92,Plots!$H$3,,,Plots!$A$61))</f>
        <v>0</v>
      </c>
      <c r="H92">
        <f>'AARnetCBR-CamDTN1_tcpmon_ts_61'!C46+'AARnetCBR-CamDTN1_tcpmon_ts_62'!C46+'AARnetCBR-CamDTN1_tcpmon_ts_63'!C46+'AARnetCBR-CamDTN1_tcpmon_ts_64'!C46+'AARnetCBR-CamDTN1_tcpmon_ts_65'!C46+'AARnetCBR-CamDTN1_tcpmon_ts_66'!C46</f>
        <v>0</v>
      </c>
      <c r="I92">
        <f>'AARnetCBR-CamDTN1_tcpmon_ts_81'!C46+'AARnetCBR-CamDTN1_tcpmon_ts_82'!C46+'AARnetCBR-CamDTN1_tcpmon_ts_83'!C46+'AARnetCBR-CamDTN1_tcpmon_ts_84'!C46+'AARnetCBR-CamDTN1_tcpmon_ts_85'!C46+'AARnetCBR-CamDTN1_tcpmon_ts_86'!C46+'AARnetCBR-CamDTN1_tcpmon_ts_87'!C46+'AARnetCBR-CamDTN1_tcpmon_ts_88'!C46</f>
        <v>0</v>
      </c>
      <c r="L92" cm="1">
        <f t="array" aca="1" ref="L92" ca="1">INDIRECT(ADDRESS($B92,Plots!$H$4,,,Plots!$A$47))</f>
        <v>0</v>
      </c>
      <c r="M92" cm="1">
        <f t="array" aca="1" ref="M92" ca="1">INDIRECT(ADDRESS($B92,Plots!$H$4,,,Plots!$A$48))+INDIRECT(ADDRESS($B92,Plots!$H$4,,,Plots!$A$49))</f>
        <v>0</v>
      </c>
      <c r="N92" cm="1">
        <f t="array" aca="1" ref="N92" ca="1">INDIRECT(ADDRESS($B92,Plots!$H$4,,,Plots!$A$50))+INDIRECT(ADDRESS($B92,Plots!$H$4,,,Plots!$A$51))+INDIRECT(ADDRESS($B92,Plots!$H$4,,,Plots!$A$52))</f>
        <v>0</v>
      </c>
      <c r="O92" cm="1">
        <f t="array" aca="1" ref="O92" ca="1">INDIRECT(ADDRESS($B92,Plots!$H$4,,,Plots!$A$53))+INDIRECT(ADDRESS($B92,Plots!$H$4,,,Plots!$A$54))+INDIRECT(ADDRESS($B92,Plots!$H$4,,,Plots!$A$55))+INDIRECT(ADDRESS($B92,Plots!$H$4,,,Plots!$A$56))</f>
        <v>0</v>
      </c>
      <c r="P92" cm="1">
        <f t="array" aca="1" ref="P92" ca="1">INDIRECT(ADDRESS($B92,Plots!$H$4,,,Plots!$A$57))+INDIRECT(ADDRESS($B92,Plots!$H$4,,,Plots!$A$58))+INDIRECT(ADDRESS($B92,Plots!$H$4,,,Plots!$A$59))+INDIRECT(ADDRESS($B92,Plots!$H$4,,,Plots!$A$60))+INDIRECT(ADDRESS($B92,Plots!$H$4,,,Plots!$A$61))</f>
        <v>0</v>
      </c>
      <c r="Q92" cm="1">
        <f t="array" aca="1" ref="Q92" ca="1">INDIRECT(ADDRESS($B92,Plots!$H$4,,,Plots!$A$62))+INDIRECT(ADDRESS($B92,Plots!$H$4,,,Plots!$A$63))+INDIRECT(ADDRESS($B92,Plots!$H$4,,,Plots!$A$64))+INDIRECT(ADDRESS($B92,Plots!$H$4,,,Plots!$A$65))+INDIRECT(ADDRESS($B92,Plots!$H$4,,,Plots!$A$66))+INDIRECT(ADDRESS($B92,Plots!$H$4,,,Plots!$A$67))</f>
        <v>0</v>
      </c>
      <c r="R92">
        <f>'AARnetCBR-CamDTN1_tcpmon_ts_81'!J97+'AARnetCBR-CamDTN1_tcpmon_ts_82'!J97+'AARnetCBR-CamDTN1_tcpmon_ts_83'!J97+'AARnetCBR-CamDTN1_tcpmon_ts_84'!J97+'AARnetCBR-CamDTN1_tcpmon_ts_85'!J97+'AARnetCBR-CamDTN1_tcpmon_ts_86'!J97+'AARnetCBR-CamDTN1_tcpmon_ts_87'!J97+'AARnetCBR-CamDTN1_tcpmon_ts_88'!J97</f>
        <v>0</v>
      </c>
    </row>
    <row r="93" spans="1:18">
      <c r="A93" cm="1">
        <f t="array" aca="1" ref="A93" ca="1">INDIRECT(ADDRESS($B93,Plots!$H$6,,,Plots!$A$47))</f>
        <v>180</v>
      </c>
      <c r="B93">
        <f t="shared" si="2"/>
        <v>102</v>
      </c>
      <c r="C93" cm="1">
        <f t="array" aca="1" ref="C93" ca="1">INDIRECT(ADDRESS($B93,Plots!$H$3,,,Plots!$A$47))</f>
        <v>26.12</v>
      </c>
      <c r="D93" cm="1">
        <f t="array" aca="1" ref="D93" ca="1">INDIRECT(ADDRESS($B93,Plots!$H$3,,,Plots!$A$48))+INDIRECT(ADDRESS($B93,Plots!$H$3,,,Plots!$A$49))</f>
        <v>58.370000000000005</v>
      </c>
      <c r="E93" cm="1">
        <f t="array" aca="1" ref="E93" ca="1">INDIRECT(ADDRESS($B93,Plots!$H$3,,,Plots!$A$50))+INDIRECT(ADDRESS($B93,Plots!$H$3,,,Plots!$A$51))+INDIRECT(ADDRESS($B93,Plots!$H$3,,,Plots!$A$52))</f>
        <v>74.53</v>
      </c>
      <c r="F93" cm="1">
        <f t="array" aca="1" ref="F93" ca="1">INDIRECT(ADDRESS($B93,Plots!$H$3,,,Plots!$A$53))+INDIRECT(ADDRESS($B93,Plots!$H$3,,,Plots!$A$54))+INDIRECT(ADDRESS($B93,Plots!$H$3,,,Plots!$A$55))+INDIRECT(ADDRESS($B93,Plots!$H$3,,,Plots!$A$56))</f>
        <v>88.300000000000011</v>
      </c>
      <c r="G93" cm="1">
        <f t="array" aca="1" ref="G93" ca="1">INDIRECT(ADDRESS($B93,Plots!$H$3,,,Plots!$A$57))+INDIRECT(ADDRESS($B93,Plots!$H$3,,,Plots!$A$58))+INDIRECT(ADDRESS($B93,Plots!$H$3,,,Plots!$A$59))+INDIRECT(ADDRESS($B93,Plots!$H$3,,,Plots!$A$60))+INDIRECT(ADDRESS($B93,Plots!$H$3,,,Plots!$A$61))</f>
        <v>0</v>
      </c>
      <c r="H93">
        <f>'AARnetCBR-CamDTN1_tcpmon_ts_61'!C47+'AARnetCBR-CamDTN1_tcpmon_ts_62'!C47+'AARnetCBR-CamDTN1_tcpmon_ts_63'!C47+'AARnetCBR-CamDTN1_tcpmon_ts_64'!C47+'AARnetCBR-CamDTN1_tcpmon_ts_65'!C47+'AARnetCBR-CamDTN1_tcpmon_ts_66'!C47</f>
        <v>0</v>
      </c>
      <c r="I93">
        <f>'AARnetCBR-CamDTN1_tcpmon_ts_81'!C47+'AARnetCBR-CamDTN1_tcpmon_ts_82'!C47+'AARnetCBR-CamDTN1_tcpmon_ts_83'!C47+'AARnetCBR-CamDTN1_tcpmon_ts_84'!C47+'AARnetCBR-CamDTN1_tcpmon_ts_85'!C47+'AARnetCBR-CamDTN1_tcpmon_ts_86'!C47+'AARnetCBR-CamDTN1_tcpmon_ts_87'!C47+'AARnetCBR-CamDTN1_tcpmon_ts_88'!C47</f>
        <v>0</v>
      </c>
      <c r="L93" cm="1">
        <f t="array" aca="1" ref="L93" ca="1">INDIRECT(ADDRESS($B93,Plots!$H$4,,,Plots!$A$47))</f>
        <v>0</v>
      </c>
      <c r="M93" cm="1">
        <f t="array" aca="1" ref="M93" ca="1">INDIRECT(ADDRESS($B93,Plots!$H$4,,,Plots!$A$48))+INDIRECT(ADDRESS($B93,Plots!$H$4,,,Plots!$A$49))</f>
        <v>0</v>
      </c>
      <c r="N93" cm="1">
        <f t="array" aca="1" ref="N93" ca="1">INDIRECT(ADDRESS($B93,Plots!$H$4,,,Plots!$A$50))+INDIRECT(ADDRESS($B93,Plots!$H$4,,,Plots!$A$51))+INDIRECT(ADDRESS($B93,Plots!$H$4,,,Plots!$A$52))</f>
        <v>0</v>
      </c>
      <c r="O93" cm="1">
        <f t="array" aca="1" ref="O93" ca="1">INDIRECT(ADDRESS($B93,Plots!$H$4,,,Plots!$A$53))+INDIRECT(ADDRESS($B93,Plots!$H$4,,,Plots!$A$54))+INDIRECT(ADDRESS($B93,Plots!$H$4,,,Plots!$A$55))+INDIRECT(ADDRESS($B93,Plots!$H$4,,,Plots!$A$56))</f>
        <v>0</v>
      </c>
      <c r="P93" cm="1">
        <f t="array" aca="1" ref="P93" ca="1">INDIRECT(ADDRESS($B93,Plots!$H$4,,,Plots!$A$57))+INDIRECT(ADDRESS($B93,Plots!$H$4,,,Plots!$A$58))+INDIRECT(ADDRESS($B93,Plots!$H$4,,,Plots!$A$59))+INDIRECT(ADDRESS($B93,Plots!$H$4,,,Plots!$A$60))+INDIRECT(ADDRESS($B93,Plots!$H$4,,,Plots!$A$61))</f>
        <v>0</v>
      </c>
      <c r="Q93" cm="1">
        <f t="array" aca="1" ref="Q93" ca="1">INDIRECT(ADDRESS($B93,Plots!$H$4,,,Plots!$A$62))+INDIRECT(ADDRESS($B93,Plots!$H$4,,,Plots!$A$63))+INDIRECT(ADDRESS($B93,Plots!$H$4,,,Plots!$A$64))+INDIRECT(ADDRESS($B93,Plots!$H$4,,,Plots!$A$65))+INDIRECT(ADDRESS($B93,Plots!$H$4,,,Plots!$A$66))+INDIRECT(ADDRESS($B93,Plots!$H$4,,,Plots!$A$67))</f>
        <v>0</v>
      </c>
      <c r="R93">
        <f>'AARnetCBR-CamDTN1_tcpmon_ts_81'!J98+'AARnetCBR-CamDTN1_tcpmon_ts_82'!J98+'AARnetCBR-CamDTN1_tcpmon_ts_83'!J98+'AARnetCBR-CamDTN1_tcpmon_ts_84'!J98+'AARnetCBR-CamDTN1_tcpmon_ts_85'!J98+'AARnetCBR-CamDTN1_tcpmon_ts_86'!J98+'AARnetCBR-CamDTN1_tcpmon_ts_87'!J98+'AARnetCBR-CamDTN1_tcpmon_ts_88'!J98</f>
        <v>0</v>
      </c>
    </row>
    <row r="94" spans="1:18">
      <c r="A94" cm="1">
        <f t="array" aca="1" ref="A94" ca="1">INDIRECT(ADDRESS($B94,Plots!$H$6,,,Plots!$A$47))</f>
        <v>182</v>
      </c>
      <c r="B94">
        <f t="shared" si="2"/>
        <v>103</v>
      </c>
      <c r="C94" cm="1">
        <f t="array" aca="1" ref="C94" ca="1">INDIRECT(ADDRESS($B94,Plots!$H$3,,,Plots!$A$47))</f>
        <v>25.53</v>
      </c>
      <c r="D94" cm="1">
        <f t="array" aca="1" ref="D94" ca="1">INDIRECT(ADDRESS($B94,Plots!$H$3,,,Plots!$A$48))+INDIRECT(ADDRESS($B94,Plots!$H$3,,,Plots!$A$49))</f>
        <v>54.13</v>
      </c>
      <c r="E94" cm="1">
        <f t="array" aca="1" ref="E94" ca="1">INDIRECT(ADDRESS($B94,Plots!$H$3,,,Plots!$A$50))+INDIRECT(ADDRESS($B94,Plots!$H$3,,,Plots!$A$51))+INDIRECT(ADDRESS($B94,Plots!$H$3,,,Plots!$A$52))</f>
        <v>60.2</v>
      </c>
      <c r="F94" cm="1">
        <f t="array" aca="1" ref="F94" ca="1">INDIRECT(ADDRESS($B94,Plots!$H$3,,,Plots!$A$53))+INDIRECT(ADDRESS($B94,Plots!$H$3,,,Plots!$A$54))+INDIRECT(ADDRESS($B94,Plots!$H$3,,,Plots!$A$55))+INDIRECT(ADDRESS($B94,Plots!$H$3,,,Plots!$A$56))</f>
        <v>78.760000000000005</v>
      </c>
      <c r="G94" cm="1">
        <f t="array" aca="1" ref="G94" ca="1">INDIRECT(ADDRESS($B94,Plots!$H$3,,,Plots!$A$57))+INDIRECT(ADDRESS($B94,Plots!$H$3,,,Plots!$A$58))+INDIRECT(ADDRESS($B94,Plots!$H$3,,,Plots!$A$59))+INDIRECT(ADDRESS($B94,Plots!$H$3,,,Plots!$A$60))+INDIRECT(ADDRESS($B94,Plots!$H$3,,,Plots!$A$61))</f>
        <v>0</v>
      </c>
      <c r="H94">
        <f>'AARnetCBR-CamDTN1_tcpmon_ts_61'!C48+'AARnetCBR-CamDTN1_tcpmon_ts_62'!C48+'AARnetCBR-CamDTN1_tcpmon_ts_63'!C48+'AARnetCBR-CamDTN1_tcpmon_ts_64'!C48+'AARnetCBR-CamDTN1_tcpmon_ts_65'!C48+'AARnetCBR-CamDTN1_tcpmon_ts_66'!C48</f>
        <v>0</v>
      </c>
      <c r="I94">
        <f>'AARnetCBR-CamDTN1_tcpmon_ts_81'!C48+'AARnetCBR-CamDTN1_tcpmon_ts_82'!C48+'AARnetCBR-CamDTN1_tcpmon_ts_83'!C48+'AARnetCBR-CamDTN1_tcpmon_ts_84'!C48+'AARnetCBR-CamDTN1_tcpmon_ts_85'!C48+'AARnetCBR-CamDTN1_tcpmon_ts_86'!C48+'AARnetCBR-CamDTN1_tcpmon_ts_87'!C48+'AARnetCBR-CamDTN1_tcpmon_ts_88'!C48</f>
        <v>0</v>
      </c>
      <c r="L94" cm="1">
        <f t="array" aca="1" ref="L94" ca="1">INDIRECT(ADDRESS($B94,Plots!$H$4,,,Plots!$A$47))</f>
        <v>0</v>
      </c>
      <c r="M94" cm="1">
        <f t="array" aca="1" ref="M94" ca="1">INDIRECT(ADDRESS($B94,Plots!$H$4,,,Plots!$A$48))+INDIRECT(ADDRESS($B94,Plots!$H$4,,,Plots!$A$49))</f>
        <v>0</v>
      </c>
      <c r="N94" cm="1">
        <f t="array" aca="1" ref="N94" ca="1">INDIRECT(ADDRESS($B94,Plots!$H$4,,,Plots!$A$50))+INDIRECT(ADDRESS($B94,Plots!$H$4,,,Plots!$A$51))+INDIRECT(ADDRESS($B94,Plots!$H$4,,,Plots!$A$52))</f>
        <v>0</v>
      </c>
      <c r="O94" cm="1">
        <f t="array" aca="1" ref="O94" ca="1">INDIRECT(ADDRESS($B94,Plots!$H$4,,,Plots!$A$53))+INDIRECT(ADDRESS($B94,Plots!$H$4,,,Plots!$A$54))+INDIRECT(ADDRESS($B94,Plots!$H$4,,,Plots!$A$55))+INDIRECT(ADDRESS($B94,Plots!$H$4,,,Plots!$A$56))</f>
        <v>0</v>
      </c>
      <c r="P94" cm="1">
        <f t="array" aca="1" ref="P94" ca="1">INDIRECT(ADDRESS($B94,Plots!$H$4,,,Plots!$A$57))+INDIRECT(ADDRESS($B94,Plots!$H$4,,,Plots!$A$58))+INDIRECT(ADDRESS($B94,Plots!$H$4,,,Plots!$A$59))+INDIRECT(ADDRESS($B94,Plots!$H$4,,,Plots!$A$60))+INDIRECT(ADDRESS($B94,Plots!$H$4,,,Plots!$A$61))</f>
        <v>0</v>
      </c>
      <c r="Q94" cm="1">
        <f t="array" aca="1" ref="Q94" ca="1">INDIRECT(ADDRESS($B94,Plots!$H$4,,,Plots!$A$62))+INDIRECT(ADDRESS($B94,Plots!$H$4,,,Plots!$A$63))+INDIRECT(ADDRESS($B94,Plots!$H$4,,,Plots!$A$64))+INDIRECT(ADDRESS($B94,Plots!$H$4,,,Plots!$A$65))+INDIRECT(ADDRESS($B94,Plots!$H$4,,,Plots!$A$66))+INDIRECT(ADDRESS($B94,Plots!$H$4,,,Plots!$A$67))</f>
        <v>0</v>
      </c>
      <c r="R94">
        <f>'AARnetCBR-CamDTN1_tcpmon_ts_81'!J99+'AARnetCBR-CamDTN1_tcpmon_ts_82'!J99+'AARnetCBR-CamDTN1_tcpmon_ts_83'!J99+'AARnetCBR-CamDTN1_tcpmon_ts_84'!J99+'AARnetCBR-CamDTN1_tcpmon_ts_85'!J99+'AARnetCBR-CamDTN1_tcpmon_ts_86'!J99+'AARnetCBR-CamDTN1_tcpmon_ts_87'!J99+'AARnetCBR-CamDTN1_tcpmon_ts_88'!J99</f>
        <v>0</v>
      </c>
    </row>
    <row r="95" spans="1:18">
      <c r="A95" cm="1">
        <f t="array" aca="1" ref="A95" ca="1">INDIRECT(ADDRESS($B95,Plots!$H$6,,,Plots!$A$47))</f>
        <v>184</v>
      </c>
      <c r="B95">
        <f t="shared" si="2"/>
        <v>104</v>
      </c>
      <c r="C95" cm="1">
        <f t="array" aca="1" ref="C95" ca="1">INDIRECT(ADDRESS($B95,Plots!$H$3,,,Plots!$A$47))</f>
        <v>25.85</v>
      </c>
      <c r="D95" cm="1">
        <f t="array" aca="1" ref="D95" ca="1">INDIRECT(ADDRESS($B95,Plots!$H$3,,,Plots!$A$48))+INDIRECT(ADDRESS($B95,Plots!$H$3,,,Plots!$A$49))</f>
        <v>57.72</v>
      </c>
      <c r="E95" cm="1">
        <f t="array" aca="1" ref="E95" ca="1">INDIRECT(ADDRESS($B95,Plots!$H$3,,,Plots!$A$50))+INDIRECT(ADDRESS($B95,Plots!$H$3,,,Plots!$A$51))+INDIRECT(ADDRESS($B95,Plots!$H$3,,,Plots!$A$52))</f>
        <v>74.819999999999993</v>
      </c>
      <c r="F95" cm="1">
        <f t="array" aca="1" ref="F95" ca="1">INDIRECT(ADDRESS($B95,Plots!$H$3,,,Plots!$A$53))+INDIRECT(ADDRESS($B95,Plots!$H$3,,,Plots!$A$54))+INDIRECT(ADDRESS($B95,Plots!$H$3,,,Plots!$A$55))+INDIRECT(ADDRESS($B95,Plots!$H$3,,,Plots!$A$56))</f>
        <v>88.689999999999984</v>
      </c>
      <c r="G95" cm="1">
        <f t="array" aca="1" ref="G95" ca="1">INDIRECT(ADDRESS($B95,Plots!$H$3,,,Plots!$A$57))+INDIRECT(ADDRESS($B95,Plots!$H$3,,,Plots!$A$58))+INDIRECT(ADDRESS($B95,Plots!$H$3,,,Plots!$A$59))+INDIRECT(ADDRESS($B95,Plots!$H$3,,,Plots!$A$60))+INDIRECT(ADDRESS($B95,Plots!$H$3,,,Plots!$A$61))</f>
        <v>0</v>
      </c>
      <c r="H95">
        <f>'AARnetCBR-CamDTN1_tcpmon_ts_61'!C49+'AARnetCBR-CamDTN1_tcpmon_ts_62'!C49+'AARnetCBR-CamDTN1_tcpmon_ts_63'!C49+'AARnetCBR-CamDTN1_tcpmon_ts_64'!C49+'AARnetCBR-CamDTN1_tcpmon_ts_65'!C49+'AARnetCBR-CamDTN1_tcpmon_ts_66'!C49</f>
        <v>0</v>
      </c>
      <c r="I95">
        <f>'AARnetCBR-CamDTN1_tcpmon_ts_81'!C49+'AARnetCBR-CamDTN1_tcpmon_ts_82'!C49+'AARnetCBR-CamDTN1_tcpmon_ts_83'!C49+'AARnetCBR-CamDTN1_tcpmon_ts_84'!C49+'AARnetCBR-CamDTN1_tcpmon_ts_85'!C49+'AARnetCBR-CamDTN1_tcpmon_ts_86'!C49+'AARnetCBR-CamDTN1_tcpmon_ts_87'!C49+'AARnetCBR-CamDTN1_tcpmon_ts_88'!C49</f>
        <v>0</v>
      </c>
      <c r="L95" cm="1">
        <f t="array" aca="1" ref="L95" ca="1">INDIRECT(ADDRESS($B95,Plots!$H$4,,,Plots!$A$47))</f>
        <v>0</v>
      </c>
      <c r="M95" cm="1">
        <f t="array" aca="1" ref="M95" ca="1">INDIRECT(ADDRESS($B95,Plots!$H$4,,,Plots!$A$48))+INDIRECT(ADDRESS($B95,Plots!$H$4,,,Plots!$A$49))</f>
        <v>0</v>
      </c>
      <c r="N95" cm="1">
        <f t="array" aca="1" ref="N95" ca="1">INDIRECT(ADDRESS($B95,Plots!$H$4,,,Plots!$A$50))+INDIRECT(ADDRESS($B95,Plots!$H$4,,,Plots!$A$51))+INDIRECT(ADDRESS($B95,Plots!$H$4,,,Plots!$A$52))</f>
        <v>0</v>
      </c>
      <c r="O95" cm="1">
        <f t="array" aca="1" ref="O95" ca="1">INDIRECT(ADDRESS($B95,Plots!$H$4,,,Plots!$A$53))+INDIRECT(ADDRESS($B95,Plots!$H$4,,,Plots!$A$54))+INDIRECT(ADDRESS($B95,Plots!$H$4,,,Plots!$A$55))+INDIRECT(ADDRESS($B95,Plots!$H$4,,,Plots!$A$56))</f>
        <v>0</v>
      </c>
      <c r="P95" cm="1">
        <f t="array" aca="1" ref="P95" ca="1">INDIRECT(ADDRESS($B95,Plots!$H$4,,,Plots!$A$57))+INDIRECT(ADDRESS($B95,Plots!$H$4,,,Plots!$A$58))+INDIRECT(ADDRESS($B95,Plots!$H$4,,,Plots!$A$59))+INDIRECT(ADDRESS($B95,Plots!$H$4,,,Plots!$A$60))+INDIRECT(ADDRESS($B95,Plots!$H$4,,,Plots!$A$61))</f>
        <v>0</v>
      </c>
      <c r="Q95" cm="1">
        <f t="array" aca="1" ref="Q95" ca="1">INDIRECT(ADDRESS($B95,Plots!$H$4,,,Plots!$A$62))+INDIRECT(ADDRESS($B95,Plots!$H$4,,,Plots!$A$63))+INDIRECT(ADDRESS($B95,Plots!$H$4,,,Plots!$A$64))+INDIRECT(ADDRESS($B95,Plots!$H$4,,,Plots!$A$65))+INDIRECT(ADDRESS($B95,Plots!$H$4,,,Plots!$A$66))+INDIRECT(ADDRESS($B95,Plots!$H$4,,,Plots!$A$67))</f>
        <v>0</v>
      </c>
      <c r="R95">
        <f>'AARnetCBR-CamDTN1_tcpmon_ts_81'!J100+'AARnetCBR-CamDTN1_tcpmon_ts_82'!J100+'AARnetCBR-CamDTN1_tcpmon_ts_83'!J100+'AARnetCBR-CamDTN1_tcpmon_ts_84'!J100+'AARnetCBR-CamDTN1_tcpmon_ts_85'!J100+'AARnetCBR-CamDTN1_tcpmon_ts_86'!J100+'AARnetCBR-CamDTN1_tcpmon_ts_87'!J100+'AARnetCBR-CamDTN1_tcpmon_ts_88'!J100</f>
        <v>0</v>
      </c>
    </row>
    <row r="96" spans="1:18">
      <c r="A96" cm="1">
        <f t="array" aca="1" ref="A96" ca="1">INDIRECT(ADDRESS($B96,Plots!$H$6,,,Plots!$A$47))</f>
        <v>186</v>
      </c>
      <c r="B96">
        <f t="shared" si="2"/>
        <v>105</v>
      </c>
      <c r="C96" cm="1">
        <f t="array" aca="1" ref="C96" ca="1">INDIRECT(ADDRESS($B96,Plots!$H$3,,,Plots!$A$47))</f>
        <v>26.61</v>
      </c>
      <c r="D96" cm="1">
        <f t="array" aca="1" ref="D96" ca="1">INDIRECT(ADDRESS($B96,Plots!$H$3,,,Plots!$A$48))+INDIRECT(ADDRESS($B96,Plots!$H$3,,,Plots!$A$49))</f>
        <v>61.39</v>
      </c>
      <c r="E96" cm="1">
        <f t="array" aca="1" ref="E96" ca="1">INDIRECT(ADDRESS($B96,Plots!$H$3,,,Plots!$A$50))+INDIRECT(ADDRESS($B96,Plots!$H$3,,,Plots!$A$51))+INDIRECT(ADDRESS($B96,Plots!$H$3,,,Plots!$A$52))</f>
        <v>60.11</v>
      </c>
      <c r="F96" cm="1">
        <f t="array" aca="1" ref="F96" ca="1">INDIRECT(ADDRESS($B96,Plots!$H$3,,,Plots!$A$53))+INDIRECT(ADDRESS($B96,Plots!$H$3,,,Plots!$A$54))+INDIRECT(ADDRESS($B96,Plots!$H$3,,,Plots!$A$55))+INDIRECT(ADDRESS($B96,Plots!$H$3,,,Plots!$A$56))</f>
        <v>82.16</v>
      </c>
      <c r="G96" cm="1">
        <f t="array" aca="1" ref="G96" ca="1">INDIRECT(ADDRESS($B96,Plots!$H$3,,,Plots!$A$57))+INDIRECT(ADDRESS($B96,Plots!$H$3,,,Plots!$A$58))+INDIRECT(ADDRESS($B96,Plots!$H$3,,,Plots!$A$59))+INDIRECT(ADDRESS($B96,Plots!$H$3,,,Plots!$A$60))+INDIRECT(ADDRESS($B96,Plots!$H$3,,,Plots!$A$61))</f>
        <v>0</v>
      </c>
      <c r="H96">
        <f>'AARnetCBR-CamDTN1_tcpmon_ts_61'!C50+'AARnetCBR-CamDTN1_tcpmon_ts_62'!C50+'AARnetCBR-CamDTN1_tcpmon_ts_63'!C50+'AARnetCBR-CamDTN1_tcpmon_ts_64'!C50+'AARnetCBR-CamDTN1_tcpmon_ts_65'!C50+'AARnetCBR-CamDTN1_tcpmon_ts_66'!C50</f>
        <v>0</v>
      </c>
      <c r="I96">
        <f>'AARnetCBR-CamDTN1_tcpmon_ts_81'!C50+'AARnetCBR-CamDTN1_tcpmon_ts_82'!C50+'AARnetCBR-CamDTN1_tcpmon_ts_83'!C50+'AARnetCBR-CamDTN1_tcpmon_ts_84'!C50+'AARnetCBR-CamDTN1_tcpmon_ts_85'!C50+'AARnetCBR-CamDTN1_tcpmon_ts_86'!C50+'AARnetCBR-CamDTN1_tcpmon_ts_87'!C50+'AARnetCBR-CamDTN1_tcpmon_ts_88'!C50</f>
        <v>0</v>
      </c>
      <c r="L96" cm="1">
        <f t="array" aca="1" ref="L96" ca="1">INDIRECT(ADDRESS($B96,Plots!$H$4,,,Plots!$A$47))</f>
        <v>0</v>
      </c>
      <c r="M96" cm="1">
        <f t="array" aca="1" ref="M96" ca="1">INDIRECT(ADDRESS($B96,Plots!$H$4,,,Plots!$A$48))+INDIRECT(ADDRESS($B96,Plots!$H$4,,,Plots!$A$49))</f>
        <v>0</v>
      </c>
      <c r="N96" cm="1">
        <f t="array" aca="1" ref="N96" ca="1">INDIRECT(ADDRESS($B96,Plots!$H$4,,,Plots!$A$50))+INDIRECT(ADDRESS($B96,Plots!$H$4,,,Plots!$A$51))+INDIRECT(ADDRESS($B96,Plots!$H$4,,,Plots!$A$52))</f>
        <v>0</v>
      </c>
      <c r="O96" cm="1">
        <f t="array" aca="1" ref="O96" ca="1">INDIRECT(ADDRESS($B96,Plots!$H$4,,,Plots!$A$53))+INDIRECT(ADDRESS($B96,Plots!$H$4,,,Plots!$A$54))+INDIRECT(ADDRESS($B96,Plots!$H$4,,,Plots!$A$55))+INDIRECT(ADDRESS($B96,Plots!$H$4,,,Plots!$A$56))</f>
        <v>0</v>
      </c>
      <c r="P96" cm="1">
        <f t="array" aca="1" ref="P96" ca="1">INDIRECT(ADDRESS($B96,Plots!$H$4,,,Plots!$A$57))+INDIRECT(ADDRESS($B96,Plots!$H$4,,,Plots!$A$58))+INDIRECT(ADDRESS($B96,Plots!$H$4,,,Plots!$A$59))+INDIRECT(ADDRESS($B96,Plots!$H$4,,,Plots!$A$60))+INDIRECT(ADDRESS($B96,Plots!$H$4,,,Plots!$A$61))</f>
        <v>0</v>
      </c>
      <c r="Q96" cm="1">
        <f t="array" aca="1" ref="Q96" ca="1">INDIRECT(ADDRESS($B96,Plots!$H$4,,,Plots!$A$62))+INDIRECT(ADDRESS($B96,Plots!$H$4,,,Plots!$A$63))+INDIRECT(ADDRESS($B96,Plots!$H$4,,,Plots!$A$64))+INDIRECT(ADDRESS($B96,Plots!$H$4,,,Plots!$A$65))+INDIRECT(ADDRESS($B96,Plots!$H$4,,,Plots!$A$66))+INDIRECT(ADDRESS($B96,Plots!$H$4,,,Plots!$A$67))</f>
        <v>0</v>
      </c>
      <c r="R96">
        <f>'AARnetCBR-CamDTN1_tcpmon_ts_81'!J101+'AARnetCBR-CamDTN1_tcpmon_ts_82'!J101+'AARnetCBR-CamDTN1_tcpmon_ts_83'!J101+'AARnetCBR-CamDTN1_tcpmon_ts_84'!J101+'AARnetCBR-CamDTN1_tcpmon_ts_85'!J101+'AARnetCBR-CamDTN1_tcpmon_ts_86'!J101+'AARnetCBR-CamDTN1_tcpmon_ts_87'!J101+'AARnetCBR-CamDTN1_tcpmon_ts_88'!J101</f>
        <v>0</v>
      </c>
    </row>
    <row r="97" spans="1:18">
      <c r="A97" cm="1">
        <f t="array" aca="1" ref="A97" ca="1">INDIRECT(ADDRESS($B97,Plots!$H$6,,,Plots!$A$47))</f>
        <v>188</v>
      </c>
      <c r="B97">
        <f t="shared" si="2"/>
        <v>106</v>
      </c>
      <c r="C97" cm="1">
        <f t="array" aca="1" ref="C97" ca="1">INDIRECT(ADDRESS($B97,Plots!$H$3,,,Plots!$A$47))</f>
        <v>26.18</v>
      </c>
      <c r="D97" cm="1">
        <f t="array" aca="1" ref="D97" ca="1">INDIRECT(ADDRESS($B97,Plots!$H$3,,,Plots!$A$48))+INDIRECT(ADDRESS($B97,Plots!$H$3,,,Plots!$A$49))</f>
        <v>54.64</v>
      </c>
      <c r="E97" cm="1">
        <f t="array" aca="1" ref="E97" ca="1">INDIRECT(ADDRESS($B97,Plots!$H$3,,,Plots!$A$50))+INDIRECT(ADDRESS($B97,Plots!$H$3,,,Plots!$A$51))+INDIRECT(ADDRESS($B97,Plots!$H$3,,,Plots!$A$52))</f>
        <v>72.539999999999992</v>
      </c>
      <c r="F97" cm="1">
        <f t="array" aca="1" ref="F97" ca="1">INDIRECT(ADDRESS($B97,Plots!$H$3,,,Plots!$A$53))+INDIRECT(ADDRESS($B97,Plots!$H$3,,,Plots!$A$54))+INDIRECT(ADDRESS($B97,Plots!$H$3,,,Plots!$A$55))+INDIRECT(ADDRESS($B97,Plots!$H$3,,,Plots!$A$56))</f>
        <v>85.95</v>
      </c>
      <c r="G97" cm="1">
        <f t="array" aca="1" ref="G97" ca="1">INDIRECT(ADDRESS($B97,Plots!$H$3,,,Plots!$A$57))+INDIRECT(ADDRESS($B97,Plots!$H$3,,,Plots!$A$58))+INDIRECT(ADDRESS($B97,Plots!$H$3,,,Plots!$A$59))+INDIRECT(ADDRESS($B97,Plots!$H$3,,,Plots!$A$60))+INDIRECT(ADDRESS($B97,Plots!$H$3,,,Plots!$A$61))</f>
        <v>0</v>
      </c>
      <c r="H97">
        <f>'AARnetCBR-CamDTN1_tcpmon_ts_61'!C51+'AARnetCBR-CamDTN1_tcpmon_ts_62'!C51+'AARnetCBR-CamDTN1_tcpmon_ts_63'!C51+'AARnetCBR-CamDTN1_tcpmon_ts_64'!C51+'AARnetCBR-CamDTN1_tcpmon_ts_65'!C51+'AARnetCBR-CamDTN1_tcpmon_ts_66'!C51</f>
        <v>0</v>
      </c>
      <c r="I97">
        <f>'AARnetCBR-CamDTN1_tcpmon_ts_81'!C51+'AARnetCBR-CamDTN1_tcpmon_ts_82'!C51+'AARnetCBR-CamDTN1_tcpmon_ts_83'!C51+'AARnetCBR-CamDTN1_tcpmon_ts_84'!C51+'AARnetCBR-CamDTN1_tcpmon_ts_85'!C51+'AARnetCBR-CamDTN1_tcpmon_ts_86'!C51+'AARnetCBR-CamDTN1_tcpmon_ts_87'!C51+'AARnetCBR-CamDTN1_tcpmon_ts_88'!C51</f>
        <v>0</v>
      </c>
      <c r="L97" cm="1">
        <f t="array" aca="1" ref="L97" ca="1">INDIRECT(ADDRESS($B97,Plots!$H$4,,,Plots!$A$47))</f>
        <v>0</v>
      </c>
      <c r="M97" cm="1">
        <f t="array" aca="1" ref="M97" ca="1">INDIRECT(ADDRESS($B97,Plots!$H$4,,,Plots!$A$48))+INDIRECT(ADDRESS($B97,Plots!$H$4,,,Plots!$A$49))</f>
        <v>0</v>
      </c>
      <c r="N97" cm="1">
        <f t="array" aca="1" ref="N97" ca="1">INDIRECT(ADDRESS($B97,Plots!$H$4,,,Plots!$A$50))+INDIRECT(ADDRESS($B97,Plots!$H$4,,,Plots!$A$51))+INDIRECT(ADDRESS($B97,Plots!$H$4,,,Plots!$A$52))</f>
        <v>0</v>
      </c>
      <c r="O97" cm="1">
        <f t="array" aca="1" ref="O97" ca="1">INDIRECT(ADDRESS($B97,Plots!$H$4,,,Plots!$A$53))+INDIRECT(ADDRESS($B97,Plots!$H$4,,,Plots!$A$54))+INDIRECT(ADDRESS($B97,Plots!$H$4,,,Plots!$A$55))+INDIRECT(ADDRESS($B97,Plots!$H$4,,,Plots!$A$56))</f>
        <v>0</v>
      </c>
      <c r="P97" cm="1">
        <f t="array" aca="1" ref="P97" ca="1">INDIRECT(ADDRESS($B97,Plots!$H$4,,,Plots!$A$57))+INDIRECT(ADDRESS($B97,Plots!$H$4,,,Plots!$A$58))+INDIRECT(ADDRESS($B97,Plots!$H$4,,,Plots!$A$59))+INDIRECT(ADDRESS($B97,Plots!$H$4,,,Plots!$A$60))+INDIRECT(ADDRESS($B97,Plots!$H$4,,,Plots!$A$61))</f>
        <v>0</v>
      </c>
      <c r="Q97" cm="1">
        <f t="array" aca="1" ref="Q97" ca="1">INDIRECT(ADDRESS($B97,Plots!$H$4,,,Plots!$A$62))+INDIRECT(ADDRESS($B97,Plots!$H$4,,,Plots!$A$63))+INDIRECT(ADDRESS($B97,Plots!$H$4,,,Plots!$A$64))+INDIRECT(ADDRESS($B97,Plots!$H$4,,,Plots!$A$65))+INDIRECT(ADDRESS($B97,Plots!$H$4,,,Plots!$A$66))+INDIRECT(ADDRESS($B97,Plots!$H$4,,,Plots!$A$67))</f>
        <v>0</v>
      </c>
      <c r="R97">
        <f>'AARnetCBR-CamDTN1_tcpmon_ts_81'!J102+'AARnetCBR-CamDTN1_tcpmon_ts_82'!J102+'AARnetCBR-CamDTN1_tcpmon_ts_83'!J102+'AARnetCBR-CamDTN1_tcpmon_ts_84'!J102+'AARnetCBR-CamDTN1_tcpmon_ts_85'!J102+'AARnetCBR-CamDTN1_tcpmon_ts_86'!J102+'AARnetCBR-CamDTN1_tcpmon_ts_87'!J102+'AARnetCBR-CamDTN1_tcpmon_ts_88'!J102</f>
        <v>0</v>
      </c>
    </row>
    <row r="98" spans="1:18">
      <c r="A98" cm="1">
        <f t="array" aca="1" ref="A98" ca="1">INDIRECT(ADDRESS($B98,Plots!$H$6,,,Plots!$A$47))</f>
        <v>190</v>
      </c>
      <c r="B98">
        <f t="shared" si="2"/>
        <v>107</v>
      </c>
      <c r="C98" cm="1">
        <f t="array" aca="1" ref="C98" ca="1">INDIRECT(ADDRESS($B98,Plots!$H$3,,,Plots!$A$47))</f>
        <v>25.14</v>
      </c>
      <c r="D98" cm="1">
        <f t="array" aca="1" ref="D98" ca="1">INDIRECT(ADDRESS($B98,Plots!$H$3,,,Plots!$A$48))+INDIRECT(ADDRESS($B98,Plots!$H$3,,,Plots!$A$49))</f>
        <v>58.59</v>
      </c>
      <c r="E98" cm="1">
        <f t="array" aca="1" ref="E98" ca="1">INDIRECT(ADDRESS($B98,Plots!$H$3,,,Plots!$A$50))+INDIRECT(ADDRESS($B98,Plots!$H$3,,,Plots!$A$51))+INDIRECT(ADDRESS($B98,Plots!$H$3,,,Plots!$A$52))</f>
        <v>63.879999999999995</v>
      </c>
      <c r="F98" cm="1">
        <f t="array" aca="1" ref="F98" ca="1">INDIRECT(ADDRESS($B98,Plots!$H$3,,,Plots!$A$53))+INDIRECT(ADDRESS($B98,Plots!$H$3,,,Plots!$A$54))+INDIRECT(ADDRESS($B98,Plots!$H$3,,,Plots!$A$55))+INDIRECT(ADDRESS($B98,Plots!$H$3,,,Plots!$A$56))</f>
        <v>86.97999999999999</v>
      </c>
      <c r="G98" cm="1">
        <f t="array" aca="1" ref="G98" ca="1">INDIRECT(ADDRESS($B98,Plots!$H$3,,,Plots!$A$57))+INDIRECT(ADDRESS($B98,Plots!$H$3,,,Plots!$A$58))+INDIRECT(ADDRESS($B98,Plots!$H$3,,,Plots!$A$59))+INDIRECT(ADDRESS($B98,Plots!$H$3,,,Plots!$A$60))+INDIRECT(ADDRESS($B98,Plots!$H$3,,,Plots!$A$61))</f>
        <v>0</v>
      </c>
      <c r="H98">
        <f>'AARnetCBR-CamDTN1_tcpmon_ts_61'!C52+'AARnetCBR-CamDTN1_tcpmon_ts_62'!C52+'AARnetCBR-CamDTN1_tcpmon_ts_63'!C52+'AARnetCBR-CamDTN1_tcpmon_ts_64'!C52+'AARnetCBR-CamDTN1_tcpmon_ts_65'!C52+'AARnetCBR-CamDTN1_tcpmon_ts_66'!C52</f>
        <v>0</v>
      </c>
      <c r="I98">
        <f>'AARnetCBR-CamDTN1_tcpmon_ts_81'!C52+'AARnetCBR-CamDTN1_tcpmon_ts_82'!C52+'AARnetCBR-CamDTN1_tcpmon_ts_83'!C52+'AARnetCBR-CamDTN1_tcpmon_ts_84'!C52+'AARnetCBR-CamDTN1_tcpmon_ts_85'!C52+'AARnetCBR-CamDTN1_tcpmon_ts_86'!C52+'AARnetCBR-CamDTN1_tcpmon_ts_87'!C52+'AARnetCBR-CamDTN1_tcpmon_ts_88'!C52</f>
        <v>0</v>
      </c>
      <c r="L98" cm="1">
        <f t="array" aca="1" ref="L98" ca="1">INDIRECT(ADDRESS($B98,Plots!$H$4,,,Plots!$A$47))</f>
        <v>0</v>
      </c>
      <c r="M98" cm="1">
        <f t="array" aca="1" ref="M98" ca="1">INDIRECT(ADDRESS($B98,Plots!$H$4,,,Plots!$A$48))+INDIRECT(ADDRESS($B98,Plots!$H$4,,,Plots!$A$49))</f>
        <v>0</v>
      </c>
      <c r="N98" cm="1">
        <f t="array" aca="1" ref="N98" ca="1">INDIRECT(ADDRESS($B98,Plots!$H$4,,,Plots!$A$50))+INDIRECT(ADDRESS($B98,Plots!$H$4,,,Plots!$A$51))+INDIRECT(ADDRESS($B98,Plots!$H$4,,,Plots!$A$52))</f>
        <v>0</v>
      </c>
      <c r="O98" cm="1">
        <f t="array" aca="1" ref="O98" ca="1">INDIRECT(ADDRESS($B98,Plots!$H$4,,,Plots!$A$53))+INDIRECT(ADDRESS($B98,Plots!$H$4,,,Plots!$A$54))+INDIRECT(ADDRESS($B98,Plots!$H$4,,,Plots!$A$55))+INDIRECT(ADDRESS($B98,Plots!$H$4,,,Plots!$A$56))</f>
        <v>0</v>
      </c>
      <c r="P98" cm="1">
        <f t="array" aca="1" ref="P98" ca="1">INDIRECT(ADDRESS($B98,Plots!$H$4,,,Plots!$A$57))+INDIRECT(ADDRESS($B98,Plots!$H$4,,,Plots!$A$58))+INDIRECT(ADDRESS($B98,Plots!$H$4,,,Plots!$A$59))+INDIRECT(ADDRESS($B98,Plots!$H$4,,,Plots!$A$60))+INDIRECT(ADDRESS($B98,Plots!$H$4,,,Plots!$A$61))</f>
        <v>0</v>
      </c>
      <c r="Q98" cm="1">
        <f t="array" aca="1" ref="Q98" ca="1">INDIRECT(ADDRESS($B98,Plots!$H$4,,,Plots!$A$62))+INDIRECT(ADDRESS($B98,Plots!$H$4,,,Plots!$A$63))+INDIRECT(ADDRESS($B98,Plots!$H$4,,,Plots!$A$64))+INDIRECT(ADDRESS($B98,Plots!$H$4,,,Plots!$A$65))+INDIRECT(ADDRESS($B98,Plots!$H$4,,,Plots!$A$66))+INDIRECT(ADDRESS($B98,Plots!$H$4,,,Plots!$A$67))</f>
        <v>0</v>
      </c>
      <c r="R98">
        <f>'AARnetCBR-CamDTN1_tcpmon_ts_81'!J103+'AARnetCBR-CamDTN1_tcpmon_ts_82'!J103+'AARnetCBR-CamDTN1_tcpmon_ts_83'!J103+'AARnetCBR-CamDTN1_tcpmon_ts_84'!J103+'AARnetCBR-CamDTN1_tcpmon_ts_85'!J103+'AARnetCBR-CamDTN1_tcpmon_ts_86'!J103+'AARnetCBR-CamDTN1_tcpmon_ts_87'!J103+'AARnetCBR-CamDTN1_tcpmon_ts_88'!J103</f>
        <v>0</v>
      </c>
    </row>
    <row r="99" spans="1:18">
      <c r="A99" cm="1">
        <f t="array" aca="1" ref="A99" ca="1">INDIRECT(ADDRESS($B99,Plots!$H$6,,,Plots!$A$47))</f>
        <v>192</v>
      </c>
      <c r="B99">
        <f t="shared" si="2"/>
        <v>108</v>
      </c>
      <c r="C99" cm="1">
        <f t="array" aca="1" ref="C99" ca="1">INDIRECT(ADDRESS($B99,Plots!$H$3,,,Plots!$A$47))</f>
        <v>26.3</v>
      </c>
      <c r="D99" cm="1">
        <f t="array" aca="1" ref="D99" ca="1">INDIRECT(ADDRESS($B99,Plots!$H$3,,,Plots!$A$48))+INDIRECT(ADDRESS($B99,Plots!$H$3,,,Plots!$A$49))</f>
        <v>53.980000000000004</v>
      </c>
      <c r="E99" cm="1">
        <f t="array" aca="1" ref="E99" ca="1">INDIRECT(ADDRESS($B99,Plots!$H$3,,,Plots!$A$50))+INDIRECT(ADDRESS($B99,Plots!$H$3,,,Plots!$A$51))+INDIRECT(ADDRESS($B99,Plots!$H$3,,,Plots!$A$52))</f>
        <v>73.56</v>
      </c>
      <c r="F99" cm="1">
        <f t="array" aca="1" ref="F99" ca="1">INDIRECT(ADDRESS($B99,Plots!$H$3,,,Plots!$A$53))+INDIRECT(ADDRESS($B99,Plots!$H$3,,,Plots!$A$54))+INDIRECT(ADDRESS($B99,Plots!$H$3,,,Plots!$A$55))+INDIRECT(ADDRESS($B99,Plots!$H$3,,,Plots!$A$56))</f>
        <v>83.4</v>
      </c>
      <c r="G99" cm="1">
        <f t="array" aca="1" ref="G99" ca="1">INDIRECT(ADDRESS($B99,Plots!$H$3,,,Plots!$A$57))+INDIRECT(ADDRESS($B99,Plots!$H$3,,,Plots!$A$58))+INDIRECT(ADDRESS($B99,Plots!$H$3,,,Plots!$A$59))+INDIRECT(ADDRESS($B99,Plots!$H$3,,,Plots!$A$60))+INDIRECT(ADDRESS($B99,Plots!$H$3,,,Plots!$A$61))</f>
        <v>0</v>
      </c>
      <c r="H99">
        <f>'AARnetCBR-CamDTN1_tcpmon_ts_61'!C53+'AARnetCBR-CamDTN1_tcpmon_ts_62'!C53+'AARnetCBR-CamDTN1_tcpmon_ts_63'!C53+'AARnetCBR-CamDTN1_tcpmon_ts_64'!C53+'AARnetCBR-CamDTN1_tcpmon_ts_65'!C53+'AARnetCBR-CamDTN1_tcpmon_ts_66'!C53</f>
        <v>0</v>
      </c>
      <c r="I99">
        <f>'AARnetCBR-CamDTN1_tcpmon_ts_81'!C53+'AARnetCBR-CamDTN1_tcpmon_ts_82'!C53+'AARnetCBR-CamDTN1_tcpmon_ts_83'!C53+'AARnetCBR-CamDTN1_tcpmon_ts_84'!C53+'AARnetCBR-CamDTN1_tcpmon_ts_85'!C53+'AARnetCBR-CamDTN1_tcpmon_ts_86'!C53+'AARnetCBR-CamDTN1_tcpmon_ts_87'!C53+'AARnetCBR-CamDTN1_tcpmon_ts_88'!C53</f>
        <v>0</v>
      </c>
      <c r="L99" cm="1">
        <f t="array" aca="1" ref="L99" ca="1">INDIRECT(ADDRESS($B99,Plots!$H$4,,,Plots!$A$47))</f>
        <v>0</v>
      </c>
      <c r="M99" cm="1">
        <f t="array" aca="1" ref="M99" ca="1">INDIRECT(ADDRESS($B99,Plots!$H$4,,,Plots!$A$48))+INDIRECT(ADDRESS($B99,Plots!$H$4,,,Plots!$A$49))</f>
        <v>0</v>
      </c>
      <c r="N99" cm="1">
        <f t="array" aca="1" ref="N99" ca="1">INDIRECT(ADDRESS($B99,Plots!$H$4,,,Plots!$A$50))+INDIRECT(ADDRESS($B99,Plots!$H$4,,,Plots!$A$51))+INDIRECT(ADDRESS($B99,Plots!$H$4,,,Plots!$A$52))</f>
        <v>0</v>
      </c>
      <c r="O99" cm="1">
        <f t="array" aca="1" ref="O99" ca="1">INDIRECT(ADDRESS($B99,Plots!$H$4,,,Plots!$A$53))+INDIRECT(ADDRESS($B99,Plots!$H$4,,,Plots!$A$54))+INDIRECT(ADDRESS($B99,Plots!$H$4,,,Plots!$A$55))+INDIRECT(ADDRESS($B99,Plots!$H$4,,,Plots!$A$56))</f>
        <v>0</v>
      </c>
      <c r="P99" cm="1">
        <f t="array" aca="1" ref="P99" ca="1">INDIRECT(ADDRESS($B99,Plots!$H$4,,,Plots!$A$57))+INDIRECT(ADDRESS($B99,Plots!$H$4,,,Plots!$A$58))+INDIRECT(ADDRESS($B99,Plots!$H$4,,,Plots!$A$59))+INDIRECT(ADDRESS($B99,Plots!$H$4,,,Plots!$A$60))+INDIRECT(ADDRESS($B99,Plots!$H$4,,,Plots!$A$61))</f>
        <v>0</v>
      </c>
      <c r="Q99" cm="1">
        <f t="array" aca="1" ref="Q99" ca="1">INDIRECT(ADDRESS($B99,Plots!$H$4,,,Plots!$A$62))+INDIRECT(ADDRESS($B99,Plots!$H$4,,,Plots!$A$63))+INDIRECT(ADDRESS($B99,Plots!$H$4,,,Plots!$A$64))+INDIRECT(ADDRESS($B99,Plots!$H$4,,,Plots!$A$65))+INDIRECT(ADDRESS($B99,Plots!$H$4,,,Plots!$A$66))+INDIRECT(ADDRESS($B99,Plots!$H$4,,,Plots!$A$67))</f>
        <v>0</v>
      </c>
      <c r="R99">
        <f>'AARnetCBR-CamDTN1_tcpmon_ts_81'!J104+'AARnetCBR-CamDTN1_tcpmon_ts_82'!J104+'AARnetCBR-CamDTN1_tcpmon_ts_83'!J104+'AARnetCBR-CamDTN1_tcpmon_ts_84'!J104+'AARnetCBR-CamDTN1_tcpmon_ts_85'!J104+'AARnetCBR-CamDTN1_tcpmon_ts_86'!J104+'AARnetCBR-CamDTN1_tcpmon_ts_87'!J104+'AARnetCBR-CamDTN1_tcpmon_ts_88'!J104</f>
        <v>0</v>
      </c>
    </row>
    <row r="100" spans="1:18">
      <c r="A100" cm="1">
        <f t="array" aca="1" ref="A100" ca="1">INDIRECT(ADDRESS($B100,Plots!$H$6,,,Plots!$A$47))</f>
        <v>194</v>
      </c>
      <c r="B100">
        <f t="shared" si="2"/>
        <v>109</v>
      </c>
      <c r="C100" cm="1">
        <f t="array" aca="1" ref="C100" ca="1">INDIRECT(ADDRESS($B100,Plots!$H$3,,,Plots!$A$47))</f>
        <v>26.54</v>
      </c>
      <c r="D100" cm="1">
        <f t="array" aca="1" ref="D100" ca="1">INDIRECT(ADDRESS($B100,Plots!$H$3,,,Plots!$A$48))+INDIRECT(ADDRESS($B100,Plots!$H$3,,,Plots!$A$49))</f>
        <v>57.97</v>
      </c>
      <c r="E100" cm="1">
        <f t="array" aca="1" ref="E100" ca="1">INDIRECT(ADDRESS($B100,Plots!$H$3,,,Plots!$A$50))+INDIRECT(ADDRESS($B100,Plots!$H$3,,,Plots!$A$51))+INDIRECT(ADDRESS($B100,Plots!$H$3,,,Plots!$A$52))</f>
        <v>60.230000000000004</v>
      </c>
      <c r="F100" cm="1">
        <f t="array" aca="1" ref="F100" ca="1">INDIRECT(ADDRESS($B100,Plots!$H$3,,,Plots!$A$53))+INDIRECT(ADDRESS($B100,Plots!$H$3,,,Plots!$A$54))+INDIRECT(ADDRESS($B100,Plots!$H$3,,,Plots!$A$55))+INDIRECT(ADDRESS($B100,Plots!$H$3,,,Plots!$A$56))</f>
        <v>87.320000000000007</v>
      </c>
      <c r="G100" cm="1">
        <f t="array" aca="1" ref="G100" ca="1">INDIRECT(ADDRESS($B100,Plots!$H$3,,,Plots!$A$57))+INDIRECT(ADDRESS($B100,Plots!$H$3,,,Plots!$A$58))+INDIRECT(ADDRESS($B100,Plots!$H$3,,,Plots!$A$59))+INDIRECT(ADDRESS($B100,Plots!$H$3,,,Plots!$A$60))+INDIRECT(ADDRESS($B100,Plots!$H$3,,,Plots!$A$61))</f>
        <v>0</v>
      </c>
      <c r="H100">
        <f>'AARnetCBR-CamDTN1_tcpmon_ts_61'!C54+'AARnetCBR-CamDTN1_tcpmon_ts_62'!C54+'AARnetCBR-CamDTN1_tcpmon_ts_63'!C54+'AARnetCBR-CamDTN1_tcpmon_ts_64'!C54+'AARnetCBR-CamDTN1_tcpmon_ts_65'!C54+'AARnetCBR-CamDTN1_tcpmon_ts_66'!C54</f>
        <v>0</v>
      </c>
      <c r="I100">
        <f>'AARnetCBR-CamDTN1_tcpmon_ts_81'!C54+'AARnetCBR-CamDTN1_tcpmon_ts_82'!C54+'AARnetCBR-CamDTN1_tcpmon_ts_83'!C54+'AARnetCBR-CamDTN1_tcpmon_ts_84'!C54+'AARnetCBR-CamDTN1_tcpmon_ts_85'!C54+'AARnetCBR-CamDTN1_tcpmon_ts_86'!C54+'AARnetCBR-CamDTN1_tcpmon_ts_87'!C54+'AARnetCBR-CamDTN1_tcpmon_ts_88'!C54</f>
        <v>0</v>
      </c>
      <c r="L100" cm="1">
        <f t="array" aca="1" ref="L100" ca="1">INDIRECT(ADDRESS($B100,Plots!$H$4,,,Plots!$A$47))</f>
        <v>0</v>
      </c>
      <c r="M100" cm="1">
        <f t="array" aca="1" ref="M100" ca="1">INDIRECT(ADDRESS($B100,Plots!$H$4,,,Plots!$A$48))+INDIRECT(ADDRESS($B100,Plots!$H$4,,,Plots!$A$49))</f>
        <v>0</v>
      </c>
      <c r="N100" cm="1">
        <f t="array" aca="1" ref="N100" ca="1">INDIRECT(ADDRESS($B100,Plots!$H$4,,,Plots!$A$50))+INDIRECT(ADDRESS($B100,Plots!$H$4,,,Plots!$A$51))+INDIRECT(ADDRESS($B100,Plots!$H$4,,,Plots!$A$52))</f>
        <v>0</v>
      </c>
      <c r="O100" cm="1">
        <f t="array" aca="1" ref="O100" ca="1">INDIRECT(ADDRESS($B100,Plots!$H$4,,,Plots!$A$53))+INDIRECT(ADDRESS($B100,Plots!$H$4,,,Plots!$A$54))+INDIRECT(ADDRESS($B100,Plots!$H$4,,,Plots!$A$55))+INDIRECT(ADDRESS($B100,Plots!$H$4,,,Plots!$A$56))</f>
        <v>0</v>
      </c>
      <c r="P100" cm="1">
        <f t="array" aca="1" ref="P100" ca="1">INDIRECT(ADDRESS($B100,Plots!$H$4,,,Plots!$A$57))+INDIRECT(ADDRESS($B100,Plots!$H$4,,,Plots!$A$58))+INDIRECT(ADDRESS($B100,Plots!$H$4,,,Plots!$A$59))+INDIRECT(ADDRESS($B100,Plots!$H$4,,,Plots!$A$60))+INDIRECT(ADDRESS($B100,Plots!$H$4,,,Plots!$A$61))</f>
        <v>0</v>
      </c>
      <c r="Q100" cm="1">
        <f t="array" aca="1" ref="Q100" ca="1">INDIRECT(ADDRESS($B100,Plots!$H$4,,,Plots!$A$62))+INDIRECT(ADDRESS($B100,Plots!$H$4,,,Plots!$A$63))+INDIRECT(ADDRESS($B100,Plots!$H$4,,,Plots!$A$64))+INDIRECT(ADDRESS($B100,Plots!$H$4,,,Plots!$A$65))+INDIRECT(ADDRESS($B100,Plots!$H$4,,,Plots!$A$66))+INDIRECT(ADDRESS($B100,Plots!$H$4,,,Plots!$A$67))</f>
        <v>0</v>
      </c>
      <c r="R100">
        <f>'AARnetCBR-CamDTN1_tcpmon_ts_81'!J105+'AARnetCBR-CamDTN1_tcpmon_ts_82'!J105+'AARnetCBR-CamDTN1_tcpmon_ts_83'!J105+'AARnetCBR-CamDTN1_tcpmon_ts_84'!J105+'AARnetCBR-CamDTN1_tcpmon_ts_85'!J105+'AARnetCBR-CamDTN1_tcpmon_ts_86'!J105+'AARnetCBR-CamDTN1_tcpmon_ts_87'!J105+'AARnetCBR-CamDTN1_tcpmon_ts_88'!J105</f>
        <v>0</v>
      </c>
    </row>
    <row r="101" spans="1:18">
      <c r="A101" cm="1">
        <f t="array" aca="1" ref="A101" ca="1">INDIRECT(ADDRESS($B101,Plots!$H$6,,,Plots!$A$47))</f>
        <v>196</v>
      </c>
      <c r="B101">
        <f t="shared" si="2"/>
        <v>110</v>
      </c>
      <c r="C101" cm="1">
        <f t="array" aca="1" ref="C101" ca="1">INDIRECT(ADDRESS($B101,Plots!$H$3,,,Plots!$A$47))</f>
        <v>25.91</v>
      </c>
      <c r="D101" cm="1">
        <f t="array" aca="1" ref="D101" ca="1">INDIRECT(ADDRESS($B101,Plots!$H$3,,,Plots!$A$48))+INDIRECT(ADDRESS($B101,Plots!$H$3,,,Plots!$A$49))</f>
        <v>62.120000000000005</v>
      </c>
      <c r="E101" cm="1">
        <f t="array" aca="1" ref="E101" ca="1">INDIRECT(ADDRESS($B101,Plots!$H$3,,,Plots!$A$50))+INDIRECT(ADDRESS($B101,Plots!$H$3,,,Plots!$A$51))+INDIRECT(ADDRESS($B101,Plots!$H$3,,,Plots!$A$52))</f>
        <v>74.12</v>
      </c>
      <c r="F101" cm="1">
        <f t="array" aca="1" ref="F101" ca="1">INDIRECT(ADDRESS($B101,Plots!$H$3,,,Plots!$A$53))+INDIRECT(ADDRESS($B101,Plots!$H$3,,,Plots!$A$54))+INDIRECT(ADDRESS($B101,Plots!$H$3,,,Plots!$A$55))+INDIRECT(ADDRESS($B101,Plots!$H$3,,,Plots!$A$56))</f>
        <v>83.669999999999987</v>
      </c>
      <c r="G101" cm="1">
        <f t="array" aca="1" ref="G101" ca="1">INDIRECT(ADDRESS($B101,Plots!$H$3,,,Plots!$A$57))+INDIRECT(ADDRESS($B101,Plots!$H$3,,,Plots!$A$58))+INDIRECT(ADDRESS($B101,Plots!$H$3,,,Plots!$A$59))+INDIRECT(ADDRESS($B101,Plots!$H$3,,,Plots!$A$60))+INDIRECT(ADDRESS($B101,Plots!$H$3,,,Plots!$A$61))</f>
        <v>0</v>
      </c>
      <c r="H101">
        <f>'AARnetCBR-CamDTN1_tcpmon_ts_61'!C55+'AARnetCBR-CamDTN1_tcpmon_ts_62'!C55+'AARnetCBR-CamDTN1_tcpmon_ts_63'!C55+'AARnetCBR-CamDTN1_tcpmon_ts_64'!C55+'AARnetCBR-CamDTN1_tcpmon_ts_65'!C55+'AARnetCBR-CamDTN1_tcpmon_ts_66'!C55</f>
        <v>0</v>
      </c>
      <c r="I101">
        <f>'AARnetCBR-CamDTN1_tcpmon_ts_81'!C55+'AARnetCBR-CamDTN1_tcpmon_ts_82'!C55+'AARnetCBR-CamDTN1_tcpmon_ts_83'!C55+'AARnetCBR-CamDTN1_tcpmon_ts_84'!C55+'AARnetCBR-CamDTN1_tcpmon_ts_85'!C55+'AARnetCBR-CamDTN1_tcpmon_ts_86'!C55+'AARnetCBR-CamDTN1_tcpmon_ts_87'!C55+'AARnetCBR-CamDTN1_tcpmon_ts_88'!C55</f>
        <v>0</v>
      </c>
      <c r="L101" cm="1">
        <f t="array" aca="1" ref="L101" ca="1">INDIRECT(ADDRESS($B101,Plots!$H$4,,,Plots!$A$47))</f>
        <v>0</v>
      </c>
      <c r="M101" cm="1">
        <f t="array" aca="1" ref="M101" ca="1">INDIRECT(ADDRESS($B101,Plots!$H$4,,,Plots!$A$48))+INDIRECT(ADDRESS($B101,Plots!$H$4,,,Plots!$A$49))</f>
        <v>0</v>
      </c>
      <c r="N101" cm="1">
        <f t="array" aca="1" ref="N101" ca="1">INDIRECT(ADDRESS($B101,Plots!$H$4,,,Plots!$A$50))+INDIRECT(ADDRESS($B101,Plots!$H$4,,,Plots!$A$51))+INDIRECT(ADDRESS($B101,Plots!$H$4,,,Plots!$A$52))</f>
        <v>0</v>
      </c>
      <c r="O101" cm="1">
        <f t="array" aca="1" ref="O101" ca="1">INDIRECT(ADDRESS($B101,Plots!$H$4,,,Plots!$A$53))+INDIRECT(ADDRESS($B101,Plots!$H$4,,,Plots!$A$54))+INDIRECT(ADDRESS($B101,Plots!$H$4,,,Plots!$A$55))+INDIRECT(ADDRESS($B101,Plots!$H$4,,,Plots!$A$56))</f>
        <v>0</v>
      </c>
      <c r="P101" cm="1">
        <f t="array" aca="1" ref="P101" ca="1">INDIRECT(ADDRESS($B101,Plots!$H$4,,,Plots!$A$57))+INDIRECT(ADDRESS($B101,Plots!$H$4,,,Plots!$A$58))+INDIRECT(ADDRESS($B101,Plots!$H$4,,,Plots!$A$59))+INDIRECT(ADDRESS($B101,Plots!$H$4,,,Plots!$A$60))+INDIRECT(ADDRESS($B101,Plots!$H$4,,,Plots!$A$61))</f>
        <v>0</v>
      </c>
      <c r="Q101" cm="1">
        <f t="array" aca="1" ref="Q101" ca="1">INDIRECT(ADDRESS($B101,Plots!$H$4,,,Plots!$A$62))+INDIRECT(ADDRESS($B101,Plots!$H$4,,,Plots!$A$63))+INDIRECT(ADDRESS($B101,Plots!$H$4,,,Plots!$A$64))+INDIRECT(ADDRESS($B101,Plots!$H$4,,,Plots!$A$65))+INDIRECT(ADDRESS($B101,Plots!$H$4,,,Plots!$A$66))+INDIRECT(ADDRESS($B101,Plots!$H$4,,,Plots!$A$67))</f>
        <v>0</v>
      </c>
      <c r="R101">
        <f>'AARnetCBR-CamDTN1_tcpmon_ts_81'!J106+'AARnetCBR-CamDTN1_tcpmon_ts_82'!J106+'AARnetCBR-CamDTN1_tcpmon_ts_83'!J106+'AARnetCBR-CamDTN1_tcpmon_ts_84'!J106+'AARnetCBR-CamDTN1_tcpmon_ts_85'!J106+'AARnetCBR-CamDTN1_tcpmon_ts_86'!J106+'AARnetCBR-CamDTN1_tcpmon_ts_87'!J106+'AARnetCBR-CamDTN1_tcpmon_ts_88'!J106</f>
        <v>0</v>
      </c>
    </row>
    <row r="102" spans="1:18">
      <c r="A102" cm="1">
        <f t="array" aca="1" ref="A102" ca="1">INDIRECT(ADDRESS($B102,Plots!$H$6,,,Plots!$A$47))</f>
        <v>198</v>
      </c>
      <c r="B102">
        <f t="shared" si="2"/>
        <v>111</v>
      </c>
      <c r="C102" cm="1">
        <f t="array" aca="1" ref="C102" ca="1">INDIRECT(ADDRESS($B102,Plots!$H$3,,,Plots!$A$47))</f>
        <v>26.04</v>
      </c>
      <c r="D102" cm="1">
        <f t="array" aca="1" ref="D102" ca="1">INDIRECT(ADDRESS($B102,Plots!$H$3,,,Plots!$A$48))+INDIRECT(ADDRESS($B102,Plots!$H$3,,,Plots!$A$49))</f>
        <v>54.52</v>
      </c>
      <c r="E102" cm="1">
        <f t="array" aca="1" ref="E102" ca="1">INDIRECT(ADDRESS($B102,Plots!$H$3,,,Plots!$A$50))+INDIRECT(ADDRESS($B102,Plots!$H$3,,,Plots!$A$51))+INDIRECT(ADDRESS($B102,Plots!$H$3,,,Plots!$A$52))</f>
        <v>60.930000000000007</v>
      </c>
      <c r="F102" cm="1">
        <f t="array" aca="1" ref="F102" ca="1">INDIRECT(ADDRESS($B102,Plots!$H$3,,,Plots!$A$53))+INDIRECT(ADDRESS($B102,Plots!$H$3,,,Plots!$A$54))+INDIRECT(ADDRESS($B102,Plots!$H$3,,,Plots!$A$55))+INDIRECT(ADDRESS($B102,Plots!$H$3,,,Plots!$A$56))</f>
        <v>89.12</v>
      </c>
      <c r="G102" cm="1">
        <f t="array" aca="1" ref="G102" ca="1">INDIRECT(ADDRESS($B102,Plots!$H$3,,,Plots!$A$57))+INDIRECT(ADDRESS($B102,Plots!$H$3,,,Plots!$A$58))+INDIRECT(ADDRESS($B102,Plots!$H$3,,,Plots!$A$59))+INDIRECT(ADDRESS($B102,Plots!$H$3,,,Plots!$A$60))+INDIRECT(ADDRESS($B102,Plots!$H$3,,,Plots!$A$61))</f>
        <v>0</v>
      </c>
      <c r="H102">
        <f>'AARnetCBR-CamDTN1_tcpmon_ts_61'!C56+'AARnetCBR-CamDTN1_tcpmon_ts_62'!C56+'AARnetCBR-CamDTN1_tcpmon_ts_63'!C56+'AARnetCBR-CamDTN1_tcpmon_ts_64'!C56+'AARnetCBR-CamDTN1_tcpmon_ts_65'!C56+'AARnetCBR-CamDTN1_tcpmon_ts_66'!C56</f>
        <v>0</v>
      </c>
      <c r="I102">
        <f>'AARnetCBR-CamDTN1_tcpmon_ts_81'!C56+'AARnetCBR-CamDTN1_tcpmon_ts_82'!C56+'AARnetCBR-CamDTN1_tcpmon_ts_83'!C56+'AARnetCBR-CamDTN1_tcpmon_ts_84'!C56+'AARnetCBR-CamDTN1_tcpmon_ts_85'!C56+'AARnetCBR-CamDTN1_tcpmon_ts_86'!C56+'AARnetCBR-CamDTN1_tcpmon_ts_87'!C56+'AARnetCBR-CamDTN1_tcpmon_ts_88'!C56</f>
        <v>0</v>
      </c>
      <c r="L102" cm="1">
        <f t="array" aca="1" ref="L102" ca="1">INDIRECT(ADDRESS($B102,Plots!$H$4,,,Plots!$A$47))</f>
        <v>0</v>
      </c>
      <c r="M102" cm="1">
        <f t="array" aca="1" ref="M102" ca="1">INDIRECT(ADDRESS($B102,Plots!$H$4,,,Plots!$A$48))+INDIRECT(ADDRESS($B102,Plots!$H$4,,,Plots!$A$49))</f>
        <v>0</v>
      </c>
      <c r="N102" cm="1">
        <f t="array" aca="1" ref="N102" ca="1">INDIRECT(ADDRESS($B102,Plots!$H$4,,,Plots!$A$50))+INDIRECT(ADDRESS($B102,Plots!$H$4,,,Plots!$A$51))+INDIRECT(ADDRESS($B102,Plots!$H$4,,,Plots!$A$52))</f>
        <v>0</v>
      </c>
      <c r="O102" cm="1">
        <f t="array" aca="1" ref="O102" ca="1">INDIRECT(ADDRESS($B102,Plots!$H$4,,,Plots!$A$53))+INDIRECT(ADDRESS($B102,Plots!$H$4,,,Plots!$A$54))+INDIRECT(ADDRESS($B102,Plots!$H$4,,,Plots!$A$55))+INDIRECT(ADDRESS($B102,Plots!$H$4,,,Plots!$A$56))</f>
        <v>0</v>
      </c>
      <c r="P102" cm="1">
        <f t="array" aca="1" ref="P102" ca="1">INDIRECT(ADDRESS($B102,Plots!$H$4,,,Plots!$A$57))+INDIRECT(ADDRESS($B102,Plots!$H$4,,,Plots!$A$58))+INDIRECT(ADDRESS($B102,Plots!$H$4,,,Plots!$A$59))+INDIRECT(ADDRESS($B102,Plots!$H$4,,,Plots!$A$60))+INDIRECT(ADDRESS($B102,Plots!$H$4,,,Plots!$A$61))</f>
        <v>0</v>
      </c>
      <c r="Q102" cm="1">
        <f t="array" aca="1" ref="Q102" ca="1">INDIRECT(ADDRESS($B102,Plots!$H$4,,,Plots!$A$62))+INDIRECT(ADDRESS($B102,Plots!$H$4,,,Plots!$A$63))+INDIRECT(ADDRESS($B102,Plots!$H$4,,,Plots!$A$64))+INDIRECT(ADDRESS($B102,Plots!$H$4,,,Plots!$A$65))+INDIRECT(ADDRESS($B102,Plots!$H$4,,,Plots!$A$66))+INDIRECT(ADDRESS($B102,Plots!$H$4,,,Plots!$A$67))</f>
        <v>0</v>
      </c>
      <c r="R102">
        <f>'AARnetCBR-CamDTN1_tcpmon_ts_81'!J107+'AARnetCBR-CamDTN1_tcpmon_ts_82'!J107+'AARnetCBR-CamDTN1_tcpmon_ts_83'!J107+'AARnetCBR-CamDTN1_tcpmon_ts_84'!J107+'AARnetCBR-CamDTN1_tcpmon_ts_85'!J107+'AARnetCBR-CamDTN1_tcpmon_ts_86'!J107+'AARnetCBR-CamDTN1_tcpmon_ts_87'!J107+'AARnetCBR-CamDTN1_tcpmon_ts_88'!J107</f>
        <v>0</v>
      </c>
    </row>
    <row r="103" spans="1:18">
      <c r="A103" cm="1">
        <f t="array" aca="1" ref="A103" ca="1">INDIRECT(ADDRESS($B103,Plots!$H$6,,,Plots!$A$47))</f>
        <v>200</v>
      </c>
      <c r="B103">
        <f t="shared" si="2"/>
        <v>112</v>
      </c>
      <c r="C103" cm="1">
        <f t="array" aca="1" ref="C103" ca="1">INDIRECT(ADDRESS($B103,Plots!$H$3,,,Plots!$A$47))</f>
        <v>25.2</v>
      </c>
      <c r="D103" cm="1">
        <f t="array" aca="1" ref="D103" ca="1">INDIRECT(ADDRESS($B103,Plots!$H$3,,,Plots!$A$48))+INDIRECT(ADDRESS($B103,Plots!$H$3,,,Plots!$A$49))</f>
        <v>56.68</v>
      </c>
      <c r="E103" cm="1">
        <f t="array" aca="1" ref="E103" ca="1">INDIRECT(ADDRESS($B103,Plots!$H$3,,,Plots!$A$50))+INDIRECT(ADDRESS($B103,Plots!$H$3,,,Plots!$A$51))+INDIRECT(ADDRESS($B103,Plots!$H$3,,,Plots!$A$52))</f>
        <v>74.600000000000009</v>
      </c>
      <c r="F103" cm="1">
        <f t="array" aca="1" ref="F103" ca="1">INDIRECT(ADDRESS($B103,Plots!$H$3,,,Plots!$A$53))+INDIRECT(ADDRESS($B103,Plots!$H$3,,,Plots!$A$54))+INDIRECT(ADDRESS($B103,Plots!$H$3,,,Plots!$A$55))+INDIRECT(ADDRESS($B103,Plots!$H$3,,,Plots!$A$56))</f>
        <v>84.199999999999989</v>
      </c>
      <c r="G103" cm="1">
        <f t="array" aca="1" ref="G103" ca="1">INDIRECT(ADDRESS($B103,Plots!$H$3,,,Plots!$A$57))+INDIRECT(ADDRESS($B103,Plots!$H$3,,,Plots!$A$58))+INDIRECT(ADDRESS($B103,Plots!$H$3,,,Plots!$A$59))+INDIRECT(ADDRESS($B103,Plots!$H$3,,,Plots!$A$60))+INDIRECT(ADDRESS($B103,Plots!$H$3,,,Plots!$A$61))</f>
        <v>0</v>
      </c>
      <c r="H103">
        <f>'AARnetCBR-CamDTN1_tcpmon_ts_61'!C57+'AARnetCBR-CamDTN1_tcpmon_ts_62'!C57+'AARnetCBR-CamDTN1_tcpmon_ts_63'!C57+'AARnetCBR-CamDTN1_tcpmon_ts_64'!C57+'AARnetCBR-CamDTN1_tcpmon_ts_65'!C57+'AARnetCBR-CamDTN1_tcpmon_ts_66'!C57</f>
        <v>0</v>
      </c>
      <c r="I103">
        <f>'AARnetCBR-CamDTN1_tcpmon_ts_81'!C57+'AARnetCBR-CamDTN1_tcpmon_ts_82'!C57+'AARnetCBR-CamDTN1_tcpmon_ts_83'!C57+'AARnetCBR-CamDTN1_tcpmon_ts_84'!C57+'AARnetCBR-CamDTN1_tcpmon_ts_85'!C57+'AARnetCBR-CamDTN1_tcpmon_ts_86'!C57+'AARnetCBR-CamDTN1_tcpmon_ts_87'!C57+'AARnetCBR-CamDTN1_tcpmon_ts_88'!C57</f>
        <v>0</v>
      </c>
      <c r="L103" cm="1">
        <f t="array" aca="1" ref="L103" ca="1">INDIRECT(ADDRESS($B103,Plots!$H$4,,,Plots!$A$47))</f>
        <v>0</v>
      </c>
      <c r="M103" cm="1">
        <f t="array" aca="1" ref="M103" ca="1">INDIRECT(ADDRESS($B103,Plots!$H$4,,,Plots!$A$48))+INDIRECT(ADDRESS($B103,Plots!$H$4,,,Plots!$A$49))</f>
        <v>0</v>
      </c>
      <c r="N103" cm="1">
        <f t="array" aca="1" ref="N103" ca="1">INDIRECT(ADDRESS($B103,Plots!$H$4,,,Plots!$A$50))+INDIRECT(ADDRESS($B103,Plots!$H$4,,,Plots!$A$51))+INDIRECT(ADDRESS($B103,Plots!$H$4,,,Plots!$A$52))</f>
        <v>0</v>
      </c>
      <c r="O103" cm="1">
        <f t="array" aca="1" ref="O103" ca="1">INDIRECT(ADDRESS($B103,Plots!$H$4,,,Plots!$A$53))+INDIRECT(ADDRESS($B103,Plots!$H$4,,,Plots!$A$54))+INDIRECT(ADDRESS($B103,Plots!$H$4,,,Plots!$A$55))+INDIRECT(ADDRESS($B103,Plots!$H$4,,,Plots!$A$56))</f>
        <v>0</v>
      </c>
      <c r="P103" cm="1">
        <f t="array" aca="1" ref="P103" ca="1">INDIRECT(ADDRESS($B103,Plots!$H$4,,,Plots!$A$57))+INDIRECT(ADDRESS($B103,Plots!$H$4,,,Plots!$A$58))+INDIRECT(ADDRESS($B103,Plots!$H$4,,,Plots!$A$59))+INDIRECT(ADDRESS($B103,Plots!$H$4,,,Plots!$A$60))+INDIRECT(ADDRESS($B103,Plots!$H$4,,,Plots!$A$61))</f>
        <v>0</v>
      </c>
      <c r="Q103" cm="1">
        <f t="array" aca="1" ref="Q103" ca="1">INDIRECT(ADDRESS($B103,Plots!$H$4,,,Plots!$A$62))+INDIRECT(ADDRESS($B103,Plots!$H$4,,,Plots!$A$63))+INDIRECT(ADDRESS($B103,Plots!$H$4,,,Plots!$A$64))+INDIRECT(ADDRESS($B103,Plots!$H$4,,,Plots!$A$65))+INDIRECT(ADDRESS($B103,Plots!$H$4,,,Plots!$A$66))+INDIRECT(ADDRESS($B103,Plots!$H$4,,,Plots!$A$67))</f>
        <v>0</v>
      </c>
      <c r="R103">
        <f>'AARnetCBR-CamDTN1_tcpmon_ts_81'!J108+'AARnetCBR-CamDTN1_tcpmon_ts_82'!J108+'AARnetCBR-CamDTN1_tcpmon_ts_83'!J108+'AARnetCBR-CamDTN1_tcpmon_ts_84'!J108+'AARnetCBR-CamDTN1_tcpmon_ts_85'!J108+'AARnetCBR-CamDTN1_tcpmon_ts_86'!J108+'AARnetCBR-CamDTN1_tcpmon_ts_87'!J108+'AARnetCBR-CamDTN1_tcpmon_ts_88'!J108</f>
        <v>0</v>
      </c>
    </row>
    <row r="104" spans="1:18">
      <c r="A104" cm="1">
        <f t="array" aca="1" ref="A104" ca="1">INDIRECT(ADDRESS($B104,Plots!$H$6,,,Plots!$A$47))</f>
        <v>202</v>
      </c>
      <c r="B104">
        <f t="shared" si="2"/>
        <v>113</v>
      </c>
      <c r="C104" cm="1">
        <f t="array" aca="1" ref="C104" ca="1">INDIRECT(ADDRESS($B104,Plots!$H$3,,,Plots!$A$47))</f>
        <v>24.84</v>
      </c>
      <c r="D104" cm="1">
        <f t="array" aca="1" ref="D104" ca="1">INDIRECT(ADDRESS($B104,Plots!$H$3,,,Plots!$A$48))+INDIRECT(ADDRESS($B104,Plots!$H$3,,,Plots!$A$49))</f>
        <v>57.7</v>
      </c>
      <c r="E104" cm="1">
        <f t="array" aca="1" ref="E104" ca="1">INDIRECT(ADDRESS($B104,Plots!$H$3,,,Plots!$A$50))+INDIRECT(ADDRESS($B104,Plots!$H$3,,,Plots!$A$51))+INDIRECT(ADDRESS($B104,Plots!$H$3,,,Plots!$A$52))</f>
        <v>60.33</v>
      </c>
      <c r="F104" cm="1">
        <f t="array" aca="1" ref="F104" ca="1">INDIRECT(ADDRESS($B104,Plots!$H$3,,,Plots!$A$53))+INDIRECT(ADDRESS($B104,Plots!$H$3,,,Plots!$A$54))+INDIRECT(ADDRESS($B104,Plots!$H$3,,,Plots!$A$55))+INDIRECT(ADDRESS($B104,Plots!$H$3,,,Plots!$A$56))</f>
        <v>85.830000000000013</v>
      </c>
      <c r="G104" cm="1">
        <f t="array" aca="1" ref="G104" ca="1">INDIRECT(ADDRESS($B104,Plots!$H$3,,,Plots!$A$57))+INDIRECT(ADDRESS($B104,Plots!$H$3,,,Plots!$A$58))+INDIRECT(ADDRESS($B104,Plots!$H$3,,,Plots!$A$59))+INDIRECT(ADDRESS($B104,Plots!$H$3,,,Plots!$A$60))+INDIRECT(ADDRESS($B104,Plots!$H$3,,,Plots!$A$61))</f>
        <v>0</v>
      </c>
      <c r="H104">
        <f>'AARnetCBR-CamDTN1_tcpmon_ts_61'!C58+'AARnetCBR-CamDTN1_tcpmon_ts_62'!C58+'AARnetCBR-CamDTN1_tcpmon_ts_63'!C58+'AARnetCBR-CamDTN1_tcpmon_ts_64'!C58+'AARnetCBR-CamDTN1_tcpmon_ts_65'!C58+'AARnetCBR-CamDTN1_tcpmon_ts_66'!C58</f>
        <v>0</v>
      </c>
      <c r="I104">
        <f>'AARnetCBR-CamDTN1_tcpmon_ts_81'!C58+'AARnetCBR-CamDTN1_tcpmon_ts_82'!C58+'AARnetCBR-CamDTN1_tcpmon_ts_83'!C58+'AARnetCBR-CamDTN1_tcpmon_ts_84'!C58+'AARnetCBR-CamDTN1_tcpmon_ts_85'!C58+'AARnetCBR-CamDTN1_tcpmon_ts_86'!C58+'AARnetCBR-CamDTN1_tcpmon_ts_87'!C58+'AARnetCBR-CamDTN1_tcpmon_ts_88'!C58</f>
        <v>0</v>
      </c>
      <c r="L104" cm="1">
        <f t="array" aca="1" ref="L104" ca="1">INDIRECT(ADDRESS($B104,Plots!$H$4,,,Plots!$A$47))</f>
        <v>0</v>
      </c>
      <c r="M104" cm="1">
        <f t="array" aca="1" ref="M104" ca="1">INDIRECT(ADDRESS($B104,Plots!$H$4,,,Plots!$A$48))+INDIRECT(ADDRESS($B104,Plots!$H$4,,,Plots!$A$49))</f>
        <v>0</v>
      </c>
      <c r="N104" cm="1">
        <f t="array" aca="1" ref="N104" ca="1">INDIRECT(ADDRESS($B104,Plots!$H$4,,,Plots!$A$50))+INDIRECT(ADDRESS($B104,Plots!$H$4,,,Plots!$A$51))+INDIRECT(ADDRESS($B104,Plots!$H$4,,,Plots!$A$52))</f>
        <v>0</v>
      </c>
      <c r="O104" cm="1">
        <f t="array" aca="1" ref="O104" ca="1">INDIRECT(ADDRESS($B104,Plots!$H$4,,,Plots!$A$53))+INDIRECT(ADDRESS($B104,Plots!$H$4,,,Plots!$A$54))+INDIRECT(ADDRESS($B104,Plots!$H$4,,,Plots!$A$55))+INDIRECT(ADDRESS($B104,Plots!$H$4,,,Plots!$A$56))</f>
        <v>0</v>
      </c>
      <c r="P104" cm="1">
        <f t="array" aca="1" ref="P104" ca="1">INDIRECT(ADDRESS($B104,Plots!$H$4,,,Plots!$A$57))+INDIRECT(ADDRESS($B104,Plots!$H$4,,,Plots!$A$58))+INDIRECT(ADDRESS($B104,Plots!$H$4,,,Plots!$A$59))+INDIRECT(ADDRESS($B104,Plots!$H$4,,,Plots!$A$60))+INDIRECT(ADDRESS($B104,Plots!$H$4,,,Plots!$A$61))</f>
        <v>0</v>
      </c>
      <c r="Q104" cm="1">
        <f t="array" aca="1" ref="Q104" ca="1">INDIRECT(ADDRESS($B104,Plots!$H$4,,,Plots!$A$62))+INDIRECT(ADDRESS($B104,Plots!$H$4,,,Plots!$A$63))+INDIRECT(ADDRESS($B104,Plots!$H$4,,,Plots!$A$64))+INDIRECT(ADDRESS($B104,Plots!$H$4,,,Plots!$A$65))+INDIRECT(ADDRESS($B104,Plots!$H$4,,,Plots!$A$66))+INDIRECT(ADDRESS($B104,Plots!$H$4,,,Plots!$A$67))</f>
        <v>0</v>
      </c>
      <c r="R104">
        <f>'AARnetCBR-CamDTN1_tcpmon_ts_81'!J109+'AARnetCBR-CamDTN1_tcpmon_ts_82'!J109+'AARnetCBR-CamDTN1_tcpmon_ts_83'!J109+'AARnetCBR-CamDTN1_tcpmon_ts_84'!J109+'AARnetCBR-CamDTN1_tcpmon_ts_85'!J109+'AARnetCBR-CamDTN1_tcpmon_ts_86'!J109+'AARnetCBR-CamDTN1_tcpmon_ts_87'!J109+'AARnetCBR-CamDTN1_tcpmon_ts_88'!J109</f>
        <v>0</v>
      </c>
    </row>
    <row r="105" spans="1:18">
      <c r="A105" cm="1">
        <f t="array" aca="1" ref="A105" ca="1">INDIRECT(ADDRESS($B105,Plots!$H$6,,,Plots!$A$47))</f>
        <v>204</v>
      </c>
      <c r="B105">
        <f t="shared" si="2"/>
        <v>114</v>
      </c>
      <c r="C105" cm="1">
        <f t="array" aca="1" ref="C105" ca="1">INDIRECT(ADDRESS($B105,Plots!$H$3,,,Plots!$A$47))</f>
        <v>25.91</v>
      </c>
      <c r="D105" cm="1">
        <f t="array" aca="1" ref="D105" ca="1">INDIRECT(ADDRESS($B105,Plots!$H$3,,,Plots!$A$48))+INDIRECT(ADDRESS($B105,Plots!$H$3,,,Plots!$A$49))</f>
        <v>56.21</v>
      </c>
      <c r="E105" cm="1">
        <f t="array" aca="1" ref="E105" ca="1">INDIRECT(ADDRESS($B105,Plots!$H$3,,,Plots!$A$50))+INDIRECT(ADDRESS($B105,Plots!$H$3,,,Plots!$A$51))+INDIRECT(ADDRESS($B105,Plots!$H$3,,,Plots!$A$52))</f>
        <v>72.89</v>
      </c>
      <c r="F105" cm="1">
        <f t="array" aca="1" ref="F105" ca="1">INDIRECT(ADDRESS($B105,Plots!$H$3,,,Plots!$A$53))+INDIRECT(ADDRESS($B105,Plots!$H$3,,,Plots!$A$54))+INDIRECT(ADDRESS($B105,Plots!$H$3,,,Plots!$A$55))+INDIRECT(ADDRESS($B105,Plots!$H$3,,,Plots!$A$56))</f>
        <v>88.78</v>
      </c>
      <c r="G105" cm="1">
        <f t="array" aca="1" ref="G105" ca="1">INDIRECT(ADDRESS($B105,Plots!$H$3,,,Plots!$A$57))+INDIRECT(ADDRESS($B105,Plots!$H$3,,,Plots!$A$58))+INDIRECT(ADDRESS($B105,Plots!$H$3,,,Plots!$A$59))+INDIRECT(ADDRESS($B105,Plots!$H$3,,,Plots!$A$60))+INDIRECT(ADDRESS($B105,Plots!$H$3,,,Plots!$A$61))</f>
        <v>0</v>
      </c>
      <c r="H105">
        <f>'AARnetCBR-CamDTN1_tcpmon_ts_61'!C59+'AARnetCBR-CamDTN1_tcpmon_ts_62'!C59+'AARnetCBR-CamDTN1_tcpmon_ts_63'!C59+'AARnetCBR-CamDTN1_tcpmon_ts_64'!C59+'AARnetCBR-CamDTN1_tcpmon_ts_65'!C59+'AARnetCBR-CamDTN1_tcpmon_ts_66'!C59</f>
        <v>0</v>
      </c>
      <c r="I105">
        <f>'AARnetCBR-CamDTN1_tcpmon_ts_81'!C59+'AARnetCBR-CamDTN1_tcpmon_ts_82'!C59+'AARnetCBR-CamDTN1_tcpmon_ts_83'!C59+'AARnetCBR-CamDTN1_tcpmon_ts_84'!C59+'AARnetCBR-CamDTN1_tcpmon_ts_85'!C59+'AARnetCBR-CamDTN1_tcpmon_ts_86'!C59+'AARnetCBR-CamDTN1_tcpmon_ts_87'!C59+'AARnetCBR-CamDTN1_tcpmon_ts_88'!C59</f>
        <v>0</v>
      </c>
      <c r="L105" cm="1">
        <f t="array" aca="1" ref="L105" ca="1">INDIRECT(ADDRESS($B105,Plots!$H$4,,,Plots!$A$47))</f>
        <v>0</v>
      </c>
      <c r="M105" cm="1">
        <f t="array" aca="1" ref="M105" ca="1">INDIRECT(ADDRESS($B105,Plots!$H$4,,,Plots!$A$48))+INDIRECT(ADDRESS($B105,Plots!$H$4,,,Plots!$A$49))</f>
        <v>0</v>
      </c>
      <c r="N105" cm="1">
        <f t="array" aca="1" ref="N105" ca="1">INDIRECT(ADDRESS($B105,Plots!$H$4,,,Plots!$A$50))+INDIRECT(ADDRESS($B105,Plots!$H$4,,,Plots!$A$51))+INDIRECT(ADDRESS($B105,Plots!$H$4,,,Plots!$A$52))</f>
        <v>0</v>
      </c>
      <c r="O105" cm="1">
        <f t="array" aca="1" ref="O105" ca="1">INDIRECT(ADDRESS($B105,Plots!$H$4,,,Plots!$A$53))+INDIRECT(ADDRESS($B105,Plots!$H$4,,,Plots!$A$54))+INDIRECT(ADDRESS($B105,Plots!$H$4,,,Plots!$A$55))+INDIRECT(ADDRESS($B105,Plots!$H$4,,,Plots!$A$56))</f>
        <v>0</v>
      </c>
      <c r="P105" cm="1">
        <f t="array" aca="1" ref="P105" ca="1">INDIRECT(ADDRESS($B105,Plots!$H$4,,,Plots!$A$57))+INDIRECT(ADDRESS($B105,Plots!$H$4,,,Plots!$A$58))+INDIRECT(ADDRESS($B105,Plots!$H$4,,,Plots!$A$59))+INDIRECT(ADDRESS($B105,Plots!$H$4,,,Plots!$A$60))+INDIRECT(ADDRESS($B105,Plots!$H$4,,,Plots!$A$61))</f>
        <v>0</v>
      </c>
      <c r="Q105" cm="1">
        <f t="array" aca="1" ref="Q105" ca="1">INDIRECT(ADDRESS($B105,Plots!$H$4,,,Plots!$A$62))+INDIRECT(ADDRESS($B105,Plots!$H$4,,,Plots!$A$63))+INDIRECT(ADDRESS($B105,Plots!$H$4,,,Plots!$A$64))+INDIRECT(ADDRESS($B105,Plots!$H$4,,,Plots!$A$65))+INDIRECT(ADDRESS($B105,Plots!$H$4,,,Plots!$A$66))+INDIRECT(ADDRESS($B105,Plots!$H$4,,,Plots!$A$67))</f>
        <v>0</v>
      </c>
      <c r="R105">
        <f>'AARnetCBR-CamDTN1_tcpmon_ts_81'!J110+'AARnetCBR-CamDTN1_tcpmon_ts_82'!J110+'AARnetCBR-CamDTN1_tcpmon_ts_83'!J110+'AARnetCBR-CamDTN1_tcpmon_ts_84'!J110+'AARnetCBR-CamDTN1_tcpmon_ts_85'!J110+'AARnetCBR-CamDTN1_tcpmon_ts_86'!J110+'AARnetCBR-CamDTN1_tcpmon_ts_87'!J110+'AARnetCBR-CamDTN1_tcpmon_ts_88'!J110</f>
        <v>0</v>
      </c>
    </row>
    <row r="106" spans="1:18">
      <c r="A106" cm="1">
        <f t="array" aca="1" ref="A106" ca="1">INDIRECT(ADDRESS($B106,Plots!$H$6,,,Plots!$A$47))</f>
        <v>206</v>
      </c>
      <c r="B106">
        <f t="shared" si="2"/>
        <v>115</v>
      </c>
      <c r="C106" cm="1">
        <f t="array" aca="1" ref="C106" ca="1">INDIRECT(ADDRESS($B106,Plots!$H$3,,,Plots!$A$47))</f>
        <v>26.29</v>
      </c>
      <c r="D106" cm="1">
        <f t="array" aca="1" ref="D106" ca="1">INDIRECT(ADDRESS($B106,Plots!$H$3,,,Plots!$A$48))+INDIRECT(ADDRESS($B106,Plots!$H$3,,,Plots!$A$49))</f>
        <v>58.46</v>
      </c>
      <c r="E106" cm="1">
        <f t="array" aca="1" ref="E106" ca="1">INDIRECT(ADDRESS($B106,Plots!$H$3,,,Plots!$A$50))+INDIRECT(ADDRESS($B106,Plots!$H$3,,,Plots!$A$51))+INDIRECT(ADDRESS($B106,Plots!$H$3,,,Plots!$A$52))</f>
        <v>62.31</v>
      </c>
      <c r="F106" cm="1">
        <f t="array" aca="1" ref="F106" ca="1">INDIRECT(ADDRESS($B106,Plots!$H$3,,,Plots!$A$53))+INDIRECT(ADDRESS($B106,Plots!$H$3,,,Plots!$A$54))+INDIRECT(ADDRESS($B106,Plots!$H$3,,,Plots!$A$55))+INDIRECT(ADDRESS($B106,Plots!$H$3,,,Plots!$A$56))</f>
        <v>85.58</v>
      </c>
      <c r="G106" cm="1">
        <f t="array" aca="1" ref="G106" ca="1">INDIRECT(ADDRESS($B106,Plots!$H$3,,,Plots!$A$57))+INDIRECT(ADDRESS($B106,Plots!$H$3,,,Plots!$A$58))+INDIRECT(ADDRESS($B106,Plots!$H$3,,,Plots!$A$59))+INDIRECT(ADDRESS($B106,Plots!$H$3,,,Plots!$A$60))+INDIRECT(ADDRESS($B106,Plots!$H$3,,,Plots!$A$61))</f>
        <v>0</v>
      </c>
      <c r="H106">
        <f>'AARnetCBR-CamDTN1_tcpmon_ts_61'!C60+'AARnetCBR-CamDTN1_tcpmon_ts_62'!C60+'AARnetCBR-CamDTN1_tcpmon_ts_63'!C60+'AARnetCBR-CamDTN1_tcpmon_ts_64'!C60+'AARnetCBR-CamDTN1_tcpmon_ts_65'!C60+'AARnetCBR-CamDTN1_tcpmon_ts_66'!C60</f>
        <v>0</v>
      </c>
      <c r="I106">
        <f>'AARnetCBR-CamDTN1_tcpmon_ts_81'!C60+'AARnetCBR-CamDTN1_tcpmon_ts_82'!C60+'AARnetCBR-CamDTN1_tcpmon_ts_83'!C60+'AARnetCBR-CamDTN1_tcpmon_ts_84'!C60+'AARnetCBR-CamDTN1_tcpmon_ts_85'!C60+'AARnetCBR-CamDTN1_tcpmon_ts_86'!C60+'AARnetCBR-CamDTN1_tcpmon_ts_87'!C60+'AARnetCBR-CamDTN1_tcpmon_ts_88'!C60</f>
        <v>0</v>
      </c>
      <c r="L106" cm="1">
        <f t="array" aca="1" ref="L106" ca="1">INDIRECT(ADDRESS($B106,Plots!$H$4,,,Plots!$A$47))</f>
        <v>0</v>
      </c>
      <c r="M106" cm="1">
        <f t="array" aca="1" ref="M106" ca="1">INDIRECT(ADDRESS($B106,Plots!$H$4,,,Plots!$A$48))+INDIRECT(ADDRESS($B106,Plots!$H$4,,,Plots!$A$49))</f>
        <v>0</v>
      </c>
      <c r="N106" cm="1">
        <f t="array" aca="1" ref="N106" ca="1">INDIRECT(ADDRESS($B106,Plots!$H$4,,,Plots!$A$50))+INDIRECT(ADDRESS($B106,Plots!$H$4,,,Plots!$A$51))+INDIRECT(ADDRESS($B106,Plots!$H$4,,,Plots!$A$52))</f>
        <v>0</v>
      </c>
      <c r="O106" cm="1">
        <f t="array" aca="1" ref="O106" ca="1">INDIRECT(ADDRESS($B106,Plots!$H$4,,,Plots!$A$53))+INDIRECT(ADDRESS($B106,Plots!$H$4,,,Plots!$A$54))+INDIRECT(ADDRESS($B106,Plots!$H$4,,,Plots!$A$55))+INDIRECT(ADDRESS($B106,Plots!$H$4,,,Plots!$A$56))</f>
        <v>0</v>
      </c>
      <c r="P106" cm="1">
        <f t="array" aca="1" ref="P106" ca="1">INDIRECT(ADDRESS($B106,Plots!$H$4,,,Plots!$A$57))+INDIRECT(ADDRESS($B106,Plots!$H$4,,,Plots!$A$58))+INDIRECT(ADDRESS($B106,Plots!$H$4,,,Plots!$A$59))+INDIRECT(ADDRESS($B106,Plots!$H$4,,,Plots!$A$60))+INDIRECT(ADDRESS($B106,Plots!$H$4,,,Plots!$A$61))</f>
        <v>0</v>
      </c>
      <c r="Q106" cm="1">
        <f t="array" aca="1" ref="Q106" ca="1">INDIRECT(ADDRESS($B106,Plots!$H$4,,,Plots!$A$62))+INDIRECT(ADDRESS($B106,Plots!$H$4,,,Plots!$A$63))+INDIRECT(ADDRESS($B106,Plots!$H$4,,,Plots!$A$64))+INDIRECT(ADDRESS($B106,Plots!$H$4,,,Plots!$A$65))+INDIRECT(ADDRESS($B106,Plots!$H$4,,,Plots!$A$66))+INDIRECT(ADDRESS($B106,Plots!$H$4,,,Plots!$A$67))</f>
        <v>0</v>
      </c>
      <c r="R106">
        <f>'AARnetCBR-CamDTN1_tcpmon_ts_81'!J111+'AARnetCBR-CamDTN1_tcpmon_ts_82'!J111+'AARnetCBR-CamDTN1_tcpmon_ts_83'!J111+'AARnetCBR-CamDTN1_tcpmon_ts_84'!J111+'AARnetCBR-CamDTN1_tcpmon_ts_85'!J111+'AARnetCBR-CamDTN1_tcpmon_ts_86'!J111+'AARnetCBR-CamDTN1_tcpmon_ts_87'!J111+'AARnetCBR-CamDTN1_tcpmon_ts_88'!J111</f>
        <v>0</v>
      </c>
    </row>
    <row r="107" spans="1:18">
      <c r="A107" cm="1">
        <f t="array" aca="1" ref="A107" ca="1">INDIRECT(ADDRESS($B107,Plots!$H$6,,,Plots!$A$47))</f>
        <v>208</v>
      </c>
      <c r="B107">
        <f t="shared" si="2"/>
        <v>116</v>
      </c>
      <c r="C107" cm="1">
        <f t="array" aca="1" ref="C107" ca="1">INDIRECT(ADDRESS($B107,Plots!$H$3,,,Plots!$A$47))</f>
        <v>26.75</v>
      </c>
      <c r="D107" cm="1">
        <f t="array" aca="1" ref="D107" ca="1">INDIRECT(ADDRESS($B107,Plots!$H$3,,,Plots!$A$48))+INDIRECT(ADDRESS($B107,Plots!$H$3,,,Plots!$A$49))</f>
        <v>54.58</v>
      </c>
      <c r="E107" cm="1">
        <f t="array" aca="1" ref="E107" ca="1">INDIRECT(ADDRESS($B107,Plots!$H$3,,,Plots!$A$50))+INDIRECT(ADDRESS($B107,Plots!$H$3,,,Plots!$A$51))+INDIRECT(ADDRESS($B107,Plots!$H$3,,,Plots!$A$52))</f>
        <v>74.22</v>
      </c>
      <c r="F107" cm="1">
        <f t="array" aca="1" ref="F107" ca="1">INDIRECT(ADDRESS($B107,Plots!$H$3,,,Plots!$A$53))+INDIRECT(ADDRESS($B107,Plots!$H$3,,,Plots!$A$54))+INDIRECT(ADDRESS($B107,Plots!$H$3,,,Plots!$A$55))+INDIRECT(ADDRESS($B107,Plots!$H$3,,,Plots!$A$56))</f>
        <v>83.24</v>
      </c>
      <c r="G107" cm="1">
        <f t="array" aca="1" ref="G107" ca="1">INDIRECT(ADDRESS($B107,Plots!$H$3,,,Plots!$A$57))+INDIRECT(ADDRESS($B107,Plots!$H$3,,,Plots!$A$58))+INDIRECT(ADDRESS($B107,Plots!$H$3,,,Plots!$A$59))+INDIRECT(ADDRESS($B107,Plots!$H$3,,,Plots!$A$60))+INDIRECT(ADDRESS($B107,Plots!$H$3,,,Plots!$A$61))</f>
        <v>0</v>
      </c>
      <c r="H107">
        <f>'AARnetCBR-CamDTN1_tcpmon_ts_61'!C61+'AARnetCBR-CamDTN1_tcpmon_ts_62'!C61+'AARnetCBR-CamDTN1_tcpmon_ts_63'!C61+'AARnetCBR-CamDTN1_tcpmon_ts_64'!C61+'AARnetCBR-CamDTN1_tcpmon_ts_65'!C61+'AARnetCBR-CamDTN1_tcpmon_ts_66'!C61</f>
        <v>0</v>
      </c>
      <c r="I107">
        <f>'AARnetCBR-CamDTN1_tcpmon_ts_81'!C61+'AARnetCBR-CamDTN1_tcpmon_ts_82'!C61+'AARnetCBR-CamDTN1_tcpmon_ts_83'!C61+'AARnetCBR-CamDTN1_tcpmon_ts_84'!C61+'AARnetCBR-CamDTN1_tcpmon_ts_85'!C61+'AARnetCBR-CamDTN1_tcpmon_ts_86'!C61+'AARnetCBR-CamDTN1_tcpmon_ts_87'!C61+'AARnetCBR-CamDTN1_tcpmon_ts_88'!C61</f>
        <v>0</v>
      </c>
      <c r="L107" cm="1">
        <f t="array" aca="1" ref="L107" ca="1">INDIRECT(ADDRESS($B107,Plots!$H$4,,,Plots!$A$47))</f>
        <v>0</v>
      </c>
      <c r="M107" cm="1">
        <f t="array" aca="1" ref="M107" ca="1">INDIRECT(ADDRESS($B107,Plots!$H$4,,,Plots!$A$48))+INDIRECT(ADDRESS($B107,Plots!$H$4,,,Plots!$A$49))</f>
        <v>0</v>
      </c>
      <c r="N107" cm="1">
        <f t="array" aca="1" ref="N107" ca="1">INDIRECT(ADDRESS($B107,Plots!$H$4,,,Plots!$A$50))+INDIRECT(ADDRESS($B107,Plots!$H$4,,,Plots!$A$51))+INDIRECT(ADDRESS($B107,Plots!$H$4,,,Plots!$A$52))</f>
        <v>0</v>
      </c>
      <c r="O107" cm="1">
        <f t="array" aca="1" ref="O107" ca="1">INDIRECT(ADDRESS($B107,Plots!$H$4,,,Plots!$A$53))+INDIRECT(ADDRESS($B107,Plots!$H$4,,,Plots!$A$54))+INDIRECT(ADDRESS($B107,Plots!$H$4,,,Plots!$A$55))+INDIRECT(ADDRESS($B107,Plots!$H$4,,,Plots!$A$56))</f>
        <v>0</v>
      </c>
      <c r="P107" cm="1">
        <f t="array" aca="1" ref="P107" ca="1">INDIRECT(ADDRESS($B107,Plots!$H$4,,,Plots!$A$57))+INDIRECT(ADDRESS($B107,Plots!$H$4,,,Plots!$A$58))+INDIRECT(ADDRESS($B107,Plots!$H$4,,,Plots!$A$59))+INDIRECT(ADDRESS($B107,Plots!$H$4,,,Plots!$A$60))+INDIRECT(ADDRESS($B107,Plots!$H$4,,,Plots!$A$61))</f>
        <v>0</v>
      </c>
      <c r="Q107" cm="1">
        <f t="array" aca="1" ref="Q107" ca="1">INDIRECT(ADDRESS($B107,Plots!$H$4,,,Plots!$A$62))+INDIRECT(ADDRESS($B107,Plots!$H$4,,,Plots!$A$63))+INDIRECT(ADDRESS($B107,Plots!$H$4,,,Plots!$A$64))+INDIRECT(ADDRESS($B107,Plots!$H$4,,,Plots!$A$65))+INDIRECT(ADDRESS($B107,Plots!$H$4,,,Plots!$A$66))+INDIRECT(ADDRESS($B107,Plots!$H$4,,,Plots!$A$67))</f>
        <v>0</v>
      </c>
      <c r="R107">
        <f>'AARnetCBR-CamDTN1_tcpmon_ts_81'!J112+'AARnetCBR-CamDTN1_tcpmon_ts_82'!J112+'AARnetCBR-CamDTN1_tcpmon_ts_83'!J112+'AARnetCBR-CamDTN1_tcpmon_ts_84'!J112+'AARnetCBR-CamDTN1_tcpmon_ts_85'!J112+'AARnetCBR-CamDTN1_tcpmon_ts_86'!J112+'AARnetCBR-CamDTN1_tcpmon_ts_87'!J112+'AARnetCBR-CamDTN1_tcpmon_ts_88'!J112</f>
        <v>0</v>
      </c>
    </row>
    <row r="108" spans="1:18">
      <c r="A108" cm="1">
        <f t="array" aca="1" ref="A108" ca="1">INDIRECT(ADDRESS($B108,Plots!$H$6,,,Plots!$A$47))</f>
        <v>210</v>
      </c>
      <c r="B108">
        <f t="shared" si="2"/>
        <v>117</v>
      </c>
      <c r="C108" cm="1">
        <f t="array" aca="1" ref="C108" ca="1">INDIRECT(ADDRESS($B108,Plots!$H$3,,,Plots!$A$47))</f>
        <v>25.81</v>
      </c>
      <c r="D108" cm="1">
        <f t="array" aca="1" ref="D108" ca="1">INDIRECT(ADDRESS($B108,Plots!$H$3,,,Plots!$A$48))+INDIRECT(ADDRESS($B108,Plots!$H$3,,,Plots!$A$49))</f>
        <v>56.34</v>
      </c>
      <c r="E108" cm="1">
        <f t="array" aca="1" ref="E108" ca="1">INDIRECT(ADDRESS($B108,Plots!$H$3,,,Plots!$A$50))+INDIRECT(ADDRESS($B108,Plots!$H$3,,,Plots!$A$51))+INDIRECT(ADDRESS($B108,Plots!$H$3,,,Plots!$A$52))</f>
        <v>60.349999999999994</v>
      </c>
      <c r="F108" cm="1">
        <f t="array" aca="1" ref="F108" ca="1">INDIRECT(ADDRESS($B108,Plots!$H$3,,,Plots!$A$53))+INDIRECT(ADDRESS($B108,Plots!$H$3,,,Plots!$A$54))+INDIRECT(ADDRESS($B108,Plots!$H$3,,,Plots!$A$55))+INDIRECT(ADDRESS($B108,Plots!$H$3,,,Plots!$A$56))</f>
        <v>90.67</v>
      </c>
      <c r="G108" cm="1">
        <f t="array" aca="1" ref="G108" ca="1">INDIRECT(ADDRESS($B108,Plots!$H$3,,,Plots!$A$57))+INDIRECT(ADDRESS($B108,Plots!$H$3,,,Plots!$A$58))+INDIRECT(ADDRESS($B108,Plots!$H$3,,,Plots!$A$59))+INDIRECT(ADDRESS($B108,Plots!$H$3,,,Plots!$A$60))+INDIRECT(ADDRESS($B108,Plots!$H$3,,,Plots!$A$61))</f>
        <v>0</v>
      </c>
      <c r="H108">
        <f>'AARnetCBR-CamDTN1_tcpmon_ts_61'!C62+'AARnetCBR-CamDTN1_tcpmon_ts_62'!C62+'AARnetCBR-CamDTN1_tcpmon_ts_63'!C62+'AARnetCBR-CamDTN1_tcpmon_ts_64'!C62+'AARnetCBR-CamDTN1_tcpmon_ts_65'!C62+'AARnetCBR-CamDTN1_tcpmon_ts_66'!C62</f>
        <v>0</v>
      </c>
      <c r="I108">
        <f>'AARnetCBR-CamDTN1_tcpmon_ts_81'!C62+'AARnetCBR-CamDTN1_tcpmon_ts_82'!C62+'AARnetCBR-CamDTN1_tcpmon_ts_83'!C62+'AARnetCBR-CamDTN1_tcpmon_ts_84'!C62+'AARnetCBR-CamDTN1_tcpmon_ts_85'!C62+'AARnetCBR-CamDTN1_tcpmon_ts_86'!C62+'AARnetCBR-CamDTN1_tcpmon_ts_87'!C62+'AARnetCBR-CamDTN1_tcpmon_ts_88'!C62</f>
        <v>0</v>
      </c>
      <c r="L108" cm="1">
        <f t="array" aca="1" ref="L108" ca="1">INDIRECT(ADDRESS($B108,Plots!$H$4,,,Plots!$A$47))</f>
        <v>0</v>
      </c>
      <c r="M108" cm="1">
        <f t="array" aca="1" ref="M108" ca="1">INDIRECT(ADDRESS($B108,Plots!$H$4,,,Plots!$A$48))+INDIRECT(ADDRESS($B108,Plots!$H$4,,,Plots!$A$49))</f>
        <v>0</v>
      </c>
      <c r="N108" cm="1">
        <f t="array" aca="1" ref="N108" ca="1">INDIRECT(ADDRESS($B108,Plots!$H$4,,,Plots!$A$50))+INDIRECT(ADDRESS($B108,Plots!$H$4,,,Plots!$A$51))+INDIRECT(ADDRESS($B108,Plots!$H$4,,,Plots!$A$52))</f>
        <v>0</v>
      </c>
      <c r="O108" cm="1">
        <f t="array" aca="1" ref="O108" ca="1">INDIRECT(ADDRESS($B108,Plots!$H$4,,,Plots!$A$53))+INDIRECT(ADDRESS($B108,Plots!$H$4,,,Plots!$A$54))+INDIRECT(ADDRESS($B108,Plots!$H$4,,,Plots!$A$55))+INDIRECT(ADDRESS($B108,Plots!$H$4,,,Plots!$A$56))</f>
        <v>0</v>
      </c>
      <c r="P108" cm="1">
        <f t="array" aca="1" ref="P108" ca="1">INDIRECT(ADDRESS($B108,Plots!$H$4,,,Plots!$A$57))+INDIRECT(ADDRESS($B108,Plots!$H$4,,,Plots!$A$58))+INDIRECT(ADDRESS($B108,Plots!$H$4,,,Plots!$A$59))+INDIRECT(ADDRESS($B108,Plots!$H$4,,,Plots!$A$60))+INDIRECT(ADDRESS($B108,Plots!$H$4,,,Plots!$A$61))</f>
        <v>0</v>
      </c>
      <c r="Q108" cm="1">
        <f t="array" aca="1" ref="Q108" ca="1">INDIRECT(ADDRESS($B108,Plots!$H$4,,,Plots!$A$62))+INDIRECT(ADDRESS($B108,Plots!$H$4,,,Plots!$A$63))+INDIRECT(ADDRESS($B108,Plots!$H$4,,,Plots!$A$64))+INDIRECT(ADDRESS($B108,Plots!$H$4,,,Plots!$A$65))+INDIRECT(ADDRESS($B108,Plots!$H$4,,,Plots!$A$66))+INDIRECT(ADDRESS($B108,Plots!$H$4,,,Plots!$A$67))</f>
        <v>0</v>
      </c>
      <c r="R108">
        <f>'AARnetCBR-CamDTN1_tcpmon_ts_81'!J113+'AARnetCBR-CamDTN1_tcpmon_ts_82'!J113+'AARnetCBR-CamDTN1_tcpmon_ts_83'!J113+'AARnetCBR-CamDTN1_tcpmon_ts_84'!J113+'AARnetCBR-CamDTN1_tcpmon_ts_85'!J113+'AARnetCBR-CamDTN1_tcpmon_ts_86'!J113+'AARnetCBR-CamDTN1_tcpmon_ts_87'!J113+'AARnetCBR-CamDTN1_tcpmon_ts_88'!J113</f>
        <v>0</v>
      </c>
    </row>
    <row r="109" spans="1:18">
      <c r="A109" cm="1">
        <f t="array" aca="1" ref="A109" ca="1">INDIRECT(ADDRESS($B109,Plots!$H$6,,,Plots!$A$47))</f>
        <v>212</v>
      </c>
      <c r="B109">
        <f t="shared" si="2"/>
        <v>118</v>
      </c>
      <c r="C109" cm="1">
        <f t="array" aca="1" ref="C109" ca="1">INDIRECT(ADDRESS($B109,Plots!$H$3,,,Plots!$A$47))</f>
        <v>26.57</v>
      </c>
      <c r="D109" cm="1">
        <f t="array" aca="1" ref="D109" ca="1">INDIRECT(ADDRESS($B109,Plots!$H$3,,,Plots!$A$48))+INDIRECT(ADDRESS($B109,Plots!$H$3,,,Plots!$A$49))</f>
        <v>60.16</v>
      </c>
      <c r="E109" cm="1">
        <f t="array" aca="1" ref="E109" ca="1">INDIRECT(ADDRESS($B109,Plots!$H$3,,,Plots!$A$50))+INDIRECT(ADDRESS($B109,Plots!$H$3,,,Plots!$A$51))+INDIRECT(ADDRESS($B109,Plots!$H$3,,,Plots!$A$52))</f>
        <v>74.14</v>
      </c>
      <c r="F109" cm="1">
        <f t="array" aca="1" ref="F109" ca="1">INDIRECT(ADDRESS($B109,Plots!$H$3,,,Plots!$A$53))+INDIRECT(ADDRESS($B109,Plots!$H$3,,,Plots!$A$54))+INDIRECT(ADDRESS($B109,Plots!$H$3,,,Plots!$A$55))+INDIRECT(ADDRESS($B109,Plots!$H$3,,,Plots!$A$56))</f>
        <v>83.03</v>
      </c>
      <c r="G109" cm="1">
        <f t="array" aca="1" ref="G109" ca="1">INDIRECT(ADDRESS($B109,Plots!$H$3,,,Plots!$A$57))+INDIRECT(ADDRESS($B109,Plots!$H$3,,,Plots!$A$58))+INDIRECT(ADDRESS($B109,Plots!$H$3,,,Plots!$A$59))+INDIRECT(ADDRESS($B109,Plots!$H$3,,,Plots!$A$60))+INDIRECT(ADDRESS($B109,Plots!$H$3,,,Plots!$A$61))</f>
        <v>0</v>
      </c>
      <c r="H109">
        <f>'AARnetCBR-CamDTN1_tcpmon_ts_61'!C63+'AARnetCBR-CamDTN1_tcpmon_ts_62'!C63+'AARnetCBR-CamDTN1_tcpmon_ts_63'!C63+'AARnetCBR-CamDTN1_tcpmon_ts_64'!C63+'AARnetCBR-CamDTN1_tcpmon_ts_65'!C63+'AARnetCBR-CamDTN1_tcpmon_ts_66'!C63</f>
        <v>0</v>
      </c>
      <c r="I109">
        <f>'AARnetCBR-CamDTN1_tcpmon_ts_81'!C63+'AARnetCBR-CamDTN1_tcpmon_ts_82'!C63+'AARnetCBR-CamDTN1_tcpmon_ts_83'!C63+'AARnetCBR-CamDTN1_tcpmon_ts_84'!C63+'AARnetCBR-CamDTN1_tcpmon_ts_85'!C63+'AARnetCBR-CamDTN1_tcpmon_ts_86'!C63+'AARnetCBR-CamDTN1_tcpmon_ts_87'!C63+'AARnetCBR-CamDTN1_tcpmon_ts_88'!C63</f>
        <v>0</v>
      </c>
      <c r="L109" cm="1">
        <f t="array" aca="1" ref="L109" ca="1">INDIRECT(ADDRESS($B109,Plots!$H$4,,,Plots!$A$47))</f>
        <v>0</v>
      </c>
      <c r="M109" cm="1">
        <f t="array" aca="1" ref="M109" ca="1">INDIRECT(ADDRESS($B109,Plots!$H$4,,,Plots!$A$48))+INDIRECT(ADDRESS($B109,Plots!$H$4,,,Plots!$A$49))</f>
        <v>0</v>
      </c>
      <c r="N109" cm="1">
        <f t="array" aca="1" ref="N109" ca="1">INDIRECT(ADDRESS($B109,Plots!$H$4,,,Plots!$A$50))+INDIRECT(ADDRESS($B109,Plots!$H$4,,,Plots!$A$51))+INDIRECT(ADDRESS($B109,Plots!$H$4,,,Plots!$A$52))</f>
        <v>0</v>
      </c>
      <c r="O109" cm="1">
        <f t="array" aca="1" ref="O109" ca="1">INDIRECT(ADDRESS($B109,Plots!$H$4,,,Plots!$A$53))+INDIRECT(ADDRESS($B109,Plots!$H$4,,,Plots!$A$54))+INDIRECT(ADDRESS($B109,Plots!$H$4,,,Plots!$A$55))+INDIRECT(ADDRESS($B109,Plots!$H$4,,,Plots!$A$56))</f>
        <v>0</v>
      </c>
      <c r="P109" cm="1">
        <f t="array" aca="1" ref="P109" ca="1">INDIRECT(ADDRESS($B109,Plots!$H$4,,,Plots!$A$57))+INDIRECT(ADDRESS($B109,Plots!$H$4,,,Plots!$A$58))+INDIRECT(ADDRESS($B109,Plots!$H$4,,,Plots!$A$59))+INDIRECT(ADDRESS($B109,Plots!$H$4,,,Plots!$A$60))+INDIRECT(ADDRESS($B109,Plots!$H$4,,,Plots!$A$61))</f>
        <v>0</v>
      </c>
      <c r="Q109" cm="1">
        <f t="array" aca="1" ref="Q109" ca="1">INDIRECT(ADDRESS($B109,Plots!$H$4,,,Plots!$A$62))+INDIRECT(ADDRESS($B109,Plots!$H$4,,,Plots!$A$63))+INDIRECT(ADDRESS($B109,Plots!$H$4,,,Plots!$A$64))+INDIRECT(ADDRESS($B109,Plots!$H$4,,,Plots!$A$65))+INDIRECT(ADDRESS($B109,Plots!$H$4,,,Plots!$A$66))+INDIRECT(ADDRESS($B109,Plots!$H$4,,,Plots!$A$67))</f>
        <v>0</v>
      </c>
      <c r="R109">
        <f>'AARnetCBR-CamDTN1_tcpmon_ts_81'!J114+'AARnetCBR-CamDTN1_tcpmon_ts_82'!J114+'AARnetCBR-CamDTN1_tcpmon_ts_83'!J114+'AARnetCBR-CamDTN1_tcpmon_ts_84'!J114+'AARnetCBR-CamDTN1_tcpmon_ts_85'!J114+'AARnetCBR-CamDTN1_tcpmon_ts_86'!J114+'AARnetCBR-CamDTN1_tcpmon_ts_87'!J114+'AARnetCBR-CamDTN1_tcpmon_ts_88'!J114</f>
        <v>0</v>
      </c>
    </row>
    <row r="110" spans="1:18">
      <c r="A110" cm="1">
        <f t="array" aca="1" ref="A110" ca="1">INDIRECT(ADDRESS($B110,Plots!$H$6,,,Plots!$A$47))</f>
        <v>214</v>
      </c>
      <c r="B110">
        <f t="shared" si="2"/>
        <v>119</v>
      </c>
      <c r="C110" cm="1">
        <f t="array" aca="1" ref="C110" ca="1">INDIRECT(ADDRESS($B110,Plots!$H$3,,,Plots!$A$47))</f>
        <v>26.24</v>
      </c>
      <c r="D110" cm="1">
        <f t="array" aca="1" ref="D110" ca="1">INDIRECT(ADDRESS($B110,Plots!$H$3,,,Plots!$A$48))+INDIRECT(ADDRESS($B110,Plots!$H$3,,,Plots!$A$49))</f>
        <v>57.849999999999994</v>
      </c>
      <c r="E110" cm="1">
        <f t="array" aca="1" ref="E110" ca="1">INDIRECT(ADDRESS($B110,Plots!$H$3,,,Plots!$A$50))+INDIRECT(ADDRESS($B110,Plots!$H$3,,,Plots!$A$51))+INDIRECT(ADDRESS($B110,Plots!$H$3,,,Plots!$A$52))</f>
        <v>61.76</v>
      </c>
      <c r="F110" cm="1">
        <f t="array" aca="1" ref="F110" ca="1">INDIRECT(ADDRESS($B110,Plots!$H$3,,,Plots!$A$53))+INDIRECT(ADDRESS($B110,Plots!$H$3,,,Plots!$A$54))+INDIRECT(ADDRESS($B110,Plots!$H$3,,,Plots!$A$55))+INDIRECT(ADDRESS($B110,Plots!$H$3,,,Plots!$A$56))</f>
        <v>89</v>
      </c>
      <c r="G110" cm="1">
        <f t="array" aca="1" ref="G110" ca="1">INDIRECT(ADDRESS($B110,Plots!$H$3,,,Plots!$A$57))+INDIRECT(ADDRESS($B110,Plots!$H$3,,,Plots!$A$58))+INDIRECT(ADDRESS($B110,Plots!$H$3,,,Plots!$A$59))+INDIRECT(ADDRESS($B110,Plots!$H$3,,,Plots!$A$60))+INDIRECT(ADDRESS($B110,Plots!$H$3,,,Plots!$A$61))</f>
        <v>0</v>
      </c>
      <c r="H110">
        <f>'AARnetCBR-CamDTN1_tcpmon_ts_61'!C64+'AARnetCBR-CamDTN1_tcpmon_ts_62'!C64+'AARnetCBR-CamDTN1_tcpmon_ts_63'!C64+'AARnetCBR-CamDTN1_tcpmon_ts_64'!C64+'AARnetCBR-CamDTN1_tcpmon_ts_65'!C64+'AARnetCBR-CamDTN1_tcpmon_ts_66'!C64</f>
        <v>0</v>
      </c>
      <c r="I110">
        <f>'AARnetCBR-CamDTN1_tcpmon_ts_81'!C64+'AARnetCBR-CamDTN1_tcpmon_ts_82'!C64+'AARnetCBR-CamDTN1_tcpmon_ts_83'!C64+'AARnetCBR-CamDTN1_tcpmon_ts_84'!C64+'AARnetCBR-CamDTN1_tcpmon_ts_85'!C64+'AARnetCBR-CamDTN1_tcpmon_ts_86'!C64+'AARnetCBR-CamDTN1_tcpmon_ts_87'!C64+'AARnetCBR-CamDTN1_tcpmon_ts_88'!C64</f>
        <v>0</v>
      </c>
      <c r="L110" cm="1">
        <f t="array" aca="1" ref="L110" ca="1">INDIRECT(ADDRESS($B110,Plots!$H$4,,,Plots!$A$47))</f>
        <v>0</v>
      </c>
      <c r="M110" cm="1">
        <f t="array" aca="1" ref="M110" ca="1">INDIRECT(ADDRESS($B110,Plots!$H$4,,,Plots!$A$48))+INDIRECT(ADDRESS($B110,Plots!$H$4,,,Plots!$A$49))</f>
        <v>0</v>
      </c>
      <c r="N110" cm="1">
        <f t="array" aca="1" ref="N110" ca="1">INDIRECT(ADDRESS($B110,Plots!$H$4,,,Plots!$A$50))+INDIRECT(ADDRESS($B110,Plots!$H$4,,,Plots!$A$51))+INDIRECT(ADDRESS($B110,Plots!$H$4,,,Plots!$A$52))</f>
        <v>0</v>
      </c>
      <c r="O110" cm="1">
        <f t="array" aca="1" ref="O110" ca="1">INDIRECT(ADDRESS($B110,Plots!$H$4,,,Plots!$A$53))+INDIRECT(ADDRESS($B110,Plots!$H$4,,,Plots!$A$54))+INDIRECT(ADDRESS($B110,Plots!$H$4,,,Plots!$A$55))+INDIRECT(ADDRESS($B110,Plots!$H$4,,,Plots!$A$56))</f>
        <v>0</v>
      </c>
      <c r="P110" cm="1">
        <f t="array" aca="1" ref="P110" ca="1">INDIRECT(ADDRESS($B110,Plots!$H$4,,,Plots!$A$57))+INDIRECT(ADDRESS($B110,Plots!$H$4,,,Plots!$A$58))+INDIRECT(ADDRESS($B110,Plots!$H$4,,,Plots!$A$59))+INDIRECT(ADDRESS($B110,Plots!$H$4,,,Plots!$A$60))+INDIRECT(ADDRESS($B110,Plots!$H$4,,,Plots!$A$61))</f>
        <v>0</v>
      </c>
      <c r="Q110" cm="1">
        <f t="array" aca="1" ref="Q110" ca="1">INDIRECT(ADDRESS($B110,Plots!$H$4,,,Plots!$A$62))+INDIRECT(ADDRESS($B110,Plots!$H$4,,,Plots!$A$63))+INDIRECT(ADDRESS($B110,Plots!$H$4,,,Plots!$A$64))+INDIRECT(ADDRESS($B110,Plots!$H$4,,,Plots!$A$65))+INDIRECT(ADDRESS($B110,Plots!$H$4,,,Plots!$A$66))+INDIRECT(ADDRESS($B110,Plots!$H$4,,,Plots!$A$67))</f>
        <v>0</v>
      </c>
      <c r="R110">
        <f>'AARnetCBR-CamDTN1_tcpmon_ts_81'!J115+'AARnetCBR-CamDTN1_tcpmon_ts_82'!J115+'AARnetCBR-CamDTN1_tcpmon_ts_83'!J115+'AARnetCBR-CamDTN1_tcpmon_ts_84'!J115+'AARnetCBR-CamDTN1_tcpmon_ts_85'!J115+'AARnetCBR-CamDTN1_tcpmon_ts_86'!J115+'AARnetCBR-CamDTN1_tcpmon_ts_87'!J115+'AARnetCBR-CamDTN1_tcpmon_ts_88'!J115</f>
        <v>0</v>
      </c>
    </row>
    <row r="111" spans="1:18">
      <c r="A111" cm="1">
        <f t="array" aca="1" ref="A111" ca="1">INDIRECT(ADDRESS($B111,Plots!$H$6,,,Plots!$A$47))</f>
        <v>216</v>
      </c>
      <c r="B111">
        <f t="shared" si="2"/>
        <v>120</v>
      </c>
      <c r="C111" cm="1">
        <f t="array" aca="1" ref="C111" ca="1">INDIRECT(ADDRESS($B111,Plots!$H$3,,,Plots!$A$47))</f>
        <v>26.23</v>
      </c>
      <c r="D111" cm="1">
        <f t="array" aca="1" ref="D111" ca="1">INDIRECT(ADDRESS($B111,Plots!$H$3,,,Plots!$A$48))+INDIRECT(ADDRESS($B111,Plots!$H$3,,,Plots!$A$49))</f>
        <v>54.28</v>
      </c>
      <c r="E111" cm="1">
        <f t="array" aca="1" ref="E111" ca="1">INDIRECT(ADDRESS($B111,Plots!$H$3,,,Plots!$A$50))+INDIRECT(ADDRESS($B111,Plots!$H$3,,,Plots!$A$51))+INDIRECT(ADDRESS($B111,Plots!$H$3,,,Plots!$A$52))</f>
        <v>73.72</v>
      </c>
      <c r="F111" cm="1">
        <f t="array" aca="1" ref="F111" ca="1">INDIRECT(ADDRESS($B111,Plots!$H$3,,,Plots!$A$53))+INDIRECT(ADDRESS($B111,Plots!$H$3,,,Plots!$A$54))+INDIRECT(ADDRESS($B111,Plots!$H$3,,,Plots!$A$55))+INDIRECT(ADDRESS($B111,Plots!$H$3,,,Plots!$A$56))</f>
        <v>82.59</v>
      </c>
      <c r="G111" cm="1">
        <f t="array" aca="1" ref="G111" ca="1">INDIRECT(ADDRESS($B111,Plots!$H$3,,,Plots!$A$57))+INDIRECT(ADDRESS($B111,Plots!$H$3,,,Plots!$A$58))+INDIRECT(ADDRESS($B111,Plots!$H$3,,,Plots!$A$59))+INDIRECT(ADDRESS($B111,Plots!$H$3,,,Plots!$A$60))+INDIRECT(ADDRESS($B111,Plots!$H$3,,,Plots!$A$61))</f>
        <v>0</v>
      </c>
      <c r="H111">
        <f>'AARnetCBR-CamDTN1_tcpmon_ts_61'!C65+'AARnetCBR-CamDTN1_tcpmon_ts_62'!C65+'AARnetCBR-CamDTN1_tcpmon_ts_63'!C65+'AARnetCBR-CamDTN1_tcpmon_ts_64'!C65+'AARnetCBR-CamDTN1_tcpmon_ts_65'!C65+'AARnetCBR-CamDTN1_tcpmon_ts_66'!C65</f>
        <v>0</v>
      </c>
      <c r="I111">
        <f>'AARnetCBR-CamDTN1_tcpmon_ts_81'!C65+'AARnetCBR-CamDTN1_tcpmon_ts_82'!C65+'AARnetCBR-CamDTN1_tcpmon_ts_83'!C65+'AARnetCBR-CamDTN1_tcpmon_ts_84'!C65+'AARnetCBR-CamDTN1_tcpmon_ts_85'!C65+'AARnetCBR-CamDTN1_tcpmon_ts_86'!C65+'AARnetCBR-CamDTN1_tcpmon_ts_87'!C65+'AARnetCBR-CamDTN1_tcpmon_ts_88'!C65</f>
        <v>0</v>
      </c>
      <c r="L111" cm="1">
        <f t="array" aca="1" ref="L111" ca="1">INDIRECT(ADDRESS($B111,Plots!$H$4,,,Plots!$A$47))</f>
        <v>0</v>
      </c>
      <c r="M111" cm="1">
        <f t="array" aca="1" ref="M111" ca="1">INDIRECT(ADDRESS($B111,Plots!$H$4,,,Plots!$A$48))+INDIRECT(ADDRESS($B111,Plots!$H$4,,,Plots!$A$49))</f>
        <v>0</v>
      </c>
      <c r="N111" cm="1">
        <f t="array" aca="1" ref="N111" ca="1">INDIRECT(ADDRESS($B111,Plots!$H$4,,,Plots!$A$50))+INDIRECT(ADDRESS($B111,Plots!$H$4,,,Plots!$A$51))+INDIRECT(ADDRESS($B111,Plots!$H$4,,,Plots!$A$52))</f>
        <v>0</v>
      </c>
      <c r="O111" cm="1">
        <f t="array" aca="1" ref="O111" ca="1">INDIRECT(ADDRESS($B111,Plots!$H$4,,,Plots!$A$53))+INDIRECT(ADDRESS($B111,Plots!$H$4,,,Plots!$A$54))+INDIRECT(ADDRESS($B111,Plots!$H$4,,,Plots!$A$55))+INDIRECT(ADDRESS($B111,Plots!$H$4,,,Plots!$A$56))</f>
        <v>0</v>
      </c>
      <c r="P111" cm="1">
        <f t="array" aca="1" ref="P111" ca="1">INDIRECT(ADDRESS($B111,Plots!$H$4,,,Plots!$A$57))+INDIRECT(ADDRESS($B111,Plots!$H$4,,,Plots!$A$58))+INDIRECT(ADDRESS($B111,Plots!$H$4,,,Plots!$A$59))+INDIRECT(ADDRESS($B111,Plots!$H$4,,,Plots!$A$60))+INDIRECT(ADDRESS($B111,Plots!$H$4,,,Plots!$A$61))</f>
        <v>0</v>
      </c>
      <c r="Q111" cm="1">
        <f t="array" aca="1" ref="Q111" ca="1">INDIRECT(ADDRESS($B111,Plots!$H$4,,,Plots!$A$62))+INDIRECT(ADDRESS($B111,Plots!$H$4,,,Plots!$A$63))+INDIRECT(ADDRESS($B111,Plots!$H$4,,,Plots!$A$64))+INDIRECT(ADDRESS($B111,Plots!$H$4,,,Plots!$A$65))+INDIRECT(ADDRESS($B111,Plots!$H$4,,,Plots!$A$66))+INDIRECT(ADDRESS($B111,Plots!$H$4,,,Plots!$A$67))</f>
        <v>0</v>
      </c>
      <c r="R111">
        <f>'AARnetCBR-CamDTN1_tcpmon_ts_81'!J116+'AARnetCBR-CamDTN1_tcpmon_ts_82'!J116+'AARnetCBR-CamDTN1_tcpmon_ts_83'!J116+'AARnetCBR-CamDTN1_tcpmon_ts_84'!J116+'AARnetCBR-CamDTN1_tcpmon_ts_85'!J116+'AARnetCBR-CamDTN1_tcpmon_ts_86'!J116+'AARnetCBR-CamDTN1_tcpmon_ts_87'!J116+'AARnetCBR-CamDTN1_tcpmon_ts_88'!J116</f>
        <v>0</v>
      </c>
    </row>
    <row r="112" spans="1:18">
      <c r="A112" cm="1">
        <f t="array" aca="1" ref="A112" ca="1">INDIRECT(ADDRESS($B112,Plots!$H$6,,,Plots!$A$47))</f>
        <v>218</v>
      </c>
      <c r="B112">
        <f t="shared" si="2"/>
        <v>121</v>
      </c>
      <c r="C112" cm="1">
        <f t="array" aca="1" ref="C112" ca="1">INDIRECT(ADDRESS($B112,Plots!$H$3,,,Plots!$A$47))</f>
        <v>26.12</v>
      </c>
      <c r="D112" cm="1">
        <f t="array" aca="1" ref="D112" ca="1">INDIRECT(ADDRESS($B112,Plots!$H$3,,,Plots!$A$48))+INDIRECT(ADDRESS($B112,Plots!$H$3,,,Plots!$A$49))</f>
        <v>61.83</v>
      </c>
      <c r="E112" cm="1">
        <f t="array" aca="1" ref="E112" ca="1">INDIRECT(ADDRESS($B112,Plots!$H$3,,,Plots!$A$50))+INDIRECT(ADDRESS($B112,Plots!$H$3,,,Plots!$A$51))+INDIRECT(ADDRESS($B112,Plots!$H$3,,,Plots!$A$52))</f>
        <v>60.320000000000007</v>
      </c>
      <c r="F112" cm="1">
        <f t="array" aca="1" ref="F112" ca="1">INDIRECT(ADDRESS($B112,Plots!$H$3,,,Plots!$A$53))+INDIRECT(ADDRESS($B112,Plots!$H$3,,,Plots!$A$54))+INDIRECT(ADDRESS($B112,Plots!$H$3,,,Plots!$A$55))+INDIRECT(ADDRESS($B112,Plots!$H$3,,,Plots!$A$56))</f>
        <v>89.71</v>
      </c>
      <c r="G112" cm="1">
        <f t="array" aca="1" ref="G112" ca="1">INDIRECT(ADDRESS($B112,Plots!$H$3,,,Plots!$A$57))+INDIRECT(ADDRESS($B112,Plots!$H$3,,,Plots!$A$58))+INDIRECT(ADDRESS($B112,Plots!$H$3,,,Plots!$A$59))+INDIRECT(ADDRESS($B112,Plots!$H$3,,,Plots!$A$60))+INDIRECT(ADDRESS($B112,Plots!$H$3,,,Plots!$A$61))</f>
        <v>0</v>
      </c>
      <c r="H112">
        <f>'AARnetCBR-CamDTN1_tcpmon_ts_61'!C66+'AARnetCBR-CamDTN1_tcpmon_ts_62'!C66+'AARnetCBR-CamDTN1_tcpmon_ts_63'!C66+'AARnetCBR-CamDTN1_tcpmon_ts_64'!C66+'AARnetCBR-CamDTN1_tcpmon_ts_65'!C66+'AARnetCBR-CamDTN1_tcpmon_ts_66'!C66</f>
        <v>0</v>
      </c>
      <c r="I112">
        <f>'AARnetCBR-CamDTN1_tcpmon_ts_81'!C66+'AARnetCBR-CamDTN1_tcpmon_ts_82'!C66+'AARnetCBR-CamDTN1_tcpmon_ts_83'!C66+'AARnetCBR-CamDTN1_tcpmon_ts_84'!C66+'AARnetCBR-CamDTN1_tcpmon_ts_85'!C66+'AARnetCBR-CamDTN1_tcpmon_ts_86'!C66+'AARnetCBR-CamDTN1_tcpmon_ts_87'!C66+'AARnetCBR-CamDTN1_tcpmon_ts_88'!C66</f>
        <v>0</v>
      </c>
      <c r="L112" cm="1">
        <f t="array" aca="1" ref="L112" ca="1">INDIRECT(ADDRESS($B112,Plots!$H$4,,,Plots!$A$47))</f>
        <v>0</v>
      </c>
      <c r="M112" cm="1">
        <f t="array" aca="1" ref="M112" ca="1">INDIRECT(ADDRESS($B112,Plots!$H$4,,,Plots!$A$48))+INDIRECT(ADDRESS($B112,Plots!$H$4,,,Plots!$A$49))</f>
        <v>0</v>
      </c>
      <c r="N112" cm="1">
        <f t="array" aca="1" ref="N112" ca="1">INDIRECT(ADDRESS($B112,Plots!$H$4,,,Plots!$A$50))+INDIRECT(ADDRESS($B112,Plots!$H$4,,,Plots!$A$51))+INDIRECT(ADDRESS($B112,Plots!$H$4,,,Plots!$A$52))</f>
        <v>0</v>
      </c>
      <c r="O112" cm="1">
        <f t="array" aca="1" ref="O112" ca="1">INDIRECT(ADDRESS($B112,Plots!$H$4,,,Plots!$A$53))+INDIRECT(ADDRESS($B112,Plots!$H$4,,,Plots!$A$54))+INDIRECT(ADDRESS($B112,Plots!$H$4,,,Plots!$A$55))+INDIRECT(ADDRESS($B112,Plots!$H$4,,,Plots!$A$56))</f>
        <v>0</v>
      </c>
      <c r="P112" cm="1">
        <f t="array" aca="1" ref="P112" ca="1">INDIRECT(ADDRESS($B112,Plots!$H$4,,,Plots!$A$57))+INDIRECT(ADDRESS($B112,Plots!$H$4,,,Plots!$A$58))+INDIRECT(ADDRESS($B112,Plots!$H$4,,,Plots!$A$59))+INDIRECT(ADDRESS($B112,Plots!$H$4,,,Plots!$A$60))+INDIRECT(ADDRESS($B112,Plots!$H$4,,,Plots!$A$61))</f>
        <v>0</v>
      </c>
      <c r="Q112" cm="1">
        <f t="array" aca="1" ref="Q112" ca="1">INDIRECT(ADDRESS($B112,Plots!$H$4,,,Plots!$A$62))+INDIRECT(ADDRESS($B112,Plots!$H$4,,,Plots!$A$63))+INDIRECT(ADDRESS($B112,Plots!$H$4,,,Plots!$A$64))+INDIRECT(ADDRESS($B112,Plots!$H$4,,,Plots!$A$65))+INDIRECT(ADDRESS($B112,Plots!$H$4,,,Plots!$A$66))+INDIRECT(ADDRESS($B112,Plots!$H$4,,,Plots!$A$67))</f>
        <v>0</v>
      </c>
      <c r="R112">
        <f>'AARnetCBR-CamDTN1_tcpmon_ts_81'!J117+'AARnetCBR-CamDTN1_tcpmon_ts_82'!J117+'AARnetCBR-CamDTN1_tcpmon_ts_83'!J117+'AARnetCBR-CamDTN1_tcpmon_ts_84'!J117+'AARnetCBR-CamDTN1_tcpmon_ts_85'!J117+'AARnetCBR-CamDTN1_tcpmon_ts_86'!J117+'AARnetCBR-CamDTN1_tcpmon_ts_87'!J117+'AARnetCBR-CamDTN1_tcpmon_ts_88'!J117</f>
        <v>0</v>
      </c>
    </row>
    <row r="113" spans="1:18">
      <c r="A113" cm="1">
        <f t="array" aca="1" ref="A113" ca="1">INDIRECT(ADDRESS($B113,Plots!$H$6,,,Plots!$A$47))</f>
        <v>220</v>
      </c>
      <c r="B113">
        <f t="shared" si="2"/>
        <v>122</v>
      </c>
      <c r="C113" cm="1">
        <f t="array" aca="1" ref="C113" ca="1">INDIRECT(ADDRESS($B113,Plots!$H$3,,,Plots!$A$47))</f>
        <v>26.02</v>
      </c>
      <c r="D113" cm="1">
        <f t="array" aca="1" ref="D113" ca="1">INDIRECT(ADDRESS($B113,Plots!$H$3,,,Plots!$A$48))+INDIRECT(ADDRESS($B113,Plots!$H$3,,,Plots!$A$49))</f>
        <v>54.18</v>
      </c>
      <c r="E113" cm="1">
        <f t="array" aca="1" ref="E113" ca="1">INDIRECT(ADDRESS($B113,Plots!$H$3,,,Plots!$A$50))+INDIRECT(ADDRESS($B113,Plots!$H$3,,,Plots!$A$51))+INDIRECT(ADDRESS($B113,Plots!$H$3,,,Plots!$A$52))</f>
        <v>73.180000000000007</v>
      </c>
      <c r="F113" cm="1">
        <f t="array" aca="1" ref="F113" ca="1">INDIRECT(ADDRESS($B113,Plots!$H$3,,,Plots!$A$53))+INDIRECT(ADDRESS($B113,Plots!$H$3,,,Plots!$A$54))+INDIRECT(ADDRESS($B113,Plots!$H$3,,,Plots!$A$55))+INDIRECT(ADDRESS($B113,Plots!$H$3,,,Plots!$A$56))</f>
        <v>92.28</v>
      </c>
      <c r="G113" cm="1">
        <f t="array" aca="1" ref="G113" ca="1">INDIRECT(ADDRESS($B113,Plots!$H$3,,,Plots!$A$57))+INDIRECT(ADDRESS($B113,Plots!$H$3,,,Plots!$A$58))+INDIRECT(ADDRESS($B113,Plots!$H$3,,,Plots!$A$59))+INDIRECT(ADDRESS($B113,Plots!$H$3,,,Plots!$A$60))+INDIRECT(ADDRESS($B113,Plots!$H$3,,,Plots!$A$61))</f>
        <v>0</v>
      </c>
      <c r="H113">
        <f>'AARnetCBR-CamDTN1_tcpmon_ts_61'!C67+'AARnetCBR-CamDTN1_tcpmon_ts_62'!C67+'AARnetCBR-CamDTN1_tcpmon_ts_63'!C67+'AARnetCBR-CamDTN1_tcpmon_ts_64'!C67+'AARnetCBR-CamDTN1_tcpmon_ts_65'!C67+'AARnetCBR-CamDTN1_tcpmon_ts_66'!C67</f>
        <v>0</v>
      </c>
      <c r="I113">
        <f>'AARnetCBR-CamDTN1_tcpmon_ts_81'!C67+'AARnetCBR-CamDTN1_tcpmon_ts_82'!C67+'AARnetCBR-CamDTN1_tcpmon_ts_83'!C67+'AARnetCBR-CamDTN1_tcpmon_ts_84'!C67+'AARnetCBR-CamDTN1_tcpmon_ts_85'!C67+'AARnetCBR-CamDTN1_tcpmon_ts_86'!C67+'AARnetCBR-CamDTN1_tcpmon_ts_87'!C67+'AARnetCBR-CamDTN1_tcpmon_ts_88'!C67</f>
        <v>0</v>
      </c>
      <c r="L113" cm="1">
        <f t="array" aca="1" ref="L113" ca="1">INDIRECT(ADDRESS($B113,Plots!$H$4,,,Plots!$A$47))</f>
        <v>0</v>
      </c>
      <c r="M113" cm="1">
        <f t="array" aca="1" ref="M113" ca="1">INDIRECT(ADDRESS($B113,Plots!$H$4,,,Plots!$A$48))+INDIRECT(ADDRESS($B113,Plots!$H$4,,,Plots!$A$49))</f>
        <v>0</v>
      </c>
      <c r="N113" cm="1">
        <f t="array" aca="1" ref="N113" ca="1">INDIRECT(ADDRESS($B113,Plots!$H$4,,,Plots!$A$50))+INDIRECT(ADDRESS($B113,Plots!$H$4,,,Plots!$A$51))+INDIRECT(ADDRESS($B113,Plots!$H$4,,,Plots!$A$52))</f>
        <v>0</v>
      </c>
      <c r="O113" cm="1">
        <f t="array" aca="1" ref="O113" ca="1">INDIRECT(ADDRESS($B113,Plots!$H$4,,,Plots!$A$53))+INDIRECT(ADDRESS($B113,Plots!$H$4,,,Plots!$A$54))+INDIRECT(ADDRESS($B113,Plots!$H$4,,,Plots!$A$55))+INDIRECT(ADDRESS($B113,Plots!$H$4,,,Plots!$A$56))</f>
        <v>0</v>
      </c>
      <c r="P113" cm="1">
        <f t="array" aca="1" ref="P113" ca="1">INDIRECT(ADDRESS($B113,Plots!$H$4,,,Plots!$A$57))+INDIRECT(ADDRESS($B113,Plots!$H$4,,,Plots!$A$58))+INDIRECT(ADDRESS($B113,Plots!$H$4,,,Plots!$A$59))+INDIRECT(ADDRESS($B113,Plots!$H$4,,,Plots!$A$60))+INDIRECT(ADDRESS($B113,Plots!$H$4,,,Plots!$A$61))</f>
        <v>0</v>
      </c>
      <c r="Q113" cm="1">
        <f t="array" aca="1" ref="Q113" ca="1">INDIRECT(ADDRESS($B113,Plots!$H$4,,,Plots!$A$62))+INDIRECT(ADDRESS($B113,Plots!$H$4,,,Plots!$A$63))+INDIRECT(ADDRESS($B113,Plots!$H$4,,,Plots!$A$64))+INDIRECT(ADDRESS($B113,Plots!$H$4,,,Plots!$A$65))+INDIRECT(ADDRESS($B113,Plots!$H$4,,,Plots!$A$66))+INDIRECT(ADDRESS($B113,Plots!$H$4,,,Plots!$A$67))</f>
        <v>0</v>
      </c>
      <c r="R113">
        <f>'AARnetCBR-CamDTN1_tcpmon_ts_81'!J118+'AARnetCBR-CamDTN1_tcpmon_ts_82'!J118+'AARnetCBR-CamDTN1_tcpmon_ts_83'!J118+'AARnetCBR-CamDTN1_tcpmon_ts_84'!J118+'AARnetCBR-CamDTN1_tcpmon_ts_85'!J118+'AARnetCBR-CamDTN1_tcpmon_ts_86'!J118+'AARnetCBR-CamDTN1_tcpmon_ts_87'!J118+'AARnetCBR-CamDTN1_tcpmon_ts_88'!J118</f>
        <v>0</v>
      </c>
    </row>
    <row r="114" spans="1:18">
      <c r="A114" cm="1">
        <f t="array" aca="1" ref="A114" ca="1">INDIRECT(ADDRESS($B114,Plots!$H$6,,,Plots!$A$47))</f>
        <v>222</v>
      </c>
      <c r="B114">
        <f t="shared" si="2"/>
        <v>123</v>
      </c>
      <c r="C114" cm="1">
        <f t="array" aca="1" ref="C114" ca="1">INDIRECT(ADDRESS($B114,Plots!$H$3,,,Plots!$A$47))</f>
        <v>26.11</v>
      </c>
      <c r="D114" cm="1">
        <f t="array" aca="1" ref="D114" ca="1">INDIRECT(ADDRESS($B114,Plots!$H$3,,,Plots!$A$48))+INDIRECT(ADDRESS($B114,Plots!$H$3,,,Plots!$A$49))</f>
        <v>57.91</v>
      </c>
      <c r="E114" cm="1">
        <f t="array" aca="1" ref="E114" ca="1">INDIRECT(ADDRESS($B114,Plots!$H$3,,,Plots!$A$50))+INDIRECT(ADDRESS($B114,Plots!$H$3,,,Plots!$A$51))+INDIRECT(ADDRESS($B114,Plots!$H$3,,,Plots!$A$52))</f>
        <v>62.2</v>
      </c>
      <c r="F114" cm="1">
        <f t="array" aca="1" ref="F114" ca="1">INDIRECT(ADDRESS($B114,Plots!$H$3,,,Plots!$A$53))+INDIRECT(ADDRESS($B114,Plots!$H$3,,,Plots!$A$54))+INDIRECT(ADDRESS($B114,Plots!$H$3,,,Plots!$A$55))+INDIRECT(ADDRESS($B114,Plots!$H$3,,,Plots!$A$56))</f>
        <v>86.02</v>
      </c>
      <c r="G114" cm="1">
        <f t="array" aca="1" ref="G114" ca="1">INDIRECT(ADDRESS($B114,Plots!$H$3,,,Plots!$A$57))+INDIRECT(ADDRESS($B114,Plots!$H$3,,,Plots!$A$58))+INDIRECT(ADDRESS($B114,Plots!$H$3,,,Plots!$A$59))+INDIRECT(ADDRESS($B114,Plots!$H$3,,,Plots!$A$60))+INDIRECT(ADDRESS($B114,Plots!$H$3,,,Plots!$A$61))</f>
        <v>0</v>
      </c>
      <c r="H114">
        <f>'AARnetCBR-CamDTN1_tcpmon_ts_61'!C68+'AARnetCBR-CamDTN1_tcpmon_ts_62'!C68+'AARnetCBR-CamDTN1_tcpmon_ts_63'!C68+'AARnetCBR-CamDTN1_tcpmon_ts_64'!C68+'AARnetCBR-CamDTN1_tcpmon_ts_65'!C68+'AARnetCBR-CamDTN1_tcpmon_ts_66'!C68</f>
        <v>0</v>
      </c>
      <c r="I114">
        <f>'AARnetCBR-CamDTN1_tcpmon_ts_81'!C68+'AARnetCBR-CamDTN1_tcpmon_ts_82'!C68+'AARnetCBR-CamDTN1_tcpmon_ts_83'!C68+'AARnetCBR-CamDTN1_tcpmon_ts_84'!C68+'AARnetCBR-CamDTN1_tcpmon_ts_85'!C68+'AARnetCBR-CamDTN1_tcpmon_ts_86'!C68+'AARnetCBR-CamDTN1_tcpmon_ts_87'!C68+'AARnetCBR-CamDTN1_tcpmon_ts_88'!C68</f>
        <v>0</v>
      </c>
      <c r="L114" cm="1">
        <f t="array" aca="1" ref="L114" ca="1">INDIRECT(ADDRESS($B114,Plots!$H$4,,,Plots!$A$47))</f>
        <v>0</v>
      </c>
      <c r="M114" cm="1">
        <f t="array" aca="1" ref="M114" ca="1">INDIRECT(ADDRESS($B114,Plots!$H$4,,,Plots!$A$48))+INDIRECT(ADDRESS($B114,Plots!$H$4,,,Plots!$A$49))</f>
        <v>0</v>
      </c>
      <c r="N114" cm="1">
        <f t="array" aca="1" ref="N114" ca="1">INDIRECT(ADDRESS($B114,Plots!$H$4,,,Plots!$A$50))+INDIRECT(ADDRESS($B114,Plots!$H$4,,,Plots!$A$51))+INDIRECT(ADDRESS($B114,Plots!$H$4,,,Plots!$A$52))</f>
        <v>0</v>
      </c>
      <c r="O114" cm="1">
        <f t="array" aca="1" ref="O114" ca="1">INDIRECT(ADDRESS($B114,Plots!$H$4,,,Plots!$A$53))+INDIRECT(ADDRESS($B114,Plots!$H$4,,,Plots!$A$54))+INDIRECT(ADDRESS($B114,Plots!$H$4,,,Plots!$A$55))+INDIRECT(ADDRESS($B114,Plots!$H$4,,,Plots!$A$56))</f>
        <v>0</v>
      </c>
      <c r="P114" cm="1">
        <f t="array" aca="1" ref="P114" ca="1">INDIRECT(ADDRESS($B114,Plots!$H$4,,,Plots!$A$57))+INDIRECT(ADDRESS($B114,Plots!$H$4,,,Plots!$A$58))+INDIRECT(ADDRESS($B114,Plots!$H$4,,,Plots!$A$59))+INDIRECT(ADDRESS($B114,Plots!$H$4,,,Plots!$A$60))+INDIRECT(ADDRESS($B114,Plots!$H$4,,,Plots!$A$61))</f>
        <v>0</v>
      </c>
      <c r="Q114" cm="1">
        <f t="array" aca="1" ref="Q114" ca="1">INDIRECT(ADDRESS($B114,Plots!$H$4,,,Plots!$A$62))+INDIRECT(ADDRESS($B114,Plots!$H$4,,,Plots!$A$63))+INDIRECT(ADDRESS($B114,Plots!$H$4,,,Plots!$A$64))+INDIRECT(ADDRESS($B114,Plots!$H$4,,,Plots!$A$65))+INDIRECT(ADDRESS($B114,Plots!$H$4,,,Plots!$A$66))+INDIRECT(ADDRESS($B114,Plots!$H$4,,,Plots!$A$67))</f>
        <v>0</v>
      </c>
      <c r="R114">
        <f>'AARnetCBR-CamDTN1_tcpmon_ts_81'!J119+'AARnetCBR-CamDTN1_tcpmon_ts_82'!J119+'AARnetCBR-CamDTN1_tcpmon_ts_83'!J119+'AARnetCBR-CamDTN1_tcpmon_ts_84'!J119+'AARnetCBR-CamDTN1_tcpmon_ts_85'!J119+'AARnetCBR-CamDTN1_tcpmon_ts_86'!J119+'AARnetCBR-CamDTN1_tcpmon_ts_87'!J119+'AARnetCBR-CamDTN1_tcpmon_ts_88'!J119</f>
        <v>0</v>
      </c>
    </row>
    <row r="115" spans="1:18">
      <c r="A115" cm="1">
        <f t="array" aca="1" ref="A115" ca="1">INDIRECT(ADDRESS($B115,Plots!$H$6,,,Plots!$A$47))</f>
        <v>224</v>
      </c>
      <c r="B115">
        <f t="shared" si="2"/>
        <v>124</v>
      </c>
      <c r="C115" cm="1">
        <f t="array" aca="1" ref="C115" ca="1">INDIRECT(ADDRESS($B115,Plots!$H$3,,,Plots!$A$47))</f>
        <v>25.77</v>
      </c>
      <c r="D115" cm="1">
        <f t="array" aca="1" ref="D115" ca="1">INDIRECT(ADDRESS($B115,Plots!$H$3,,,Plots!$A$48))+INDIRECT(ADDRESS($B115,Plots!$H$3,,,Plots!$A$49))</f>
        <v>57.46</v>
      </c>
      <c r="E115" cm="1">
        <f t="array" aca="1" ref="E115" ca="1">INDIRECT(ADDRESS($B115,Plots!$H$3,,,Plots!$A$50))+INDIRECT(ADDRESS($B115,Plots!$H$3,,,Plots!$A$51))+INDIRECT(ADDRESS($B115,Plots!$H$3,,,Plots!$A$52))</f>
        <v>71.099999999999994</v>
      </c>
      <c r="F115" cm="1">
        <f t="array" aca="1" ref="F115" ca="1">INDIRECT(ADDRESS($B115,Plots!$H$3,,,Plots!$A$53))+INDIRECT(ADDRESS($B115,Plots!$H$3,,,Plots!$A$54))+INDIRECT(ADDRESS($B115,Plots!$H$3,,,Plots!$A$55))+INDIRECT(ADDRESS($B115,Plots!$H$3,,,Plots!$A$56))</f>
        <v>92.850000000000009</v>
      </c>
      <c r="G115" cm="1">
        <f t="array" aca="1" ref="G115" ca="1">INDIRECT(ADDRESS($B115,Plots!$H$3,,,Plots!$A$57))+INDIRECT(ADDRESS($B115,Plots!$H$3,,,Plots!$A$58))+INDIRECT(ADDRESS($B115,Plots!$H$3,,,Plots!$A$59))+INDIRECT(ADDRESS($B115,Plots!$H$3,,,Plots!$A$60))+INDIRECT(ADDRESS($B115,Plots!$H$3,,,Plots!$A$61))</f>
        <v>0</v>
      </c>
      <c r="H115">
        <f>'AARnetCBR-CamDTN1_tcpmon_ts_61'!C69+'AARnetCBR-CamDTN1_tcpmon_ts_62'!C69+'AARnetCBR-CamDTN1_tcpmon_ts_63'!C69+'AARnetCBR-CamDTN1_tcpmon_ts_64'!C69+'AARnetCBR-CamDTN1_tcpmon_ts_65'!C69+'AARnetCBR-CamDTN1_tcpmon_ts_66'!C69</f>
        <v>0</v>
      </c>
      <c r="I115">
        <f>'AARnetCBR-CamDTN1_tcpmon_ts_81'!C69+'AARnetCBR-CamDTN1_tcpmon_ts_82'!C69+'AARnetCBR-CamDTN1_tcpmon_ts_83'!C69+'AARnetCBR-CamDTN1_tcpmon_ts_84'!C69+'AARnetCBR-CamDTN1_tcpmon_ts_85'!C69+'AARnetCBR-CamDTN1_tcpmon_ts_86'!C69+'AARnetCBR-CamDTN1_tcpmon_ts_87'!C69+'AARnetCBR-CamDTN1_tcpmon_ts_88'!C69</f>
        <v>0</v>
      </c>
      <c r="L115" cm="1">
        <f t="array" aca="1" ref="L115" ca="1">INDIRECT(ADDRESS($B115,Plots!$H$4,,,Plots!$A$47))</f>
        <v>0</v>
      </c>
      <c r="M115" cm="1">
        <f t="array" aca="1" ref="M115" ca="1">INDIRECT(ADDRESS($B115,Plots!$H$4,,,Plots!$A$48))+INDIRECT(ADDRESS($B115,Plots!$H$4,,,Plots!$A$49))</f>
        <v>0</v>
      </c>
      <c r="N115" cm="1">
        <f t="array" aca="1" ref="N115" ca="1">INDIRECT(ADDRESS($B115,Plots!$H$4,,,Plots!$A$50))+INDIRECT(ADDRESS($B115,Plots!$H$4,,,Plots!$A$51))+INDIRECT(ADDRESS($B115,Plots!$H$4,,,Plots!$A$52))</f>
        <v>0</v>
      </c>
      <c r="O115" cm="1">
        <f t="array" aca="1" ref="O115" ca="1">INDIRECT(ADDRESS($B115,Plots!$H$4,,,Plots!$A$53))+INDIRECT(ADDRESS($B115,Plots!$H$4,,,Plots!$A$54))+INDIRECT(ADDRESS($B115,Plots!$H$4,,,Plots!$A$55))+INDIRECT(ADDRESS($B115,Plots!$H$4,,,Plots!$A$56))</f>
        <v>0</v>
      </c>
      <c r="P115" cm="1">
        <f t="array" aca="1" ref="P115" ca="1">INDIRECT(ADDRESS($B115,Plots!$H$4,,,Plots!$A$57))+INDIRECT(ADDRESS($B115,Plots!$H$4,,,Plots!$A$58))+INDIRECT(ADDRESS($B115,Plots!$H$4,,,Plots!$A$59))+INDIRECT(ADDRESS($B115,Plots!$H$4,,,Plots!$A$60))+INDIRECT(ADDRESS($B115,Plots!$H$4,,,Plots!$A$61))</f>
        <v>0</v>
      </c>
      <c r="Q115" cm="1">
        <f t="array" aca="1" ref="Q115" ca="1">INDIRECT(ADDRESS($B115,Plots!$H$4,,,Plots!$A$62))+INDIRECT(ADDRESS($B115,Plots!$H$4,,,Plots!$A$63))+INDIRECT(ADDRESS($B115,Plots!$H$4,,,Plots!$A$64))+INDIRECT(ADDRESS($B115,Plots!$H$4,,,Plots!$A$65))+INDIRECT(ADDRESS($B115,Plots!$H$4,,,Plots!$A$66))+INDIRECT(ADDRESS($B115,Plots!$H$4,,,Plots!$A$67))</f>
        <v>0</v>
      </c>
      <c r="R115">
        <f>'AARnetCBR-CamDTN1_tcpmon_ts_81'!J120+'AARnetCBR-CamDTN1_tcpmon_ts_82'!J120+'AARnetCBR-CamDTN1_tcpmon_ts_83'!J120+'AARnetCBR-CamDTN1_tcpmon_ts_84'!J120+'AARnetCBR-CamDTN1_tcpmon_ts_85'!J120+'AARnetCBR-CamDTN1_tcpmon_ts_86'!J120+'AARnetCBR-CamDTN1_tcpmon_ts_87'!J120+'AARnetCBR-CamDTN1_tcpmon_ts_88'!J120</f>
        <v>0</v>
      </c>
    </row>
    <row r="116" spans="1:18">
      <c r="A116" cm="1">
        <f t="array" aca="1" ref="A116" ca="1">INDIRECT(ADDRESS($B116,Plots!$H$6,,,Plots!$A$47))</f>
        <v>226</v>
      </c>
      <c r="B116">
        <f t="shared" si="2"/>
        <v>125</v>
      </c>
      <c r="C116" cm="1">
        <f t="array" aca="1" ref="C116" ca="1">INDIRECT(ADDRESS($B116,Plots!$H$3,,,Plots!$A$47))</f>
        <v>26.21</v>
      </c>
      <c r="D116" cm="1">
        <f t="array" aca="1" ref="D116" ca="1">INDIRECT(ADDRESS($B116,Plots!$H$3,,,Plots!$A$48))+INDIRECT(ADDRESS($B116,Plots!$H$3,,,Plots!$A$49))</f>
        <v>56.230000000000004</v>
      </c>
      <c r="E116" cm="1">
        <f t="array" aca="1" ref="E116" ca="1">INDIRECT(ADDRESS($B116,Plots!$H$3,,,Plots!$A$50))+INDIRECT(ADDRESS($B116,Plots!$H$3,,,Plots!$A$51))+INDIRECT(ADDRESS($B116,Plots!$H$3,,,Plots!$A$52))</f>
        <v>64.28</v>
      </c>
      <c r="F116" cm="1">
        <f t="array" aca="1" ref="F116" ca="1">INDIRECT(ADDRESS($B116,Plots!$H$3,,,Plots!$A$53))+INDIRECT(ADDRESS($B116,Plots!$H$3,,,Plots!$A$54))+INDIRECT(ADDRESS($B116,Plots!$H$3,,,Plots!$A$55))+INDIRECT(ADDRESS($B116,Plots!$H$3,,,Plots!$A$56))</f>
        <v>90.91</v>
      </c>
      <c r="G116" cm="1">
        <f t="array" aca="1" ref="G116" ca="1">INDIRECT(ADDRESS($B116,Plots!$H$3,,,Plots!$A$57))+INDIRECT(ADDRESS($B116,Plots!$H$3,,,Plots!$A$58))+INDIRECT(ADDRESS($B116,Plots!$H$3,,,Plots!$A$59))+INDIRECT(ADDRESS($B116,Plots!$H$3,,,Plots!$A$60))+INDIRECT(ADDRESS($B116,Plots!$H$3,,,Plots!$A$61))</f>
        <v>0</v>
      </c>
      <c r="H116">
        <f>'AARnetCBR-CamDTN1_tcpmon_ts_61'!C70+'AARnetCBR-CamDTN1_tcpmon_ts_62'!C70+'AARnetCBR-CamDTN1_tcpmon_ts_63'!C70+'AARnetCBR-CamDTN1_tcpmon_ts_64'!C70+'AARnetCBR-CamDTN1_tcpmon_ts_65'!C70+'AARnetCBR-CamDTN1_tcpmon_ts_66'!C70</f>
        <v>0</v>
      </c>
      <c r="I116">
        <f>'AARnetCBR-CamDTN1_tcpmon_ts_81'!C70+'AARnetCBR-CamDTN1_tcpmon_ts_82'!C70+'AARnetCBR-CamDTN1_tcpmon_ts_83'!C70+'AARnetCBR-CamDTN1_tcpmon_ts_84'!C70+'AARnetCBR-CamDTN1_tcpmon_ts_85'!C70+'AARnetCBR-CamDTN1_tcpmon_ts_86'!C70+'AARnetCBR-CamDTN1_tcpmon_ts_87'!C70+'AARnetCBR-CamDTN1_tcpmon_ts_88'!C70</f>
        <v>0</v>
      </c>
      <c r="L116" cm="1">
        <f t="array" aca="1" ref="L116" ca="1">INDIRECT(ADDRESS($B116,Plots!$H$4,,,Plots!$A$47))</f>
        <v>0</v>
      </c>
      <c r="M116" cm="1">
        <f t="array" aca="1" ref="M116" ca="1">INDIRECT(ADDRESS($B116,Plots!$H$4,,,Plots!$A$48))+INDIRECT(ADDRESS($B116,Plots!$H$4,,,Plots!$A$49))</f>
        <v>0</v>
      </c>
      <c r="N116" cm="1">
        <f t="array" aca="1" ref="N116" ca="1">INDIRECT(ADDRESS($B116,Plots!$H$4,,,Plots!$A$50))+INDIRECT(ADDRESS($B116,Plots!$H$4,,,Plots!$A$51))+INDIRECT(ADDRESS($B116,Plots!$H$4,,,Plots!$A$52))</f>
        <v>0</v>
      </c>
      <c r="O116" cm="1">
        <f t="array" aca="1" ref="O116" ca="1">INDIRECT(ADDRESS($B116,Plots!$H$4,,,Plots!$A$53))+INDIRECT(ADDRESS($B116,Plots!$H$4,,,Plots!$A$54))+INDIRECT(ADDRESS($B116,Plots!$H$4,,,Plots!$A$55))+INDIRECT(ADDRESS($B116,Plots!$H$4,,,Plots!$A$56))</f>
        <v>0</v>
      </c>
      <c r="P116" cm="1">
        <f t="array" aca="1" ref="P116" ca="1">INDIRECT(ADDRESS($B116,Plots!$H$4,,,Plots!$A$57))+INDIRECT(ADDRESS($B116,Plots!$H$4,,,Plots!$A$58))+INDIRECT(ADDRESS($B116,Plots!$H$4,,,Plots!$A$59))+INDIRECT(ADDRESS($B116,Plots!$H$4,,,Plots!$A$60))+INDIRECT(ADDRESS($B116,Plots!$H$4,,,Plots!$A$61))</f>
        <v>0</v>
      </c>
      <c r="Q116" cm="1">
        <f t="array" aca="1" ref="Q116" ca="1">INDIRECT(ADDRESS($B116,Plots!$H$4,,,Plots!$A$62))+INDIRECT(ADDRESS($B116,Plots!$H$4,,,Plots!$A$63))+INDIRECT(ADDRESS($B116,Plots!$H$4,,,Plots!$A$64))+INDIRECT(ADDRESS($B116,Plots!$H$4,,,Plots!$A$65))+INDIRECT(ADDRESS($B116,Plots!$H$4,,,Plots!$A$66))+INDIRECT(ADDRESS($B116,Plots!$H$4,,,Plots!$A$67))</f>
        <v>0</v>
      </c>
      <c r="R116">
        <f>'AARnetCBR-CamDTN1_tcpmon_ts_81'!J121+'AARnetCBR-CamDTN1_tcpmon_ts_82'!J121+'AARnetCBR-CamDTN1_tcpmon_ts_83'!J121+'AARnetCBR-CamDTN1_tcpmon_ts_84'!J121+'AARnetCBR-CamDTN1_tcpmon_ts_85'!J121+'AARnetCBR-CamDTN1_tcpmon_ts_86'!J121+'AARnetCBR-CamDTN1_tcpmon_ts_87'!J121+'AARnetCBR-CamDTN1_tcpmon_ts_88'!J121</f>
        <v>0</v>
      </c>
    </row>
    <row r="117" spans="1:18">
      <c r="A117" cm="1">
        <f t="array" aca="1" ref="A117" ca="1">INDIRECT(ADDRESS($B117,Plots!$H$6,,,Plots!$A$47))</f>
        <v>228</v>
      </c>
      <c r="B117">
        <f t="shared" si="2"/>
        <v>126</v>
      </c>
      <c r="C117" cm="1">
        <f t="array" aca="1" ref="C117" ca="1">INDIRECT(ADDRESS($B117,Plots!$H$3,,,Plots!$A$47))</f>
        <v>25.03</v>
      </c>
      <c r="D117" cm="1">
        <f t="array" aca="1" ref="D117" ca="1">INDIRECT(ADDRESS($B117,Plots!$H$3,,,Plots!$A$48))+INDIRECT(ADDRESS($B117,Plots!$H$3,,,Plots!$A$49))</f>
        <v>58.1</v>
      </c>
      <c r="E117" cm="1">
        <f t="array" aca="1" ref="E117" ca="1">INDIRECT(ADDRESS($B117,Plots!$H$3,,,Plots!$A$50))+INDIRECT(ADDRESS($B117,Plots!$H$3,,,Plots!$A$51))+INDIRECT(ADDRESS($B117,Plots!$H$3,,,Plots!$A$52))</f>
        <v>71.3</v>
      </c>
      <c r="F117" cm="1">
        <f t="array" aca="1" ref="F117" ca="1">INDIRECT(ADDRESS($B117,Plots!$H$3,,,Plots!$A$53))+INDIRECT(ADDRESS($B117,Plots!$H$3,,,Plots!$A$54))+INDIRECT(ADDRESS($B117,Plots!$H$3,,,Plots!$A$55))+INDIRECT(ADDRESS($B117,Plots!$H$3,,,Plots!$A$56))</f>
        <v>91.990000000000009</v>
      </c>
      <c r="G117" cm="1">
        <f t="array" aca="1" ref="G117" ca="1">INDIRECT(ADDRESS($B117,Plots!$H$3,,,Plots!$A$57))+INDIRECT(ADDRESS($B117,Plots!$H$3,,,Plots!$A$58))+INDIRECT(ADDRESS($B117,Plots!$H$3,,,Plots!$A$59))+INDIRECT(ADDRESS($B117,Plots!$H$3,,,Plots!$A$60))+INDIRECT(ADDRESS($B117,Plots!$H$3,,,Plots!$A$61))</f>
        <v>0</v>
      </c>
      <c r="H117">
        <f>'AARnetCBR-CamDTN1_tcpmon_ts_61'!C71+'AARnetCBR-CamDTN1_tcpmon_ts_62'!C71+'AARnetCBR-CamDTN1_tcpmon_ts_63'!C71+'AARnetCBR-CamDTN1_tcpmon_ts_64'!C71+'AARnetCBR-CamDTN1_tcpmon_ts_65'!C71+'AARnetCBR-CamDTN1_tcpmon_ts_66'!C71</f>
        <v>0</v>
      </c>
      <c r="I117">
        <f>'AARnetCBR-CamDTN1_tcpmon_ts_81'!C71+'AARnetCBR-CamDTN1_tcpmon_ts_82'!C71+'AARnetCBR-CamDTN1_tcpmon_ts_83'!C71+'AARnetCBR-CamDTN1_tcpmon_ts_84'!C71+'AARnetCBR-CamDTN1_tcpmon_ts_85'!C71+'AARnetCBR-CamDTN1_tcpmon_ts_86'!C71+'AARnetCBR-CamDTN1_tcpmon_ts_87'!C71+'AARnetCBR-CamDTN1_tcpmon_ts_88'!C71</f>
        <v>0</v>
      </c>
      <c r="L117" cm="1">
        <f t="array" aca="1" ref="L117" ca="1">INDIRECT(ADDRESS($B117,Plots!$H$4,,,Plots!$A$47))</f>
        <v>0</v>
      </c>
      <c r="M117" cm="1">
        <f t="array" aca="1" ref="M117" ca="1">INDIRECT(ADDRESS($B117,Plots!$H$4,,,Plots!$A$48))+INDIRECT(ADDRESS($B117,Plots!$H$4,,,Plots!$A$49))</f>
        <v>0</v>
      </c>
      <c r="N117" cm="1">
        <f t="array" aca="1" ref="N117" ca="1">INDIRECT(ADDRESS($B117,Plots!$H$4,,,Plots!$A$50))+INDIRECT(ADDRESS($B117,Plots!$H$4,,,Plots!$A$51))+INDIRECT(ADDRESS($B117,Plots!$H$4,,,Plots!$A$52))</f>
        <v>0</v>
      </c>
      <c r="O117" cm="1">
        <f t="array" aca="1" ref="O117" ca="1">INDIRECT(ADDRESS($B117,Plots!$H$4,,,Plots!$A$53))+INDIRECT(ADDRESS($B117,Plots!$H$4,,,Plots!$A$54))+INDIRECT(ADDRESS($B117,Plots!$H$4,,,Plots!$A$55))+INDIRECT(ADDRESS($B117,Plots!$H$4,,,Plots!$A$56))</f>
        <v>0</v>
      </c>
      <c r="P117" cm="1">
        <f t="array" aca="1" ref="P117" ca="1">INDIRECT(ADDRESS($B117,Plots!$H$4,,,Plots!$A$57))+INDIRECT(ADDRESS($B117,Plots!$H$4,,,Plots!$A$58))+INDIRECT(ADDRESS($B117,Plots!$H$4,,,Plots!$A$59))+INDIRECT(ADDRESS($B117,Plots!$H$4,,,Plots!$A$60))+INDIRECT(ADDRESS($B117,Plots!$H$4,,,Plots!$A$61))</f>
        <v>0</v>
      </c>
      <c r="Q117" cm="1">
        <f t="array" aca="1" ref="Q117" ca="1">INDIRECT(ADDRESS($B117,Plots!$H$4,,,Plots!$A$62))+INDIRECT(ADDRESS($B117,Plots!$H$4,,,Plots!$A$63))+INDIRECT(ADDRESS($B117,Plots!$H$4,,,Plots!$A$64))+INDIRECT(ADDRESS($B117,Plots!$H$4,,,Plots!$A$65))+INDIRECT(ADDRESS($B117,Plots!$H$4,,,Plots!$A$66))+INDIRECT(ADDRESS($B117,Plots!$H$4,,,Plots!$A$67))</f>
        <v>0</v>
      </c>
      <c r="R117">
        <f>'AARnetCBR-CamDTN1_tcpmon_ts_81'!J122+'AARnetCBR-CamDTN1_tcpmon_ts_82'!J122+'AARnetCBR-CamDTN1_tcpmon_ts_83'!J122+'AARnetCBR-CamDTN1_tcpmon_ts_84'!J122+'AARnetCBR-CamDTN1_tcpmon_ts_85'!J122+'AARnetCBR-CamDTN1_tcpmon_ts_86'!J122+'AARnetCBR-CamDTN1_tcpmon_ts_87'!J122+'AARnetCBR-CamDTN1_tcpmon_ts_88'!J122</f>
        <v>0</v>
      </c>
    </row>
    <row r="118" spans="1:18">
      <c r="A118" cm="1">
        <f t="array" aca="1" ref="A118" ca="1">INDIRECT(ADDRESS($B118,Plots!$H$6,,,Plots!$A$47))</f>
        <v>230</v>
      </c>
      <c r="B118">
        <f t="shared" si="2"/>
        <v>127</v>
      </c>
      <c r="C118" cm="1">
        <f t="array" aca="1" ref="C118" ca="1">INDIRECT(ADDRESS($B118,Plots!$H$3,,,Plots!$A$47))</f>
        <v>25.39</v>
      </c>
      <c r="D118" cm="1">
        <f t="array" aca="1" ref="D118" ca="1">INDIRECT(ADDRESS($B118,Plots!$H$3,,,Plots!$A$48))+INDIRECT(ADDRESS($B118,Plots!$H$3,,,Plots!$A$49))</f>
        <v>54.99</v>
      </c>
      <c r="E118" cm="1">
        <f t="array" aca="1" ref="E118" ca="1">INDIRECT(ADDRESS($B118,Plots!$H$3,,,Plots!$A$50))+INDIRECT(ADDRESS($B118,Plots!$H$3,,,Plots!$A$51))+INDIRECT(ADDRESS($B118,Plots!$H$3,,,Plots!$A$52))</f>
        <v>65.3</v>
      </c>
      <c r="F118" cm="1">
        <f t="array" aca="1" ref="F118" ca="1">INDIRECT(ADDRESS($B118,Plots!$H$3,,,Plots!$A$53))+INDIRECT(ADDRESS($B118,Plots!$H$3,,,Plots!$A$54))+INDIRECT(ADDRESS($B118,Plots!$H$3,,,Plots!$A$55))+INDIRECT(ADDRESS($B118,Plots!$H$3,,,Plots!$A$56))</f>
        <v>92.4</v>
      </c>
      <c r="G118" cm="1">
        <f t="array" aca="1" ref="G118" ca="1">INDIRECT(ADDRESS($B118,Plots!$H$3,,,Plots!$A$57))+INDIRECT(ADDRESS($B118,Plots!$H$3,,,Plots!$A$58))+INDIRECT(ADDRESS($B118,Plots!$H$3,,,Plots!$A$59))+INDIRECT(ADDRESS($B118,Plots!$H$3,,,Plots!$A$60))+INDIRECT(ADDRESS($B118,Plots!$H$3,,,Plots!$A$61))</f>
        <v>0</v>
      </c>
      <c r="H118">
        <f>'AARnetCBR-CamDTN1_tcpmon_ts_61'!C72+'AARnetCBR-CamDTN1_tcpmon_ts_62'!C72+'AARnetCBR-CamDTN1_tcpmon_ts_63'!C72+'AARnetCBR-CamDTN1_tcpmon_ts_64'!C72+'AARnetCBR-CamDTN1_tcpmon_ts_65'!C72+'AARnetCBR-CamDTN1_tcpmon_ts_66'!C72</f>
        <v>0</v>
      </c>
      <c r="I118">
        <f>'AARnetCBR-CamDTN1_tcpmon_ts_81'!C72+'AARnetCBR-CamDTN1_tcpmon_ts_82'!C72+'AARnetCBR-CamDTN1_tcpmon_ts_83'!C72+'AARnetCBR-CamDTN1_tcpmon_ts_84'!C72+'AARnetCBR-CamDTN1_tcpmon_ts_85'!C72+'AARnetCBR-CamDTN1_tcpmon_ts_86'!C72+'AARnetCBR-CamDTN1_tcpmon_ts_87'!C72+'AARnetCBR-CamDTN1_tcpmon_ts_88'!C72</f>
        <v>0</v>
      </c>
      <c r="L118" cm="1">
        <f t="array" aca="1" ref="L118" ca="1">INDIRECT(ADDRESS($B118,Plots!$H$4,,,Plots!$A$47))</f>
        <v>0</v>
      </c>
      <c r="M118" cm="1">
        <f t="array" aca="1" ref="M118" ca="1">INDIRECT(ADDRESS($B118,Plots!$H$4,,,Plots!$A$48))+INDIRECT(ADDRESS($B118,Plots!$H$4,,,Plots!$A$49))</f>
        <v>0</v>
      </c>
      <c r="N118" cm="1">
        <f t="array" aca="1" ref="N118" ca="1">INDIRECT(ADDRESS($B118,Plots!$H$4,,,Plots!$A$50))+INDIRECT(ADDRESS($B118,Plots!$H$4,,,Plots!$A$51))+INDIRECT(ADDRESS($B118,Plots!$H$4,,,Plots!$A$52))</f>
        <v>0</v>
      </c>
      <c r="O118" cm="1">
        <f t="array" aca="1" ref="O118" ca="1">INDIRECT(ADDRESS($B118,Plots!$H$4,,,Plots!$A$53))+INDIRECT(ADDRESS($B118,Plots!$H$4,,,Plots!$A$54))+INDIRECT(ADDRESS($B118,Plots!$H$4,,,Plots!$A$55))+INDIRECT(ADDRESS($B118,Plots!$H$4,,,Plots!$A$56))</f>
        <v>0</v>
      </c>
      <c r="P118" cm="1">
        <f t="array" aca="1" ref="P118" ca="1">INDIRECT(ADDRESS($B118,Plots!$H$4,,,Plots!$A$57))+INDIRECT(ADDRESS($B118,Plots!$H$4,,,Plots!$A$58))+INDIRECT(ADDRESS($B118,Plots!$H$4,,,Plots!$A$59))+INDIRECT(ADDRESS($B118,Plots!$H$4,,,Plots!$A$60))+INDIRECT(ADDRESS($B118,Plots!$H$4,,,Plots!$A$61))</f>
        <v>0</v>
      </c>
      <c r="Q118" cm="1">
        <f t="array" aca="1" ref="Q118" ca="1">INDIRECT(ADDRESS($B118,Plots!$H$4,,,Plots!$A$62))+INDIRECT(ADDRESS($B118,Plots!$H$4,,,Plots!$A$63))+INDIRECT(ADDRESS($B118,Plots!$H$4,,,Plots!$A$64))+INDIRECT(ADDRESS($B118,Plots!$H$4,,,Plots!$A$65))+INDIRECT(ADDRESS($B118,Plots!$H$4,,,Plots!$A$66))+INDIRECT(ADDRESS($B118,Plots!$H$4,,,Plots!$A$67))</f>
        <v>0</v>
      </c>
      <c r="R118">
        <f>'AARnetCBR-CamDTN1_tcpmon_ts_81'!J123+'AARnetCBR-CamDTN1_tcpmon_ts_82'!J123+'AARnetCBR-CamDTN1_tcpmon_ts_83'!J123+'AARnetCBR-CamDTN1_tcpmon_ts_84'!J123+'AARnetCBR-CamDTN1_tcpmon_ts_85'!J123+'AARnetCBR-CamDTN1_tcpmon_ts_86'!J123+'AARnetCBR-CamDTN1_tcpmon_ts_87'!J123+'AARnetCBR-CamDTN1_tcpmon_ts_88'!J123</f>
        <v>0</v>
      </c>
    </row>
    <row r="119" spans="1:18">
      <c r="A119" cm="1">
        <f t="array" aca="1" ref="A119" ca="1">INDIRECT(ADDRESS($B119,Plots!$H$6,,,Plots!$A$47))</f>
        <v>232</v>
      </c>
      <c r="B119">
        <f t="shared" si="2"/>
        <v>128</v>
      </c>
      <c r="C119" cm="1">
        <f t="array" aca="1" ref="C119" ca="1">INDIRECT(ADDRESS($B119,Plots!$H$3,,,Plots!$A$47))</f>
        <v>26.47</v>
      </c>
      <c r="D119" cm="1">
        <f t="array" aca="1" ref="D119" ca="1">INDIRECT(ADDRESS($B119,Plots!$H$3,,,Plots!$A$48))+INDIRECT(ADDRESS($B119,Plots!$H$3,,,Plots!$A$49))</f>
        <v>56.28</v>
      </c>
      <c r="E119" cm="1">
        <f t="array" aca="1" ref="E119" ca="1">INDIRECT(ADDRESS($B119,Plots!$H$3,,,Plots!$A$50))+INDIRECT(ADDRESS($B119,Plots!$H$3,,,Plots!$A$51))+INDIRECT(ADDRESS($B119,Plots!$H$3,,,Plots!$A$52))</f>
        <v>71.39</v>
      </c>
      <c r="F119" cm="1">
        <f t="array" aca="1" ref="F119" ca="1">INDIRECT(ADDRESS($B119,Plots!$H$3,,,Plots!$A$53))+INDIRECT(ADDRESS($B119,Plots!$H$3,,,Plots!$A$54))+INDIRECT(ADDRESS($B119,Plots!$H$3,,,Plots!$A$55))+INDIRECT(ADDRESS($B119,Plots!$H$3,,,Plots!$A$56))</f>
        <v>93.12</v>
      </c>
      <c r="G119" cm="1">
        <f t="array" aca="1" ref="G119" ca="1">INDIRECT(ADDRESS($B119,Plots!$H$3,,,Plots!$A$57))+INDIRECT(ADDRESS($B119,Plots!$H$3,,,Plots!$A$58))+INDIRECT(ADDRESS($B119,Plots!$H$3,,,Plots!$A$59))+INDIRECT(ADDRESS($B119,Plots!$H$3,,,Plots!$A$60))+INDIRECT(ADDRESS($B119,Plots!$H$3,,,Plots!$A$61))</f>
        <v>0</v>
      </c>
      <c r="H119">
        <f>'AARnetCBR-CamDTN1_tcpmon_ts_61'!C73+'AARnetCBR-CamDTN1_tcpmon_ts_62'!C73+'AARnetCBR-CamDTN1_tcpmon_ts_63'!C73+'AARnetCBR-CamDTN1_tcpmon_ts_64'!C73+'AARnetCBR-CamDTN1_tcpmon_ts_65'!C73+'AARnetCBR-CamDTN1_tcpmon_ts_66'!C73</f>
        <v>0</v>
      </c>
      <c r="I119">
        <f>'AARnetCBR-CamDTN1_tcpmon_ts_81'!C73+'AARnetCBR-CamDTN1_tcpmon_ts_82'!C73+'AARnetCBR-CamDTN1_tcpmon_ts_83'!C73+'AARnetCBR-CamDTN1_tcpmon_ts_84'!C73+'AARnetCBR-CamDTN1_tcpmon_ts_85'!C73+'AARnetCBR-CamDTN1_tcpmon_ts_86'!C73+'AARnetCBR-CamDTN1_tcpmon_ts_87'!C73+'AARnetCBR-CamDTN1_tcpmon_ts_88'!C73</f>
        <v>0</v>
      </c>
      <c r="L119" cm="1">
        <f t="array" aca="1" ref="L119" ca="1">INDIRECT(ADDRESS($B119,Plots!$H$4,,,Plots!$A$47))</f>
        <v>0</v>
      </c>
      <c r="M119" cm="1">
        <f t="array" aca="1" ref="M119" ca="1">INDIRECT(ADDRESS($B119,Plots!$H$4,,,Plots!$A$48))+INDIRECT(ADDRESS($B119,Plots!$H$4,,,Plots!$A$49))</f>
        <v>0</v>
      </c>
      <c r="N119" cm="1">
        <f t="array" aca="1" ref="N119" ca="1">INDIRECT(ADDRESS($B119,Plots!$H$4,,,Plots!$A$50))+INDIRECT(ADDRESS($B119,Plots!$H$4,,,Plots!$A$51))+INDIRECT(ADDRESS($B119,Plots!$H$4,,,Plots!$A$52))</f>
        <v>0</v>
      </c>
      <c r="O119" cm="1">
        <f t="array" aca="1" ref="O119" ca="1">INDIRECT(ADDRESS($B119,Plots!$H$4,,,Plots!$A$53))+INDIRECT(ADDRESS($B119,Plots!$H$4,,,Plots!$A$54))+INDIRECT(ADDRESS($B119,Plots!$H$4,,,Plots!$A$55))+INDIRECT(ADDRESS($B119,Plots!$H$4,,,Plots!$A$56))</f>
        <v>0</v>
      </c>
      <c r="P119" cm="1">
        <f t="array" aca="1" ref="P119" ca="1">INDIRECT(ADDRESS($B119,Plots!$H$4,,,Plots!$A$57))+INDIRECT(ADDRESS($B119,Plots!$H$4,,,Plots!$A$58))+INDIRECT(ADDRESS($B119,Plots!$H$4,,,Plots!$A$59))+INDIRECT(ADDRESS($B119,Plots!$H$4,,,Plots!$A$60))+INDIRECT(ADDRESS($B119,Plots!$H$4,,,Plots!$A$61))</f>
        <v>0</v>
      </c>
      <c r="Q119" cm="1">
        <f t="array" aca="1" ref="Q119" ca="1">INDIRECT(ADDRESS($B119,Plots!$H$4,,,Plots!$A$62))+INDIRECT(ADDRESS($B119,Plots!$H$4,,,Plots!$A$63))+INDIRECT(ADDRESS($B119,Plots!$H$4,,,Plots!$A$64))+INDIRECT(ADDRESS($B119,Plots!$H$4,,,Plots!$A$65))+INDIRECT(ADDRESS($B119,Plots!$H$4,,,Plots!$A$66))+INDIRECT(ADDRESS($B119,Plots!$H$4,,,Plots!$A$67))</f>
        <v>0</v>
      </c>
      <c r="R119">
        <f>'AARnetCBR-CamDTN1_tcpmon_ts_81'!J124+'AARnetCBR-CamDTN1_tcpmon_ts_82'!J124+'AARnetCBR-CamDTN1_tcpmon_ts_83'!J124+'AARnetCBR-CamDTN1_tcpmon_ts_84'!J124+'AARnetCBR-CamDTN1_tcpmon_ts_85'!J124+'AARnetCBR-CamDTN1_tcpmon_ts_86'!J124+'AARnetCBR-CamDTN1_tcpmon_ts_87'!J124+'AARnetCBR-CamDTN1_tcpmon_ts_88'!J124</f>
        <v>0</v>
      </c>
    </row>
    <row r="120" spans="1:18">
      <c r="A120" cm="1">
        <f t="array" aca="1" ref="A120" ca="1">INDIRECT(ADDRESS($B120,Plots!$H$6,,,Plots!$A$47))</f>
        <v>234</v>
      </c>
      <c r="B120">
        <f t="shared" si="2"/>
        <v>129</v>
      </c>
      <c r="C120" cm="1">
        <f t="array" aca="1" ref="C120" ca="1">INDIRECT(ADDRESS($B120,Plots!$H$3,,,Plots!$A$47))</f>
        <v>26.35</v>
      </c>
      <c r="D120" cm="1">
        <f t="array" aca="1" ref="D120" ca="1">INDIRECT(ADDRESS($B120,Plots!$H$3,,,Plots!$A$48))+INDIRECT(ADDRESS($B120,Plots!$H$3,,,Plots!$A$49))</f>
        <v>57.44</v>
      </c>
      <c r="E120" cm="1">
        <f t="array" aca="1" ref="E120" ca="1">INDIRECT(ADDRESS($B120,Plots!$H$3,,,Plots!$A$50))+INDIRECT(ADDRESS($B120,Plots!$H$3,,,Plots!$A$51))+INDIRECT(ADDRESS($B120,Plots!$H$3,,,Plots!$A$52))</f>
        <v>60.96</v>
      </c>
      <c r="F120" cm="1">
        <f t="array" aca="1" ref="F120" ca="1">INDIRECT(ADDRESS($B120,Plots!$H$3,,,Plots!$A$53))+INDIRECT(ADDRESS($B120,Plots!$H$3,,,Plots!$A$54))+INDIRECT(ADDRESS($B120,Plots!$H$3,,,Plots!$A$55))+INDIRECT(ADDRESS($B120,Plots!$H$3,,,Plots!$A$56))</f>
        <v>91.04</v>
      </c>
      <c r="G120" cm="1">
        <f t="array" aca="1" ref="G120" ca="1">INDIRECT(ADDRESS($B120,Plots!$H$3,,,Plots!$A$57))+INDIRECT(ADDRESS($B120,Plots!$H$3,,,Plots!$A$58))+INDIRECT(ADDRESS($B120,Plots!$H$3,,,Plots!$A$59))+INDIRECT(ADDRESS($B120,Plots!$H$3,,,Plots!$A$60))+INDIRECT(ADDRESS($B120,Plots!$H$3,,,Plots!$A$61))</f>
        <v>0</v>
      </c>
      <c r="H120">
        <f>'AARnetCBR-CamDTN1_tcpmon_ts_61'!C74+'AARnetCBR-CamDTN1_tcpmon_ts_62'!C74+'AARnetCBR-CamDTN1_tcpmon_ts_63'!C74+'AARnetCBR-CamDTN1_tcpmon_ts_64'!C74+'AARnetCBR-CamDTN1_tcpmon_ts_65'!C74+'AARnetCBR-CamDTN1_tcpmon_ts_66'!C74</f>
        <v>0</v>
      </c>
      <c r="I120">
        <f>'AARnetCBR-CamDTN1_tcpmon_ts_81'!C74+'AARnetCBR-CamDTN1_tcpmon_ts_82'!C74+'AARnetCBR-CamDTN1_tcpmon_ts_83'!C74+'AARnetCBR-CamDTN1_tcpmon_ts_84'!C74+'AARnetCBR-CamDTN1_tcpmon_ts_85'!C74+'AARnetCBR-CamDTN1_tcpmon_ts_86'!C74+'AARnetCBR-CamDTN1_tcpmon_ts_87'!C74+'AARnetCBR-CamDTN1_tcpmon_ts_88'!C74</f>
        <v>0</v>
      </c>
      <c r="L120" cm="1">
        <f t="array" aca="1" ref="L120" ca="1">INDIRECT(ADDRESS($B120,Plots!$H$4,,,Plots!$A$47))</f>
        <v>0</v>
      </c>
      <c r="M120" cm="1">
        <f t="array" aca="1" ref="M120" ca="1">INDIRECT(ADDRESS($B120,Plots!$H$4,,,Plots!$A$48))+INDIRECT(ADDRESS($B120,Plots!$H$4,,,Plots!$A$49))</f>
        <v>0</v>
      </c>
      <c r="N120" cm="1">
        <f t="array" aca="1" ref="N120" ca="1">INDIRECT(ADDRESS($B120,Plots!$H$4,,,Plots!$A$50))+INDIRECT(ADDRESS($B120,Plots!$H$4,,,Plots!$A$51))+INDIRECT(ADDRESS($B120,Plots!$H$4,,,Plots!$A$52))</f>
        <v>0</v>
      </c>
      <c r="O120" cm="1">
        <f t="array" aca="1" ref="O120" ca="1">INDIRECT(ADDRESS($B120,Plots!$H$4,,,Plots!$A$53))+INDIRECT(ADDRESS($B120,Plots!$H$4,,,Plots!$A$54))+INDIRECT(ADDRESS($B120,Plots!$H$4,,,Plots!$A$55))+INDIRECT(ADDRESS($B120,Plots!$H$4,,,Plots!$A$56))</f>
        <v>0</v>
      </c>
      <c r="P120" cm="1">
        <f t="array" aca="1" ref="P120" ca="1">INDIRECT(ADDRESS($B120,Plots!$H$4,,,Plots!$A$57))+INDIRECT(ADDRESS($B120,Plots!$H$4,,,Plots!$A$58))+INDIRECT(ADDRESS($B120,Plots!$H$4,,,Plots!$A$59))+INDIRECT(ADDRESS($B120,Plots!$H$4,,,Plots!$A$60))+INDIRECT(ADDRESS($B120,Plots!$H$4,,,Plots!$A$61))</f>
        <v>0</v>
      </c>
      <c r="Q120" cm="1">
        <f t="array" aca="1" ref="Q120" ca="1">INDIRECT(ADDRESS($B120,Plots!$H$4,,,Plots!$A$62))+INDIRECT(ADDRESS($B120,Plots!$H$4,,,Plots!$A$63))+INDIRECT(ADDRESS($B120,Plots!$H$4,,,Plots!$A$64))+INDIRECT(ADDRESS($B120,Plots!$H$4,,,Plots!$A$65))+INDIRECT(ADDRESS($B120,Plots!$H$4,,,Plots!$A$66))+INDIRECT(ADDRESS($B120,Plots!$H$4,,,Plots!$A$67))</f>
        <v>0</v>
      </c>
      <c r="R120">
        <f>'AARnetCBR-CamDTN1_tcpmon_ts_81'!J125+'AARnetCBR-CamDTN1_tcpmon_ts_82'!J125+'AARnetCBR-CamDTN1_tcpmon_ts_83'!J125+'AARnetCBR-CamDTN1_tcpmon_ts_84'!J125+'AARnetCBR-CamDTN1_tcpmon_ts_85'!J125+'AARnetCBR-CamDTN1_tcpmon_ts_86'!J125+'AARnetCBR-CamDTN1_tcpmon_ts_87'!J125+'AARnetCBR-CamDTN1_tcpmon_ts_88'!J125</f>
        <v>0</v>
      </c>
    </row>
    <row r="121" spans="1:18">
      <c r="A121" cm="1">
        <f t="array" aca="1" ref="A121" ca="1">INDIRECT(ADDRESS($B121,Plots!$H$6,,,Plots!$A$47))</f>
        <v>236</v>
      </c>
      <c r="B121">
        <f t="shared" si="2"/>
        <v>130</v>
      </c>
      <c r="C121" cm="1">
        <f t="array" aca="1" ref="C121" ca="1">INDIRECT(ADDRESS($B121,Plots!$H$3,,,Plots!$A$47))</f>
        <v>26.51</v>
      </c>
      <c r="D121" cm="1">
        <f t="array" aca="1" ref="D121" ca="1">INDIRECT(ADDRESS($B121,Plots!$H$3,,,Plots!$A$48))+INDIRECT(ADDRESS($B121,Plots!$H$3,,,Plots!$A$49))</f>
        <v>58.9</v>
      </c>
      <c r="E121" cm="1">
        <f t="array" aca="1" ref="E121" ca="1">INDIRECT(ADDRESS($B121,Plots!$H$3,,,Plots!$A$50))+INDIRECT(ADDRESS($B121,Plots!$H$3,,,Plots!$A$51))+INDIRECT(ADDRESS($B121,Plots!$H$3,,,Plots!$A$52))</f>
        <v>73.490000000000009</v>
      </c>
      <c r="F121" cm="1">
        <f t="array" aca="1" ref="F121" ca="1">INDIRECT(ADDRESS($B121,Plots!$H$3,,,Plots!$A$53))+INDIRECT(ADDRESS($B121,Plots!$H$3,,,Plots!$A$54))+INDIRECT(ADDRESS($B121,Plots!$H$3,,,Plots!$A$55))+INDIRECT(ADDRESS($B121,Plots!$H$3,,,Plots!$A$56))</f>
        <v>91.78</v>
      </c>
      <c r="G121" cm="1">
        <f t="array" aca="1" ref="G121" ca="1">INDIRECT(ADDRESS($B121,Plots!$H$3,,,Plots!$A$57))+INDIRECT(ADDRESS($B121,Plots!$H$3,,,Plots!$A$58))+INDIRECT(ADDRESS($B121,Plots!$H$3,,,Plots!$A$59))+INDIRECT(ADDRESS($B121,Plots!$H$3,,,Plots!$A$60))+INDIRECT(ADDRESS($B121,Plots!$H$3,,,Plots!$A$61))</f>
        <v>0</v>
      </c>
      <c r="H121">
        <f>'AARnetCBR-CamDTN1_tcpmon_ts_61'!C75+'AARnetCBR-CamDTN1_tcpmon_ts_62'!C75+'AARnetCBR-CamDTN1_tcpmon_ts_63'!C75+'AARnetCBR-CamDTN1_tcpmon_ts_64'!C75+'AARnetCBR-CamDTN1_tcpmon_ts_65'!C75+'AARnetCBR-CamDTN1_tcpmon_ts_66'!C75</f>
        <v>0</v>
      </c>
      <c r="I121">
        <f>'AARnetCBR-CamDTN1_tcpmon_ts_81'!C75+'AARnetCBR-CamDTN1_tcpmon_ts_82'!C75+'AARnetCBR-CamDTN1_tcpmon_ts_83'!C75+'AARnetCBR-CamDTN1_tcpmon_ts_84'!C75+'AARnetCBR-CamDTN1_tcpmon_ts_85'!C75+'AARnetCBR-CamDTN1_tcpmon_ts_86'!C75+'AARnetCBR-CamDTN1_tcpmon_ts_87'!C75+'AARnetCBR-CamDTN1_tcpmon_ts_88'!C75</f>
        <v>0</v>
      </c>
      <c r="L121" cm="1">
        <f t="array" aca="1" ref="L121" ca="1">INDIRECT(ADDRESS($B121,Plots!$H$4,,,Plots!$A$47))</f>
        <v>0</v>
      </c>
      <c r="M121" cm="1">
        <f t="array" aca="1" ref="M121" ca="1">INDIRECT(ADDRESS($B121,Plots!$H$4,,,Plots!$A$48))+INDIRECT(ADDRESS($B121,Plots!$H$4,,,Plots!$A$49))</f>
        <v>0</v>
      </c>
      <c r="N121" cm="1">
        <f t="array" aca="1" ref="N121" ca="1">INDIRECT(ADDRESS($B121,Plots!$H$4,,,Plots!$A$50))+INDIRECT(ADDRESS($B121,Plots!$H$4,,,Plots!$A$51))+INDIRECT(ADDRESS($B121,Plots!$H$4,,,Plots!$A$52))</f>
        <v>0</v>
      </c>
      <c r="O121" cm="1">
        <f t="array" aca="1" ref="O121" ca="1">INDIRECT(ADDRESS($B121,Plots!$H$4,,,Plots!$A$53))+INDIRECT(ADDRESS($B121,Plots!$H$4,,,Plots!$A$54))+INDIRECT(ADDRESS($B121,Plots!$H$4,,,Plots!$A$55))+INDIRECT(ADDRESS($B121,Plots!$H$4,,,Plots!$A$56))</f>
        <v>0</v>
      </c>
      <c r="P121" cm="1">
        <f t="array" aca="1" ref="P121" ca="1">INDIRECT(ADDRESS($B121,Plots!$H$4,,,Plots!$A$57))+INDIRECT(ADDRESS($B121,Plots!$H$4,,,Plots!$A$58))+INDIRECT(ADDRESS($B121,Plots!$H$4,,,Plots!$A$59))+INDIRECT(ADDRESS($B121,Plots!$H$4,,,Plots!$A$60))+INDIRECT(ADDRESS($B121,Plots!$H$4,,,Plots!$A$61))</f>
        <v>0</v>
      </c>
      <c r="Q121" cm="1">
        <f t="array" aca="1" ref="Q121" ca="1">INDIRECT(ADDRESS($B121,Plots!$H$4,,,Plots!$A$62))+INDIRECT(ADDRESS($B121,Plots!$H$4,,,Plots!$A$63))+INDIRECT(ADDRESS($B121,Plots!$H$4,,,Plots!$A$64))+INDIRECT(ADDRESS($B121,Plots!$H$4,,,Plots!$A$65))+INDIRECT(ADDRESS($B121,Plots!$H$4,,,Plots!$A$66))+INDIRECT(ADDRESS($B121,Plots!$H$4,,,Plots!$A$67))</f>
        <v>0</v>
      </c>
      <c r="R121">
        <f>'AARnetCBR-CamDTN1_tcpmon_ts_81'!J126+'AARnetCBR-CamDTN1_tcpmon_ts_82'!J126+'AARnetCBR-CamDTN1_tcpmon_ts_83'!J126+'AARnetCBR-CamDTN1_tcpmon_ts_84'!J126+'AARnetCBR-CamDTN1_tcpmon_ts_85'!J126+'AARnetCBR-CamDTN1_tcpmon_ts_86'!J126+'AARnetCBR-CamDTN1_tcpmon_ts_87'!J126+'AARnetCBR-CamDTN1_tcpmon_ts_88'!J126</f>
        <v>0</v>
      </c>
    </row>
    <row r="122" spans="1:18">
      <c r="A122" cm="1">
        <f t="array" aca="1" ref="A122" ca="1">INDIRECT(ADDRESS($B122,Plots!$H$6,,,Plots!$A$47))</f>
        <v>238</v>
      </c>
      <c r="B122">
        <f t="shared" si="2"/>
        <v>131</v>
      </c>
      <c r="C122" cm="1">
        <f t="array" aca="1" ref="C122" ca="1">INDIRECT(ADDRESS($B122,Plots!$H$3,,,Plots!$A$47))</f>
        <v>26.13</v>
      </c>
      <c r="D122" cm="1">
        <f t="array" aca="1" ref="D122" ca="1">INDIRECT(ADDRESS($B122,Plots!$H$3,,,Plots!$A$48))+INDIRECT(ADDRESS($B122,Plots!$H$3,,,Plots!$A$49))</f>
        <v>59.3</v>
      </c>
      <c r="E122" cm="1">
        <f t="array" aca="1" ref="E122" ca="1">INDIRECT(ADDRESS($B122,Plots!$H$3,,,Plots!$A$50))+INDIRECT(ADDRESS($B122,Plots!$H$3,,,Plots!$A$51))+INDIRECT(ADDRESS($B122,Plots!$H$3,,,Plots!$A$52))</f>
        <v>61.9</v>
      </c>
      <c r="F122" cm="1">
        <f t="array" aca="1" ref="F122" ca="1">INDIRECT(ADDRESS($B122,Plots!$H$3,,,Plots!$A$53))+INDIRECT(ADDRESS($B122,Plots!$H$3,,,Plots!$A$54))+INDIRECT(ADDRESS($B122,Plots!$H$3,,,Plots!$A$55))+INDIRECT(ADDRESS($B122,Plots!$H$3,,,Plots!$A$56))</f>
        <v>93.86</v>
      </c>
      <c r="G122" cm="1">
        <f t="array" aca="1" ref="G122" ca="1">INDIRECT(ADDRESS($B122,Plots!$H$3,,,Plots!$A$57))+INDIRECT(ADDRESS($B122,Plots!$H$3,,,Plots!$A$58))+INDIRECT(ADDRESS($B122,Plots!$H$3,,,Plots!$A$59))+INDIRECT(ADDRESS($B122,Plots!$H$3,,,Plots!$A$60))+INDIRECT(ADDRESS($B122,Plots!$H$3,,,Plots!$A$61))</f>
        <v>0</v>
      </c>
      <c r="H122">
        <f>'AARnetCBR-CamDTN1_tcpmon_ts_61'!C76+'AARnetCBR-CamDTN1_tcpmon_ts_62'!C76+'AARnetCBR-CamDTN1_tcpmon_ts_63'!C76+'AARnetCBR-CamDTN1_tcpmon_ts_64'!C76+'AARnetCBR-CamDTN1_tcpmon_ts_65'!C76+'AARnetCBR-CamDTN1_tcpmon_ts_66'!C76</f>
        <v>0</v>
      </c>
      <c r="I122">
        <f>'AARnetCBR-CamDTN1_tcpmon_ts_81'!C76+'AARnetCBR-CamDTN1_tcpmon_ts_82'!C76+'AARnetCBR-CamDTN1_tcpmon_ts_83'!C76+'AARnetCBR-CamDTN1_tcpmon_ts_84'!C76+'AARnetCBR-CamDTN1_tcpmon_ts_85'!C76+'AARnetCBR-CamDTN1_tcpmon_ts_86'!C76+'AARnetCBR-CamDTN1_tcpmon_ts_87'!C76+'AARnetCBR-CamDTN1_tcpmon_ts_88'!C76</f>
        <v>0</v>
      </c>
      <c r="L122" cm="1">
        <f t="array" aca="1" ref="L122" ca="1">INDIRECT(ADDRESS($B122,Plots!$H$4,,,Plots!$A$47))</f>
        <v>0</v>
      </c>
      <c r="M122" cm="1">
        <f t="array" aca="1" ref="M122" ca="1">INDIRECT(ADDRESS($B122,Plots!$H$4,,,Plots!$A$48))+INDIRECT(ADDRESS($B122,Plots!$H$4,,,Plots!$A$49))</f>
        <v>0</v>
      </c>
      <c r="N122" cm="1">
        <f t="array" aca="1" ref="N122" ca="1">INDIRECT(ADDRESS($B122,Plots!$H$4,,,Plots!$A$50))+INDIRECT(ADDRESS($B122,Plots!$H$4,,,Plots!$A$51))+INDIRECT(ADDRESS($B122,Plots!$H$4,,,Plots!$A$52))</f>
        <v>0</v>
      </c>
      <c r="O122" cm="1">
        <f t="array" aca="1" ref="O122" ca="1">INDIRECT(ADDRESS($B122,Plots!$H$4,,,Plots!$A$53))+INDIRECT(ADDRESS($B122,Plots!$H$4,,,Plots!$A$54))+INDIRECT(ADDRESS($B122,Plots!$H$4,,,Plots!$A$55))+INDIRECT(ADDRESS($B122,Plots!$H$4,,,Plots!$A$56))</f>
        <v>0</v>
      </c>
      <c r="P122" cm="1">
        <f t="array" aca="1" ref="P122" ca="1">INDIRECT(ADDRESS($B122,Plots!$H$4,,,Plots!$A$57))+INDIRECT(ADDRESS($B122,Plots!$H$4,,,Plots!$A$58))+INDIRECT(ADDRESS($B122,Plots!$H$4,,,Plots!$A$59))+INDIRECT(ADDRESS($B122,Plots!$H$4,,,Plots!$A$60))+INDIRECT(ADDRESS($B122,Plots!$H$4,,,Plots!$A$61))</f>
        <v>0</v>
      </c>
      <c r="Q122" cm="1">
        <f t="array" aca="1" ref="Q122" ca="1">INDIRECT(ADDRESS($B122,Plots!$H$4,,,Plots!$A$62))+INDIRECT(ADDRESS($B122,Plots!$H$4,,,Plots!$A$63))+INDIRECT(ADDRESS($B122,Plots!$H$4,,,Plots!$A$64))+INDIRECT(ADDRESS($B122,Plots!$H$4,,,Plots!$A$65))+INDIRECT(ADDRESS($B122,Plots!$H$4,,,Plots!$A$66))+INDIRECT(ADDRESS($B122,Plots!$H$4,,,Plots!$A$67))</f>
        <v>0</v>
      </c>
      <c r="R122">
        <f>'AARnetCBR-CamDTN1_tcpmon_ts_81'!J127+'AARnetCBR-CamDTN1_tcpmon_ts_82'!J127+'AARnetCBR-CamDTN1_tcpmon_ts_83'!J127+'AARnetCBR-CamDTN1_tcpmon_ts_84'!J127+'AARnetCBR-CamDTN1_tcpmon_ts_85'!J127+'AARnetCBR-CamDTN1_tcpmon_ts_86'!J127+'AARnetCBR-CamDTN1_tcpmon_ts_87'!J127+'AARnetCBR-CamDTN1_tcpmon_ts_88'!J127</f>
        <v>0</v>
      </c>
    </row>
    <row r="123" spans="1:18">
      <c r="A123" cm="1">
        <f t="array" aca="1" ref="A123" ca="1">INDIRECT(ADDRESS($B123,Plots!$H$6,,,Plots!$A$47))</f>
        <v>240</v>
      </c>
      <c r="B123">
        <f t="shared" si="2"/>
        <v>132</v>
      </c>
      <c r="C123" cm="1">
        <f t="array" aca="1" ref="C123" ca="1">INDIRECT(ADDRESS($B123,Plots!$H$3,,,Plots!$A$47))</f>
        <v>25.73</v>
      </c>
      <c r="D123" cm="1">
        <f t="array" aca="1" ref="D123" ca="1">INDIRECT(ADDRESS($B123,Plots!$H$3,,,Plots!$A$48))+INDIRECT(ADDRESS($B123,Plots!$H$3,,,Plots!$A$49))</f>
        <v>56.26</v>
      </c>
      <c r="E123" cm="1">
        <f t="array" aca="1" ref="E123" ca="1">INDIRECT(ADDRESS($B123,Plots!$H$3,,,Plots!$A$50))+INDIRECT(ADDRESS($B123,Plots!$H$3,,,Plots!$A$51))+INDIRECT(ADDRESS($B123,Plots!$H$3,,,Plots!$A$52))</f>
        <v>73.69</v>
      </c>
      <c r="F123" cm="1">
        <f t="array" aca="1" ref="F123" ca="1">INDIRECT(ADDRESS($B123,Plots!$H$3,,,Plots!$A$53))+INDIRECT(ADDRESS($B123,Plots!$H$3,,,Plots!$A$54))+INDIRECT(ADDRESS($B123,Plots!$H$3,,,Plots!$A$55))+INDIRECT(ADDRESS($B123,Plots!$H$3,,,Plots!$A$56))</f>
        <v>93.96</v>
      </c>
      <c r="G123" cm="1">
        <f t="array" aca="1" ref="G123" ca="1">INDIRECT(ADDRESS($B123,Plots!$H$3,,,Plots!$A$57))+INDIRECT(ADDRESS($B123,Plots!$H$3,,,Plots!$A$58))+INDIRECT(ADDRESS($B123,Plots!$H$3,,,Plots!$A$59))+INDIRECT(ADDRESS($B123,Plots!$H$3,,,Plots!$A$60))+INDIRECT(ADDRESS($B123,Plots!$H$3,,,Plots!$A$61))</f>
        <v>0</v>
      </c>
      <c r="H123">
        <f>'AARnetCBR-CamDTN1_tcpmon_ts_61'!C77+'AARnetCBR-CamDTN1_tcpmon_ts_62'!C77+'AARnetCBR-CamDTN1_tcpmon_ts_63'!C77+'AARnetCBR-CamDTN1_tcpmon_ts_64'!C77+'AARnetCBR-CamDTN1_tcpmon_ts_65'!C77+'AARnetCBR-CamDTN1_tcpmon_ts_66'!C77</f>
        <v>0</v>
      </c>
      <c r="I123">
        <f>'AARnetCBR-CamDTN1_tcpmon_ts_81'!C77+'AARnetCBR-CamDTN1_tcpmon_ts_82'!C77+'AARnetCBR-CamDTN1_tcpmon_ts_83'!C77+'AARnetCBR-CamDTN1_tcpmon_ts_84'!C77+'AARnetCBR-CamDTN1_tcpmon_ts_85'!C77+'AARnetCBR-CamDTN1_tcpmon_ts_86'!C77+'AARnetCBR-CamDTN1_tcpmon_ts_87'!C77+'AARnetCBR-CamDTN1_tcpmon_ts_88'!C77</f>
        <v>0</v>
      </c>
      <c r="L123" cm="1">
        <f t="array" aca="1" ref="L123" ca="1">INDIRECT(ADDRESS($B123,Plots!$H$4,,,Plots!$A$47))</f>
        <v>0</v>
      </c>
      <c r="M123" cm="1">
        <f t="array" aca="1" ref="M123" ca="1">INDIRECT(ADDRESS($B123,Plots!$H$4,,,Plots!$A$48))+INDIRECT(ADDRESS($B123,Plots!$H$4,,,Plots!$A$49))</f>
        <v>0</v>
      </c>
      <c r="N123" cm="1">
        <f t="array" aca="1" ref="N123" ca="1">INDIRECT(ADDRESS($B123,Plots!$H$4,,,Plots!$A$50))+INDIRECT(ADDRESS($B123,Plots!$H$4,,,Plots!$A$51))+INDIRECT(ADDRESS($B123,Plots!$H$4,,,Plots!$A$52))</f>
        <v>0</v>
      </c>
      <c r="O123" cm="1">
        <f t="array" aca="1" ref="O123" ca="1">INDIRECT(ADDRESS($B123,Plots!$H$4,,,Plots!$A$53))+INDIRECT(ADDRESS($B123,Plots!$H$4,,,Plots!$A$54))+INDIRECT(ADDRESS($B123,Plots!$H$4,,,Plots!$A$55))+INDIRECT(ADDRESS($B123,Plots!$H$4,,,Plots!$A$56))</f>
        <v>0</v>
      </c>
      <c r="P123" cm="1">
        <f t="array" aca="1" ref="P123" ca="1">INDIRECT(ADDRESS($B123,Plots!$H$4,,,Plots!$A$57))+INDIRECT(ADDRESS($B123,Plots!$H$4,,,Plots!$A$58))+INDIRECT(ADDRESS($B123,Plots!$H$4,,,Plots!$A$59))+INDIRECT(ADDRESS($B123,Plots!$H$4,,,Plots!$A$60))+INDIRECT(ADDRESS($B123,Plots!$H$4,,,Plots!$A$61))</f>
        <v>0</v>
      </c>
      <c r="Q123" cm="1">
        <f t="array" aca="1" ref="Q123" ca="1">INDIRECT(ADDRESS($B123,Plots!$H$4,,,Plots!$A$62))+INDIRECT(ADDRESS($B123,Plots!$H$4,,,Plots!$A$63))+INDIRECT(ADDRESS($B123,Plots!$H$4,,,Plots!$A$64))+INDIRECT(ADDRESS($B123,Plots!$H$4,,,Plots!$A$65))+INDIRECT(ADDRESS($B123,Plots!$H$4,,,Plots!$A$66))+INDIRECT(ADDRESS($B123,Plots!$H$4,,,Plots!$A$67))</f>
        <v>0</v>
      </c>
      <c r="R123">
        <f>'AARnetCBR-CamDTN1_tcpmon_ts_81'!J128+'AARnetCBR-CamDTN1_tcpmon_ts_82'!J128+'AARnetCBR-CamDTN1_tcpmon_ts_83'!J128+'AARnetCBR-CamDTN1_tcpmon_ts_84'!J128+'AARnetCBR-CamDTN1_tcpmon_ts_85'!J128+'AARnetCBR-CamDTN1_tcpmon_ts_86'!J128+'AARnetCBR-CamDTN1_tcpmon_ts_87'!J128+'AARnetCBR-CamDTN1_tcpmon_ts_88'!J128</f>
        <v>0</v>
      </c>
    </row>
    <row r="124" spans="1:18">
      <c r="A124" cm="1">
        <f t="array" aca="1" ref="A124" ca="1">INDIRECT(ADDRESS($B124,Plots!$H$6,,,Plots!$A$47))</f>
        <v>242</v>
      </c>
      <c r="B124">
        <f t="shared" si="2"/>
        <v>133</v>
      </c>
      <c r="C124" cm="1">
        <f t="array" aca="1" ref="C124" ca="1">INDIRECT(ADDRESS($B124,Plots!$H$3,,,Plots!$A$47))</f>
        <v>25.66</v>
      </c>
      <c r="D124" cm="1">
        <f t="array" aca="1" ref="D124" ca="1">INDIRECT(ADDRESS($B124,Plots!$H$3,,,Plots!$A$48))+INDIRECT(ADDRESS($B124,Plots!$H$3,,,Plots!$A$49))</f>
        <v>56.099999999999994</v>
      </c>
      <c r="E124" cm="1">
        <f t="array" aca="1" ref="E124" ca="1">INDIRECT(ADDRESS($B124,Plots!$H$3,,,Plots!$A$50))+INDIRECT(ADDRESS($B124,Plots!$H$3,,,Plots!$A$51))+INDIRECT(ADDRESS($B124,Plots!$H$3,,,Plots!$A$52))</f>
        <v>60.96</v>
      </c>
      <c r="F124" cm="1">
        <f t="array" aca="1" ref="F124" ca="1">INDIRECT(ADDRESS($B124,Plots!$H$3,,,Plots!$A$53))+INDIRECT(ADDRESS($B124,Plots!$H$3,,,Plots!$A$54))+INDIRECT(ADDRESS($B124,Plots!$H$3,,,Plots!$A$55))+INDIRECT(ADDRESS($B124,Plots!$H$3,,,Plots!$A$56))</f>
        <v>90.47</v>
      </c>
      <c r="G124" cm="1">
        <f t="array" aca="1" ref="G124" ca="1">INDIRECT(ADDRESS($B124,Plots!$H$3,,,Plots!$A$57))+INDIRECT(ADDRESS($B124,Plots!$H$3,,,Plots!$A$58))+INDIRECT(ADDRESS($B124,Plots!$H$3,,,Plots!$A$59))+INDIRECT(ADDRESS($B124,Plots!$H$3,,,Plots!$A$60))+INDIRECT(ADDRESS($B124,Plots!$H$3,,,Plots!$A$61))</f>
        <v>0</v>
      </c>
      <c r="H124">
        <f>'AARnetCBR-CamDTN1_tcpmon_ts_61'!C78+'AARnetCBR-CamDTN1_tcpmon_ts_62'!C78+'AARnetCBR-CamDTN1_tcpmon_ts_63'!C78+'AARnetCBR-CamDTN1_tcpmon_ts_64'!C78+'AARnetCBR-CamDTN1_tcpmon_ts_65'!C78+'AARnetCBR-CamDTN1_tcpmon_ts_66'!C78</f>
        <v>0</v>
      </c>
      <c r="I124">
        <f>'AARnetCBR-CamDTN1_tcpmon_ts_81'!C78+'AARnetCBR-CamDTN1_tcpmon_ts_82'!C78+'AARnetCBR-CamDTN1_tcpmon_ts_83'!C78+'AARnetCBR-CamDTN1_tcpmon_ts_84'!C78+'AARnetCBR-CamDTN1_tcpmon_ts_85'!C78+'AARnetCBR-CamDTN1_tcpmon_ts_86'!C78+'AARnetCBR-CamDTN1_tcpmon_ts_87'!C78+'AARnetCBR-CamDTN1_tcpmon_ts_88'!C78</f>
        <v>0</v>
      </c>
      <c r="L124" cm="1">
        <f t="array" aca="1" ref="L124" ca="1">INDIRECT(ADDRESS($B124,Plots!$H$4,,,Plots!$A$47))</f>
        <v>0</v>
      </c>
      <c r="M124" cm="1">
        <f t="array" aca="1" ref="M124" ca="1">INDIRECT(ADDRESS($B124,Plots!$H$4,,,Plots!$A$48))+INDIRECT(ADDRESS($B124,Plots!$H$4,,,Plots!$A$49))</f>
        <v>0</v>
      </c>
      <c r="N124" cm="1">
        <f t="array" aca="1" ref="N124" ca="1">INDIRECT(ADDRESS($B124,Plots!$H$4,,,Plots!$A$50))+INDIRECT(ADDRESS($B124,Plots!$H$4,,,Plots!$A$51))+INDIRECT(ADDRESS($B124,Plots!$H$4,,,Plots!$A$52))</f>
        <v>0</v>
      </c>
      <c r="O124" cm="1">
        <f t="array" aca="1" ref="O124" ca="1">INDIRECT(ADDRESS($B124,Plots!$H$4,,,Plots!$A$53))+INDIRECT(ADDRESS($B124,Plots!$H$4,,,Plots!$A$54))+INDIRECT(ADDRESS($B124,Plots!$H$4,,,Plots!$A$55))+INDIRECT(ADDRESS($B124,Plots!$H$4,,,Plots!$A$56))</f>
        <v>0</v>
      </c>
      <c r="P124" cm="1">
        <f t="array" aca="1" ref="P124" ca="1">INDIRECT(ADDRESS($B124,Plots!$H$4,,,Plots!$A$57))+INDIRECT(ADDRESS($B124,Plots!$H$4,,,Plots!$A$58))+INDIRECT(ADDRESS($B124,Plots!$H$4,,,Plots!$A$59))+INDIRECT(ADDRESS($B124,Plots!$H$4,,,Plots!$A$60))+INDIRECT(ADDRESS($B124,Plots!$H$4,,,Plots!$A$61))</f>
        <v>0</v>
      </c>
      <c r="Q124" cm="1">
        <f t="array" aca="1" ref="Q124" ca="1">INDIRECT(ADDRESS($B124,Plots!$H$4,,,Plots!$A$62))+INDIRECT(ADDRESS($B124,Plots!$H$4,,,Plots!$A$63))+INDIRECT(ADDRESS($B124,Plots!$H$4,,,Plots!$A$64))+INDIRECT(ADDRESS($B124,Plots!$H$4,,,Plots!$A$65))+INDIRECT(ADDRESS($B124,Plots!$H$4,,,Plots!$A$66))+INDIRECT(ADDRESS($B124,Plots!$H$4,,,Plots!$A$67))</f>
        <v>0</v>
      </c>
      <c r="R124">
        <f>'AARnetCBR-CamDTN1_tcpmon_ts_81'!J129+'AARnetCBR-CamDTN1_tcpmon_ts_82'!J129+'AARnetCBR-CamDTN1_tcpmon_ts_83'!J129+'AARnetCBR-CamDTN1_tcpmon_ts_84'!J129+'AARnetCBR-CamDTN1_tcpmon_ts_85'!J129+'AARnetCBR-CamDTN1_tcpmon_ts_86'!J129+'AARnetCBR-CamDTN1_tcpmon_ts_87'!J129+'AARnetCBR-CamDTN1_tcpmon_ts_88'!J129</f>
        <v>0</v>
      </c>
    </row>
    <row r="125" spans="1:18">
      <c r="A125" cm="1">
        <f t="array" aca="1" ref="A125" ca="1">INDIRECT(ADDRESS($B125,Plots!$H$6,,,Plots!$A$47))</f>
        <v>244</v>
      </c>
      <c r="B125">
        <f t="shared" si="2"/>
        <v>134</v>
      </c>
      <c r="C125" cm="1">
        <f t="array" aca="1" ref="C125" ca="1">INDIRECT(ADDRESS($B125,Plots!$H$3,,,Plots!$A$47))</f>
        <v>26.02</v>
      </c>
      <c r="D125" cm="1">
        <f t="array" aca="1" ref="D125" ca="1">INDIRECT(ADDRESS($B125,Plots!$H$3,,,Plots!$A$48))+INDIRECT(ADDRESS($B125,Plots!$H$3,,,Plots!$A$49))</f>
        <v>58.56</v>
      </c>
      <c r="E125" cm="1">
        <f t="array" aca="1" ref="E125" ca="1">INDIRECT(ADDRESS($B125,Plots!$H$3,,,Plots!$A$50))+INDIRECT(ADDRESS($B125,Plots!$H$3,,,Plots!$A$51))+INDIRECT(ADDRESS($B125,Plots!$H$3,,,Plots!$A$52))</f>
        <v>73.72</v>
      </c>
      <c r="F125" cm="1">
        <f t="array" aca="1" ref="F125" ca="1">INDIRECT(ADDRESS($B125,Plots!$H$3,,,Plots!$A$53))+INDIRECT(ADDRESS($B125,Plots!$H$3,,,Plots!$A$54))+INDIRECT(ADDRESS($B125,Plots!$H$3,,,Plots!$A$55))+INDIRECT(ADDRESS($B125,Plots!$H$3,,,Plots!$A$56))</f>
        <v>81.100000000000009</v>
      </c>
      <c r="G125" cm="1">
        <f t="array" aca="1" ref="G125" ca="1">INDIRECT(ADDRESS($B125,Plots!$H$3,,,Plots!$A$57))+INDIRECT(ADDRESS($B125,Plots!$H$3,,,Plots!$A$58))+INDIRECT(ADDRESS($B125,Plots!$H$3,,,Plots!$A$59))+INDIRECT(ADDRESS($B125,Plots!$H$3,,,Plots!$A$60))+INDIRECT(ADDRESS($B125,Plots!$H$3,,,Plots!$A$61))</f>
        <v>0</v>
      </c>
      <c r="H125">
        <f>'AARnetCBR-CamDTN1_tcpmon_ts_61'!C79+'AARnetCBR-CamDTN1_tcpmon_ts_62'!C79+'AARnetCBR-CamDTN1_tcpmon_ts_63'!C79+'AARnetCBR-CamDTN1_tcpmon_ts_64'!C79+'AARnetCBR-CamDTN1_tcpmon_ts_65'!C79+'AARnetCBR-CamDTN1_tcpmon_ts_66'!C79</f>
        <v>0</v>
      </c>
      <c r="I125">
        <f>'AARnetCBR-CamDTN1_tcpmon_ts_81'!C79+'AARnetCBR-CamDTN1_tcpmon_ts_82'!C79+'AARnetCBR-CamDTN1_tcpmon_ts_83'!C79+'AARnetCBR-CamDTN1_tcpmon_ts_84'!C79+'AARnetCBR-CamDTN1_tcpmon_ts_85'!C79+'AARnetCBR-CamDTN1_tcpmon_ts_86'!C79+'AARnetCBR-CamDTN1_tcpmon_ts_87'!C79+'AARnetCBR-CamDTN1_tcpmon_ts_88'!C79</f>
        <v>0</v>
      </c>
      <c r="L125" cm="1">
        <f t="array" aca="1" ref="L125" ca="1">INDIRECT(ADDRESS($B125,Plots!$H$4,,,Plots!$A$47))</f>
        <v>0</v>
      </c>
      <c r="M125" cm="1">
        <f t="array" aca="1" ref="M125" ca="1">INDIRECT(ADDRESS($B125,Plots!$H$4,,,Plots!$A$48))+INDIRECT(ADDRESS($B125,Plots!$H$4,,,Plots!$A$49))</f>
        <v>0</v>
      </c>
      <c r="N125" cm="1">
        <f t="array" aca="1" ref="N125" ca="1">INDIRECT(ADDRESS($B125,Plots!$H$4,,,Plots!$A$50))+INDIRECT(ADDRESS($B125,Plots!$H$4,,,Plots!$A$51))+INDIRECT(ADDRESS($B125,Plots!$H$4,,,Plots!$A$52))</f>
        <v>0</v>
      </c>
      <c r="O125" cm="1">
        <f t="array" aca="1" ref="O125" ca="1">INDIRECT(ADDRESS($B125,Plots!$H$4,,,Plots!$A$53))+INDIRECT(ADDRESS($B125,Plots!$H$4,,,Plots!$A$54))+INDIRECT(ADDRESS($B125,Plots!$H$4,,,Plots!$A$55))+INDIRECT(ADDRESS($B125,Plots!$H$4,,,Plots!$A$56))</f>
        <v>1429</v>
      </c>
      <c r="P125" cm="1">
        <f t="array" aca="1" ref="P125" ca="1">INDIRECT(ADDRESS($B125,Plots!$H$4,,,Plots!$A$57))+INDIRECT(ADDRESS($B125,Plots!$H$4,,,Plots!$A$58))+INDIRECT(ADDRESS($B125,Plots!$H$4,,,Plots!$A$59))+INDIRECT(ADDRESS($B125,Plots!$H$4,,,Plots!$A$60))+INDIRECT(ADDRESS($B125,Plots!$H$4,,,Plots!$A$61))</f>
        <v>0</v>
      </c>
      <c r="Q125" cm="1">
        <f t="array" aca="1" ref="Q125" ca="1">INDIRECT(ADDRESS($B125,Plots!$H$4,,,Plots!$A$62))+INDIRECT(ADDRESS($B125,Plots!$H$4,,,Plots!$A$63))+INDIRECT(ADDRESS($B125,Plots!$H$4,,,Plots!$A$64))+INDIRECT(ADDRESS($B125,Plots!$H$4,,,Plots!$A$65))+INDIRECT(ADDRESS($B125,Plots!$H$4,,,Plots!$A$66))+INDIRECT(ADDRESS($B125,Plots!$H$4,,,Plots!$A$67))</f>
        <v>0</v>
      </c>
      <c r="R125">
        <f>'AARnetCBR-CamDTN1_tcpmon_ts_81'!J130+'AARnetCBR-CamDTN1_tcpmon_ts_82'!J130+'AARnetCBR-CamDTN1_tcpmon_ts_83'!J130+'AARnetCBR-CamDTN1_tcpmon_ts_84'!J130+'AARnetCBR-CamDTN1_tcpmon_ts_85'!J130+'AARnetCBR-CamDTN1_tcpmon_ts_86'!J130+'AARnetCBR-CamDTN1_tcpmon_ts_87'!J130+'AARnetCBR-CamDTN1_tcpmon_ts_88'!J130</f>
        <v>0</v>
      </c>
    </row>
    <row r="126" spans="1:18">
      <c r="A126" cm="1">
        <f t="array" aca="1" ref="A126" ca="1">INDIRECT(ADDRESS($B126,Plots!$H$6,,,Plots!$A$47))</f>
        <v>246</v>
      </c>
      <c r="B126">
        <f t="shared" si="2"/>
        <v>135</v>
      </c>
      <c r="C126" cm="1">
        <f t="array" aca="1" ref="C126" ca="1">INDIRECT(ADDRESS($B126,Plots!$H$3,,,Plots!$A$47))</f>
        <v>25.9</v>
      </c>
      <c r="D126" cm="1">
        <f t="array" aca="1" ref="D126" ca="1">INDIRECT(ADDRESS($B126,Plots!$H$3,,,Plots!$A$48))+INDIRECT(ADDRESS($B126,Plots!$H$3,,,Plots!$A$49))</f>
        <v>55.510000000000005</v>
      </c>
      <c r="E126" cm="1">
        <f t="array" aca="1" ref="E126" ca="1">INDIRECT(ADDRESS($B126,Plots!$H$3,,,Plots!$A$50))+INDIRECT(ADDRESS($B126,Plots!$H$3,,,Plots!$A$51))+INDIRECT(ADDRESS($B126,Plots!$H$3,,,Plots!$A$52))</f>
        <v>61.570000000000007</v>
      </c>
      <c r="F126" cm="1">
        <f t="array" aca="1" ref="F126" ca="1">INDIRECT(ADDRESS($B126,Plots!$H$3,,,Plots!$A$53))+INDIRECT(ADDRESS($B126,Plots!$H$3,,,Plots!$A$54))+INDIRECT(ADDRESS($B126,Plots!$H$3,,,Plots!$A$55))+INDIRECT(ADDRESS($B126,Plots!$H$3,,,Plots!$A$56))</f>
        <v>80.17</v>
      </c>
      <c r="G126" cm="1">
        <f t="array" aca="1" ref="G126" ca="1">INDIRECT(ADDRESS($B126,Plots!$H$3,,,Plots!$A$57))+INDIRECT(ADDRESS($B126,Plots!$H$3,,,Plots!$A$58))+INDIRECT(ADDRESS($B126,Plots!$H$3,,,Plots!$A$59))+INDIRECT(ADDRESS($B126,Plots!$H$3,,,Plots!$A$60))+INDIRECT(ADDRESS($B126,Plots!$H$3,,,Plots!$A$61))</f>
        <v>0</v>
      </c>
      <c r="H126">
        <f>'AARnetCBR-CamDTN1_tcpmon_ts_61'!C80+'AARnetCBR-CamDTN1_tcpmon_ts_62'!C80+'AARnetCBR-CamDTN1_tcpmon_ts_63'!C80+'AARnetCBR-CamDTN1_tcpmon_ts_64'!C80+'AARnetCBR-CamDTN1_tcpmon_ts_65'!C80+'AARnetCBR-CamDTN1_tcpmon_ts_66'!C80</f>
        <v>0</v>
      </c>
      <c r="I126">
        <f>'AARnetCBR-CamDTN1_tcpmon_ts_81'!C80+'AARnetCBR-CamDTN1_tcpmon_ts_82'!C80+'AARnetCBR-CamDTN1_tcpmon_ts_83'!C80+'AARnetCBR-CamDTN1_tcpmon_ts_84'!C80+'AARnetCBR-CamDTN1_tcpmon_ts_85'!C80+'AARnetCBR-CamDTN1_tcpmon_ts_86'!C80+'AARnetCBR-CamDTN1_tcpmon_ts_87'!C80+'AARnetCBR-CamDTN1_tcpmon_ts_88'!C80</f>
        <v>0</v>
      </c>
      <c r="L126" cm="1">
        <f t="array" aca="1" ref="L126" ca="1">INDIRECT(ADDRESS($B126,Plots!$H$4,,,Plots!$A$47))</f>
        <v>0</v>
      </c>
      <c r="M126" cm="1">
        <f t="array" aca="1" ref="M126" ca="1">INDIRECT(ADDRESS($B126,Plots!$H$4,,,Plots!$A$48))+INDIRECT(ADDRESS($B126,Plots!$H$4,,,Plots!$A$49))</f>
        <v>0</v>
      </c>
      <c r="N126" cm="1">
        <f t="array" aca="1" ref="N126" ca="1">INDIRECT(ADDRESS($B126,Plots!$H$4,,,Plots!$A$50))+INDIRECT(ADDRESS($B126,Plots!$H$4,,,Plots!$A$51))+INDIRECT(ADDRESS($B126,Plots!$H$4,,,Plots!$A$52))</f>
        <v>0</v>
      </c>
      <c r="O126" cm="1">
        <f t="array" aca="1" ref="O126" ca="1">INDIRECT(ADDRESS($B126,Plots!$H$4,,,Plots!$A$53))+INDIRECT(ADDRESS($B126,Plots!$H$4,,,Plots!$A$54))+INDIRECT(ADDRESS($B126,Plots!$H$4,,,Plots!$A$55))+INDIRECT(ADDRESS($B126,Plots!$H$4,,,Plots!$A$56))</f>
        <v>0</v>
      </c>
      <c r="P126" cm="1">
        <f t="array" aca="1" ref="P126" ca="1">INDIRECT(ADDRESS($B126,Plots!$H$4,,,Plots!$A$57))+INDIRECT(ADDRESS($B126,Plots!$H$4,,,Plots!$A$58))+INDIRECT(ADDRESS($B126,Plots!$H$4,,,Plots!$A$59))+INDIRECT(ADDRESS($B126,Plots!$H$4,,,Plots!$A$60))+INDIRECT(ADDRESS($B126,Plots!$H$4,,,Plots!$A$61))</f>
        <v>0</v>
      </c>
      <c r="Q126" cm="1">
        <f t="array" aca="1" ref="Q126" ca="1">INDIRECT(ADDRESS($B126,Plots!$H$4,,,Plots!$A$62))+INDIRECT(ADDRESS($B126,Plots!$H$4,,,Plots!$A$63))+INDIRECT(ADDRESS($B126,Plots!$H$4,,,Plots!$A$64))+INDIRECT(ADDRESS($B126,Plots!$H$4,,,Plots!$A$65))+INDIRECT(ADDRESS($B126,Plots!$H$4,,,Plots!$A$66))+INDIRECT(ADDRESS($B126,Plots!$H$4,,,Plots!$A$67))</f>
        <v>0</v>
      </c>
      <c r="R126">
        <f>'AARnetCBR-CamDTN1_tcpmon_ts_81'!J131+'AARnetCBR-CamDTN1_tcpmon_ts_82'!J131+'AARnetCBR-CamDTN1_tcpmon_ts_83'!J131+'AARnetCBR-CamDTN1_tcpmon_ts_84'!J131+'AARnetCBR-CamDTN1_tcpmon_ts_85'!J131+'AARnetCBR-CamDTN1_tcpmon_ts_86'!J131+'AARnetCBR-CamDTN1_tcpmon_ts_87'!J131+'AARnetCBR-CamDTN1_tcpmon_ts_88'!J131</f>
        <v>0</v>
      </c>
    </row>
    <row r="127" spans="1:18">
      <c r="A127" cm="1">
        <f t="array" aca="1" ref="A127" ca="1">INDIRECT(ADDRESS($B127,Plots!$H$6,,,Plots!$A$47))</f>
        <v>248</v>
      </c>
      <c r="B127">
        <f t="shared" si="2"/>
        <v>136</v>
      </c>
      <c r="C127" cm="1">
        <f t="array" aca="1" ref="C127" ca="1">INDIRECT(ADDRESS($B127,Plots!$H$3,,,Plots!$A$47))</f>
        <v>25.37</v>
      </c>
      <c r="D127" cm="1">
        <f t="array" aca="1" ref="D127" ca="1">INDIRECT(ADDRESS($B127,Plots!$H$3,,,Plots!$A$48))+INDIRECT(ADDRESS($B127,Plots!$H$3,,,Plots!$A$49))</f>
        <v>58.81</v>
      </c>
      <c r="E127" cm="1">
        <f t="array" aca="1" ref="E127" ca="1">INDIRECT(ADDRESS($B127,Plots!$H$3,,,Plots!$A$50))+INDIRECT(ADDRESS($B127,Plots!$H$3,,,Plots!$A$51))+INDIRECT(ADDRESS($B127,Plots!$H$3,,,Plots!$A$52))</f>
        <v>74.81</v>
      </c>
      <c r="F127" cm="1">
        <f t="array" aca="1" ref="F127" ca="1">INDIRECT(ADDRESS($B127,Plots!$H$3,,,Plots!$A$53))+INDIRECT(ADDRESS($B127,Plots!$H$3,,,Plots!$A$54))+INDIRECT(ADDRESS($B127,Plots!$H$3,,,Plots!$A$55))+INDIRECT(ADDRESS($B127,Plots!$H$3,,,Plots!$A$56))</f>
        <v>84.4</v>
      </c>
      <c r="G127" cm="1">
        <f t="array" aca="1" ref="G127" ca="1">INDIRECT(ADDRESS($B127,Plots!$H$3,,,Plots!$A$57))+INDIRECT(ADDRESS($B127,Plots!$H$3,,,Plots!$A$58))+INDIRECT(ADDRESS($B127,Plots!$H$3,,,Plots!$A$59))+INDIRECT(ADDRESS($B127,Plots!$H$3,,,Plots!$A$60))+INDIRECT(ADDRESS($B127,Plots!$H$3,,,Plots!$A$61))</f>
        <v>0</v>
      </c>
      <c r="H127">
        <f>'AARnetCBR-CamDTN1_tcpmon_ts_61'!C81+'AARnetCBR-CamDTN1_tcpmon_ts_62'!C81+'AARnetCBR-CamDTN1_tcpmon_ts_63'!C81+'AARnetCBR-CamDTN1_tcpmon_ts_64'!C81+'AARnetCBR-CamDTN1_tcpmon_ts_65'!C81+'AARnetCBR-CamDTN1_tcpmon_ts_66'!C81</f>
        <v>0</v>
      </c>
      <c r="I127">
        <f>'AARnetCBR-CamDTN1_tcpmon_ts_81'!C81+'AARnetCBR-CamDTN1_tcpmon_ts_82'!C81+'AARnetCBR-CamDTN1_tcpmon_ts_83'!C81+'AARnetCBR-CamDTN1_tcpmon_ts_84'!C81+'AARnetCBR-CamDTN1_tcpmon_ts_85'!C81+'AARnetCBR-CamDTN1_tcpmon_ts_86'!C81+'AARnetCBR-CamDTN1_tcpmon_ts_87'!C81+'AARnetCBR-CamDTN1_tcpmon_ts_88'!C81</f>
        <v>0</v>
      </c>
      <c r="L127" cm="1">
        <f t="array" aca="1" ref="L127" ca="1">INDIRECT(ADDRESS($B127,Plots!$H$4,,,Plots!$A$47))</f>
        <v>0</v>
      </c>
      <c r="M127" cm="1">
        <f t="array" aca="1" ref="M127" ca="1">INDIRECT(ADDRESS($B127,Plots!$H$4,,,Plots!$A$48))+INDIRECT(ADDRESS($B127,Plots!$H$4,,,Plots!$A$49))</f>
        <v>0</v>
      </c>
      <c r="N127" cm="1">
        <f t="array" aca="1" ref="N127" ca="1">INDIRECT(ADDRESS($B127,Plots!$H$4,,,Plots!$A$50))+INDIRECT(ADDRESS($B127,Plots!$H$4,,,Plots!$A$51))+INDIRECT(ADDRESS($B127,Plots!$H$4,,,Plots!$A$52))</f>
        <v>0</v>
      </c>
      <c r="O127" cm="1">
        <f t="array" aca="1" ref="O127" ca="1">INDIRECT(ADDRESS($B127,Plots!$H$4,,,Plots!$A$53))+INDIRECT(ADDRESS($B127,Plots!$H$4,,,Plots!$A$54))+INDIRECT(ADDRESS($B127,Plots!$H$4,,,Plots!$A$55))+INDIRECT(ADDRESS($B127,Plots!$H$4,,,Plots!$A$56))</f>
        <v>0</v>
      </c>
      <c r="P127" cm="1">
        <f t="array" aca="1" ref="P127" ca="1">INDIRECT(ADDRESS($B127,Plots!$H$4,,,Plots!$A$57))+INDIRECT(ADDRESS($B127,Plots!$H$4,,,Plots!$A$58))+INDIRECT(ADDRESS($B127,Plots!$H$4,,,Plots!$A$59))+INDIRECT(ADDRESS($B127,Plots!$H$4,,,Plots!$A$60))+INDIRECT(ADDRESS($B127,Plots!$H$4,,,Plots!$A$61))</f>
        <v>0</v>
      </c>
      <c r="Q127" cm="1">
        <f t="array" aca="1" ref="Q127" ca="1">INDIRECT(ADDRESS($B127,Plots!$H$4,,,Plots!$A$62))+INDIRECT(ADDRESS($B127,Plots!$H$4,,,Plots!$A$63))+INDIRECT(ADDRESS($B127,Plots!$H$4,,,Plots!$A$64))+INDIRECT(ADDRESS($B127,Plots!$H$4,,,Plots!$A$65))+INDIRECT(ADDRESS($B127,Plots!$H$4,,,Plots!$A$66))+INDIRECT(ADDRESS($B127,Plots!$H$4,,,Plots!$A$67))</f>
        <v>0</v>
      </c>
      <c r="R127">
        <f>'AARnetCBR-CamDTN1_tcpmon_ts_81'!J132+'AARnetCBR-CamDTN1_tcpmon_ts_82'!J132+'AARnetCBR-CamDTN1_tcpmon_ts_83'!J132+'AARnetCBR-CamDTN1_tcpmon_ts_84'!J132+'AARnetCBR-CamDTN1_tcpmon_ts_85'!J132+'AARnetCBR-CamDTN1_tcpmon_ts_86'!J132+'AARnetCBR-CamDTN1_tcpmon_ts_87'!J132+'AARnetCBR-CamDTN1_tcpmon_ts_88'!J132</f>
        <v>0</v>
      </c>
    </row>
    <row r="128" spans="1:18">
      <c r="A128" cm="1">
        <f t="array" aca="1" ref="A128" ca="1">INDIRECT(ADDRESS($B128,Plots!$H$6,,,Plots!$A$47))</f>
        <v>250</v>
      </c>
      <c r="B128">
        <f t="shared" si="2"/>
        <v>137</v>
      </c>
      <c r="C128" cm="1">
        <f t="array" aca="1" ref="C128" ca="1">INDIRECT(ADDRESS($B128,Plots!$H$3,,,Plots!$A$47))</f>
        <v>26.75</v>
      </c>
      <c r="D128" cm="1">
        <f t="array" aca="1" ref="D128" ca="1">INDIRECT(ADDRESS($B128,Plots!$H$3,,,Plots!$A$48))+INDIRECT(ADDRESS($B128,Plots!$H$3,,,Plots!$A$49))</f>
        <v>57.31</v>
      </c>
      <c r="E128" cm="1">
        <f t="array" aca="1" ref="E128" ca="1">INDIRECT(ADDRESS($B128,Plots!$H$3,,,Plots!$A$50))+INDIRECT(ADDRESS($B128,Plots!$H$3,,,Plots!$A$51))+INDIRECT(ADDRESS($B128,Plots!$H$3,,,Plots!$A$52))</f>
        <v>59.9</v>
      </c>
      <c r="F128" cm="1">
        <f t="array" aca="1" ref="F128" ca="1">INDIRECT(ADDRESS($B128,Plots!$H$3,,,Plots!$A$53))+INDIRECT(ADDRESS($B128,Plots!$H$3,,,Plots!$A$54))+INDIRECT(ADDRESS($B128,Plots!$H$3,,,Plots!$A$55))+INDIRECT(ADDRESS($B128,Plots!$H$3,,,Plots!$A$56))</f>
        <v>89.750000000000014</v>
      </c>
      <c r="G128" cm="1">
        <f t="array" aca="1" ref="G128" ca="1">INDIRECT(ADDRESS($B128,Plots!$H$3,,,Plots!$A$57))+INDIRECT(ADDRESS($B128,Plots!$H$3,,,Plots!$A$58))+INDIRECT(ADDRESS($B128,Plots!$H$3,,,Plots!$A$59))+INDIRECT(ADDRESS($B128,Plots!$H$3,,,Plots!$A$60))+INDIRECT(ADDRESS($B128,Plots!$H$3,,,Plots!$A$61))</f>
        <v>0</v>
      </c>
      <c r="H128">
        <f>'AARnetCBR-CamDTN1_tcpmon_ts_61'!C82+'AARnetCBR-CamDTN1_tcpmon_ts_62'!C82+'AARnetCBR-CamDTN1_tcpmon_ts_63'!C82+'AARnetCBR-CamDTN1_tcpmon_ts_64'!C82+'AARnetCBR-CamDTN1_tcpmon_ts_65'!C82+'AARnetCBR-CamDTN1_tcpmon_ts_66'!C82</f>
        <v>0</v>
      </c>
      <c r="I128">
        <f>'AARnetCBR-CamDTN1_tcpmon_ts_81'!C82+'AARnetCBR-CamDTN1_tcpmon_ts_82'!C82+'AARnetCBR-CamDTN1_tcpmon_ts_83'!C82+'AARnetCBR-CamDTN1_tcpmon_ts_84'!C82+'AARnetCBR-CamDTN1_tcpmon_ts_85'!C82+'AARnetCBR-CamDTN1_tcpmon_ts_86'!C82+'AARnetCBR-CamDTN1_tcpmon_ts_87'!C82+'AARnetCBR-CamDTN1_tcpmon_ts_88'!C82</f>
        <v>0</v>
      </c>
      <c r="L128" cm="1">
        <f t="array" aca="1" ref="L128" ca="1">INDIRECT(ADDRESS($B128,Plots!$H$4,,,Plots!$A$47))</f>
        <v>0</v>
      </c>
      <c r="M128" cm="1">
        <f t="array" aca="1" ref="M128" ca="1">INDIRECT(ADDRESS($B128,Plots!$H$4,,,Plots!$A$48))+INDIRECT(ADDRESS($B128,Plots!$H$4,,,Plots!$A$49))</f>
        <v>0</v>
      </c>
      <c r="N128" cm="1">
        <f t="array" aca="1" ref="N128" ca="1">INDIRECT(ADDRESS($B128,Plots!$H$4,,,Plots!$A$50))+INDIRECT(ADDRESS($B128,Plots!$H$4,,,Plots!$A$51))+INDIRECT(ADDRESS($B128,Plots!$H$4,,,Plots!$A$52))</f>
        <v>0</v>
      </c>
      <c r="O128" cm="1">
        <f t="array" aca="1" ref="O128" ca="1">INDIRECT(ADDRESS($B128,Plots!$H$4,,,Plots!$A$53))+INDIRECT(ADDRESS($B128,Plots!$H$4,,,Plots!$A$54))+INDIRECT(ADDRESS($B128,Plots!$H$4,,,Plots!$A$55))+INDIRECT(ADDRESS($B128,Plots!$H$4,,,Plots!$A$56))</f>
        <v>0</v>
      </c>
      <c r="P128" cm="1">
        <f t="array" aca="1" ref="P128" ca="1">INDIRECT(ADDRESS($B128,Plots!$H$4,,,Plots!$A$57))+INDIRECT(ADDRESS($B128,Plots!$H$4,,,Plots!$A$58))+INDIRECT(ADDRESS($B128,Plots!$H$4,,,Plots!$A$59))+INDIRECT(ADDRESS($B128,Plots!$H$4,,,Plots!$A$60))+INDIRECT(ADDRESS($B128,Plots!$H$4,,,Plots!$A$61))</f>
        <v>0</v>
      </c>
      <c r="Q128" cm="1">
        <f t="array" aca="1" ref="Q128" ca="1">INDIRECT(ADDRESS($B128,Plots!$H$4,,,Plots!$A$62))+INDIRECT(ADDRESS($B128,Plots!$H$4,,,Plots!$A$63))+INDIRECT(ADDRESS($B128,Plots!$H$4,,,Plots!$A$64))+INDIRECT(ADDRESS($B128,Plots!$H$4,,,Plots!$A$65))+INDIRECT(ADDRESS($B128,Plots!$H$4,,,Plots!$A$66))+INDIRECT(ADDRESS($B128,Plots!$H$4,,,Plots!$A$67))</f>
        <v>0</v>
      </c>
      <c r="R128">
        <f>'AARnetCBR-CamDTN1_tcpmon_ts_81'!J133+'AARnetCBR-CamDTN1_tcpmon_ts_82'!J133+'AARnetCBR-CamDTN1_tcpmon_ts_83'!J133+'AARnetCBR-CamDTN1_tcpmon_ts_84'!J133+'AARnetCBR-CamDTN1_tcpmon_ts_85'!J133+'AARnetCBR-CamDTN1_tcpmon_ts_86'!J133+'AARnetCBR-CamDTN1_tcpmon_ts_87'!J133+'AARnetCBR-CamDTN1_tcpmon_ts_88'!J133</f>
        <v>0</v>
      </c>
    </row>
    <row r="129" spans="1:18">
      <c r="A129" cm="1">
        <f t="array" aca="1" ref="A129" ca="1">INDIRECT(ADDRESS($B129,Plots!$H$6,,,Plots!$A$47))</f>
        <v>252</v>
      </c>
      <c r="B129">
        <f t="shared" si="2"/>
        <v>138</v>
      </c>
      <c r="C129" cm="1">
        <f t="array" aca="1" ref="C129" ca="1">INDIRECT(ADDRESS($B129,Plots!$H$3,,,Plots!$A$47))</f>
        <v>26.07</v>
      </c>
      <c r="D129" cm="1">
        <f t="array" aca="1" ref="D129" ca="1">INDIRECT(ADDRESS($B129,Plots!$H$3,,,Plots!$A$48))+INDIRECT(ADDRESS($B129,Plots!$H$3,,,Plots!$A$49))</f>
        <v>58.26</v>
      </c>
      <c r="E129" cm="1">
        <f t="array" aca="1" ref="E129" ca="1">INDIRECT(ADDRESS($B129,Plots!$H$3,,,Plots!$A$50))+INDIRECT(ADDRESS($B129,Plots!$H$3,,,Plots!$A$51))+INDIRECT(ADDRESS($B129,Plots!$H$3,,,Plots!$A$52))</f>
        <v>74.430000000000007</v>
      </c>
      <c r="F129" cm="1">
        <f t="array" aca="1" ref="F129" ca="1">INDIRECT(ADDRESS($B129,Plots!$H$3,,,Plots!$A$53))+INDIRECT(ADDRESS($B129,Plots!$H$3,,,Plots!$A$54))+INDIRECT(ADDRESS($B129,Plots!$H$3,,,Plots!$A$55))+INDIRECT(ADDRESS($B129,Plots!$H$3,,,Plots!$A$56))</f>
        <v>85.41</v>
      </c>
      <c r="G129" cm="1">
        <f t="array" aca="1" ref="G129" ca="1">INDIRECT(ADDRESS($B129,Plots!$H$3,,,Plots!$A$57))+INDIRECT(ADDRESS($B129,Plots!$H$3,,,Plots!$A$58))+INDIRECT(ADDRESS($B129,Plots!$H$3,,,Plots!$A$59))+INDIRECT(ADDRESS($B129,Plots!$H$3,,,Plots!$A$60))+INDIRECT(ADDRESS($B129,Plots!$H$3,,,Plots!$A$61))</f>
        <v>0</v>
      </c>
      <c r="H129">
        <f>'AARnetCBR-CamDTN1_tcpmon_ts_61'!C83+'AARnetCBR-CamDTN1_tcpmon_ts_62'!C83+'AARnetCBR-CamDTN1_tcpmon_ts_63'!C83+'AARnetCBR-CamDTN1_tcpmon_ts_64'!C83+'AARnetCBR-CamDTN1_tcpmon_ts_65'!C83+'AARnetCBR-CamDTN1_tcpmon_ts_66'!C83</f>
        <v>0</v>
      </c>
      <c r="I129">
        <f>'AARnetCBR-CamDTN1_tcpmon_ts_81'!C83+'AARnetCBR-CamDTN1_tcpmon_ts_82'!C83+'AARnetCBR-CamDTN1_tcpmon_ts_83'!C83+'AARnetCBR-CamDTN1_tcpmon_ts_84'!C83+'AARnetCBR-CamDTN1_tcpmon_ts_85'!C83+'AARnetCBR-CamDTN1_tcpmon_ts_86'!C83+'AARnetCBR-CamDTN1_tcpmon_ts_87'!C83+'AARnetCBR-CamDTN1_tcpmon_ts_88'!C83</f>
        <v>0</v>
      </c>
      <c r="L129" cm="1">
        <f t="array" aca="1" ref="L129" ca="1">INDIRECT(ADDRESS($B129,Plots!$H$4,,,Plots!$A$47))</f>
        <v>0</v>
      </c>
      <c r="M129" cm="1">
        <f t="array" aca="1" ref="M129" ca="1">INDIRECT(ADDRESS($B129,Plots!$H$4,,,Plots!$A$48))+INDIRECT(ADDRESS($B129,Plots!$H$4,,,Plots!$A$49))</f>
        <v>0</v>
      </c>
      <c r="N129" cm="1">
        <f t="array" aca="1" ref="N129" ca="1">INDIRECT(ADDRESS($B129,Plots!$H$4,,,Plots!$A$50))+INDIRECT(ADDRESS($B129,Plots!$H$4,,,Plots!$A$51))+INDIRECT(ADDRESS($B129,Plots!$H$4,,,Plots!$A$52))</f>
        <v>0</v>
      </c>
      <c r="O129" cm="1">
        <f t="array" aca="1" ref="O129" ca="1">INDIRECT(ADDRESS($B129,Plots!$H$4,,,Plots!$A$53))+INDIRECT(ADDRESS($B129,Plots!$H$4,,,Plots!$A$54))+INDIRECT(ADDRESS($B129,Plots!$H$4,,,Plots!$A$55))+INDIRECT(ADDRESS($B129,Plots!$H$4,,,Plots!$A$56))</f>
        <v>0</v>
      </c>
      <c r="P129" cm="1">
        <f t="array" aca="1" ref="P129" ca="1">INDIRECT(ADDRESS($B129,Plots!$H$4,,,Plots!$A$57))+INDIRECT(ADDRESS($B129,Plots!$H$4,,,Plots!$A$58))+INDIRECT(ADDRESS($B129,Plots!$H$4,,,Plots!$A$59))+INDIRECT(ADDRESS($B129,Plots!$H$4,,,Plots!$A$60))+INDIRECT(ADDRESS($B129,Plots!$H$4,,,Plots!$A$61))</f>
        <v>0</v>
      </c>
      <c r="Q129" cm="1">
        <f t="array" aca="1" ref="Q129" ca="1">INDIRECT(ADDRESS($B129,Plots!$H$4,,,Plots!$A$62))+INDIRECT(ADDRESS($B129,Plots!$H$4,,,Plots!$A$63))+INDIRECT(ADDRESS($B129,Plots!$H$4,,,Plots!$A$64))+INDIRECT(ADDRESS($B129,Plots!$H$4,,,Plots!$A$65))+INDIRECT(ADDRESS($B129,Plots!$H$4,,,Plots!$A$66))+INDIRECT(ADDRESS($B129,Plots!$H$4,,,Plots!$A$67))</f>
        <v>0</v>
      </c>
      <c r="R129">
        <f>'AARnetCBR-CamDTN1_tcpmon_ts_81'!J134+'AARnetCBR-CamDTN1_tcpmon_ts_82'!J134+'AARnetCBR-CamDTN1_tcpmon_ts_83'!J134+'AARnetCBR-CamDTN1_tcpmon_ts_84'!J134+'AARnetCBR-CamDTN1_tcpmon_ts_85'!J134+'AARnetCBR-CamDTN1_tcpmon_ts_86'!J134+'AARnetCBR-CamDTN1_tcpmon_ts_87'!J134+'AARnetCBR-CamDTN1_tcpmon_ts_88'!J134</f>
        <v>0</v>
      </c>
    </row>
    <row r="130" spans="1:18">
      <c r="A130" cm="1">
        <f t="array" aca="1" ref="A130" ca="1">INDIRECT(ADDRESS($B130,Plots!$H$6,,,Plots!$A$47))</f>
        <v>254</v>
      </c>
      <c r="B130">
        <f t="shared" si="2"/>
        <v>139</v>
      </c>
      <c r="C130" cm="1">
        <f t="array" aca="1" ref="C130" ca="1">INDIRECT(ADDRESS($B130,Plots!$H$3,,,Plots!$A$47))</f>
        <v>26.35</v>
      </c>
      <c r="D130" cm="1">
        <f t="array" aca="1" ref="D130" ca="1">INDIRECT(ADDRESS($B130,Plots!$H$3,,,Plots!$A$48))+INDIRECT(ADDRESS($B130,Plots!$H$3,,,Plots!$A$49))</f>
        <v>56.94</v>
      </c>
      <c r="E130" cm="1">
        <f t="array" aca="1" ref="E130" ca="1">INDIRECT(ADDRESS($B130,Plots!$H$3,,,Plots!$A$50))+INDIRECT(ADDRESS($B130,Plots!$H$3,,,Plots!$A$51))+INDIRECT(ADDRESS($B130,Plots!$H$3,,,Plots!$A$52))</f>
        <v>60.25</v>
      </c>
      <c r="F130" cm="1">
        <f t="array" aca="1" ref="F130" ca="1">INDIRECT(ADDRESS($B130,Plots!$H$3,,,Plots!$A$53))+INDIRECT(ADDRESS($B130,Plots!$H$3,,,Plots!$A$54))+INDIRECT(ADDRESS($B130,Plots!$H$3,,,Plots!$A$55))+INDIRECT(ADDRESS($B130,Plots!$H$3,,,Plots!$A$56))</f>
        <v>96.139999999999986</v>
      </c>
      <c r="G130" cm="1">
        <f t="array" aca="1" ref="G130" ca="1">INDIRECT(ADDRESS($B130,Plots!$H$3,,,Plots!$A$57))+INDIRECT(ADDRESS($B130,Plots!$H$3,,,Plots!$A$58))+INDIRECT(ADDRESS($B130,Plots!$H$3,,,Plots!$A$59))+INDIRECT(ADDRESS($B130,Plots!$H$3,,,Plots!$A$60))+INDIRECT(ADDRESS($B130,Plots!$H$3,,,Plots!$A$61))</f>
        <v>0</v>
      </c>
      <c r="H130">
        <f>'AARnetCBR-CamDTN1_tcpmon_ts_61'!C84+'AARnetCBR-CamDTN1_tcpmon_ts_62'!C84+'AARnetCBR-CamDTN1_tcpmon_ts_63'!C84+'AARnetCBR-CamDTN1_tcpmon_ts_64'!C84+'AARnetCBR-CamDTN1_tcpmon_ts_65'!C84+'AARnetCBR-CamDTN1_tcpmon_ts_66'!C84</f>
        <v>0</v>
      </c>
      <c r="I130">
        <f>'AARnetCBR-CamDTN1_tcpmon_ts_81'!C84+'AARnetCBR-CamDTN1_tcpmon_ts_82'!C84+'AARnetCBR-CamDTN1_tcpmon_ts_83'!C84+'AARnetCBR-CamDTN1_tcpmon_ts_84'!C84+'AARnetCBR-CamDTN1_tcpmon_ts_85'!C84+'AARnetCBR-CamDTN1_tcpmon_ts_86'!C84+'AARnetCBR-CamDTN1_tcpmon_ts_87'!C84+'AARnetCBR-CamDTN1_tcpmon_ts_88'!C84</f>
        <v>0</v>
      </c>
      <c r="L130" cm="1">
        <f t="array" aca="1" ref="L130" ca="1">INDIRECT(ADDRESS($B130,Plots!$H$4,,,Plots!$A$47))</f>
        <v>0</v>
      </c>
      <c r="M130" cm="1">
        <f t="array" aca="1" ref="M130" ca="1">INDIRECT(ADDRESS($B130,Plots!$H$4,,,Plots!$A$48))+INDIRECT(ADDRESS($B130,Plots!$H$4,,,Plots!$A$49))</f>
        <v>0</v>
      </c>
      <c r="N130" cm="1">
        <f t="array" aca="1" ref="N130" ca="1">INDIRECT(ADDRESS($B130,Plots!$H$4,,,Plots!$A$50))+INDIRECT(ADDRESS($B130,Plots!$H$4,,,Plots!$A$51))+INDIRECT(ADDRESS($B130,Plots!$H$4,,,Plots!$A$52))</f>
        <v>0</v>
      </c>
      <c r="O130" cm="1">
        <f t="array" aca="1" ref="O130" ca="1">INDIRECT(ADDRESS($B130,Plots!$H$4,,,Plots!$A$53))+INDIRECT(ADDRESS($B130,Plots!$H$4,,,Plots!$A$54))+INDIRECT(ADDRESS($B130,Plots!$H$4,,,Plots!$A$55))+INDIRECT(ADDRESS($B130,Plots!$H$4,,,Plots!$A$56))</f>
        <v>0</v>
      </c>
      <c r="P130" cm="1">
        <f t="array" aca="1" ref="P130" ca="1">INDIRECT(ADDRESS($B130,Plots!$H$4,,,Plots!$A$57))+INDIRECT(ADDRESS($B130,Plots!$H$4,,,Plots!$A$58))+INDIRECT(ADDRESS($B130,Plots!$H$4,,,Plots!$A$59))+INDIRECT(ADDRESS($B130,Plots!$H$4,,,Plots!$A$60))+INDIRECT(ADDRESS($B130,Plots!$H$4,,,Plots!$A$61))</f>
        <v>0</v>
      </c>
      <c r="Q130" cm="1">
        <f t="array" aca="1" ref="Q130" ca="1">INDIRECT(ADDRESS($B130,Plots!$H$4,,,Plots!$A$62))+INDIRECT(ADDRESS($B130,Plots!$H$4,,,Plots!$A$63))+INDIRECT(ADDRESS($B130,Plots!$H$4,,,Plots!$A$64))+INDIRECT(ADDRESS($B130,Plots!$H$4,,,Plots!$A$65))+INDIRECT(ADDRESS($B130,Plots!$H$4,,,Plots!$A$66))+INDIRECT(ADDRESS($B130,Plots!$H$4,,,Plots!$A$67))</f>
        <v>0</v>
      </c>
      <c r="R130">
        <f>'AARnetCBR-CamDTN1_tcpmon_ts_81'!J135+'AARnetCBR-CamDTN1_tcpmon_ts_82'!J135+'AARnetCBR-CamDTN1_tcpmon_ts_83'!J135+'AARnetCBR-CamDTN1_tcpmon_ts_84'!J135+'AARnetCBR-CamDTN1_tcpmon_ts_85'!J135+'AARnetCBR-CamDTN1_tcpmon_ts_86'!J135+'AARnetCBR-CamDTN1_tcpmon_ts_87'!J135+'AARnetCBR-CamDTN1_tcpmon_ts_88'!J135</f>
        <v>0</v>
      </c>
    </row>
    <row r="131" spans="1:18">
      <c r="A131" cm="1">
        <f t="array" aca="1" ref="A131" ca="1">INDIRECT(ADDRESS($B131,Plots!$H$6,,,Plots!$A$47))</f>
        <v>256</v>
      </c>
      <c r="B131">
        <f t="shared" si="2"/>
        <v>140</v>
      </c>
      <c r="C131" cm="1">
        <f t="array" aca="1" ref="C131" ca="1">INDIRECT(ADDRESS($B131,Plots!$H$3,,,Plots!$A$47))</f>
        <v>26.15</v>
      </c>
      <c r="D131" cm="1">
        <f t="array" aca="1" ref="D131" ca="1">INDIRECT(ADDRESS($B131,Plots!$H$3,,,Plots!$A$48))+INDIRECT(ADDRESS($B131,Plots!$H$3,,,Plots!$A$49))</f>
        <v>55.4</v>
      </c>
      <c r="E131" cm="1">
        <f t="array" aca="1" ref="E131" ca="1">INDIRECT(ADDRESS($B131,Plots!$H$3,,,Plots!$A$50))+INDIRECT(ADDRESS($B131,Plots!$H$3,,,Plots!$A$51))+INDIRECT(ADDRESS($B131,Plots!$H$3,,,Plots!$A$52))</f>
        <v>74.13</v>
      </c>
      <c r="F131" cm="1">
        <f t="array" aca="1" ref="F131" ca="1">INDIRECT(ADDRESS($B131,Plots!$H$3,,,Plots!$A$53))+INDIRECT(ADDRESS($B131,Plots!$H$3,,,Plots!$A$54))+INDIRECT(ADDRESS($B131,Plots!$H$3,,,Plots!$A$55))+INDIRECT(ADDRESS($B131,Plots!$H$3,,,Plots!$A$56))</f>
        <v>90.13000000000001</v>
      </c>
      <c r="G131" cm="1">
        <f t="array" aca="1" ref="G131" ca="1">INDIRECT(ADDRESS($B131,Plots!$H$3,,,Plots!$A$57))+INDIRECT(ADDRESS($B131,Plots!$H$3,,,Plots!$A$58))+INDIRECT(ADDRESS($B131,Plots!$H$3,,,Plots!$A$59))+INDIRECT(ADDRESS($B131,Plots!$H$3,,,Plots!$A$60))+INDIRECT(ADDRESS($B131,Plots!$H$3,,,Plots!$A$61))</f>
        <v>0</v>
      </c>
      <c r="H131">
        <f>'AARnetCBR-CamDTN1_tcpmon_ts_61'!C85+'AARnetCBR-CamDTN1_tcpmon_ts_62'!C85+'AARnetCBR-CamDTN1_tcpmon_ts_63'!C85+'AARnetCBR-CamDTN1_tcpmon_ts_64'!C85+'AARnetCBR-CamDTN1_tcpmon_ts_65'!C85+'AARnetCBR-CamDTN1_tcpmon_ts_66'!C85</f>
        <v>0</v>
      </c>
      <c r="I131">
        <f>'AARnetCBR-CamDTN1_tcpmon_ts_81'!C85+'AARnetCBR-CamDTN1_tcpmon_ts_82'!C85+'AARnetCBR-CamDTN1_tcpmon_ts_83'!C85+'AARnetCBR-CamDTN1_tcpmon_ts_84'!C85+'AARnetCBR-CamDTN1_tcpmon_ts_85'!C85+'AARnetCBR-CamDTN1_tcpmon_ts_86'!C85+'AARnetCBR-CamDTN1_tcpmon_ts_87'!C85+'AARnetCBR-CamDTN1_tcpmon_ts_88'!C85</f>
        <v>0</v>
      </c>
      <c r="L131" cm="1">
        <f t="array" aca="1" ref="L131" ca="1">INDIRECT(ADDRESS($B131,Plots!$H$4,,,Plots!$A$47))</f>
        <v>0</v>
      </c>
      <c r="M131" cm="1">
        <f t="array" aca="1" ref="M131" ca="1">INDIRECT(ADDRESS($B131,Plots!$H$4,,,Plots!$A$48))+INDIRECT(ADDRESS($B131,Plots!$H$4,,,Plots!$A$49))</f>
        <v>0</v>
      </c>
      <c r="N131" cm="1">
        <f t="array" aca="1" ref="N131" ca="1">INDIRECT(ADDRESS($B131,Plots!$H$4,,,Plots!$A$50))+INDIRECT(ADDRESS($B131,Plots!$H$4,,,Plots!$A$51))+INDIRECT(ADDRESS($B131,Plots!$H$4,,,Plots!$A$52))</f>
        <v>0</v>
      </c>
      <c r="O131" cm="1">
        <f t="array" aca="1" ref="O131" ca="1">INDIRECT(ADDRESS($B131,Plots!$H$4,,,Plots!$A$53))+INDIRECT(ADDRESS($B131,Plots!$H$4,,,Plots!$A$54))+INDIRECT(ADDRESS($B131,Plots!$H$4,,,Plots!$A$55))+INDIRECT(ADDRESS($B131,Plots!$H$4,,,Plots!$A$56))</f>
        <v>0</v>
      </c>
      <c r="P131" cm="1">
        <f t="array" aca="1" ref="P131" ca="1">INDIRECT(ADDRESS($B131,Plots!$H$4,,,Plots!$A$57))+INDIRECT(ADDRESS($B131,Plots!$H$4,,,Plots!$A$58))+INDIRECT(ADDRESS($B131,Plots!$H$4,,,Plots!$A$59))+INDIRECT(ADDRESS($B131,Plots!$H$4,,,Plots!$A$60))+INDIRECT(ADDRESS($B131,Plots!$H$4,,,Plots!$A$61))</f>
        <v>0</v>
      </c>
      <c r="Q131" cm="1">
        <f t="array" aca="1" ref="Q131" ca="1">INDIRECT(ADDRESS($B131,Plots!$H$4,,,Plots!$A$62))+INDIRECT(ADDRESS($B131,Plots!$H$4,,,Plots!$A$63))+INDIRECT(ADDRESS($B131,Plots!$H$4,,,Plots!$A$64))+INDIRECT(ADDRESS($B131,Plots!$H$4,,,Plots!$A$65))+INDIRECT(ADDRESS($B131,Plots!$H$4,,,Plots!$A$66))+INDIRECT(ADDRESS($B131,Plots!$H$4,,,Plots!$A$67))</f>
        <v>0</v>
      </c>
      <c r="R131">
        <f>'AARnetCBR-CamDTN1_tcpmon_ts_81'!J136+'AARnetCBR-CamDTN1_tcpmon_ts_82'!J136+'AARnetCBR-CamDTN1_tcpmon_ts_83'!J136+'AARnetCBR-CamDTN1_tcpmon_ts_84'!J136+'AARnetCBR-CamDTN1_tcpmon_ts_85'!J136+'AARnetCBR-CamDTN1_tcpmon_ts_86'!J136+'AARnetCBR-CamDTN1_tcpmon_ts_87'!J136+'AARnetCBR-CamDTN1_tcpmon_ts_88'!J136</f>
        <v>0</v>
      </c>
    </row>
    <row r="132" spans="1:18">
      <c r="A132" cm="1">
        <f t="array" aca="1" ref="A132" ca="1">INDIRECT(ADDRESS($B132,Plots!$H$6,,,Plots!$A$47))</f>
        <v>258</v>
      </c>
      <c r="B132">
        <f t="shared" si="2"/>
        <v>141</v>
      </c>
      <c r="C132" cm="1">
        <f t="array" aca="1" ref="C132" ca="1">INDIRECT(ADDRESS($B132,Plots!$H$3,,,Plots!$A$47))</f>
        <v>25.61</v>
      </c>
      <c r="D132" cm="1">
        <f t="array" aca="1" ref="D132" ca="1">INDIRECT(ADDRESS($B132,Plots!$H$3,,,Plots!$A$48))+INDIRECT(ADDRESS($B132,Plots!$H$3,,,Plots!$A$49))</f>
        <v>57.17</v>
      </c>
      <c r="E132" cm="1">
        <f t="array" aca="1" ref="E132" ca="1">INDIRECT(ADDRESS($B132,Plots!$H$3,,,Plots!$A$50))+INDIRECT(ADDRESS($B132,Plots!$H$3,,,Plots!$A$51))+INDIRECT(ADDRESS($B132,Plots!$H$3,,,Plots!$A$52))</f>
        <v>60.69</v>
      </c>
      <c r="F132" cm="1">
        <f t="array" aca="1" ref="F132" ca="1">INDIRECT(ADDRESS($B132,Plots!$H$3,,,Plots!$A$53))+INDIRECT(ADDRESS($B132,Plots!$H$3,,,Plots!$A$54))+INDIRECT(ADDRESS($B132,Plots!$H$3,,,Plots!$A$55))+INDIRECT(ADDRESS($B132,Plots!$H$3,,,Plots!$A$56))</f>
        <v>95.97</v>
      </c>
      <c r="G132" cm="1">
        <f t="array" aca="1" ref="G132" ca="1">INDIRECT(ADDRESS($B132,Plots!$H$3,,,Plots!$A$57))+INDIRECT(ADDRESS($B132,Plots!$H$3,,,Plots!$A$58))+INDIRECT(ADDRESS($B132,Plots!$H$3,,,Plots!$A$59))+INDIRECT(ADDRESS($B132,Plots!$H$3,,,Plots!$A$60))+INDIRECT(ADDRESS($B132,Plots!$H$3,,,Plots!$A$61))</f>
        <v>0</v>
      </c>
      <c r="H132">
        <f>'AARnetCBR-CamDTN1_tcpmon_ts_61'!C86+'AARnetCBR-CamDTN1_tcpmon_ts_62'!C86+'AARnetCBR-CamDTN1_tcpmon_ts_63'!C86+'AARnetCBR-CamDTN1_tcpmon_ts_64'!C86+'AARnetCBR-CamDTN1_tcpmon_ts_65'!C86+'AARnetCBR-CamDTN1_tcpmon_ts_66'!C86</f>
        <v>0</v>
      </c>
      <c r="I132">
        <f>'AARnetCBR-CamDTN1_tcpmon_ts_81'!C86+'AARnetCBR-CamDTN1_tcpmon_ts_82'!C86+'AARnetCBR-CamDTN1_tcpmon_ts_83'!C86+'AARnetCBR-CamDTN1_tcpmon_ts_84'!C86+'AARnetCBR-CamDTN1_tcpmon_ts_85'!C86+'AARnetCBR-CamDTN1_tcpmon_ts_86'!C86+'AARnetCBR-CamDTN1_tcpmon_ts_87'!C86+'AARnetCBR-CamDTN1_tcpmon_ts_88'!C86</f>
        <v>0</v>
      </c>
      <c r="L132" cm="1">
        <f t="array" aca="1" ref="L132" ca="1">INDIRECT(ADDRESS($B132,Plots!$H$4,,,Plots!$A$47))</f>
        <v>0</v>
      </c>
      <c r="M132" cm="1">
        <f t="array" aca="1" ref="M132" ca="1">INDIRECT(ADDRESS($B132,Plots!$H$4,,,Plots!$A$48))+INDIRECT(ADDRESS($B132,Plots!$H$4,,,Plots!$A$49))</f>
        <v>0</v>
      </c>
      <c r="N132" cm="1">
        <f t="array" aca="1" ref="N132" ca="1">INDIRECT(ADDRESS($B132,Plots!$H$4,,,Plots!$A$50))+INDIRECT(ADDRESS($B132,Plots!$H$4,,,Plots!$A$51))+INDIRECT(ADDRESS($B132,Plots!$H$4,,,Plots!$A$52))</f>
        <v>0</v>
      </c>
      <c r="O132" cm="1">
        <f t="array" aca="1" ref="O132" ca="1">INDIRECT(ADDRESS($B132,Plots!$H$4,,,Plots!$A$53))+INDIRECT(ADDRESS($B132,Plots!$H$4,,,Plots!$A$54))+INDIRECT(ADDRESS($B132,Plots!$H$4,,,Plots!$A$55))+INDIRECT(ADDRESS($B132,Plots!$H$4,,,Plots!$A$56))</f>
        <v>0</v>
      </c>
      <c r="P132" cm="1">
        <f t="array" aca="1" ref="P132" ca="1">INDIRECT(ADDRESS($B132,Plots!$H$4,,,Plots!$A$57))+INDIRECT(ADDRESS($B132,Plots!$H$4,,,Plots!$A$58))+INDIRECT(ADDRESS($B132,Plots!$H$4,,,Plots!$A$59))+INDIRECT(ADDRESS($B132,Plots!$H$4,,,Plots!$A$60))+INDIRECT(ADDRESS($B132,Plots!$H$4,,,Plots!$A$61))</f>
        <v>0</v>
      </c>
      <c r="Q132" cm="1">
        <f t="array" aca="1" ref="Q132" ca="1">INDIRECT(ADDRESS($B132,Plots!$H$4,,,Plots!$A$62))+INDIRECT(ADDRESS($B132,Plots!$H$4,,,Plots!$A$63))+INDIRECT(ADDRESS($B132,Plots!$H$4,,,Plots!$A$64))+INDIRECT(ADDRESS($B132,Plots!$H$4,,,Plots!$A$65))+INDIRECT(ADDRESS($B132,Plots!$H$4,,,Plots!$A$66))+INDIRECT(ADDRESS($B132,Plots!$H$4,,,Plots!$A$67))</f>
        <v>0</v>
      </c>
      <c r="R132">
        <f>'AARnetCBR-CamDTN1_tcpmon_ts_81'!J137+'AARnetCBR-CamDTN1_tcpmon_ts_82'!J137+'AARnetCBR-CamDTN1_tcpmon_ts_83'!J137+'AARnetCBR-CamDTN1_tcpmon_ts_84'!J137+'AARnetCBR-CamDTN1_tcpmon_ts_85'!J137+'AARnetCBR-CamDTN1_tcpmon_ts_86'!J137+'AARnetCBR-CamDTN1_tcpmon_ts_87'!J137+'AARnetCBR-CamDTN1_tcpmon_ts_88'!J137</f>
        <v>0</v>
      </c>
    </row>
    <row r="133" spans="1:18">
      <c r="A133" cm="1">
        <f t="array" aca="1" ref="A133" ca="1">INDIRECT(ADDRESS($B133,Plots!$H$6,,,Plots!$A$47))</f>
        <v>260</v>
      </c>
      <c r="B133">
        <f t="shared" si="2"/>
        <v>142</v>
      </c>
      <c r="C133" cm="1">
        <f t="array" aca="1" ref="C133" ca="1">INDIRECT(ADDRESS($B133,Plots!$H$3,,,Plots!$A$47))</f>
        <v>25.3</v>
      </c>
      <c r="D133" cm="1">
        <f t="array" aca="1" ref="D133" ca="1">INDIRECT(ADDRESS($B133,Plots!$H$3,,,Plots!$A$48))+INDIRECT(ADDRESS($B133,Plots!$H$3,,,Plots!$A$49))</f>
        <v>57.07</v>
      </c>
      <c r="E133" cm="1">
        <f t="array" aca="1" ref="E133" ca="1">INDIRECT(ADDRESS($B133,Plots!$H$3,,,Plots!$A$50))+INDIRECT(ADDRESS($B133,Plots!$H$3,,,Plots!$A$51))+INDIRECT(ADDRESS($B133,Plots!$H$3,,,Plots!$A$52))</f>
        <v>74.58</v>
      </c>
      <c r="F133" cm="1">
        <f t="array" aca="1" ref="F133" ca="1">INDIRECT(ADDRESS($B133,Plots!$H$3,,,Plots!$A$53))+INDIRECT(ADDRESS($B133,Plots!$H$3,,,Plots!$A$54))+INDIRECT(ADDRESS($B133,Plots!$H$3,,,Plots!$A$55))+INDIRECT(ADDRESS($B133,Plots!$H$3,,,Plots!$A$56))</f>
        <v>90.98</v>
      </c>
      <c r="G133" cm="1">
        <f t="array" aca="1" ref="G133" ca="1">INDIRECT(ADDRESS($B133,Plots!$H$3,,,Plots!$A$57))+INDIRECT(ADDRESS($B133,Plots!$H$3,,,Plots!$A$58))+INDIRECT(ADDRESS($B133,Plots!$H$3,,,Plots!$A$59))+INDIRECT(ADDRESS($B133,Plots!$H$3,,,Plots!$A$60))+INDIRECT(ADDRESS($B133,Plots!$H$3,,,Plots!$A$61))</f>
        <v>0</v>
      </c>
      <c r="H133">
        <f>'AARnetCBR-CamDTN1_tcpmon_ts_61'!C87+'AARnetCBR-CamDTN1_tcpmon_ts_62'!C87+'AARnetCBR-CamDTN1_tcpmon_ts_63'!C87+'AARnetCBR-CamDTN1_tcpmon_ts_64'!C87+'AARnetCBR-CamDTN1_tcpmon_ts_65'!C87+'AARnetCBR-CamDTN1_tcpmon_ts_66'!C87</f>
        <v>0</v>
      </c>
      <c r="I133">
        <f>'AARnetCBR-CamDTN1_tcpmon_ts_81'!C87+'AARnetCBR-CamDTN1_tcpmon_ts_82'!C87+'AARnetCBR-CamDTN1_tcpmon_ts_83'!C87+'AARnetCBR-CamDTN1_tcpmon_ts_84'!C87+'AARnetCBR-CamDTN1_tcpmon_ts_85'!C87+'AARnetCBR-CamDTN1_tcpmon_ts_86'!C87+'AARnetCBR-CamDTN1_tcpmon_ts_87'!C87+'AARnetCBR-CamDTN1_tcpmon_ts_88'!C87</f>
        <v>0</v>
      </c>
      <c r="L133" cm="1">
        <f t="array" aca="1" ref="L133" ca="1">INDIRECT(ADDRESS($B133,Plots!$H$4,,,Plots!$A$47))</f>
        <v>0</v>
      </c>
      <c r="M133" cm="1">
        <f t="array" aca="1" ref="M133" ca="1">INDIRECT(ADDRESS($B133,Plots!$H$4,,,Plots!$A$48))+INDIRECT(ADDRESS($B133,Plots!$H$4,,,Plots!$A$49))</f>
        <v>0</v>
      </c>
      <c r="N133" cm="1">
        <f t="array" aca="1" ref="N133" ca="1">INDIRECT(ADDRESS($B133,Plots!$H$4,,,Plots!$A$50))+INDIRECT(ADDRESS($B133,Plots!$H$4,,,Plots!$A$51))+INDIRECT(ADDRESS($B133,Plots!$H$4,,,Plots!$A$52))</f>
        <v>0</v>
      </c>
      <c r="O133" cm="1">
        <f t="array" aca="1" ref="O133" ca="1">INDIRECT(ADDRESS($B133,Plots!$H$4,,,Plots!$A$53))+INDIRECT(ADDRESS($B133,Plots!$H$4,,,Plots!$A$54))+INDIRECT(ADDRESS($B133,Plots!$H$4,,,Plots!$A$55))+INDIRECT(ADDRESS($B133,Plots!$H$4,,,Plots!$A$56))</f>
        <v>0</v>
      </c>
      <c r="P133" cm="1">
        <f t="array" aca="1" ref="P133" ca="1">INDIRECT(ADDRESS($B133,Plots!$H$4,,,Plots!$A$57))+INDIRECT(ADDRESS($B133,Plots!$H$4,,,Plots!$A$58))+INDIRECT(ADDRESS($B133,Plots!$H$4,,,Plots!$A$59))+INDIRECT(ADDRESS($B133,Plots!$H$4,,,Plots!$A$60))+INDIRECT(ADDRESS($B133,Plots!$H$4,,,Plots!$A$61))</f>
        <v>0</v>
      </c>
      <c r="Q133" cm="1">
        <f t="array" aca="1" ref="Q133" ca="1">INDIRECT(ADDRESS($B133,Plots!$H$4,,,Plots!$A$62))+INDIRECT(ADDRESS($B133,Plots!$H$4,,,Plots!$A$63))+INDIRECT(ADDRESS($B133,Plots!$H$4,,,Plots!$A$64))+INDIRECT(ADDRESS($B133,Plots!$H$4,,,Plots!$A$65))+INDIRECT(ADDRESS($B133,Plots!$H$4,,,Plots!$A$66))+INDIRECT(ADDRESS($B133,Plots!$H$4,,,Plots!$A$67))</f>
        <v>0</v>
      </c>
      <c r="R133">
        <f>'AARnetCBR-CamDTN1_tcpmon_ts_81'!J138+'AARnetCBR-CamDTN1_tcpmon_ts_82'!J138+'AARnetCBR-CamDTN1_tcpmon_ts_83'!J138+'AARnetCBR-CamDTN1_tcpmon_ts_84'!J138+'AARnetCBR-CamDTN1_tcpmon_ts_85'!J138+'AARnetCBR-CamDTN1_tcpmon_ts_86'!J138+'AARnetCBR-CamDTN1_tcpmon_ts_87'!J138+'AARnetCBR-CamDTN1_tcpmon_ts_88'!J138</f>
        <v>0</v>
      </c>
    </row>
    <row r="134" spans="1:18">
      <c r="A134" cm="1">
        <f t="array" aca="1" ref="A134" ca="1">INDIRECT(ADDRESS($B134,Plots!$H$6,,,Plots!$A$47))</f>
        <v>262</v>
      </c>
      <c r="B134">
        <f t="shared" si="2"/>
        <v>143</v>
      </c>
      <c r="C134" cm="1">
        <f t="array" aca="1" ref="C134" ca="1">INDIRECT(ADDRESS($B134,Plots!$H$3,,,Plots!$A$47))</f>
        <v>26.3</v>
      </c>
      <c r="D134" cm="1">
        <f t="array" aca="1" ref="D134" ca="1">INDIRECT(ADDRESS($B134,Plots!$H$3,,,Plots!$A$48))+INDIRECT(ADDRESS($B134,Plots!$H$3,,,Plots!$A$49))</f>
        <v>57.05</v>
      </c>
      <c r="E134" cm="1">
        <f t="array" aca="1" ref="E134" ca="1">INDIRECT(ADDRESS($B134,Plots!$H$3,,,Plots!$A$50))+INDIRECT(ADDRESS($B134,Plots!$H$3,,,Plots!$A$51))+INDIRECT(ADDRESS($B134,Plots!$H$3,,,Plots!$A$52))</f>
        <v>61.69</v>
      </c>
      <c r="F134" cm="1">
        <f t="array" aca="1" ref="F134" ca="1">INDIRECT(ADDRESS($B134,Plots!$H$3,,,Plots!$A$53))+INDIRECT(ADDRESS($B134,Plots!$H$3,,,Plots!$A$54))+INDIRECT(ADDRESS($B134,Plots!$H$3,,,Plots!$A$55))+INDIRECT(ADDRESS($B134,Plots!$H$3,,,Plots!$A$56))</f>
        <v>92.12</v>
      </c>
      <c r="G134" cm="1">
        <f t="array" aca="1" ref="G134" ca="1">INDIRECT(ADDRESS($B134,Plots!$H$3,,,Plots!$A$57))+INDIRECT(ADDRESS($B134,Plots!$H$3,,,Plots!$A$58))+INDIRECT(ADDRESS($B134,Plots!$H$3,,,Plots!$A$59))+INDIRECT(ADDRESS($B134,Plots!$H$3,,,Plots!$A$60))+INDIRECT(ADDRESS($B134,Plots!$H$3,,,Plots!$A$61))</f>
        <v>0</v>
      </c>
      <c r="H134">
        <f>'AARnetCBR-CamDTN1_tcpmon_ts_61'!C88+'AARnetCBR-CamDTN1_tcpmon_ts_62'!C88+'AARnetCBR-CamDTN1_tcpmon_ts_63'!C88+'AARnetCBR-CamDTN1_tcpmon_ts_64'!C88+'AARnetCBR-CamDTN1_tcpmon_ts_65'!C88+'AARnetCBR-CamDTN1_tcpmon_ts_66'!C88</f>
        <v>0</v>
      </c>
      <c r="I134">
        <f>'AARnetCBR-CamDTN1_tcpmon_ts_81'!C88+'AARnetCBR-CamDTN1_tcpmon_ts_82'!C88+'AARnetCBR-CamDTN1_tcpmon_ts_83'!C88+'AARnetCBR-CamDTN1_tcpmon_ts_84'!C88+'AARnetCBR-CamDTN1_tcpmon_ts_85'!C88+'AARnetCBR-CamDTN1_tcpmon_ts_86'!C88+'AARnetCBR-CamDTN1_tcpmon_ts_87'!C88+'AARnetCBR-CamDTN1_tcpmon_ts_88'!C88</f>
        <v>0</v>
      </c>
      <c r="L134" cm="1">
        <f t="array" aca="1" ref="L134" ca="1">INDIRECT(ADDRESS($B134,Plots!$H$4,,,Plots!$A$47))</f>
        <v>0</v>
      </c>
      <c r="M134" cm="1">
        <f t="array" aca="1" ref="M134" ca="1">INDIRECT(ADDRESS($B134,Plots!$H$4,,,Plots!$A$48))+INDIRECT(ADDRESS($B134,Plots!$H$4,,,Plots!$A$49))</f>
        <v>0</v>
      </c>
      <c r="N134" cm="1">
        <f t="array" aca="1" ref="N134" ca="1">INDIRECT(ADDRESS($B134,Plots!$H$4,,,Plots!$A$50))+INDIRECT(ADDRESS($B134,Plots!$H$4,,,Plots!$A$51))+INDIRECT(ADDRESS($B134,Plots!$H$4,,,Plots!$A$52))</f>
        <v>0</v>
      </c>
      <c r="O134" cm="1">
        <f t="array" aca="1" ref="O134" ca="1">INDIRECT(ADDRESS($B134,Plots!$H$4,,,Plots!$A$53))+INDIRECT(ADDRESS($B134,Plots!$H$4,,,Plots!$A$54))+INDIRECT(ADDRESS($B134,Plots!$H$4,,,Plots!$A$55))+INDIRECT(ADDRESS($B134,Plots!$H$4,,,Plots!$A$56))</f>
        <v>0</v>
      </c>
      <c r="P134" cm="1">
        <f t="array" aca="1" ref="P134" ca="1">INDIRECT(ADDRESS($B134,Plots!$H$4,,,Plots!$A$57))+INDIRECT(ADDRESS($B134,Plots!$H$4,,,Plots!$A$58))+INDIRECT(ADDRESS($B134,Plots!$H$4,,,Plots!$A$59))+INDIRECT(ADDRESS($B134,Plots!$H$4,,,Plots!$A$60))+INDIRECT(ADDRESS($B134,Plots!$H$4,,,Plots!$A$61))</f>
        <v>0</v>
      </c>
      <c r="Q134" cm="1">
        <f t="array" aca="1" ref="Q134" ca="1">INDIRECT(ADDRESS($B134,Plots!$H$4,,,Plots!$A$62))+INDIRECT(ADDRESS($B134,Plots!$H$4,,,Plots!$A$63))+INDIRECT(ADDRESS($B134,Plots!$H$4,,,Plots!$A$64))+INDIRECT(ADDRESS($B134,Plots!$H$4,,,Plots!$A$65))+INDIRECT(ADDRESS($B134,Plots!$H$4,,,Plots!$A$66))+INDIRECT(ADDRESS($B134,Plots!$H$4,,,Plots!$A$67))</f>
        <v>0</v>
      </c>
      <c r="R134">
        <f>'AARnetCBR-CamDTN1_tcpmon_ts_81'!J139+'AARnetCBR-CamDTN1_tcpmon_ts_82'!J139+'AARnetCBR-CamDTN1_tcpmon_ts_83'!J139+'AARnetCBR-CamDTN1_tcpmon_ts_84'!J139+'AARnetCBR-CamDTN1_tcpmon_ts_85'!J139+'AARnetCBR-CamDTN1_tcpmon_ts_86'!J139+'AARnetCBR-CamDTN1_tcpmon_ts_87'!J139+'AARnetCBR-CamDTN1_tcpmon_ts_88'!J139</f>
        <v>0</v>
      </c>
    </row>
    <row r="135" spans="1:18">
      <c r="A135" cm="1">
        <f t="array" aca="1" ref="A135" ca="1">INDIRECT(ADDRESS($B135,Plots!$H$6,,,Plots!$A$47))</f>
        <v>264</v>
      </c>
      <c r="B135">
        <f t="shared" si="2"/>
        <v>144</v>
      </c>
      <c r="C135" cm="1">
        <f t="array" aca="1" ref="C135" ca="1">INDIRECT(ADDRESS($B135,Plots!$H$3,,,Plots!$A$47))</f>
        <v>26.43</v>
      </c>
      <c r="D135" cm="1">
        <f t="array" aca="1" ref="D135" ca="1">INDIRECT(ADDRESS($B135,Plots!$H$3,,,Plots!$A$48))+INDIRECT(ADDRESS($B135,Plots!$H$3,,,Plots!$A$49))</f>
        <v>55.43</v>
      </c>
      <c r="E135" cm="1">
        <f t="array" aca="1" ref="E135" ca="1">INDIRECT(ADDRESS($B135,Plots!$H$3,,,Plots!$A$50))+INDIRECT(ADDRESS($B135,Plots!$H$3,,,Plots!$A$51))+INDIRECT(ADDRESS($B135,Plots!$H$3,,,Plots!$A$52))</f>
        <v>68.62</v>
      </c>
      <c r="F135" cm="1">
        <f t="array" aca="1" ref="F135" ca="1">INDIRECT(ADDRESS($B135,Plots!$H$3,,,Plots!$A$53))+INDIRECT(ADDRESS($B135,Plots!$H$3,,,Plots!$A$54))+INDIRECT(ADDRESS($B135,Plots!$H$3,,,Plots!$A$55))+INDIRECT(ADDRESS($B135,Plots!$H$3,,,Plots!$A$56))</f>
        <v>92.710000000000008</v>
      </c>
      <c r="G135" cm="1">
        <f t="array" aca="1" ref="G135" ca="1">INDIRECT(ADDRESS($B135,Plots!$H$3,,,Plots!$A$57))+INDIRECT(ADDRESS($B135,Plots!$H$3,,,Plots!$A$58))+INDIRECT(ADDRESS($B135,Plots!$H$3,,,Plots!$A$59))+INDIRECT(ADDRESS($B135,Plots!$H$3,,,Plots!$A$60))+INDIRECT(ADDRESS($B135,Plots!$H$3,,,Plots!$A$61))</f>
        <v>0</v>
      </c>
      <c r="H135">
        <f>'AARnetCBR-CamDTN1_tcpmon_ts_61'!C89+'AARnetCBR-CamDTN1_tcpmon_ts_62'!C89+'AARnetCBR-CamDTN1_tcpmon_ts_63'!C89+'AARnetCBR-CamDTN1_tcpmon_ts_64'!C89+'AARnetCBR-CamDTN1_tcpmon_ts_65'!C89+'AARnetCBR-CamDTN1_tcpmon_ts_66'!C89</f>
        <v>0</v>
      </c>
      <c r="I135">
        <f>'AARnetCBR-CamDTN1_tcpmon_ts_81'!C89+'AARnetCBR-CamDTN1_tcpmon_ts_82'!C89+'AARnetCBR-CamDTN1_tcpmon_ts_83'!C89+'AARnetCBR-CamDTN1_tcpmon_ts_84'!C89+'AARnetCBR-CamDTN1_tcpmon_ts_85'!C89+'AARnetCBR-CamDTN1_tcpmon_ts_86'!C89+'AARnetCBR-CamDTN1_tcpmon_ts_87'!C89+'AARnetCBR-CamDTN1_tcpmon_ts_88'!C89</f>
        <v>0</v>
      </c>
      <c r="L135" cm="1">
        <f t="array" aca="1" ref="L135" ca="1">INDIRECT(ADDRESS($B135,Plots!$H$4,,,Plots!$A$47))</f>
        <v>0</v>
      </c>
      <c r="M135" cm="1">
        <f t="array" aca="1" ref="M135" ca="1">INDIRECT(ADDRESS($B135,Plots!$H$4,,,Plots!$A$48))+INDIRECT(ADDRESS($B135,Plots!$H$4,,,Plots!$A$49))</f>
        <v>0</v>
      </c>
      <c r="N135" cm="1">
        <f t="array" aca="1" ref="N135" ca="1">INDIRECT(ADDRESS($B135,Plots!$H$4,,,Plots!$A$50))+INDIRECT(ADDRESS($B135,Plots!$H$4,,,Plots!$A$51))+INDIRECT(ADDRESS($B135,Plots!$H$4,,,Plots!$A$52))</f>
        <v>0</v>
      </c>
      <c r="O135" cm="1">
        <f t="array" aca="1" ref="O135" ca="1">INDIRECT(ADDRESS($B135,Plots!$H$4,,,Plots!$A$53))+INDIRECT(ADDRESS($B135,Plots!$H$4,,,Plots!$A$54))+INDIRECT(ADDRESS($B135,Plots!$H$4,,,Plots!$A$55))+INDIRECT(ADDRESS($B135,Plots!$H$4,,,Plots!$A$56))</f>
        <v>0</v>
      </c>
      <c r="P135" cm="1">
        <f t="array" aca="1" ref="P135" ca="1">INDIRECT(ADDRESS($B135,Plots!$H$4,,,Plots!$A$57))+INDIRECT(ADDRESS($B135,Plots!$H$4,,,Plots!$A$58))+INDIRECT(ADDRESS($B135,Plots!$H$4,,,Plots!$A$59))+INDIRECT(ADDRESS($B135,Plots!$H$4,,,Plots!$A$60))+INDIRECT(ADDRESS($B135,Plots!$H$4,,,Plots!$A$61))</f>
        <v>0</v>
      </c>
      <c r="Q135" cm="1">
        <f t="array" aca="1" ref="Q135" ca="1">INDIRECT(ADDRESS($B135,Plots!$H$4,,,Plots!$A$62))+INDIRECT(ADDRESS($B135,Plots!$H$4,,,Plots!$A$63))+INDIRECT(ADDRESS($B135,Plots!$H$4,,,Plots!$A$64))+INDIRECT(ADDRESS($B135,Plots!$H$4,,,Plots!$A$65))+INDIRECT(ADDRESS($B135,Plots!$H$4,,,Plots!$A$66))+INDIRECT(ADDRESS($B135,Plots!$H$4,,,Plots!$A$67))</f>
        <v>0</v>
      </c>
      <c r="R135">
        <f>'AARnetCBR-CamDTN1_tcpmon_ts_81'!J140+'AARnetCBR-CamDTN1_tcpmon_ts_82'!J140+'AARnetCBR-CamDTN1_tcpmon_ts_83'!J140+'AARnetCBR-CamDTN1_tcpmon_ts_84'!J140+'AARnetCBR-CamDTN1_tcpmon_ts_85'!J140+'AARnetCBR-CamDTN1_tcpmon_ts_86'!J140+'AARnetCBR-CamDTN1_tcpmon_ts_87'!J140+'AARnetCBR-CamDTN1_tcpmon_ts_88'!J140</f>
        <v>0</v>
      </c>
    </row>
    <row r="136" spans="1:18">
      <c r="A136" cm="1">
        <f t="array" aca="1" ref="A136" ca="1">INDIRECT(ADDRESS($B136,Plots!$H$6,,,Plots!$A$47))</f>
        <v>266</v>
      </c>
      <c r="B136">
        <f t="shared" si="2"/>
        <v>145</v>
      </c>
      <c r="C136" cm="1">
        <f t="array" aca="1" ref="C136" ca="1">INDIRECT(ADDRESS($B136,Plots!$H$3,,,Plots!$A$47))</f>
        <v>26.16</v>
      </c>
      <c r="D136" cm="1">
        <f t="array" aca="1" ref="D136" ca="1">INDIRECT(ADDRESS($B136,Plots!$H$3,,,Plots!$A$48))+INDIRECT(ADDRESS($B136,Plots!$H$3,,,Plots!$A$49))</f>
        <v>57.14</v>
      </c>
      <c r="E136" cm="1">
        <f t="array" aca="1" ref="E136" ca="1">INDIRECT(ADDRESS($B136,Plots!$H$3,,,Plots!$A$50))+INDIRECT(ADDRESS($B136,Plots!$H$3,,,Plots!$A$51))+INDIRECT(ADDRESS($B136,Plots!$H$3,,,Plots!$A$52))</f>
        <v>71.069999999999993</v>
      </c>
      <c r="F136" cm="1">
        <f t="array" aca="1" ref="F136" ca="1">INDIRECT(ADDRESS($B136,Plots!$H$3,,,Plots!$A$53))+INDIRECT(ADDRESS($B136,Plots!$H$3,,,Plots!$A$54))+INDIRECT(ADDRESS($B136,Plots!$H$3,,,Plots!$A$55))+INDIRECT(ADDRESS($B136,Plots!$H$3,,,Plots!$A$56))</f>
        <v>72.03</v>
      </c>
      <c r="G136" cm="1">
        <f t="array" aca="1" ref="G136" ca="1">INDIRECT(ADDRESS($B136,Plots!$H$3,,,Plots!$A$57))+INDIRECT(ADDRESS($B136,Plots!$H$3,,,Plots!$A$58))+INDIRECT(ADDRESS($B136,Plots!$H$3,,,Plots!$A$59))+INDIRECT(ADDRESS($B136,Plots!$H$3,,,Plots!$A$60))+INDIRECT(ADDRESS($B136,Plots!$H$3,,,Plots!$A$61))</f>
        <v>0</v>
      </c>
      <c r="H136">
        <f>'AARnetCBR-CamDTN1_tcpmon_ts_61'!C90+'AARnetCBR-CamDTN1_tcpmon_ts_62'!C90+'AARnetCBR-CamDTN1_tcpmon_ts_63'!C90+'AARnetCBR-CamDTN1_tcpmon_ts_64'!C90+'AARnetCBR-CamDTN1_tcpmon_ts_65'!C90+'AARnetCBR-CamDTN1_tcpmon_ts_66'!C90</f>
        <v>0</v>
      </c>
      <c r="I136">
        <f>'AARnetCBR-CamDTN1_tcpmon_ts_81'!C90+'AARnetCBR-CamDTN1_tcpmon_ts_82'!C90+'AARnetCBR-CamDTN1_tcpmon_ts_83'!C90+'AARnetCBR-CamDTN1_tcpmon_ts_84'!C90+'AARnetCBR-CamDTN1_tcpmon_ts_85'!C90+'AARnetCBR-CamDTN1_tcpmon_ts_86'!C90+'AARnetCBR-CamDTN1_tcpmon_ts_87'!C90+'AARnetCBR-CamDTN1_tcpmon_ts_88'!C90</f>
        <v>0</v>
      </c>
      <c r="L136" cm="1">
        <f t="array" aca="1" ref="L136" ca="1">INDIRECT(ADDRESS($B136,Plots!$H$4,,,Plots!$A$47))</f>
        <v>0</v>
      </c>
      <c r="M136" cm="1">
        <f t="array" aca="1" ref="M136" ca="1">INDIRECT(ADDRESS($B136,Plots!$H$4,,,Plots!$A$48))+INDIRECT(ADDRESS($B136,Plots!$H$4,,,Plots!$A$49))</f>
        <v>0</v>
      </c>
      <c r="N136" cm="1">
        <f t="array" aca="1" ref="N136" ca="1">INDIRECT(ADDRESS($B136,Plots!$H$4,,,Plots!$A$50))+INDIRECT(ADDRESS($B136,Plots!$H$4,,,Plots!$A$51))+INDIRECT(ADDRESS($B136,Plots!$H$4,,,Plots!$A$52))</f>
        <v>0</v>
      </c>
      <c r="O136" cm="1">
        <f t="array" aca="1" ref="O136" ca="1">INDIRECT(ADDRESS($B136,Plots!$H$4,,,Plots!$A$53))+INDIRECT(ADDRESS($B136,Plots!$H$4,,,Plots!$A$54))+INDIRECT(ADDRESS($B136,Plots!$H$4,,,Plots!$A$55))+INDIRECT(ADDRESS($B136,Plots!$H$4,,,Plots!$A$56))</f>
        <v>627</v>
      </c>
      <c r="P136" cm="1">
        <f t="array" aca="1" ref="P136" ca="1">INDIRECT(ADDRESS($B136,Plots!$H$4,,,Plots!$A$57))+INDIRECT(ADDRESS($B136,Plots!$H$4,,,Plots!$A$58))+INDIRECT(ADDRESS($B136,Plots!$H$4,,,Plots!$A$59))+INDIRECT(ADDRESS($B136,Plots!$H$4,,,Plots!$A$60))+INDIRECT(ADDRESS($B136,Plots!$H$4,,,Plots!$A$61))</f>
        <v>0</v>
      </c>
      <c r="Q136" cm="1">
        <f t="array" aca="1" ref="Q136" ca="1">INDIRECT(ADDRESS($B136,Plots!$H$4,,,Plots!$A$62))+INDIRECT(ADDRESS($B136,Plots!$H$4,,,Plots!$A$63))+INDIRECT(ADDRESS($B136,Plots!$H$4,,,Plots!$A$64))+INDIRECT(ADDRESS($B136,Plots!$H$4,,,Plots!$A$65))+INDIRECT(ADDRESS($B136,Plots!$H$4,,,Plots!$A$66))+INDIRECT(ADDRESS($B136,Plots!$H$4,,,Plots!$A$67))</f>
        <v>0</v>
      </c>
      <c r="R136">
        <f>'AARnetCBR-CamDTN1_tcpmon_ts_81'!J141+'AARnetCBR-CamDTN1_tcpmon_ts_82'!J141+'AARnetCBR-CamDTN1_tcpmon_ts_83'!J141+'AARnetCBR-CamDTN1_tcpmon_ts_84'!J141+'AARnetCBR-CamDTN1_tcpmon_ts_85'!J141+'AARnetCBR-CamDTN1_tcpmon_ts_86'!J141+'AARnetCBR-CamDTN1_tcpmon_ts_87'!J141+'AARnetCBR-CamDTN1_tcpmon_ts_88'!J141</f>
        <v>0</v>
      </c>
    </row>
    <row r="137" spans="1:18">
      <c r="A137" cm="1">
        <f t="array" aca="1" ref="A137" ca="1">INDIRECT(ADDRESS($B137,Plots!$H$6,,,Plots!$A$47))</f>
        <v>268</v>
      </c>
      <c r="B137">
        <f t="shared" si="2"/>
        <v>146</v>
      </c>
      <c r="C137" cm="1">
        <f t="array" aca="1" ref="C137" ca="1">INDIRECT(ADDRESS($B137,Plots!$H$3,,,Plots!$A$47))</f>
        <v>25.9</v>
      </c>
      <c r="D137" cm="1">
        <f t="array" aca="1" ref="D137" ca="1">INDIRECT(ADDRESS($B137,Plots!$H$3,,,Plots!$A$48))+INDIRECT(ADDRESS($B137,Plots!$H$3,,,Plots!$A$49))</f>
        <v>58.69</v>
      </c>
      <c r="E137" cm="1">
        <f t="array" aca="1" ref="E137" ca="1">INDIRECT(ADDRESS($B137,Plots!$H$3,,,Plots!$A$50))+INDIRECT(ADDRESS($B137,Plots!$H$3,,,Plots!$A$51))+INDIRECT(ADDRESS($B137,Plots!$H$3,,,Plots!$A$52))</f>
        <v>61.45</v>
      </c>
      <c r="F137" cm="1">
        <f t="array" aca="1" ref="F137" ca="1">INDIRECT(ADDRESS($B137,Plots!$H$3,,,Plots!$A$53))+INDIRECT(ADDRESS($B137,Plots!$H$3,,,Plots!$A$54))+INDIRECT(ADDRESS($B137,Plots!$H$3,,,Plots!$A$55))+INDIRECT(ADDRESS($B137,Plots!$H$3,,,Plots!$A$56))</f>
        <v>77.22</v>
      </c>
      <c r="G137" cm="1">
        <f t="array" aca="1" ref="G137" ca="1">INDIRECT(ADDRESS($B137,Plots!$H$3,,,Plots!$A$57))+INDIRECT(ADDRESS($B137,Plots!$H$3,,,Plots!$A$58))+INDIRECT(ADDRESS($B137,Plots!$H$3,,,Plots!$A$59))+INDIRECT(ADDRESS($B137,Plots!$H$3,,,Plots!$A$60))+INDIRECT(ADDRESS($B137,Plots!$H$3,,,Plots!$A$61))</f>
        <v>0</v>
      </c>
      <c r="H137">
        <f>'AARnetCBR-CamDTN1_tcpmon_ts_61'!C91+'AARnetCBR-CamDTN1_tcpmon_ts_62'!C91+'AARnetCBR-CamDTN1_tcpmon_ts_63'!C91+'AARnetCBR-CamDTN1_tcpmon_ts_64'!C91+'AARnetCBR-CamDTN1_tcpmon_ts_65'!C91+'AARnetCBR-CamDTN1_tcpmon_ts_66'!C91</f>
        <v>0</v>
      </c>
      <c r="I137">
        <f>'AARnetCBR-CamDTN1_tcpmon_ts_81'!C91+'AARnetCBR-CamDTN1_tcpmon_ts_82'!C91+'AARnetCBR-CamDTN1_tcpmon_ts_83'!C91+'AARnetCBR-CamDTN1_tcpmon_ts_84'!C91+'AARnetCBR-CamDTN1_tcpmon_ts_85'!C91+'AARnetCBR-CamDTN1_tcpmon_ts_86'!C91+'AARnetCBR-CamDTN1_tcpmon_ts_87'!C91+'AARnetCBR-CamDTN1_tcpmon_ts_88'!C91</f>
        <v>0</v>
      </c>
      <c r="L137" cm="1">
        <f t="array" aca="1" ref="L137" ca="1">INDIRECT(ADDRESS($B137,Plots!$H$4,,,Plots!$A$47))</f>
        <v>0</v>
      </c>
      <c r="M137" cm="1">
        <f t="array" aca="1" ref="M137" ca="1">INDIRECT(ADDRESS($B137,Plots!$H$4,,,Plots!$A$48))+INDIRECT(ADDRESS($B137,Plots!$H$4,,,Plots!$A$49))</f>
        <v>0</v>
      </c>
      <c r="N137" cm="1">
        <f t="array" aca="1" ref="N137" ca="1">INDIRECT(ADDRESS($B137,Plots!$H$4,,,Plots!$A$50))+INDIRECT(ADDRESS($B137,Plots!$H$4,,,Plots!$A$51))+INDIRECT(ADDRESS($B137,Plots!$H$4,,,Plots!$A$52))</f>
        <v>0</v>
      </c>
      <c r="O137" cm="1">
        <f t="array" aca="1" ref="O137" ca="1">INDIRECT(ADDRESS($B137,Plots!$H$4,,,Plots!$A$53))+INDIRECT(ADDRESS($B137,Plots!$H$4,,,Plots!$A$54))+INDIRECT(ADDRESS($B137,Plots!$H$4,,,Plots!$A$55))+INDIRECT(ADDRESS($B137,Plots!$H$4,,,Plots!$A$56))</f>
        <v>0</v>
      </c>
      <c r="P137" cm="1">
        <f t="array" aca="1" ref="P137" ca="1">INDIRECT(ADDRESS($B137,Plots!$H$4,,,Plots!$A$57))+INDIRECT(ADDRESS($B137,Plots!$H$4,,,Plots!$A$58))+INDIRECT(ADDRESS($B137,Plots!$H$4,,,Plots!$A$59))+INDIRECT(ADDRESS($B137,Plots!$H$4,,,Plots!$A$60))+INDIRECT(ADDRESS($B137,Plots!$H$4,,,Plots!$A$61))</f>
        <v>0</v>
      </c>
      <c r="Q137" cm="1">
        <f t="array" aca="1" ref="Q137" ca="1">INDIRECT(ADDRESS($B137,Plots!$H$4,,,Plots!$A$62))+INDIRECT(ADDRESS($B137,Plots!$H$4,,,Plots!$A$63))+INDIRECT(ADDRESS($B137,Plots!$H$4,,,Plots!$A$64))+INDIRECT(ADDRESS($B137,Plots!$H$4,,,Plots!$A$65))+INDIRECT(ADDRESS($B137,Plots!$H$4,,,Plots!$A$66))+INDIRECT(ADDRESS($B137,Plots!$H$4,,,Plots!$A$67))</f>
        <v>0</v>
      </c>
      <c r="R137">
        <f>'AARnetCBR-CamDTN1_tcpmon_ts_81'!J142+'AARnetCBR-CamDTN1_tcpmon_ts_82'!J142+'AARnetCBR-CamDTN1_tcpmon_ts_83'!J142+'AARnetCBR-CamDTN1_tcpmon_ts_84'!J142+'AARnetCBR-CamDTN1_tcpmon_ts_85'!J142+'AARnetCBR-CamDTN1_tcpmon_ts_86'!J142+'AARnetCBR-CamDTN1_tcpmon_ts_87'!J142+'AARnetCBR-CamDTN1_tcpmon_ts_88'!J142</f>
        <v>0</v>
      </c>
    </row>
    <row r="138" spans="1:18">
      <c r="A138" cm="1">
        <f t="array" aca="1" ref="A138" ca="1">INDIRECT(ADDRESS($B138,Plots!$H$6,,,Plots!$A$47))</f>
        <v>270</v>
      </c>
      <c r="B138">
        <f t="shared" si="2"/>
        <v>147</v>
      </c>
      <c r="C138" cm="1">
        <f t="array" aca="1" ref="C138" ca="1">INDIRECT(ADDRESS($B138,Plots!$H$3,,,Plots!$A$47))</f>
        <v>26.09</v>
      </c>
      <c r="D138" cm="1">
        <f t="array" aca="1" ref="D138" ca="1">INDIRECT(ADDRESS($B138,Plots!$H$3,,,Plots!$A$48))+INDIRECT(ADDRESS($B138,Plots!$H$3,,,Plots!$A$49))</f>
        <v>57.35</v>
      </c>
      <c r="E138" cm="1">
        <f t="array" aca="1" ref="E138" ca="1">INDIRECT(ADDRESS($B138,Plots!$H$3,,,Plots!$A$50))+INDIRECT(ADDRESS($B138,Plots!$H$3,,,Plots!$A$51))+INDIRECT(ADDRESS($B138,Plots!$H$3,,,Plots!$A$52))</f>
        <v>74.47</v>
      </c>
      <c r="F138" cm="1">
        <f t="array" aca="1" ref="F138" ca="1">INDIRECT(ADDRESS($B138,Plots!$H$3,,,Plots!$A$53))+INDIRECT(ADDRESS($B138,Plots!$H$3,,,Plots!$A$54))+INDIRECT(ADDRESS($B138,Plots!$H$3,,,Plots!$A$55))+INDIRECT(ADDRESS($B138,Plots!$H$3,,,Plots!$A$56))</f>
        <v>75.14</v>
      </c>
      <c r="G138" cm="1">
        <f t="array" aca="1" ref="G138" ca="1">INDIRECT(ADDRESS($B138,Plots!$H$3,,,Plots!$A$57))+INDIRECT(ADDRESS($B138,Plots!$H$3,,,Plots!$A$58))+INDIRECT(ADDRESS($B138,Plots!$H$3,,,Plots!$A$59))+INDIRECT(ADDRESS($B138,Plots!$H$3,,,Plots!$A$60))+INDIRECT(ADDRESS($B138,Plots!$H$3,,,Plots!$A$61))</f>
        <v>0</v>
      </c>
      <c r="H138">
        <f>'AARnetCBR-CamDTN1_tcpmon_ts_61'!C92+'AARnetCBR-CamDTN1_tcpmon_ts_62'!C92+'AARnetCBR-CamDTN1_tcpmon_ts_63'!C92+'AARnetCBR-CamDTN1_tcpmon_ts_64'!C92+'AARnetCBR-CamDTN1_tcpmon_ts_65'!C92+'AARnetCBR-CamDTN1_tcpmon_ts_66'!C92</f>
        <v>0</v>
      </c>
      <c r="I138">
        <f>'AARnetCBR-CamDTN1_tcpmon_ts_81'!C92+'AARnetCBR-CamDTN1_tcpmon_ts_82'!C92+'AARnetCBR-CamDTN1_tcpmon_ts_83'!C92+'AARnetCBR-CamDTN1_tcpmon_ts_84'!C92+'AARnetCBR-CamDTN1_tcpmon_ts_85'!C92+'AARnetCBR-CamDTN1_tcpmon_ts_86'!C92+'AARnetCBR-CamDTN1_tcpmon_ts_87'!C92+'AARnetCBR-CamDTN1_tcpmon_ts_88'!C92</f>
        <v>0</v>
      </c>
      <c r="L138" cm="1">
        <f t="array" aca="1" ref="L138" ca="1">INDIRECT(ADDRESS($B138,Plots!$H$4,,,Plots!$A$47))</f>
        <v>0</v>
      </c>
      <c r="M138" cm="1">
        <f t="array" aca="1" ref="M138" ca="1">INDIRECT(ADDRESS($B138,Plots!$H$4,,,Plots!$A$48))+INDIRECT(ADDRESS($B138,Plots!$H$4,,,Plots!$A$49))</f>
        <v>0</v>
      </c>
      <c r="N138" cm="1">
        <f t="array" aca="1" ref="N138" ca="1">INDIRECT(ADDRESS($B138,Plots!$H$4,,,Plots!$A$50))+INDIRECT(ADDRESS($B138,Plots!$H$4,,,Plots!$A$51))+INDIRECT(ADDRESS($B138,Plots!$H$4,,,Plots!$A$52))</f>
        <v>0</v>
      </c>
      <c r="O138" cm="1">
        <f t="array" aca="1" ref="O138" ca="1">INDIRECT(ADDRESS($B138,Plots!$H$4,,,Plots!$A$53))+INDIRECT(ADDRESS($B138,Plots!$H$4,,,Plots!$A$54))+INDIRECT(ADDRESS($B138,Plots!$H$4,,,Plots!$A$55))+INDIRECT(ADDRESS($B138,Plots!$H$4,,,Plots!$A$56))</f>
        <v>0</v>
      </c>
      <c r="P138" cm="1">
        <f t="array" aca="1" ref="P138" ca="1">INDIRECT(ADDRESS($B138,Plots!$H$4,,,Plots!$A$57))+INDIRECT(ADDRESS($B138,Plots!$H$4,,,Plots!$A$58))+INDIRECT(ADDRESS($B138,Plots!$H$4,,,Plots!$A$59))+INDIRECT(ADDRESS($B138,Plots!$H$4,,,Plots!$A$60))+INDIRECT(ADDRESS($B138,Plots!$H$4,,,Plots!$A$61))</f>
        <v>0</v>
      </c>
      <c r="Q138" cm="1">
        <f t="array" aca="1" ref="Q138" ca="1">INDIRECT(ADDRESS($B138,Plots!$H$4,,,Plots!$A$62))+INDIRECT(ADDRESS($B138,Plots!$H$4,,,Plots!$A$63))+INDIRECT(ADDRESS($B138,Plots!$H$4,,,Plots!$A$64))+INDIRECT(ADDRESS($B138,Plots!$H$4,,,Plots!$A$65))+INDIRECT(ADDRESS($B138,Plots!$H$4,,,Plots!$A$66))+INDIRECT(ADDRESS($B138,Plots!$H$4,,,Plots!$A$67))</f>
        <v>0</v>
      </c>
      <c r="R138">
        <f>'AARnetCBR-CamDTN1_tcpmon_ts_81'!J143+'AARnetCBR-CamDTN1_tcpmon_ts_82'!J143+'AARnetCBR-CamDTN1_tcpmon_ts_83'!J143+'AARnetCBR-CamDTN1_tcpmon_ts_84'!J143+'AARnetCBR-CamDTN1_tcpmon_ts_85'!J143+'AARnetCBR-CamDTN1_tcpmon_ts_86'!J143+'AARnetCBR-CamDTN1_tcpmon_ts_87'!J143+'AARnetCBR-CamDTN1_tcpmon_ts_88'!J143</f>
        <v>0</v>
      </c>
    </row>
    <row r="139" spans="1:18">
      <c r="A139" cm="1">
        <f t="array" aca="1" ref="A139" ca="1">INDIRECT(ADDRESS($B139,Plots!$H$6,,,Plots!$A$47))</f>
        <v>272</v>
      </c>
      <c r="B139">
        <f t="shared" si="2"/>
        <v>148</v>
      </c>
      <c r="C139" cm="1">
        <f t="array" aca="1" ref="C139" ca="1">INDIRECT(ADDRESS($B139,Plots!$H$3,,,Plots!$A$47))</f>
        <v>25.88</v>
      </c>
      <c r="D139" cm="1">
        <f t="array" aca="1" ref="D139" ca="1">INDIRECT(ADDRESS($B139,Plots!$H$3,,,Plots!$A$48))+INDIRECT(ADDRESS($B139,Plots!$H$3,,,Plots!$A$49))</f>
        <v>56.54</v>
      </c>
      <c r="E139" cm="1">
        <f t="array" aca="1" ref="E139" ca="1">INDIRECT(ADDRESS($B139,Plots!$H$3,,,Plots!$A$50))+INDIRECT(ADDRESS($B139,Plots!$H$3,,,Plots!$A$51))+INDIRECT(ADDRESS($B139,Plots!$H$3,,,Plots!$A$52))</f>
        <v>60.22</v>
      </c>
      <c r="F139" cm="1">
        <f t="array" aca="1" ref="F139" ca="1">INDIRECT(ADDRESS($B139,Plots!$H$3,,,Plots!$A$53))+INDIRECT(ADDRESS($B139,Plots!$H$3,,,Plots!$A$54))+INDIRECT(ADDRESS($B139,Plots!$H$3,,,Plots!$A$55))+INDIRECT(ADDRESS($B139,Plots!$H$3,,,Plots!$A$56))</f>
        <v>82.47</v>
      </c>
      <c r="G139" cm="1">
        <f t="array" aca="1" ref="G139" ca="1">INDIRECT(ADDRESS($B139,Plots!$H$3,,,Plots!$A$57))+INDIRECT(ADDRESS($B139,Plots!$H$3,,,Plots!$A$58))+INDIRECT(ADDRESS($B139,Plots!$H$3,,,Plots!$A$59))+INDIRECT(ADDRESS($B139,Plots!$H$3,,,Plots!$A$60))+INDIRECT(ADDRESS($B139,Plots!$H$3,,,Plots!$A$61))</f>
        <v>0</v>
      </c>
      <c r="H139">
        <f>'AARnetCBR-CamDTN1_tcpmon_ts_61'!C93+'AARnetCBR-CamDTN1_tcpmon_ts_62'!C93+'AARnetCBR-CamDTN1_tcpmon_ts_63'!C93+'AARnetCBR-CamDTN1_tcpmon_ts_64'!C93+'AARnetCBR-CamDTN1_tcpmon_ts_65'!C93+'AARnetCBR-CamDTN1_tcpmon_ts_66'!C93</f>
        <v>0</v>
      </c>
      <c r="I139">
        <f>'AARnetCBR-CamDTN1_tcpmon_ts_81'!C93+'AARnetCBR-CamDTN1_tcpmon_ts_82'!C93+'AARnetCBR-CamDTN1_tcpmon_ts_83'!C93+'AARnetCBR-CamDTN1_tcpmon_ts_84'!C93+'AARnetCBR-CamDTN1_tcpmon_ts_85'!C93+'AARnetCBR-CamDTN1_tcpmon_ts_86'!C93+'AARnetCBR-CamDTN1_tcpmon_ts_87'!C93+'AARnetCBR-CamDTN1_tcpmon_ts_88'!C93</f>
        <v>0</v>
      </c>
      <c r="L139" cm="1">
        <f t="array" aca="1" ref="L139" ca="1">INDIRECT(ADDRESS($B139,Plots!$H$4,,,Plots!$A$47))</f>
        <v>0</v>
      </c>
      <c r="M139" cm="1">
        <f t="array" aca="1" ref="M139" ca="1">INDIRECT(ADDRESS($B139,Plots!$H$4,,,Plots!$A$48))+INDIRECT(ADDRESS($B139,Plots!$H$4,,,Plots!$A$49))</f>
        <v>0</v>
      </c>
      <c r="N139" cm="1">
        <f t="array" aca="1" ref="N139" ca="1">INDIRECT(ADDRESS($B139,Plots!$H$4,,,Plots!$A$50))+INDIRECT(ADDRESS($B139,Plots!$H$4,,,Plots!$A$51))+INDIRECT(ADDRESS($B139,Plots!$H$4,,,Plots!$A$52))</f>
        <v>0</v>
      </c>
      <c r="O139" cm="1">
        <f t="array" aca="1" ref="O139" ca="1">INDIRECT(ADDRESS($B139,Plots!$H$4,,,Plots!$A$53))+INDIRECT(ADDRESS($B139,Plots!$H$4,,,Plots!$A$54))+INDIRECT(ADDRESS($B139,Plots!$H$4,,,Plots!$A$55))+INDIRECT(ADDRESS($B139,Plots!$H$4,,,Plots!$A$56))</f>
        <v>0</v>
      </c>
      <c r="P139" cm="1">
        <f t="array" aca="1" ref="P139" ca="1">INDIRECT(ADDRESS($B139,Plots!$H$4,,,Plots!$A$57))+INDIRECT(ADDRESS($B139,Plots!$H$4,,,Plots!$A$58))+INDIRECT(ADDRESS($B139,Plots!$H$4,,,Plots!$A$59))+INDIRECT(ADDRESS($B139,Plots!$H$4,,,Plots!$A$60))+INDIRECT(ADDRESS($B139,Plots!$H$4,,,Plots!$A$61))</f>
        <v>0</v>
      </c>
      <c r="Q139" cm="1">
        <f t="array" aca="1" ref="Q139" ca="1">INDIRECT(ADDRESS($B139,Plots!$H$4,,,Plots!$A$62))+INDIRECT(ADDRESS($B139,Plots!$H$4,,,Plots!$A$63))+INDIRECT(ADDRESS($B139,Plots!$H$4,,,Plots!$A$64))+INDIRECT(ADDRESS($B139,Plots!$H$4,,,Plots!$A$65))+INDIRECT(ADDRESS($B139,Plots!$H$4,,,Plots!$A$66))+INDIRECT(ADDRESS($B139,Plots!$H$4,,,Plots!$A$67))</f>
        <v>0</v>
      </c>
      <c r="R139">
        <f>'AARnetCBR-CamDTN1_tcpmon_ts_81'!J144+'AARnetCBR-CamDTN1_tcpmon_ts_82'!J144+'AARnetCBR-CamDTN1_tcpmon_ts_83'!J144+'AARnetCBR-CamDTN1_tcpmon_ts_84'!J144+'AARnetCBR-CamDTN1_tcpmon_ts_85'!J144+'AARnetCBR-CamDTN1_tcpmon_ts_86'!J144+'AARnetCBR-CamDTN1_tcpmon_ts_87'!J144+'AARnetCBR-CamDTN1_tcpmon_ts_88'!J144</f>
        <v>0</v>
      </c>
    </row>
    <row r="140" spans="1:18">
      <c r="A140" cm="1">
        <f t="array" aca="1" ref="A140" ca="1">INDIRECT(ADDRESS($B140,Plots!$H$6,,,Plots!$A$47))</f>
        <v>274</v>
      </c>
      <c r="B140">
        <f t="shared" si="2"/>
        <v>149</v>
      </c>
      <c r="C140" cm="1">
        <f t="array" aca="1" ref="C140" ca="1">INDIRECT(ADDRESS($B140,Plots!$H$3,,,Plots!$A$47))</f>
        <v>26.03</v>
      </c>
      <c r="D140" cm="1">
        <f t="array" aca="1" ref="D140" ca="1">INDIRECT(ADDRESS($B140,Plots!$H$3,,,Plots!$A$48))+INDIRECT(ADDRESS($B140,Plots!$H$3,,,Plots!$A$49))</f>
        <v>58.099999999999994</v>
      </c>
      <c r="E140" cm="1">
        <f t="array" aca="1" ref="E140" ca="1">INDIRECT(ADDRESS($B140,Plots!$H$3,,,Plots!$A$50))+INDIRECT(ADDRESS($B140,Plots!$H$3,,,Plots!$A$51))+INDIRECT(ADDRESS($B140,Plots!$H$3,,,Plots!$A$52))</f>
        <v>74.42</v>
      </c>
      <c r="F140" cm="1">
        <f t="array" aca="1" ref="F140" ca="1">INDIRECT(ADDRESS($B140,Plots!$H$3,,,Plots!$A$53))+INDIRECT(ADDRESS($B140,Plots!$H$3,,,Plots!$A$54))+INDIRECT(ADDRESS($B140,Plots!$H$3,,,Plots!$A$55))+INDIRECT(ADDRESS($B140,Plots!$H$3,,,Plots!$A$56))</f>
        <v>79.570000000000007</v>
      </c>
      <c r="G140" cm="1">
        <f t="array" aca="1" ref="G140" ca="1">INDIRECT(ADDRESS($B140,Plots!$H$3,,,Plots!$A$57))+INDIRECT(ADDRESS($B140,Plots!$H$3,,,Plots!$A$58))+INDIRECT(ADDRESS($B140,Plots!$H$3,,,Plots!$A$59))+INDIRECT(ADDRESS($B140,Plots!$H$3,,,Plots!$A$60))+INDIRECT(ADDRESS($B140,Plots!$H$3,,,Plots!$A$61))</f>
        <v>0</v>
      </c>
      <c r="H140">
        <f>'AARnetCBR-CamDTN1_tcpmon_ts_61'!C94+'AARnetCBR-CamDTN1_tcpmon_ts_62'!C94+'AARnetCBR-CamDTN1_tcpmon_ts_63'!C94+'AARnetCBR-CamDTN1_tcpmon_ts_64'!C94+'AARnetCBR-CamDTN1_tcpmon_ts_65'!C94+'AARnetCBR-CamDTN1_tcpmon_ts_66'!C94</f>
        <v>0</v>
      </c>
      <c r="I140">
        <f>'AARnetCBR-CamDTN1_tcpmon_ts_81'!C94+'AARnetCBR-CamDTN1_tcpmon_ts_82'!C94+'AARnetCBR-CamDTN1_tcpmon_ts_83'!C94+'AARnetCBR-CamDTN1_tcpmon_ts_84'!C94+'AARnetCBR-CamDTN1_tcpmon_ts_85'!C94+'AARnetCBR-CamDTN1_tcpmon_ts_86'!C94+'AARnetCBR-CamDTN1_tcpmon_ts_87'!C94+'AARnetCBR-CamDTN1_tcpmon_ts_88'!C94</f>
        <v>0</v>
      </c>
      <c r="L140" cm="1">
        <f t="array" aca="1" ref="L140" ca="1">INDIRECT(ADDRESS($B140,Plots!$H$4,,,Plots!$A$47))</f>
        <v>0</v>
      </c>
      <c r="M140" cm="1">
        <f t="array" aca="1" ref="M140" ca="1">INDIRECT(ADDRESS($B140,Plots!$H$4,,,Plots!$A$48))+INDIRECT(ADDRESS($B140,Plots!$H$4,,,Plots!$A$49))</f>
        <v>0</v>
      </c>
      <c r="N140" cm="1">
        <f t="array" aca="1" ref="N140" ca="1">INDIRECT(ADDRESS($B140,Plots!$H$4,,,Plots!$A$50))+INDIRECT(ADDRESS($B140,Plots!$H$4,,,Plots!$A$51))+INDIRECT(ADDRESS($B140,Plots!$H$4,,,Plots!$A$52))</f>
        <v>0</v>
      </c>
      <c r="O140" cm="1">
        <f t="array" aca="1" ref="O140" ca="1">INDIRECT(ADDRESS($B140,Plots!$H$4,,,Plots!$A$53))+INDIRECT(ADDRESS($B140,Plots!$H$4,,,Plots!$A$54))+INDIRECT(ADDRESS($B140,Plots!$H$4,,,Plots!$A$55))+INDIRECT(ADDRESS($B140,Plots!$H$4,,,Plots!$A$56))</f>
        <v>0</v>
      </c>
      <c r="P140" cm="1">
        <f t="array" aca="1" ref="P140" ca="1">INDIRECT(ADDRESS($B140,Plots!$H$4,,,Plots!$A$57))+INDIRECT(ADDRESS($B140,Plots!$H$4,,,Plots!$A$58))+INDIRECT(ADDRESS($B140,Plots!$H$4,,,Plots!$A$59))+INDIRECT(ADDRESS($B140,Plots!$H$4,,,Plots!$A$60))+INDIRECT(ADDRESS($B140,Plots!$H$4,,,Plots!$A$61))</f>
        <v>0</v>
      </c>
      <c r="Q140" cm="1">
        <f t="array" aca="1" ref="Q140" ca="1">INDIRECT(ADDRESS($B140,Plots!$H$4,,,Plots!$A$62))+INDIRECT(ADDRESS($B140,Plots!$H$4,,,Plots!$A$63))+INDIRECT(ADDRESS($B140,Plots!$H$4,,,Plots!$A$64))+INDIRECT(ADDRESS($B140,Plots!$H$4,,,Plots!$A$65))+INDIRECT(ADDRESS($B140,Plots!$H$4,,,Plots!$A$66))+INDIRECT(ADDRESS($B140,Plots!$H$4,,,Plots!$A$67))</f>
        <v>0</v>
      </c>
      <c r="R140">
        <f>'AARnetCBR-CamDTN1_tcpmon_ts_81'!J145+'AARnetCBR-CamDTN1_tcpmon_ts_82'!J145+'AARnetCBR-CamDTN1_tcpmon_ts_83'!J145+'AARnetCBR-CamDTN1_tcpmon_ts_84'!J145+'AARnetCBR-CamDTN1_tcpmon_ts_85'!J145+'AARnetCBR-CamDTN1_tcpmon_ts_86'!J145+'AARnetCBR-CamDTN1_tcpmon_ts_87'!J145+'AARnetCBR-CamDTN1_tcpmon_ts_88'!J145</f>
        <v>0</v>
      </c>
    </row>
    <row r="141" spans="1:18">
      <c r="A141" cm="1">
        <f t="array" aca="1" ref="A141" ca="1">INDIRECT(ADDRESS($B141,Plots!$H$6,,,Plots!$A$47))</f>
        <v>276</v>
      </c>
      <c r="B141">
        <f t="shared" si="2"/>
        <v>150</v>
      </c>
      <c r="C141" cm="1">
        <f t="array" aca="1" ref="C141" ca="1">INDIRECT(ADDRESS($B141,Plots!$H$3,,,Plots!$A$47))</f>
        <v>26.15</v>
      </c>
      <c r="D141" cm="1">
        <f t="array" aca="1" ref="D141" ca="1">INDIRECT(ADDRESS($B141,Plots!$H$3,,,Plots!$A$48))+INDIRECT(ADDRESS($B141,Plots!$H$3,,,Plots!$A$49))</f>
        <v>54.61</v>
      </c>
      <c r="E141" cm="1">
        <f t="array" aca="1" ref="E141" ca="1">INDIRECT(ADDRESS($B141,Plots!$H$3,,,Plots!$A$50))+INDIRECT(ADDRESS($B141,Plots!$H$3,,,Plots!$A$51))+INDIRECT(ADDRESS($B141,Plots!$H$3,,,Plots!$A$52))</f>
        <v>61.31</v>
      </c>
      <c r="F141" cm="1">
        <f t="array" aca="1" ref="F141" ca="1">INDIRECT(ADDRESS($B141,Plots!$H$3,,,Plots!$A$53))+INDIRECT(ADDRESS($B141,Plots!$H$3,,,Plots!$A$54))+INDIRECT(ADDRESS($B141,Plots!$H$3,,,Plots!$A$55))+INDIRECT(ADDRESS($B141,Plots!$H$3,,,Plots!$A$56))</f>
        <v>85.549999999999983</v>
      </c>
      <c r="G141" cm="1">
        <f t="array" aca="1" ref="G141" ca="1">INDIRECT(ADDRESS($B141,Plots!$H$3,,,Plots!$A$57))+INDIRECT(ADDRESS($B141,Plots!$H$3,,,Plots!$A$58))+INDIRECT(ADDRESS($B141,Plots!$H$3,,,Plots!$A$59))+INDIRECT(ADDRESS($B141,Plots!$H$3,,,Plots!$A$60))+INDIRECT(ADDRESS($B141,Plots!$H$3,,,Plots!$A$61))</f>
        <v>0</v>
      </c>
      <c r="H141">
        <f>'AARnetCBR-CamDTN1_tcpmon_ts_61'!C95+'AARnetCBR-CamDTN1_tcpmon_ts_62'!C95+'AARnetCBR-CamDTN1_tcpmon_ts_63'!C95+'AARnetCBR-CamDTN1_tcpmon_ts_64'!C95+'AARnetCBR-CamDTN1_tcpmon_ts_65'!C95+'AARnetCBR-CamDTN1_tcpmon_ts_66'!C95</f>
        <v>0</v>
      </c>
      <c r="I141">
        <f>'AARnetCBR-CamDTN1_tcpmon_ts_81'!C95+'AARnetCBR-CamDTN1_tcpmon_ts_82'!C95+'AARnetCBR-CamDTN1_tcpmon_ts_83'!C95+'AARnetCBR-CamDTN1_tcpmon_ts_84'!C95+'AARnetCBR-CamDTN1_tcpmon_ts_85'!C95+'AARnetCBR-CamDTN1_tcpmon_ts_86'!C95+'AARnetCBR-CamDTN1_tcpmon_ts_87'!C95+'AARnetCBR-CamDTN1_tcpmon_ts_88'!C95</f>
        <v>0</v>
      </c>
      <c r="L141" cm="1">
        <f t="array" aca="1" ref="L141" ca="1">INDIRECT(ADDRESS($B141,Plots!$H$4,,,Plots!$A$47))</f>
        <v>0</v>
      </c>
      <c r="M141" cm="1">
        <f t="array" aca="1" ref="M141" ca="1">INDIRECT(ADDRESS($B141,Plots!$H$4,,,Plots!$A$48))+INDIRECT(ADDRESS($B141,Plots!$H$4,,,Plots!$A$49))</f>
        <v>0</v>
      </c>
      <c r="N141" cm="1">
        <f t="array" aca="1" ref="N141" ca="1">INDIRECT(ADDRESS($B141,Plots!$H$4,,,Plots!$A$50))+INDIRECT(ADDRESS($B141,Plots!$H$4,,,Plots!$A$51))+INDIRECT(ADDRESS($B141,Plots!$H$4,,,Plots!$A$52))</f>
        <v>0</v>
      </c>
      <c r="O141" cm="1">
        <f t="array" aca="1" ref="O141" ca="1">INDIRECT(ADDRESS($B141,Plots!$H$4,,,Plots!$A$53))+INDIRECT(ADDRESS($B141,Plots!$H$4,,,Plots!$A$54))+INDIRECT(ADDRESS($B141,Plots!$H$4,,,Plots!$A$55))+INDIRECT(ADDRESS($B141,Plots!$H$4,,,Plots!$A$56))</f>
        <v>0</v>
      </c>
      <c r="P141" cm="1">
        <f t="array" aca="1" ref="P141" ca="1">INDIRECT(ADDRESS($B141,Plots!$H$4,,,Plots!$A$57))+INDIRECT(ADDRESS($B141,Plots!$H$4,,,Plots!$A$58))+INDIRECT(ADDRESS($B141,Plots!$H$4,,,Plots!$A$59))+INDIRECT(ADDRESS($B141,Plots!$H$4,,,Plots!$A$60))+INDIRECT(ADDRESS($B141,Plots!$H$4,,,Plots!$A$61))</f>
        <v>0</v>
      </c>
      <c r="Q141" cm="1">
        <f t="array" aca="1" ref="Q141" ca="1">INDIRECT(ADDRESS($B141,Plots!$H$4,,,Plots!$A$62))+INDIRECT(ADDRESS($B141,Plots!$H$4,,,Plots!$A$63))+INDIRECT(ADDRESS($B141,Plots!$H$4,,,Plots!$A$64))+INDIRECT(ADDRESS($B141,Plots!$H$4,,,Plots!$A$65))+INDIRECT(ADDRESS($B141,Plots!$H$4,,,Plots!$A$66))+INDIRECT(ADDRESS($B141,Plots!$H$4,,,Plots!$A$67))</f>
        <v>0</v>
      </c>
      <c r="R141">
        <f>'AARnetCBR-CamDTN1_tcpmon_ts_81'!J146+'AARnetCBR-CamDTN1_tcpmon_ts_82'!J146+'AARnetCBR-CamDTN1_tcpmon_ts_83'!J146+'AARnetCBR-CamDTN1_tcpmon_ts_84'!J146+'AARnetCBR-CamDTN1_tcpmon_ts_85'!J146+'AARnetCBR-CamDTN1_tcpmon_ts_86'!J146+'AARnetCBR-CamDTN1_tcpmon_ts_87'!J146+'AARnetCBR-CamDTN1_tcpmon_ts_88'!J146</f>
        <v>0</v>
      </c>
    </row>
    <row r="142" spans="1:18">
      <c r="A142" cm="1">
        <f t="array" aca="1" ref="A142" ca="1">INDIRECT(ADDRESS($B142,Plots!$H$6,,,Plots!$A$47))</f>
        <v>278</v>
      </c>
      <c r="B142">
        <f t="shared" si="2"/>
        <v>151</v>
      </c>
      <c r="C142" cm="1">
        <f t="array" aca="1" ref="C142" ca="1">INDIRECT(ADDRESS($B142,Plots!$H$3,,,Plots!$A$47))</f>
        <v>25.86</v>
      </c>
      <c r="D142" cm="1">
        <f t="array" aca="1" ref="D142" ca="1">INDIRECT(ADDRESS($B142,Plots!$H$3,,,Plots!$A$48))+INDIRECT(ADDRESS($B142,Plots!$H$3,,,Plots!$A$49))</f>
        <v>56.03</v>
      </c>
      <c r="E142" cm="1">
        <f t="array" aca="1" ref="E142" ca="1">INDIRECT(ADDRESS($B142,Plots!$H$3,,,Plots!$A$50))+INDIRECT(ADDRESS($B142,Plots!$H$3,,,Plots!$A$51))+INDIRECT(ADDRESS($B142,Plots!$H$3,,,Plots!$A$52))</f>
        <v>70.89</v>
      </c>
      <c r="F142" cm="1">
        <f t="array" aca="1" ref="F142" ca="1">INDIRECT(ADDRESS($B142,Plots!$H$3,,,Plots!$A$53))+INDIRECT(ADDRESS($B142,Plots!$H$3,,,Plots!$A$54))+INDIRECT(ADDRESS($B142,Plots!$H$3,,,Plots!$A$55))+INDIRECT(ADDRESS($B142,Plots!$H$3,,,Plots!$A$56))</f>
        <v>83.080000000000013</v>
      </c>
      <c r="G142" cm="1">
        <f t="array" aca="1" ref="G142" ca="1">INDIRECT(ADDRESS($B142,Plots!$H$3,,,Plots!$A$57))+INDIRECT(ADDRESS($B142,Plots!$H$3,,,Plots!$A$58))+INDIRECT(ADDRESS($B142,Plots!$H$3,,,Plots!$A$59))+INDIRECT(ADDRESS($B142,Plots!$H$3,,,Plots!$A$60))+INDIRECT(ADDRESS($B142,Plots!$H$3,,,Plots!$A$61))</f>
        <v>0</v>
      </c>
      <c r="H142">
        <f>'AARnetCBR-CamDTN1_tcpmon_ts_61'!C96+'AARnetCBR-CamDTN1_tcpmon_ts_62'!C96+'AARnetCBR-CamDTN1_tcpmon_ts_63'!C96+'AARnetCBR-CamDTN1_tcpmon_ts_64'!C96+'AARnetCBR-CamDTN1_tcpmon_ts_65'!C96+'AARnetCBR-CamDTN1_tcpmon_ts_66'!C96</f>
        <v>0</v>
      </c>
      <c r="I142">
        <f>'AARnetCBR-CamDTN1_tcpmon_ts_81'!C96+'AARnetCBR-CamDTN1_tcpmon_ts_82'!C96+'AARnetCBR-CamDTN1_tcpmon_ts_83'!C96+'AARnetCBR-CamDTN1_tcpmon_ts_84'!C96+'AARnetCBR-CamDTN1_tcpmon_ts_85'!C96+'AARnetCBR-CamDTN1_tcpmon_ts_86'!C96+'AARnetCBR-CamDTN1_tcpmon_ts_87'!C96+'AARnetCBR-CamDTN1_tcpmon_ts_88'!C96</f>
        <v>0</v>
      </c>
      <c r="L142" cm="1">
        <f t="array" aca="1" ref="L142" ca="1">INDIRECT(ADDRESS($B142,Plots!$H$4,,,Plots!$A$47))</f>
        <v>0</v>
      </c>
      <c r="M142" cm="1">
        <f t="array" aca="1" ref="M142" ca="1">INDIRECT(ADDRESS($B142,Plots!$H$4,,,Plots!$A$48))+INDIRECT(ADDRESS($B142,Plots!$H$4,,,Plots!$A$49))</f>
        <v>0</v>
      </c>
      <c r="N142" cm="1">
        <f t="array" aca="1" ref="N142" ca="1">INDIRECT(ADDRESS($B142,Plots!$H$4,,,Plots!$A$50))+INDIRECT(ADDRESS($B142,Plots!$H$4,,,Plots!$A$51))+INDIRECT(ADDRESS($B142,Plots!$H$4,,,Plots!$A$52))</f>
        <v>0</v>
      </c>
      <c r="O142" cm="1">
        <f t="array" aca="1" ref="O142" ca="1">INDIRECT(ADDRESS($B142,Plots!$H$4,,,Plots!$A$53))+INDIRECT(ADDRESS($B142,Plots!$H$4,,,Plots!$A$54))+INDIRECT(ADDRESS($B142,Plots!$H$4,,,Plots!$A$55))+INDIRECT(ADDRESS($B142,Plots!$H$4,,,Plots!$A$56))</f>
        <v>0</v>
      </c>
      <c r="P142" cm="1">
        <f t="array" aca="1" ref="P142" ca="1">INDIRECT(ADDRESS($B142,Plots!$H$4,,,Plots!$A$57))+INDIRECT(ADDRESS($B142,Plots!$H$4,,,Plots!$A$58))+INDIRECT(ADDRESS($B142,Plots!$H$4,,,Plots!$A$59))+INDIRECT(ADDRESS($B142,Plots!$H$4,,,Plots!$A$60))+INDIRECT(ADDRESS($B142,Plots!$H$4,,,Plots!$A$61))</f>
        <v>0</v>
      </c>
      <c r="Q142" cm="1">
        <f t="array" aca="1" ref="Q142" ca="1">INDIRECT(ADDRESS($B142,Plots!$H$4,,,Plots!$A$62))+INDIRECT(ADDRESS($B142,Plots!$H$4,,,Plots!$A$63))+INDIRECT(ADDRESS($B142,Plots!$H$4,,,Plots!$A$64))+INDIRECT(ADDRESS($B142,Plots!$H$4,,,Plots!$A$65))+INDIRECT(ADDRESS($B142,Plots!$H$4,,,Plots!$A$66))+INDIRECT(ADDRESS($B142,Plots!$H$4,,,Plots!$A$67))</f>
        <v>0</v>
      </c>
      <c r="R142">
        <f>'AARnetCBR-CamDTN1_tcpmon_ts_81'!J147+'AARnetCBR-CamDTN1_tcpmon_ts_82'!J147+'AARnetCBR-CamDTN1_tcpmon_ts_83'!J147+'AARnetCBR-CamDTN1_tcpmon_ts_84'!J147+'AARnetCBR-CamDTN1_tcpmon_ts_85'!J147+'AARnetCBR-CamDTN1_tcpmon_ts_86'!J147+'AARnetCBR-CamDTN1_tcpmon_ts_87'!J147+'AARnetCBR-CamDTN1_tcpmon_ts_88'!J147</f>
        <v>0</v>
      </c>
    </row>
    <row r="143" spans="1:18">
      <c r="A143" cm="1">
        <f t="array" aca="1" ref="A143" ca="1">INDIRECT(ADDRESS($B143,Plots!$H$6,,,Plots!$A$47))</f>
        <v>280</v>
      </c>
      <c r="B143">
        <f t="shared" si="2"/>
        <v>152</v>
      </c>
      <c r="C143" cm="1">
        <f t="array" aca="1" ref="C143" ca="1">INDIRECT(ADDRESS($B143,Plots!$H$3,,,Plots!$A$47))</f>
        <v>24.53</v>
      </c>
      <c r="D143" cm="1">
        <f t="array" aca="1" ref="D143" ca="1">INDIRECT(ADDRESS($B143,Plots!$H$3,,,Plots!$A$48))+INDIRECT(ADDRESS($B143,Plots!$H$3,,,Plots!$A$49))</f>
        <v>58.97</v>
      </c>
      <c r="E143" cm="1">
        <f t="array" aca="1" ref="E143" ca="1">INDIRECT(ADDRESS($B143,Plots!$H$3,,,Plots!$A$50))+INDIRECT(ADDRESS($B143,Plots!$H$3,,,Plots!$A$51))+INDIRECT(ADDRESS($B143,Plots!$H$3,,,Plots!$A$52))</f>
        <v>64.22</v>
      </c>
      <c r="F143" cm="1">
        <f t="array" aca="1" ref="F143" ca="1">INDIRECT(ADDRESS($B143,Plots!$H$3,,,Plots!$A$53))+INDIRECT(ADDRESS($B143,Plots!$H$3,,,Plots!$A$54))+INDIRECT(ADDRESS($B143,Plots!$H$3,,,Plots!$A$55))+INDIRECT(ADDRESS($B143,Plots!$H$3,,,Plots!$A$56))</f>
        <v>82.81</v>
      </c>
      <c r="G143" cm="1">
        <f t="array" aca="1" ref="G143" ca="1">INDIRECT(ADDRESS($B143,Plots!$H$3,,,Plots!$A$57))+INDIRECT(ADDRESS($B143,Plots!$H$3,,,Plots!$A$58))+INDIRECT(ADDRESS($B143,Plots!$H$3,,,Plots!$A$59))+INDIRECT(ADDRESS($B143,Plots!$H$3,,,Plots!$A$60))+INDIRECT(ADDRESS($B143,Plots!$H$3,,,Plots!$A$61))</f>
        <v>0</v>
      </c>
      <c r="H143">
        <f>'AARnetCBR-CamDTN1_tcpmon_ts_61'!C97+'AARnetCBR-CamDTN1_tcpmon_ts_62'!C97+'AARnetCBR-CamDTN1_tcpmon_ts_63'!C97+'AARnetCBR-CamDTN1_tcpmon_ts_64'!C97+'AARnetCBR-CamDTN1_tcpmon_ts_65'!C97+'AARnetCBR-CamDTN1_tcpmon_ts_66'!C97</f>
        <v>0</v>
      </c>
      <c r="I143">
        <f>'AARnetCBR-CamDTN1_tcpmon_ts_81'!C97+'AARnetCBR-CamDTN1_tcpmon_ts_82'!C97+'AARnetCBR-CamDTN1_tcpmon_ts_83'!C97+'AARnetCBR-CamDTN1_tcpmon_ts_84'!C97+'AARnetCBR-CamDTN1_tcpmon_ts_85'!C97+'AARnetCBR-CamDTN1_tcpmon_ts_86'!C97+'AARnetCBR-CamDTN1_tcpmon_ts_87'!C97+'AARnetCBR-CamDTN1_tcpmon_ts_88'!C97</f>
        <v>0</v>
      </c>
      <c r="L143" cm="1">
        <f t="array" aca="1" ref="L143" ca="1">INDIRECT(ADDRESS($B143,Plots!$H$4,,,Plots!$A$47))</f>
        <v>0</v>
      </c>
      <c r="M143" cm="1">
        <f t="array" aca="1" ref="M143" ca="1">INDIRECT(ADDRESS($B143,Plots!$H$4,,,Plots!$A$48))+INDIRECT(ADDRESS($B143,Plots!$H$4,,,Plots!$A$49))</f>
        <v>0</v>
      </c>
      <c r="N143" cm="1">
        <f t="array" aca="1" ref="N143" ca="1">INDIRECT(ADDRESS($B143,Plots!$H$4,,,Plots!$A$50))+INDIRECT(ADDRESS($B143,Plots!$H$4,,,Plots!$A$51))+INDIRECT(ADDRESS($B143,Plots!$H$4,,,Plots!$A$52))</f>
        <v>0</v>
      </c>
      <c r="O143" cm="1">
        <f t="array" aca="1" ref="O143" ca="1">INDIRECT(ADDRESS($B143,Plots!$H$4,,,Plots!$A$53))+INDIRECT(ADDRESS($B143,Plots!$H$4,,,Plots!$A$54))+INDIRECT(ADDRESS($B143,Plots!$H$4,,,Plots!$A$55))+INDIRECT(ADDRESS($B143,Plots!$H$4,,,Plots!$A$56))</f>
        <v>0</v>
      </c>
      <c r="P143" cm="1">
        <f t="array" aca="1" ref="P143" ca="1">INDIRECT(ADDRESS($B143,Plots!$H$4,,,Plots!$A$57))+INDIRECT(ADDRESS($B143,Plots!$H$4,,,Plots!$A$58))+INDIRECT(ADDRESS($B143,Plots!$H$4,,,Plots!$A$59))+INDIRECT(ADDRESS($B143,Plots!$H$4,,,Plots!$A$60))+INDIRECT(ADDRESS($B143,Plots!$H$4,,,Plots!$A$61))</f>
        <v>0</v>
      </c>
      <c r="Q143" cm="1">
        <f t="array" aca="1" ref="Q143" ca="1">INDIRECT(ADDRESS($B143,Plots!$H$4,,,Plots!$A$62))+INDIRECT(ADDRESS($B143,Plots!$H$4,,,Plots!$A$63))+INDIRECT(ADDRESS($B143,Plots!$H$4,,,Plots!$A$64))+INDIRECT(ADDRESS($B143,Plots!$H$4,,,Plots!$A$65))+INDIRECT(ADDRESS($B143,Plots!$H$4,,,Plots!$A$66))+INDIRECT(ADDRESS($B143,Plots!$H$4,,,Plots!$A$67))</f>
        <v>0</v>
      </c>
      <c r="R143">
        <f>'AARnetCBR-CamDTN1_tcpmon_ts_81'!J148+'AARnetCBR-CamDTN1_tcpmon_ts_82'!J148+'AARnetCBR-CamDTN1_tcpmon_ts_83'!J148+'AARnetCBR-CamDTN1_tcpmon_ts_84'!J148+'AARnetCBR-CamDTN1_tcpmon_ts_85'!J148+'AARnetCBR-CamDTN1_tcpmon_ts_86'!J148+'AARnetCBR-CamDTN1_tcpmon_ts_87'!J148+'AARnetCBR-CamDTN1_tcpmon_ts_88'!J148</f>
        <v>0</v>
      </c>
    </row>
    <row r="144" spans="1:18">
      <c r="A144" cm="1">
        <f t="array" aca="1" ref="A144" ca="1">INDIRECT(ADDRESS($B144,Plots!$H$6,,,Plots!$A$47))</f>
        <v>282</v>
      </c>
      <c r="B144">
        <f t="shared" si="2"/>
        <v>153</v>
      </c>
      <c r="C144" cm="1">
        <f t="array" aca="1" ref="C144" ca="1">INDIRECT(ADDRESS($B144,Plots!$H$3,,,Plots!$A$47))</f>
        <v>26.42</v>
      </c>
      <c r="D144" cm="1">
        <f t="array" aca="1" ref="D144" ca="1">INDIRECT(ADDRESS($B144,Plots!$H$3,,,Plots!$A$48))+INDIRECT(ADDRESS($B144,Plots!$H$3,,,Plots!$A$49))</f>
        <v>60.260000000000005</v>
      </c>
      <c r="E144" cm="1">
        <f t="array" aca="1" ref="E144" ca="1">INDIRECT(ADDRESS($B144,Plots!$H$3,,,Plots!$A$50))+INDIRECT(ADDRESS($B144,Plots!$H$3,,,Plots!$A$51))+INDIRECT(ADDRESS($B144,Plots!$H$3,,,Plots!$A$52))</f>
        <v>73.78</v>
      </c>
      <c r="F144" cm="1">
        <f t="array" aca="1" ref="F144" ca="1">INDIRECT(ADDRESS($B144,Plots!$H$3,,,Plots!$A$53))+INDIRECT(ADDRESS($B144,Plots!$H$3,,,Plots!$A$54))+INDIRECT(ADDRESS($B144,Plots!$H$3,,,Plots!$A$55))+INDIRECT(ADDRESS($B144,Plots!$H$3,,,Plots!$A$56))</f>
        <v>87.92</v>
      </c>
      <c r="G144" cm="1">
        <f t="array" aca="1" ref="G144" ca="1">INDIRECT(ADDRESS($B144,Plots!$H$3,,,Plots!$A$57))+INDIRECT(ADDRESS($B144,Plots!$H$3,,,Plots!$A$58))+INDIRECT(ADDRESS($B144,Plots!$H$3,,,Plots!$A$59))+INDIRECT(ADDRESS($B144,Plots!$H$3,,,Plots!$A$60))+INDIRECT(ADDRESS($B144,Plots!$H$3,,,Plots!$A$61))</f>
        <v>0</v>
      </c>
      <c r="H144">
        <f>'AARnetCBR-CamDTN1_tcpmon_ts_61'!C98+'AARnetCBR-CamDTN1_tcpmon_ts_62'!C98+'AARnetCBR-CamDTN1_tcpmon_ts_63'!C98+'AARnetCBR-CamDTN1_tcpmon_ts_64'!C98+'AARnetCBR-CamDTN1_tcpmon_ts_65'!C98+'AARnetCBR-CamDTN1_tcpmon_ts_66'!C98</f>
        <v>0</v>
      </c>
      <c r="I144">
        <f>'AARnetCBR-CamDTN1_tcpmon_ts_81'!C98+'AARnetCBR-CamDTN1_tcpmon_ts_82'!C98+'AARnetCBR-CamDTN1_tcpmon_ts_83'!C98+'AARnetCBR-CamDTN1_tcpmon_ts_84'!C98+'AARnetCBR-CamDTN1_tcpmon_ts_85'!C98+'AARnetCBR-CamDTN1_tcpmon_ts_86'!C98+'AARnetCBR-CamDTN1_tcpmon_ts_87'!C98+'AARnetCBR-CamDTN1_tcpmon_ts_88'!C98</f>
        <v>0</v>
      </c>
      <c r="L144" cm="1">
        <f t="array" aca="1" ref="L144" ca="1">INDIRECT(ADDRESS($B144,Plots!$H$4,,,Plots!$A$47))</f>
        <v>0</v>
      </c>
      <c r="M144" cm="1">
        <f t="array" aca="1" ref="M144" ca="1">INDIRECT(ADDRESS($B144,Plots!$H$4,,,Plots!$A$48))+INDIRECT(ADDRESS($B144,Plots!$H$4,,,Plots!$A$49))</f>
        <v>0</v>
      </c>
      <c r="N144" cm="1">
        <f t="array" aca="1" ref="N144" ca="1">INDIRECT(ADDRESS($B144,Plots!$H$4,,,Plots!$A$50))+INDIRECT(ADDRESS($B144,Plots!$H$4,,,Plots!$A$51))+INDIRECT(ADDRESS($B144,Plots!$H$4,,,Plots!$A$52))</f>
        <v>0</v>
      </c>
      <c r="O144" cm="1">
        <f t="array" aca="1" ref="O144" ca="1">INDIRECT(ADDRESS($B144,Plots!$H$4,,,Plots!$A$53))+INDIRECT(ADDRESS($B144,Plots!$H$4,,,Plots!$A$54))+INDIRECT(ADDRESS($B144,Plots!$H$4,,,Plots!$A$55))+INDIRECT(ADDRESS($B144,Plots!$H$4,,,Plots!$A$56))</f>
        <v>0</v>
      </c>
      <c r="P144" cm="1">
        <f t="array" aca="1" ref="P144" ca="1">INDIRECT(ADDRESS($B144,Plots!$H$4,,,Plots!$A$57))+INDIRECT(ADDRESS($B144,Plots!$H$4,,,Plots!$A$58))+INDIRECT(ADDRESS($B144,Plots!$H$4,,,Plots!$A$59))+INDIRECT(ADDRESS($B144,Plots!$H$4,,,Plots!$A$60))+INDIRECT(ADDRESS($B144,Plots!$H$4,,,Plots!$A$61))</f>
        <v>0</v>
      </c>
      <c r="Q144" cm="1">
        <f t="array" aca="1" ref="Q144" ca="1">INDIRECT(ADDRESS($B144,Plots!$H$4,,,Plots!$A$62))+INDIRECT(ADDRESS($B144,Plots!$H$4,,,Plots!$A$63))+INDIRECT(ADDRESS($B144,Plots!$H$4,,,Plots!$A$64))+INDIRECT(ADDRESS($B144,Plots!$H$4,,,Plots!$A$65))+INDIRECT(ADDRESS($B144,Plots!$H$4,,,Plots!$A$66))+INDIRECT(ADDRESS($B144,Plots!$H$4,,,Plots!$A$67))</f>
        <v>0</v>
      </c>
      <c r="R144">
        <f>'AARnetCBR-CamDTN1_tcpmon_ts_81'!J149+'AARnetCBR-CamDTN1_tcpmon_ts_82'!J149+'AARnetCBR-CamDTN1_tcpmon_ts_83'!J149+'AARnetCBR-CamDTN1_tcpmon_ts_84'!J149+'AARnetCBR-CamDTN1_tcpmon_ts_85'!J149+'AARnetCBR-CamDTN1_tcpmon_ts_86'!J149+'AARnetCBR-CamDTN1_tcpmon_ts_87'!J149+'AARnetCBR-CamDTN1_tcpmon_ts_88'!J149</f>
        <v>0</v>
      </c>
    </row>
    <row r="145" spans="1:18">
      <c r="A145" cm="1">
        <f t="array" aca="1" ref="A145" ca="1">INDIRECT(ADDRESS($B145,Plots!$H$6,,,Plots!$A$47))</f>
        <v>284</v>
      </c>
      <c r="B145">
        <f t="shared" si="2"/>
        <v>154</v>
      </c>
      <c r="C145" cm="1">
        <f t="array" aca="1" ref="C145" ca="1">INDIRECT(ADDRESS($B145,Plots!$H$3,,,Plots!$A$47))</f>
        <v>26.24</v>
      </c>
      <c r="D145" cm="1">
        <f t="array" aca="1" ref="D145" ca="1">INDIRECT(ADDRESS($B145,Plots!$H$3,,,Plots!$A$48))+INDIRECT(ADDRESS($B145,Plots!$H$3,,,Plots!$A$49))</f>
        <v>55.33</v>
      </c>
      <c r="E145" cm="1">
        <f t="array" aca="1" ref="E145" ca="1">INDIRECT(ADDRESS($B145,Plots!$H$3,,,Plots!$A$50))+INDIRECT(ADDRESS($B145,Plots!$H$3,,,Plots!$A$51))+INDIRECT(ADDRESS($B145,Plots!$H$3,,,Plots!$A$52))</f>
        <v>59.93</v>
      </c>
      <c r="F145" cm="1">
        <f t="array" aca="1" ref="F145" ca="1">INDIRECT(ADDRESS($B145,Plots!$H$3,,,Plots!$A$53))+INDIRECT(ADDRESS($B145,Plots!$H$3,,,Plots!$A$54))+INDIRECT(ADDRESS($B145,Plots!$H$3,,,Plots!$A$55))+INDIRECT(ADDRESS($B145,Plots!$H$3,,,Plots!$A$56))</f>
        <v>88.87</v>
      </c>
      <c r="G145" cm="1">
        <f t="array" aca="1" ref="G145" ca="1">INDIRECT(ADDRESS($B145,Plots!$H$3,,,Plots!$A$57))+INDIRECT(ADDRESS($B145,Plots!$H$3,,,Plots!$A$58))+INDIRECT(ADDRESS($B145,Plots!$H$3,,,Plots!$A$59))+INDIRECT(ADDRESS($B145,Plots!$H$3,,,Plots!$A$60))+INDIRECT(ADDRESS($B145,Plots!$H$3,,,Plots!$A$61))</f>
        <v>0</v>
      </c>
      <c r="H145">
        <f>'AARnetCBR-CamDTN1_tcpmon_ts_61'!C99+'AARnetCBR-CamDTN1_tcpmon_ts_62'!C99+'AARnetCBR-CamDTN1_tcpmon_ts_63'!C99+'AARnetCBR-CamDTN1_tcpmon_ts_64'!C99+'AARnetCBR-CamDTN1_tcpmon_ts_65'!C99+'AARnetCBR-CamDTN1_tcpmon_ts_66'!C99</f>
        <v>0</v>
      </c>
      <c r="I145">
        <f>'AARnetCBR-CamDTN1_tcpmon_ts_81'!C99+'AARnetCBR-CamDTN1_tcpmon_ts_82'!C99+'AARnetCBR-CamDTN1_tcpmon_ts_83'!C99+'AARnetCBR-CamDTN1_tcpmon_ts_84'!C99+'AARnetCBR-CamDTN1_tcpmon_ts_85'!C99+'AARnetCBR-CamDTN1_tcpmon_ts_86'!C99+'AARnetCBR-CamDTN1_tcpmon_ts_87'!C99+'AARnetCBR-CamDTN1_tcpmon_ts_88'!C99</f>
        <v>0</v>
      </c>
      <c r="L145" cm="1">
        <f t="array" aca="1" ref="L145" ca="1">INDIRECT(ADDRESS($B145,Plots!$H$4,,,Plots!$A$47))</f>
        <v>0</v>
      </c>
      <c r="M145" cm="1">
        <f t="array" aca="1" ref="M145" ca="1">INDIRECT(ADDRESS($B145,Plots!$H$4,,,Plots!$A$48))+INDIRECT(ADDRESS($B145,Plots!$H$4,,,Plots!$A$49))</f>
        <v>0</v>
      </c>
      <c r="N145" cm="1">
        <f t="array" aca="1" ref="N145" ca="1">INDIRECT(ADDRESS($B145,Plots!$H$4,,,Plots!$A$50))+INDIRECT(ADDRESS($B145,Plots!$H$4,,,Plots!$A$51))+INDIRECT(ADDRESS($B145,Plots!$H$4,,,Plots!$A$52))</f>
        <v>0</v>
      </c>
      <c r="O145" cm="1">
        <f t="array" aca="1" ref="O145" ca="1">INDIRECT(ADDRESS($B145,Plots!$H$4,,,Plots!$A$53))+INDIRECT(ADDRESS($B145,Plots!$H$4,,,Plots!$A$54))+INDIRECT(ADDRESS($B145,Plots!$H$4,,,Plots!$A$55))+INDIRECT(ADDRESS($B145,Plots!$H$4,,,Plots!$A$56))</f>
        <v>0</v>
      </c>
      <c r="P145" cm="1">
        <f t="array" aca="1" ref="P145" ca="1">INDIRECT(ADDRESS($B145,Plots!$H$4,,,Plots!$A$57))+INDIRECT(ADDRESS($B145,Plots!$H$4,,,Plots!$A$58))+INDIRECT(ADDRESS($B145,Plots!$H$4,,,Plots!$A$59))+INDIRECT(ADDRESS($B145,Plots!$H$4,,,Plots!$A$60))+INDIRECT(ADDRESS($B145,Plots!$H$4,,,Plots!$A$61))</f>
        <v>0</v>
      </c>
      <c r="Q145" cm="1">
        <f t="array" aca="1" ref="Q145" ca="1">INDIRECT(ADDRESS($B145,Plots!$H$4,,,Plots!$A$62))+INDIRECT(ADDRESS($B145,Plots!$H$4,,,Plots!$A$63))+INDIRECT(ADDRESS($B145,Plots!$H$4,,,Plots!$A$64))+INDIRECT(ADDRESS($B145,Plots!$H$4,,,Plots!$A$65))+INDIRECT(ADDRESS($B145,Plots!$H$4,,,Plots!$A$66))+INDIRECT(ADDRESS($B145,Plots!$H$4,,,Plots!$A$67))</f>
        <v>0</v>
      </c>
      <c r="R145">
        <f>'AARnetCBR-CamDTN1_tcpmon_ts_81'!J150+'AARnetCBR-CamDTN1_tcpmon_ts_82'!J150+'AARnetCBR-CamDTN1_tcpmon_ts_83'!J150+'AARnetCBR-CamDTN1_tcpmon_ts_84'!J150+'AARnetCBR-CamDTN1_tcpmon_ts_85'!J150+'AARnetCBR-CamDTN1_tcpmon_ts_86'!J150+'AARnetCBR-CamDTN1_tcpmon_ts_87'!J150+'AARnetCBR-CamDTN1_tcpmon_ts_88'!J150</f>
        <v>0</v>
      </c>
    </row>
    <row r="146" spans="1:18">
      <c r="A146" cm="1">
        <f t="array" aca="1" ref="A146" ca="1">INDIRECT(ADDRESS($B146,Plots!$H$6,,,Plots!$A$47))</f>
        <v>286</v>
      </c>
      <c r="B146">
        <f t="shared" si="2"/>
        <v>155</v>
      </c>
      <c r="C146" cm="1">
        <f t="array" aca="1" ref="C146" ca="1">INDIRECT(ADDRESS($B146,Plots!$H$3,,,Plots!$A$47))</f>
        <v>26.2</v>
      </c>
      <c r="D146" cm="1">
        <f t="array" aca="1" ref="D146" ca="1">INDIRECT(ADDRESS($B146,Plots!$H$3,,,Plots!$A$48))+INDIRECT(ADDRESS($B146,Plots!$H$3,,,Plots!$A$49))</f>
        <v>57.31</v>
      </c>
      <c r="E146" cm="1">
        <f t="array" aca="1" ref="E146" ca="1">INDIRECT(ADDRESS($B146,Plots!$H$3,,,Plots!$A$50))+INDIRECT(ADDRESS($B146,Plots!$H$3,,,Plots!$A$51))+INDIRECT(ADDRESS($B146,Plots!$H$3,,,Plots!$A$52))</f>
        <v>73.88</v>
      </c>
      <c r="F146" cm="1">
        <f t="array" aca="1" ref="F146" ca="1">INDIRECT(ADDRESS($B146,Plots!$H$3,,,Plots!$A$53))+INDIRECT(ADDRESS($B146,Plots!$H$3,,,Plots!$A$54))+INDIRECT(ADDRESS($B146,Plots!$H$3,,,Plots!$A$55))+INDIRECT(ADDRESS($B146,Plots!$H$3,,,Plots!$A$56))</f>
        <v>82.84</v>
      </c>
      <c r="G146" cm="1">
        <f t="array" aca="1" ref="G146" ca="1">INDIRECT(ADDRESS($B146,Plots!$H$3,,,Plots!$A$57))+INDIRECT(ADDRESS($B146,Plots!$H$3,,,Plots!$A$58))+INDIRECT(ADDRESS($B146,Plots!$H$3,,,Plots!$A$59))+INDIRECT(ADDRESS($B146,Plots!$H$3,,,Plots!$A$60))+INDIRECT(ADDRESS($B146,Plots!$H$3,,,Plots!$A$61))</f>
        <v>0</v>
      </c>
      <c r="H146">
        <f>'AARnetCBR-CamDTN1_tcpmon_ts_61'!C100+'AARnetCBR-CamDTN1_tcpmon_ts_62'!C100+'AARnetCBR-CamDTN1_tcpmon_ts_63'!C100+'AARnetCBR-CamDTN1_tcpmon_ts_64'!C100+'AARnetCBR-CamDTN1_tcpmon_ts_65'!C100+'AARnetCBR-CamDTN1_tcpmon_ts_66'!C100</f>
        <v>0</v>
      </c>
      <c r="I146">
        <f>'AARnetCBR-CamDTN1_tcpmon_ts_81'!C100+'AARnetCBR-CamDTN1_tcpmon_ts_82'!C100+'AARnetCBR-CamDTN1_tcpmon_ts_83'!C100+'AARnetCBR-CamDTN1_tcpmon_ts_84'!C100+'AARnetCBR-CamDTN1_tcpmon_ts_85'!C100+'AARnetCBR-CamDTN1_tcpmon_ts_86'!C100+'AARnetCBR-CamDTN1_tcpmon_ts_87'!C100+'AARnetCBR-CamDTN1_tcpmon_ts_88'!C100</f>
        <v>0</v>
      </c>
      <c r="L146" cm="1">
        <f t="array" aca="1" ref="L146" ca="1">INDIRECT(ADDRESS($B146,Plots!$H$4,,,Plots!$A$47))</f>
        <v>0</v>
      </c>
      <c r="M146" cm="1">
        <f t="array" aca="1" ref="M146" ca="1">INDIRECT(ADDRESS($B146,Plots!$H$4,,,Plots!$A$48))+INDIRECT(ADDRESS($B146,Plots!$H$4,,,Plots!$A$49))</f>
        <v>0</v>
      </c>
      <c r="N146" cm="1">
        <f t="array" aca="1" ref="N146" ca="1">INDIRECT(ADDRESS($B146,Plots!$H$4,,,Plots!$A$50))+INDIRECT(ADDRESS($B146,Plots!$H$4,,,Plots!$A$51))+INDIRECT(ADDRESS($B146,Plots!$H$4,,,Plots!$A$52))</f>
        <v>0</v>
      </c>
      <c r="O146" cm="1">
        <f t="array" aca="1" ref="O146" ca="1">INDIRECT(ADDRESS($B146,Plots!$H$4,,,Plots!$A$53))+INDIRECT(ADDRESS($B146,Plots!$H$4,,,Plots!$A$54))+INDIRECT(ADDRESS($B146,Plots!$H$4,,,Plots!$A$55))+INDIRECT(ADDRESS($B146,Plots!$H$4,,,Plots!$A$56))</f>
        <v>0</v>
      </c>
      <c r="P146" cm="1">
        <f t="array" aca="1" ref="P146" ca="1">INDIRECT(ADDRESS($B146,Plots!$H$4,,,Plots!$A$57))+INDIRECT(ADDRESS($B146,Plots!$H$4,,,Plots!$A$58))+INDIRECT(ADDRESS($B146,Plots!$H$4,,,Plots!$A$59))+INDIRECT(ADDRESS($B146,Plots!$H$4,,,Plots!$A$60))+INDIRECT(ADDRESS($B146,Plots!$H$4,,,Plots!$A$61))</f>
        <v>0</v>
      </c>
      <c r="Q146" cm="1">
        <f t="array" aca="1" ref="Q146" ca="1">INDIRECT(ADDRESS($B146,Plots!$H$4,,,Plots!$A$62))+INDIRECT(ADDRESS($B146,Plots!$H$4,,,Plots!$A$63))+INDIRECT(ADDRESS($B146,Plots!$H$4,,,Plots!$A$64))+INDIRECT(ADDRESS($B146,Plots!$H$4,,,Plots!$A$65))+INDIRECT(ADDRESS($B146,Plots!$H$4,,,Plots!$A$66))+INDIRECT(ADDRESS($B146,Plots!$H$4,,,Plots!$A$67))</f>
        <v>0</v>
      </c>
      <c r="R146">
        <f>'AARnetCBR-CamDTN1_tcpmon_ts_81'!J151+'AARnetCBR-CamDTN1_tcpmon_ts_82'!J151+'AARnetCBR-CamDTN1_tcpmon_ts_83'!J151+'AARnetCBR-CamDTN1_tcpmon_ts_84'!J151+'AARnetCBR-CamDTN1_tcpmon_ts_85'!J151+'AARnetCBR-CamDTN1_tcpmon_ts_86'!J151+'AARnetCBR-CamDTN1_tcpmon_ts_87'!J151+'AARnetCBR-CamDTN1_tcpmon_ts_88'!J151</f>
        <v>0</v>
      </c>
    </row>
    <row r="147" spans="1:18">
      <c r="A147" cm="1">
        <f t="array" aca="1" ref="A147" ca="1">INDIRECT(ADDRESS($B147,Plots!$H$6,,,Plots!$A$47))</f>
        <v>288</v>
      </c>
      <c r="B147">
        <f t="shared" si="2"/>
        <v>156</v>
      </c>
      <c r="C147" cm="1">
        <f t="array" aca="1" ref="C147" ca="1">INDIRECT(ADDRESS($B147,Plots!$H$3,,,Plots!$A$47))</f>
        <v>26.48</v>
      </c>
      <c r="D147" cm="1">
        <f t="array" aca="1" ref="D147" ca="1">INDIRECT(ADDRESS($B147,Plots!$H$3,,,Plots!$A$48))+INDIRECT(ADDRESS($B147,Plots!$H$3,,,Plots!$A$49))</f>
        <v>55.7</v>
      </c>
      <c r="E147" cm="1">
        <f t="array" aca="1" ref="E147" ca="1">INDIRECT(ADDRESS($B147,Plots!$H$3,,,Plots!$A$50))+INDIRECT(ADDRESS($B147,Plots!$H$3,,,Plots!$A$51))+INDIRECT(ADDRESS($B147,Plots!$H$3,,,Plots!$A$52))</f>
        <v>61.11</v>
      </c>
      <c r="F147" cm="1">
        <f t="array" aca="1" ref="F147" ca="1">INDIRECT(ADDRESS($B147,Plots!$H$3,,,Plots!$A$53))+INDIRECT(ADDRESS($B147,Plots!$H$3,,,Plots!$A$54))+INDIRECT(ADDRESS($B147,Plots!$H$3,,,Plots!$A$55))+INDIRECT(ADDRESS($B147,Plots!$H$3,,,Plots!$A$56))</f>
        <v>92.990000000000009</v>
      </c>
      <c r="G147" cm="1">
        <f t="array" aca="1" ref="G147" ca="1">INDIRECT(ADDRESS($B147,Plots!$H$3,,,Plots!$A$57))+INDIRECT(ADDRESS($B147,Plots!$H$3,,,Plots!$A$58))+INDIRECT(ADDRESS($B147,Plots!$H$3,,,Plots!$A$59))+INDIRECT(ADDRESS($B147,Plots!$H$3,,,Plots!$A$60))+INDIRECT(ADDRESS($B147,Plots!$H$3,,,Plots!$A$61))</f>
        <v>0</v>
      </c>
      <c r="H147">
        <f>'AARnetCBR-CamDTN1_tcpmon_ts_61'!C101+'AARnetCBR-CamDTN1_tcpmon_ts_62'!C101+'AARnetCBR-CamDTN1_tcpmon_ts_63'!C101+'AARnetCBR-CamDTN1_tcpmon_ts_64'!C101+'AARnetCBR-CamDTN1_tcpmon_ts_65'!C101+'AARnetCBR-CamDTN1_tcpmon_ts_66'!C101</f>
        <v>0</v>
      </c>
      <c r="I147">
        <f>'AARnetCBR-CamDTN1_tcpmon_ts_81'!C101+'AARnetCBR-CamDTN1_tcpmon_ts_82'!C101+'AARnetCBR-CamDTN1_tcpmon_ts_83'!C101+'AARnetCBR-CamDTN1_tcpmon_ts_84'!C101+'AARnetCBR-CamDTN1_tcpmon_ts_85'!C101+'AARnetCBR-CamDTN1_tcpmon_ts_86'!C101+'AARnetCBR-CamDTN1_tcpmon_ts_87'!C101+'AARnetCBR-CamDTN1_tcpmon_ts_88'!C101</f>
        <v>0</v>
      </c>
      <c r="L147" cm="1">
        <f t="array" aca="1" ref="L147" ca="1">INDIRECT(ADDRESS($B147,Plots!$H$4,,,Plots!$A$47))</f>
        <v>0</v>
      </c>
      <c r="M147" cm="1">
        <f t="array" aca="1" ref="M147" ca="1">INDIRECT(ADDRESS($B147,Plots!$H$4,,,Plots!$A$48))+INDIRECT(ADDRESS($B147,Plots!$H$4,,,Plots!$A$49))</f>
        <v>0</v>
      </c>
      <c r="N147" cm="1">
        <f t="array" aca="1" ref="N147" ca="1">INDIRECT(ADDRESS($B147,Plots!$H$4,,,Plots!$A$50))+INDIRECT(ADDRESS($B147,Plots!$H$4,,,Plots!$A$51))+INDIRECT(ADDRESS($B147,Plots!$H$4,,,Plots!$A$52))</f>
        <v>0</v>
      </c>
      <c r="O147" cm="1">
        <f t="array" aca="1" ref="O147" ca="1">INDIRECT(ADDRESS($B147,Plots!$H$4,,,Plots!$A$53))+INDIRECT(ADDRESS($B147,Plots!$H$4,,,Plots!$A$54))+INDIRECT(ADDRESS($B147,Plots!$H$4,,,Plots!$A$55))+INDIRECT(ADDRESS($B147,Plots!$H$4,,,Plots!$A$56))</f>
        <v>0</v>
      </c>
      <c r="P147" cm="1">
        <f t="array" aca="1" ref="P147" ca="1">INDIRECT(ADDRESS($B147,Plots!$H$4,,,Plots!$A$57))+INDIRECT(ADDRESS($B147,Plots!$H$4,,,Plots!$A$58))+INDIRECT(ADDRESS($B147,Plots!$H$4,,,Plots!$A$59))+INDIRECT(ADDRESS($B147,Plots!$H$4,,,Plots!$A$60))+INDIRECT(ADDRESS($B147,Plots!$H$4,,,Plots!$A$61))</f>
        <v>0</v>
      </c>
      <c r="Q147" cm="1">
        <f t="array" aca="1" ref="Q147" ca="1">INDIRECT(ADDRESS($B147,Plots!$H$4,,,Plots!$A$62))+INDIRECT(ADDRESS($B147,Plots!$H$4,,,Plots!$A$63))+INDIRECT(ADDRESS($B147,Plots!$H$4,,,Plots!$A$64))+INDIRECT(ADDRESS($B147,Plots!$H$4,,,Plots!$A$65))+INDIRECT(ADDRESS($B147,Plots!$H$4,,,Plots!$A$66))+INDIRECT(ADDRESS($B147,Plots!$H$4,,,Plots!$A$67))</f>
        <v>0</v>
      </c>
      <c r="R147">
        <f>'AARnetCBR-CamDTN1_tcpmon_ts_81'!J152+'AARnetCBR-CamDTN1_tcpmon_ts_82'!J152+'AARnetCBR-CamDTN1_tcpmon_ts_83'!J152+'AARnetCBR-CamDTN1_tcpmon_ts_84'!J152+'AARnetCBR-CamDTN1_tcpmon_ts_85'!J152+'AARnetCBR-CamDTN1_tcpmon_ts_86'!J152+'AARnetCBR-CamDTN1_tcpmon_ts_87'!J152+'AARnetCBR-CamDTN1_tcpmon_ts_88'!J152</f>
        <v>0</v>
      </c>
    </row>
    <row r="148" spans="1:18">
      <c r="A148" cm="1">
        <f t="array" aca="1" ref="A148" ca="1">INDIRECT(ADDRESS($B148,Plots!$H$6,,,Plots!$A$47))</f>
        <v>290</v>
      </c>
      <c r="B148">
        <f t="shared" si="2"/>
        <v>157</v>
      </c>
      <c r="C148" cm="1">
        <f t="array" aca="1" ref="C148" ca="1">INDIRECT(ADDRESS($B148,Plots!$H$3,,,Plots!$A$47))</f>
        <v>25.88</v>
      </c>
      <c r="D148" cm="1">
        <f t="array" aca="1" ref="D148" ca="1">INDIRECT(ADDRESS($B148,Plots!$H$3,,,Plots!$A$48))+INDIRECT(ADDRESS($B148,Plots!$H$3,,,Plots!$A$49))</f>
        <v>59.46</v>
      </c>
      <c r="E148" cm="1">
        <f t="array" aca="1" ref="E148" ca="1">INDIRECT(ADDRESS($B148,Plots!$H$3,,,Plots!$A$50))+INDIRECT(ADDRESS($B148,Plots!$H$3,,,Plots!$A$51))+INDIRECT(ADDRESS($B148,Plots!$H$3,,,Plots!$A$52))</f>
        <v>74.63</v>
      </c>
      <c r="F148" cm="1">
        <f t="array" aca="1" ref="F148" ca="1">INDIRECT(ADDRESS($B148,Plots!$H$3,,,Plots!$A$53))+INDIRECT(ADDRESS($B148,Plots!$H$3,,,Plots!$A$54))+INDIRECT(ADDRESS($B148,Plots!$H$3,,,Plots!$A$55))+INDIRECT(ADDRESS($B148,Plots!$H$3,,,Plots!$A$56))</f>
        <v>87.56</v>
      </c>
      <c r="G148" cm="1">
        <f t="array" aca="1" ref="G148" ca="1">INDIRECT(ADDRESS($B148,Plots!$H$3,,,Plots!$A$57))+INDIRECT(ADDRESS($B148,Plots!$H$3,,,Plots!$A$58))+INDIRECT(ADDRESS($B148,Plots!$H$3,,,Plots!$A$59))+INDIRECT(ADDRESS($B148,Plots!$H$3,,,Plots!$A$60))+INDIRECT(ADDRESS($B148,Plots!$H$3,,,Plots!$A$61))</f>
        <v>0</v>
      </c>
      <c r="H148">
        <f>'AARnetCBR-CamDTN1_tcpmon_ts_61'!C102+'AARnetCBR-CamDTN1_tcpmon_ts_62'!C102+'AARnetCBR-CamDTN1_tcpmon_ts_63'!C102+'AARnetCBR-CamDTN1_tcpmon_ts_64'!C102+'AARnetCBR-CamDTN1_tcpmon_ts_65'!C102+'AARnetCBR-CamDTN1_tcpmon_ts_66'!C102</f>
        <v>0</v>
      </c>
      <c r="I148">
        <f>'AARnetCBR-CamDTN1_tcpmon_ts_81'!C102+'AARnetCBR-CamDTN1_tcpmon_ts_82'!C102+'AARnetCBR-CamDTN1_tcpmon_ts_83'!C102+'AARnetCBR-CamDTN1_tcpmon_ts_84'!C102+'AARnetCBR-CamDTN1_tcpmon_ts_85'!C102+'AARnetCBR-CamDTN1_tcpmon_ts_86'!C102+'AARnetCBR-CamDTN1_tcpmon_ts_87'!C102+'AARnetCBR-CamDTN1_tcpmon_ts_88'!C102</f>
        <v>0</v>
      </c>
      <c r="L148" cm="1">
        <f t="array" aca="1" ref="L148" ca="1">INDIRECT(ADDRESS($B148,Plots!$H$4,,,Plots!$A$47))</f>
        <v>0</v>
      </c>
      <c r="M148" cm="1">
        <f t="array" aca="1" ref="M148" ca="1">INDIRECT(ADDRESS($B148,Plots!$H$4,,,Plots!$A$48))+INDIRECT(ADDRESS($B148,Plots!$H$4,,,Plots!$A$49))</f>
        <v>0</v>
      </c>
      <c r="N148" cm="1">
        <f t="array" aca="1" ref="N148" ca="1">INDIRECT(ADDRESS($B148,Plots!$H$4,,,Plots!$A$50))+INDIRECT(ADDRESS($B148,Plots!$H$4,,,Plots!$A$51))+INDIRECT(ADDRESS($B148,Plots!$H$4,,,Plots!$A$52))</f>
        <v>0</v>
      </c>
      <c r="O148" cm="1">
        <f t="array" aca="1" ref="O148" ca="1">INDIRECT(ADDRESS($B148,Plots!$H$4,,,Plots!$A$53))+INDIRECT(ADDRESS($B148,Plots!$H$4,,,Plots!$A$54))+INDIRECT(ADDRESS($B148,Plots!$H$4,,,Plots!$A$55))+INDIRECT(ADDRESS($B148,Plots!$H$4,,,Plots!$A$56))</f>
        <v>0</v>
      </c>
      <c r="P148" cm="1">
        <f t="array" aca="1" ref="P148" ca="1">INDIRECT(ADDRESS($B148,Plots!$H$4,,,Plots!$A$57))+INDIRECT(ADDRESS($B148,Plots!$H$4,,,Plots!$A$58))+INDIRECT(ADDRESS($B148,Plots!$H$4,,,Plots!$A$59))+INDIRECT(ADDRESS($B148,Plots!$H$4,,,Plots!$A$60))+INDIRECT(ADDRESS($B148,Plots!$H$4,,,Plots!$A$61))</f>
        <v>0</v>
      </c>
      <c r="Q148" cm="1">
        <f t="array" aca="1" ref="Q148" ca="1">INDIRECT(ADDRESS($B148,Plots!$H$4,,,Plots!$A$62))+INDIRECT(ADDRESS($B148,Plots!$H$4,,,Plots!$A$63))+INDIRECT(ADDRESS($B148,Plots!$H$4,,,Plots!$A$64))+INDIRECT(ADDRESS($B148,Plots!$H$4,,,Plots!$A$65))+INDIRECT(ADDRESS($B148,Plots!$H$4,,,Plots!$A$66))+INDIRECT(ADDRESS($B148,Plots!$H$4,,,Plots!$A$67))</f>
        <v>0</v>
      </c>
      <c r="R148">
        <f>'AARnetCBR-CamDTN1_tcpmon_ts_81'!J153+'AARnetCBR-CamDTN1_tcpmon_ts_82'!J153+'AARnetCBR-CamDTN1_tcpmon_ts_83'!J153+'AARnetCBR-CamDTN1_tcpmon_ts_84'!J153+'AARnetCBR-CamDTN1_tcpmon_ts_85'!J153+'AARnetCBR-CamDTN1_tcpmon_ts_86'!J153+'AARnetCBR-CamDTN1_tcpmon_ts_87'!J153+'AARnetCBR-CamDTN1_tcpmon_ts_88'!J153</f>
        <v>0</v>
      </c>
    </row>
    <row r="149" spans="1:18">
      <c r="A149" cm="1">
        <f t="array" aca="1" ref="A149" ca="1">INDIRECT(ADDRESS($B149,Plots!$H$6,,,Plots!$A$47))</f>
        <v>292</v>
      </c>
      <c r="B149">
        <f t="shared" si="2"/>
        <v>158</v>
      </c>
      <c r="C149" cm="1">
        <f t="array" aca="1" ref="C149" ca="1">INDIRECT(ADDRESS($B149,Plots!$H$3,,,Plots!$A$47))</f>
        <v>26.05</v>
      </c>
      <c r="D149" cm="1">
        <f t="array" aca="1" ref="D149" ca="1">INDIRECT(ADDRESS($B149,Plots!$H$3,,,Plots!$A$48))+INDIRECT(ADDRESS($B149,Plots!$H$3,,,Plots!$A$49))</f>
        <v>54.26</v>
      </c>
      <c r="E149" cm="1">
        <f t="array" aca="1" ref="E149" ca="1">INDIRECT(ADDRESS($B149,Plots!$H$3,,,Plots!$A$50))+INDIRECT(ADDRESS($B149,Plots!$H$3,,,Plots!$A$51))+INDIRECT(ADDRESS($B149,Plots!$H$3,,,Plots!$A$52))</f>
        <v>60.17</v>
      </c>
      <c r="F149" cm="1">
        <f t="array" aca="1" ref="F149" ca="1">INDIRECT(ADDRESS($B149,Plots!$H$3,,,Plots!$A$53))+INDIRECT(ADDRESS($B149,Plots!$H$3,,,Plots!$A$54))+INDIRECT(ADDRESS($B149,Plots!$H$3,,,Plots!$A$55))+INDIRECT(ADDRESS($B149,Plots!$H$3,,,Plots!$A$56))</f>
        <v>88.949999999999989</v>
      </c>
      <c r="G149" cm="1">
        <f t="array" aca="1" ref="G149" ca="1">INDIRECT(ADDRESS($B149,Plots!$H$3,,,Plots!$A$57))+INDIRECT(ADDRESS($B149,Plots!$H$3,,,Plots!$A$58))+INDIRECT(ADDRESS($B149,Plots!$H$3,,,Plots!$A$59))+INDIRECT(ADDRESS($B149,Plots!$H$3,,,Plots!$A$60))+INDIRECT(ADDRESS($B149,Plots!$H$3,,,Plots!$A$61))</f>
        <v>0</v>
      </c>
      <c r="H149">
        <f>'AARnetCBR-CamDTN1_tcpmon_ts_61'!C103+'AARnetCBR-CamDTN1_tcpmon_ts_62'!C103+'AARnetCBR-CamDTN1_tcpmon_ts_63'!C103+'AARnetCBR-CamDTN1_tcpmon_ts_64'!C103+'AARnetCBR-CamDTN1_tcpmon_ts_65'!C103+'AARnetCBR-CamDTN1_tcpmon_ts_66'!C103</f>
        <v>0</v>
      </c>
      <c r="I149">
        <f>'AARnetCBR-CamDTN1_tcpmon_ts_81'!C103+'AARnetCBR-CamDTN1_tcpmon_ts_82'!C103+'AARnetCBR-CamDTN1_tcpmon_ts_83'!C103+'AARnetCBR-CamDTN1_tcpmon_ts_84'!C103+'AARnetCBR-CamDTN1_tcpmon_ts_85'!C103+'AARnetCBR-CamDTN1_tcpmon_ts_86'!C103+'AARnetCBR-CamDTN1_tcpmon_ts_87'!C103+'AARnetCBR-CamDTN1_tcpmon_ts_88'!C103</f>
        <v>0</v>
      </c>
      <c r="L149" cm="1">
        <f t="array" aca="1" ref="L149" ca="1">INDIRECT(ADDRESS($B149,Plots!$H$4,,,Plots!$A$47))</f>
        <v>0</v>
      </c>
      <c r="M149" cm="1">
        <f t="array" aca="1" ref="M149" ca="1">INDIRECT(ADDRESS($B149,Plots!$H$4,,,Plots!$A$48))+INDIRECT(ADDRESS($B149,Plots!$H$4,,,Plots!$A$49))</f>
        <v>0</v>
      </c>
      <c r="N149" cm="1">
        <f t="array" aca="1" ref="N149" ca="1">INDIRECT(ADDRESS($B149,Plots!$H$4,,,Plots!$A$50))+INDIRECT(ADDRESS($B149,Plots!$H$4,,,Plots!$A$51))+INDIRECT(ADDRESS($B149,Plots!$H$4,,,Plots!$A$52))</f>
        <v>0</v>
      </c>
      <c r="O149" cm="1">
        <f t="array" aca="1" ref="O149" ca="1">INDIRECT(ADDRESS($B149,Plots!$H$4,,,Plots!$A$53))+INDIRECT(ADDRESS($B149,Plots!$H$4,,,Plots!$A$54))+INDIRECT(ADDRESS($B149,Plots!$H$4,,,Plots!$A$55))+INDIRECT(ADDRESS($B149,Plots!$H$4,,,Plots!$A$56))</f>
        <v>0</v>
      </c>
      <c r="P149" cm="1">
        <f t="array" aca="1" ref="P149" ca="1">INDIRECT(ADDRESS($B149,Plots!$H$4,,,Plots!$A$57))+INDIRECT(ADDRESS($B149,Plots!$H$4,,,Plots!$A$58))+INDIRECT(ADDRESS($B149,Plots!$H$4,,,Plots!$A$59))+INDIRECT(ADDRESS($B149,Plots!$H$4,,,Plots!$A$60))+INDIRECT(ADDRESS($B149,Plots!$H$4,,,Plots!$A$61))</f>
        <v>0</v>
      </c>
      <c r="Q149" cm="1">
        <f t="array" aca="1" ref="Q149" ca="1">INDIRECT(ADDRESS($B149,Plots!$H$4,,,Plots!$A$62))+INDIRECT(ADDRESS($B149,Plots!$H$4,,,Plots!$A$63))+INDIRECT(ADDRESS($B149,Plots!$H$4,,,Plots!$A$64))+INDIRECT(ADDRESS($B149,Plots!$H$4,,,Plots!$A$65))+INDIRECT(ADDRESS($B149,Plots!$H$4,,,Plots!$A$66))+INDIRECT(ADDRESS($B149,Plots!$H$4,,,Plots!$A$67))</f>
        <v>0</v>
      </c>
      <c r="R149">
        <f>'AARnetCBR-CamDTN1_tcpmon_ts_81'!J154+'AARnetCBR-CamDTN1_tcpmon_ts_82'!J154+'AARnetCBR-CamDTN1_tcpmon_ts_83'!J154+'AARnetCBR-CamDTN1_tcpmon_ts_84'!J154+'AARnetCBR-CamDTN1_tcpmon_ts_85'!J154+'AARnetCBR-CamDTN1_tcpmon_ts_86'!J154+'AARnetCBR-CamDTN1_tcpmon_ts_87'!J154+'AARnetCBR-CamDTN1_tcpmon_ts_88'!J154</f>
        <v>0</v>
      </c>
    </row>
    <row r="150" spans="1:18">
      <c r="A150" cm="1">
        <f t="array" aca="1" ref="A150" ca="1">INDIRECT(ADDRESS($B150,Plots!$H$6,,,Plots!$A$47))</f>
        <v>294</v>
      </c>
      <c r="B150">
        <f t="shared" si="2"/>
        <v>159</v>
      </c>
      <c r="C150" cm="1">
        <f t="array" aca="1" ref="C150" ca="1">INDIRECT(ADDRESS($B150,Plots!$H$3,,,Plots!$A$47))</f>
        <v>26.27</v>
      </c>
      <c r="D150" cm="1">
        <f t="array" aca="1" ref="D150" ca="1">INDIRECT(ADDRESS($B150,Plots!$H$3,,,Plots!$A$48))+INDIRECT(ADDRESS($B150,Plots!$H$3,,,Plots!$A$49))</f>
        <v>56.040000000000006</v>
      </c>
      <c r="E150" cm="1">
        <f t="array" aca="1" ref="E150" ca="1">INDIRECT(ADDRESS($B150,Plots!$H$3,,,Plots!$A$50))+INDIRECT(ADDRESS($B150,Plots!$H$3,,,Plots!$A$51))+INDIRECT(ADDRESS($B150,Plots!$H$3,,,Plots!$A$52))</f>
        <v>74.320000000000007</v>
      </c>
      <c r="F150" cm="1">
        <f t="array" aca="1" ref="F150" ca="1">INDIRECT(ADDRESS($B150,Plots!$H$3,,,Plots!$A$53))+INDIRECT(ADDRESS($B150,Plots!$H$3,,,Plots!$A$54))+INDIRECT(ADDRESS($B150,Plots!$H$3,,,Plots!$A$55))+INDIRECT(ADDRESS($B150,Plots!$H$3,,,Plots!$A$56))</f>
        <v>86.89</v>
      </c>
      <c r="G150" cm="1">
        <f t="array" aca="1" ref="G150" ca="1">INDIRECT(ADDRESS($B150,Plots!$H$3,,,Plots!$A$57))+INDIRECT(ADDRESS($B150,Plots!$H$3,,,Plots!$A$58))+INDIRECT(ADDRESS($B150,Plots!$H$3,,,Plots!$A$59))+INDIRECT(ADDRESS($B150,Plots!$H$3,,,Plots!$A$60))+INDIRECT(ADDRESS($B150,Plots!$H$3,,,Plots!$A$61))</f>
        <v>0</v>
      </c>
      <c r="H150">
        <f>'AARnetCBR-CamDTN1_tcpmon_ts_61'!C104+'AARnetCBR-CamDTN1_tcpmon_ts_62'!C104+'AARnetCBR-CamDTN1_tcpmon_ts_63'!C104+'AARnetCBR-CamDTN1_tcpmon_ts_64'!C104+'AARnetCBR-CamDTN1_tcpmon_ts_65'!C104+'AARnetCBR-CamDTN1_tcpmon_ts_66'!C104</f>
        <v>0</v>
      </c>
      <c r="I150">
        <f>'AARnetCBR-CamDTN1_tcpmon_ts_81'!C104+'AARnetCBR-CamDTN1_tcpmon_ts_82'!C104+'AARnetCBR-CamDTN1_tcpmon_ts_83'!C104+'AARnetCBR-CamDTN1_tcpmon_ts_84'!C104+'AARnetCBR-CamDTN1_tcpmon_ts_85'!C104+'AARnetCBR-CamDTN1_tcpmon_ts_86'!C104+'AARnetCBR-CamDTN1_tcpmon_ts_87'!C104+'AARnetCBR-CamDTN1_tcpmon_ts_88'!C104</f>
        <v>0</v>
      </c>
      <c r="L150" cm="1">
        <f t="array" aca="1" ref="L150" ca="1">INDIRECT(ADDRESS($B150,Plots!$H$4,,,Plots!$A$47))</f>
        <v>0</v>
      </c>
      <c r="M150" cm="1">
        <f t="array" aca="1" ref="M150" ca="1">INDIRECT(ADDRESS($B150,Plots!$H$4,,,Plots!$A$48))+INDIRECT(ADDRESS($B150,Plots!$H$4,,,Plots!$A$49))</f>
        <v>0</v>
      </c>
      <c r="N150" cm="1">
        <f t="array" aca="1" ref="N150" ca="1">INDIRECT(ADDRESS($B150,Plots!$H$4,,,Plots!$A$50))+INDIRECT(ADDRESS($B150,Plots!$H$4,,,Plots!$A$51))+INDIRECT(ADDRESS($B150,Plots!$H$4,,,Plots!$A$52))</f>
        <v>0</v>
      </c>
      <c r="O150" cm="1">
        <f t="array" aca="1" ref="O150" ca="1">INDIRECT(ADDRESS($B150,Plots!$H$4,,,Plots!$A$53))+INDIRECT(ADDRESS($B150,Plots!$H$4,,,Plots!$A$54))+INDIRECT(ADDRESS($B150,Plots!$H$4,,,Plots!$A$55))+INDIRECT(ADDRESS($B150,Plots!$H$4,,,Plots!$A$56))</f>
        <v>0</v>
      </c>
      <c r="P150" cm="1">
        <f t="array" aca="1" ref="P150" ca="1">INDIRECT(ADDRESS($B150,Plots!$H$4,,,Plots!$A$57))+INDIRECT(ADDRESS($B150,Plots!$H$4,,,Plots!$A$58))+INDIRECT(ADDRESS($B150,Plots!$H$4,,,Plots!$A$59))+INDIRECT(ADDRESS($B150,Plots!$H$4,,,Plots!$A$60))+INDIRECT(ADDRESS($B150,Plots!$H$4,,,Plots!$A$61))</f>
        <v>0</v>
      </c>
      <c r="Q150" cm="1">
        <f t="array" aca="1" ref="Q150" ca="1">INDIRECT(ADDRESS($B150,Plots!$H$4,,,Plots!$A$62))+INDIRECT(ADDRESS($B150,Plots!$H$4,,,Plots!$A$63))+INDIRECT(ADDRESS($B150,Plots!$H$4,,,Plots!$A$64))+INDIRECT(ADDRESS($B150,Plots!$H$4,,,Plots!$A$65))+INDIRECT(ADDRESS($B150,Plots!$H$4,,,Plots!$A$66))+INDIRECT(ADDRESS($B150,Plots!$H$4,,,Plots!$A$67))</f>
        <v>0</v>
      </c>
      <c r="R150">
        <f>'AARnetCBR-CamDTN1_tcpmon_ts_81'!J155+'AARnetCBR-CamDTN1_tcpmon_ts_82'!J155+'AARnetCBR-CamDTN1_tcpmon_ts_83'!J155+'AARnetCBR-CamDTN1_tcpmon_ts_84'!J155+'AARnetCBR-CamDTN1_tcpmon_ts_85'!J155+'AARnetCBR-CamDTN1_tcpmon_ts_86'!J155+'AARnetCBR-CamDTN1_tcpmon_ts_87'!J155+'AARnetCBR-CamDTN1_tcpmon_ts_88'!J155</f>
        <v>0</v>
      </c>
    </row>
    <row r="151" spans="1:18">
      <c r="A151" cm="1">
        <f t="array" aca="1" ref="A151" ca="1">INDIRECT(ADDRESS($B151,Plots!$H$6,,,Plots!$A$47))</f>
        <v>296</v>
      </c>
      <c r="B151">
        <f t="shared" si="2"/>
        <v>160</v>
      </c>
      <c r="C151" cm="1">
        <f t="array" aca="1" ref="C151" ca="1">INDIRECT(ADDRESS($B151,Plots!$H$3,,,Plots!$A$47))</f>
        <v>26</v>
      </c>
      <c r="D151" cm="1">
        <f t="array" aca="1" ref="D151" ca="1">INDIRECT(ADDRESS($B151,Plots!$H$3,,,Plots!$A$48))+INDIRECT(ADDRESS($B151,Plots!$H$3,,,Plots!$A$49))</f>
        <v>59.33</v>
      </c>
      <c r="E151" cm="1">
        <f t="array" aca="1" ref="E151" ca="1">INDIRECT(ADDRESS($B151,Plots!$H$3,,,Plots!$A$50))+INDIRECT(ADDRESS($B151,Plots!$H$3,,,Plots!$A$51))+INDIRECT(ADDRESS($B151,Plots!$H$3,,,Plots!$A$52))</f>
        <v>60.679999999999993</v>
      </c>
      <c r="F151" cm="1">
        <f t="array" aca="1" ref="F151" ca="1">INDIRECT(ADDRESS($B151,Plots!$H$3,,,Plots!$A$53))+INDIRECT(ADDRESS($B151,Plots!$H$3,,,Plots!$A$54))+INDIRECT(ADDRESS($B151,Plots!$H$3,,,Plots!$A$55))+INDIRECT(ADDRESS($B151,Plots!$H$3,,,Plots!$A$56))</f>
        <v>90.27000000000001</v>
      </c>
      <c r="G151" cm="1">
        <f t="array" aca="1" ref="G151" ca="1">INDIRECT(ADDRESS($B151,Plots!$H$3,,,Plots!$A$57))+INDIRECT(ADDRESS($B151,Plots!$H$3,,,Plots!$A$58))+INDIRECT(ADDRESS($B151,Plots!$H$3,,,Plots!$A$59))+INDIRECT(ADDRESS($B151,Plots!$H$3,,,Plots!$A$60))+INDIRECT(ADDRESS($B151,Plots!$H$3,,,Plots!$A$61))</f>
        <v>0</v>
      </c>
      <c r="H151">
        <f>'AARnetCBR-CamDTN1_tcpmon_ts_61'!C105+'AARnetCBR-CamDTN1_tcpmon_ts_62'!C105+'AARnetCBR-CamDTN1_tcpmon_ts_63'!C105+'AARnetCBR-CamDTN1_tcpmon_ts_64'!C105+'AARnetCBR-CamDTN1_tcpmon_ts_65'!C105+'AARnetCBR-CamDTN1_tcpmon_ts_66'!C105</f>
        <v>0</v>
      </c>
      <c r="I151">
        <f>'AARnetCBR-CamDTN1_tcpmon_ts_81'!C105+'AARnetCBR-CamDTN1_tcpmon_ts_82'!C105+'AARnetCBR-CamDTN1_tcpmon_ts_83'!C105+'AARnetCBR-CamDTN1_tcpmon_ts_84'!C105+'AARnetCBR-CamDTN1_tcpmon_ts_85'!C105+'AARnetCBR-CamDTN1_tcpmon_ts_86'!C105+'AARnetCBR-CamDTN1_tcpmon_ts_87'!C105+'AARnetCBR-CamDTN1_tcpmon_ts_88'!C105</f>
        <v>0</v>
      </c>
      <c r="L151" cm="1">
        <f t="array" aca="1" ref="L151" ca="1">INDIRECT(ADDRESS($B151,Plots!$H$4,,,Plots!$A$47))</f>
        <v>0</v>
      </c>
      <c r="M151" cm="1">
        <f t="array" aca="1" ref="M151" ca="1">INDIRECT(ADDRESS($B151,Plots!$H$4,,,Plots!$A$48))+INDIRECT(ADDRESS($B151,Plots!$H$4,,,Plots!$A$49))</f>
        <v>0</v>
      </c>
      <c r="N151" cm="1">
        <f t="array" aca="1" ref="N151" ca="1">INDIRECT(ADDRESS($B151,Plots!$H$4,,,Plots!$A$50))+INDIRECT(ADDRESS($B151,Plots!$H$4,,,Plots!$A$51))+INDIRECT(ADDRESS($B151,Plots!$H$4,,,Plots!$A$52))</f>
        <v>0</v>
      </c>
      <c r="O151" cm="1">
        <f t="array" aca="1" ref="O151" ca="1">INDIRECT(ADDRESS($B151,Plots!$H$4,,,Plots!$A$53))+INDIRECT(ADDRESS($B151,Plots!$H$4,,,Plots!$A$54))+INDIRECT(ADDRESS($B151,Plots!$H$4,,,Plots!$A$55))+INDIRECT(ADDRESS($B151,Plots!$H$4,,,Plots!$A$56))</f>
        <v>0</v>
      </c>
      <c r="P151" cm="1">
        <f t="array" aca="1" ref="P151" ca="1">INDIRECT(ADDRESS($B151,Plots!$H$4,,,Plots!$A$57))+INDIRECT(ADDRESS($B151,Plots!$H$4,,,Plots!$A$58))+INDIRECT(ADDRESS($B151,Plots!$H$4,,,Plots!$A$59))+INDIRECT(ADDRESS($B151,Plots!$H$4,,,Plots!$A$60))+INDIRECT(ADDRESS($B151,Plots!$H$4,,,Plots!$A$61))</f>
        <v>0</v>
      </c>
      <c r="Q151" cm="1">
        <f t="array" aca="1" ref="Q151" ca="1">INDIRECT(ADDRESS($B151,Plots!$H$4,,,Plots!$A$62))+INDIRECT(ADDRESS($B151,Plots!$H$4,,,Plots!$A$63))+INDIRECT(ADDRESS($B151,Plots!$H$4,,,Plots!$A$64))+INDIRECT(ADDRESS($B151,Plots!$H$4,,,Plots!$A$65))+INDIRECT(ADDRESS($B151,Plots!$H$4,,,Plots!$A$66))+INDIRECT(ADDRESS($B151,Plots!$H$4,,,Plots!$A$67))</f>
        <v>0</v>
      </c>
      <c r="R151">
        <f>'AARnetCBR-CamDTN1_tcpmon_ts_81'!J156+'AARnetCBR-CamDTN1_tcpmon_ts_82'!J156+'AARnetCBR-CamDTN1_tcpmon_ts_83'!J156+'AARnetCBR-CamDTN1_tcpmon_ts_84'!J156+'AARnetCBR-CamDTN1_tcpmon_ts_85'!J156+'AARnetCBR-CamDTN1_tcpmon_ts_86'!J156+'AARnetCBR-CamDTN1_tcpmon_ts_87'!J156+'AARnetCBR-CamDTN1_tcpmon_ts_88'!J156</f>
        <v>0</v>
      </c>
    </row>
    <row r="152" spans="1:18">
      <c r="A152" cm="1">
        <f t="array" aca="1" ref="A152" ca="1">INDIRECT(ADDRESS($B152,Plots!$H$6,,,Plots!$A$47))</f>
        <v>298</v>
      </c>
      <c r="B152">
        <f t="shared" si="2"/>
        <v>161</v>
      </c>
      <c r="C152" cm="1">
        <f t="array" aca="1" ref="C152" ca="1">INDIRECT(ADDRESS($B152,Plots!$H$3,,,Plots!$A$47))</f>
        <v>25.9</v>
      </c>
      <c r="D152" cm="1">
        <f t="array" aca="1" ref="D152" ca="1">INDIRECT(ADDRESS($B152,Plots!$H$3,,,Plots!$A$48))+INDIRECT(ADDRESS($B152,Plots!$H$3,,,Plots!$A$49))</f>
        <v>59.349999999999994</v>
      </c>
      <c r="E152" cm="1">
        <f t="array" aca="1" ref="E152" ca="1">INDIRECT(ADDRESS($B152,Plots!$H$3,,,Plots!$A$50))+INDIRECT(ADDRESS($B152,Plots!$H$3,,,Plots!$A$51))+INDIRECT(ADDRESS($B152,Plots!$H$3,,,Plots!$A$52))</f>
        <v>74.290000000000006</v>
      </c>
      <c r="F152" cm="1">
        <f t="array" aca="1" ref="F152" ca="1">INDIRECT(ADDRESS($B152,Plots!$H$3,,,Plots!$A$53))+INDIRECT(ADDRESS($B152,Plots!$H$3,,,Plots!$A$54))+INDIRECT(ADDRESS($B152,Plots!$H$3,,,Plots!$A$55))+INDIRECT(ADDRESS($B152,Plots!$H$3,,,Plots!$A$56))</f>
        <v>90.64</v>
      </c>
      <c r="G152" cm="1">
        <f t="array" aca="1" ref="G152" ca="1">INDIRECT(ADDRESS($B152,Plots!$H$3,,,Plots!$A$57))+INDIRECT(ADDRESS($B152,Plots!$H$3,,,Plots!$A$58))+INDIRECT(ADDRESS($B152,Plots!$H$3,,,Plots!$A$59))+INDIRECT(ADDRESS($B152,Plots!$H$3,,,Plots!$A$60))+INDIRECT(ADDRESS($B152,Plots!$H$3,,,Plots!$A$61))</f>
        <v>0</v>
      </c>
      <c r="H152">
        <f>'AARnetCBR-CamDTN1_tcpmon_ts_61'!C106+'AARnetCBR-CamDTN1_tcpmon_ts_62'!C106+'AARnetCBR-CamDTN1_tcpmon_ts_63'!C106+'AARnetCBR-CamDTN1_tcpmon_ts_64'!C106+'AARnetCBR-CamDTN1_tcpmon_ts_65'!C106+'AARnetCBR-CamDTN1_tcpmon_ts_66'!C106</f>
        <v>0</v>
      </c>
      <c r="I152">
        <f>'AARnetCBR-CamDTN1_tcpmon_ts_81'!C106+'AARnetCBR-CamDTN1_tcpmon_ts_82'!C106+'AARnetCBR-CamDTN1_tcpmon_ts_83'!C106+'AARnetCBR-CamDTN1_tcpmon_ts_84'!C106+'AARnetCBR-CamDTN1_tcpmon_ts_85'!C106+'AARnetCBR-CamDTN1_tcpmon_ts_86'!C106+'AARnetCBR-CamDTN1_tcpmon_ts_87'!C106+'AARnetCBR-CamDTN1_tcpmon_ts_88'!C106</f>
        <v>0</v>
      </c>
      <c r="L152" cm="1">
        <f t="array" aca="1" ref="L152" ca="1">INDIRECT(ADDRESS($B152,Plots!$H$4,,,Plots!$A$47))</f>
        <v>0</v>
      </c>
      <c r="M152" cm="1">
        <f t="array" aca="1" ref="M152" ca="1">INDIRECT(ADDRESS($B152,Plots!$H$4,,,Plots!$A$48))+INDIRECT(ADDRESS($B152,Plots!$H$4,,,Plots!$A$49))</f>
        <v>0</v>
      </c>
      <c r="N152" cm="1">
        <f t="array" aca="1" ref="N152" ca="1">INDIRECT(ADDRESS($B152,Plots!$H$4,,,Plots!$A$50))+INDIRECT(ADDRESS($B152,Plots!$H$4,,,Plots!$A$51))+INDIRECT(ADDRESS($B152,Plots!$H$4,,,Plots!$A$52))</f>
        <v>0</v>
      </c>
      <c r="O152" cm="1">
        <f t="array" aca="1" ref="O152" ca="1">INDIRECT(ADDRESS($B152,Plots!$H$4,,,Plots!$A$53))+INDIRECT(ADDRESS($B152,Plots!$H$4,,,Plots!$A$54))+INDIRECT(ADDRESS($B152,Plots!$H$4,,,Plots!$A$55))+INDIRECT(ADDRESS($B152,Plots!$H$4,,,Plots!$A$56))</f>
        <v>0</v>
      </c>
      <c r="P152" cm="1">
        <f t="array" aca="1" ref="P152" ca="1">INDIRECT(ADDRESS($B152,Plots!$H$4,,,Plots!$A$57))+INDIRECT(ADDRESS($B152,Plots!$H$4,,,Plots!$A$58))+INDIRECT(ADDRESS($B152,Plots!$H$4,,,Plots!$A$59))+INDIRECT(ADDRESS($B152,Plots!$H$4,,,Plots!$A$60))+INDIRECT(ADDRESS($B152,Plots!$H$4,,,Plots!$A$61))</f>
        <v>0</v>
      </c>
      <c r="Q152" cm="1">
        <f t="array" aca="1" ref="Q152" ca="1">INDIRECT(ADDRESS($B152,Plots!$H$4,,,Plots!$A$62))+INDIRECT(ADDRESS($B152,Plots!$H$4,,,Plots!$A$63))+INDIRECT(ADDRESS($B152,Plots!$H$4,,,Plots!$A$64))+INDIRECT(ADDRESS($B152,Plots!$H$4,,,Plots!$A$65))+INDIRECT(ADDRESS($B152,Plots!$H$4,,,Plots!$A$66))+INDIRECT(ADDRESS($B152,Plots!$H$4,,,Plots!$A$67))</f>
        <v>0</v>
      </c>
      <c r="R152">
        <f>'AARnetCBR-CamDTN1_tcpmon_ts_81'!J157+'AARnetCBR-CamDTN1_tcpmon_ts_82'!J157+'AARnetCBR-CamDTN1_tcpmon_ts_83'!J157+'AARnetCBR-CamDTN1_tcpmon_ts_84'!J157+'AARnetCBR-CamDTN1_tcpmon_ts_85'!J157+'AARnetCBR-CamDTN1_tcpmon_ts_86'!J157+'AARnetCBR-CamDTN1_tcpmon_ts_87'!J157+'AARnetCBR-CamDTN1_tcpmon_ts_88'!J157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O68"/>
  <sheetViews>
    <sheetView topLeftCell="F39" workbookViewId="0">
      <selection activeCell="N20" sqref="N20:O67"/>
    </sheetView>
  </sheetViews>
  <sheetFormatPr defaultRowHeight="12.5"/>
  <cols>
    <col min="2" max="2" width="17.453125" customWidth="1"/>
    <col min="5" max="5" width="18.36328125" customWidth="1"/>
    <col min="10" max="10" width="11.81640625" bestFit="1" customWidth="1"/>
  </cols>
  <sheetData>
    <row r="2" spans="2:5">
      <c r="B2" t="s">
        <v>0</v>
      </c>
    </row>
    <row r="3" spans="2:5">
      <c r="B3" s="1" t="s">
        <v>1</v>
      </c>
    </row>
    <row r="4" spans="2:5">
      <c r="B4">
        <v>1446738718</v>
      </c>
      <c r="E4" s="2">
        <f>(((B4/60)/60)/24)+DATE(1970,1,1)</f>
        <v>42313.661087962959</v>
      </c>
    </row>
    <row r="5" spans="2:5">
      <c r="B5">
        <v>1446740983</v>
      </c>
      <c r="D5">
        <f>B5-B4</f>
        <v>2265</v>
      </c>
      <c r="E5" s="2">
        <f>(((B5/60)/60)/24)+DATE(1970,1,1)</f>
        <v>42313.687303240738</v>
      </c>
    </row>
    <row r="9" spans="2:5">
      <c r="B9" s="1" t="s">
        <v>2</v>
      </c>
    </row>
    <row r="10" spans="2:5">
      <c r="B10">
        <v>1357318882</v>
      </c>
      <c r="E10" s="2">
        <f>(((B10/60)/60)/24)+DATE(1970,1,1)</f>
        <v>41278.709282407406</v>
      </c>
    </row>
    <row r="11" spans="2:5">
      <c r="B11">
        <v>1357318901</v>
      </c>
      <c r="D11">
        <f>B11-B10</f>
        <v>19</v>
      </c>
      <c r="E11" s="2">
        <f>(((B11/60)/60)/24)+DATE(1970,1,1)</f>
        <v>41278.709502314814</v>
      </c>
    </row>
    <row r="19" spans="6:15" ht="13" thickBot="1"/>
    <row r="20" spans="6:15" ht="13">
      <c r="F20" s="1" t="s">
        <v>54</v>
      </c>
      <c r="G20">
        <v>10000</v>
      </c>
      <c r="H20" s="6" t="s">
        <v>55</v>
      </c>
      <c r="I20" s="6" t="s">
        <v>57</v>
      </c>
      <c r="K20" s="6" t="s">
        <v>55</v>
      </c>
      <c r="L20" s="6" t="s">
        <v>57</v>
      </c>
      <c r="N20" s="6" t="s">
        <v>55</v>
      </c>
      <c r="O20" s="6" t="s">
        <v>57</v>
      </c>
    </row>
    <row r="21" spans="6:15">
      <c r="H21">
        <v>0</v>
      </c>
      <c r="I21">
        <v>0</v>
      </c>
      <c r="K21">
        <v>38000000</v>
      </c>
      <c r="L21">
        <v>1</v>
      </c>
      <c r="N21">
        <v>39100000</v>
      </c>
      <c r="O21">
        <v>3</v>
      </c>
    </row>
    <row r="22" spans="6:15">
      <c r="G22">
        <v>39100000</v>
      </c>
      <c r="H22">
        <v>1000000</v>
      </c>
      <c r="I22">
        <v>0</v>
      </c>
      <c r="K22">
        <v>38100000</v>
      </c>
      <c r="L22">
        <v>0</v>
      </c>
      <c r="N22">
        <v>39110000</v>
      </c>
      <c r="O22">
        <v>0</v>
      </c>
    </row>
    <row r="23" spans="6:15">
      <c r="G23">
        <f t="shared" ref="G23:G67" si="0">G22+$G$20</f>
        <v>39110000</v>
      </c>
      <c r="H23">
        <v>2000000</v>
      </c>
      <c r="I23">
        <v>0</v>
      </c>
      <c r="K23">
        <v>38200000</v>
      </c>
      <c r="L23">
        <v>0</v>
      </c>
      <c r="N23">
        <v>39120000</v>
      </c>
      <c r="O23">
        <v>0</v>
      </c>
    </row>
    <row r="24" spans="6:15">
      <c r="G24">
        <f t="shared" si="0"/>
        <v>39120000</v>
      </c>
      <c r="H24">
        <v>3000000</v>
      </c>
      <c r="I24">
        <v>0</v>
      </c>
      <c r="K24">
        <v>38300000</v>
      </c>
      <c r="L24">
        <v>0</v>
      </c>
      <c r="N24">
        <v>39130000</v>
      </c>
      <c r="O24">
        <v>0</v>
      </c>
    </row>
    <row r="25" spans="6:15">
      <c r="G25">
        <f t="shared" si="0"/>
        <v>39130000</v>
      </c>
      <c r="H25">
        <v>4000000</v>
      </c>
      <c r="I25">
        <v>0</v>
      </c>
      <c r="K25">
        <v>38400000</v>
      </c>
      <c r="L25">
        <v>0</v>
      </c>
      <c r="N25">
        <v>39140000</v>
      </c>
      <c r="O25">
        <v>0</v>
      </c>
    </row>
    <row r="26" spans="6:15">
      <c r="G26">
        <f t="shared" si="0"/>
        <v>39140000</v>
      </c>
      <c r="H26">
        <v>5000000</v>
      </c>
      <c r="I26">
        <v>0</v>
      </c>
      <c r="K26">
        <v>38500000</v>
      </c>
      <c r="L26">
        <v>0</v>
      </c>
      <c r="N26">
        <v>39150000</v>
      </c>
      <c r="O26">
        <v>0</v>
      </c>
    </row>
    <row r="27" spans="6:15">
      <c r="G27">
        <f t="shared" si="0"/>
        <v>39150000</v>
      </c>
      <c r="H27">
        <v>6000000</v>
      </c>
      <c r="I27">
        <v>0</v>
      </c>
      <c r="K27">
        <v>38600000</v>
      </c>
      <c r="L27">
        <v>0</v>
      </c>
      <c r="N27">
        <v>39160000</v>
      </c>
      <c r="O27">
        <v>0</v>
      </c>
    </row>
    <row r="28" spans="6:15">
      <c r="G28">
        <f t="shared" si="0"/>
        <v>39160000</v>
      </c>
      <c r="H28">
        <v>7000000</v>
      </c>
      <c r="I28">
        <v>0</v>
      </c>
      <c r="K28">
        <v>38700000</v>
      </c>
      <c r="L28">
        <v>0</v>
      </c>
      <c r="N28">
        <v>39170000</v>
      </c>
      <c r="O28">
        <v>0</v>
      </c>
    </row>
    <row r="29" spans="6:15">
      <c r="G29">
        <f t="shared" si="0"/>
        <v>39170000</v>
      </c>
      <c r="H29">
        <v>8000000</v>
      </c>
      <c r="I29">
        <v>1</v>
      </c>
      <c r="K29">
        <v>38800000</v>
      </c>
      <c r="L29">
        <v>0</v>
      </c>
      <c r="N29">
        <v>39180000</v>
      </c>
      <c r="O29">
        <v>0</v>
      </c>
    </row>
    <row r="30" spans="6:15">
      <c r="G30">
        <f t="shared" si="0"/>
        <v>39180000</v>
      </c>
      <c r="H30">
        <v>9000000</v>
      </c>
      <c r="I30">
        <v>0</v>
      </c>
      <c r="K30">
        <v>38900000</v>
      </c>
      <c r="L30">
        <v>0</v>
      </c>
      <c r="N30">
        <v>39190000</v>
      </c>
      <c r="O30">
        <v>0</v>
      </c>
    </row>
    <row r="31" spans="6:15">
      <c r="G31">
        <f t="shared" si="0"/>
        <v>39190000</v>
      </c>
      <c r="H31">
        <v>10000000</v>
      </c>
      <c r="I31">
        <v>0</v>
      </c>
      <c r="K31">
        <v>39000000</v>
      </c>
      <c r="L31">
        <v>0</v>
      </c>
      <c r="N31">
        <v>39200000</v>
      </c>
      <c r="O31">
        <v>0</v>
      </c>
    </row>
    <row r="32" spans="6:15">
      <c r="G32">
        <f t="shared" si="0"/>
        <v>39200000</v>
      </c>
      <c r="H32">
        <v>11000000</v>
      </c>
      <c r="I32">
        <v>0</v>
      </c>
      <c r="K32">
        <v>39100000</v>
      </c>
      <c r="L32">
        <v>2</v>
      </c>
      <c r="N32">
        <v>39210000</v>
      </c>
      <c r="O32">
        <v>0</v>
      </c>
    </row>
    <row r="33" spans="7:15">
      <c r="G33">
        <f t="shared" si="0"/>
        <v>39210000</v>
      </c>
      <c r="H33">
        <v>12000000</v>
      </c>
      <c r="I33">
        <v>0</v>
      </c>
      <c r="K33">
        <v>39200000</v>
      </c>
      <c r="L33">
        <v>0</v>
      </c>
      <c r="N33">
        <v>39220000</v>
      </c>
      <c r="O33">
        <v>0</v>
      </c>
    </row>
    <row r="34" spans="7:15">
      <c r="G34">
        <f t="shared" si="0"/>
        <v>39220000</v>
      </c>
      <c r="H34">
        <v>13000000</v>
      </c>
      <c r="I34">
        <v>0</v>
      </c>
      <c r="K34">
        <v>39300000</v>
      </c>
      <c r="L34">
        <v>0</v>
      </c>
      <c r="N34">
        <v>39230000</v>
      </c>
      <c r="O34">
        <v>0</v>
      </c>
    </row>
    <row r="35" spans="7:15">
      <c r="G35">
        <f t="shared" si="0"/>
        <v>39230000</v>
      </c>
      <c r="H35">
        <v>14000000</v>
      </c>
      <c r="I35">
        <v>0</v>
      </c>
      <c r="K35">
        <v>39400000</v>
      </c>
      <c r="L35">
        <v>93</v>
      </c>
      <c r="N35">
        <v>39240000</v>
      </c>
      <c r="O35">
        <v>0</v>
      </c>
    </row>
    <row r="36" spans="7:15">
      <c r="G36">
        <f t="shared" si="0"/>
        <v>39240000</v>
      </c>
      <c r="H36">
        <v>15000000</v>
      </c>
      <c r="I36">
        <v>0</v>
      </c>
      <c r="K36">
        <v>39500000</v>
      </c>
      <c r="L36">
        <v>2</v>
      </c>
      <c r="N36">
        <v>39250000</v>
      </c>
      <c r="O36">
        <v>0</v>
      </c>
    </row>
    <row r="37" spans="7:15">
      <c r="G37">
        <f t="shared" si="0"/>
        <v>39250000</v>
      </c>
      <c r="H37">
        <v>16000000</v>
      </c>
      <c r="I37">
        <v>0</v>
      </c>
      <c r="K37">
        <v>39600000</v>
      </c>
      <c r="L37">
        <v>1</v>
      </c>
      <c r="N37">
        <v>39260000</v>
      </c>
      <c r="O37">
        <v>0</v>
      </c>
    </row>
    <row r="38" spans="7:15">
      <c r="G38">
        <f t="shared" si="0"/>
        <v>39260000</v>
      </c>
      <c r="H38">
        <v>17000000</v>
      </c>
      <c r="I38">
        <v>0</v>
      </c>
      <c r="K38">
        <v>39700000</v>
      </c>
      <c r="L38">
        <v>0</v>
      </c>
      <c r="N38">
        <v>39270000</v>
      </c>
      <c r="O38">
        <v>0</v>
      </c>
    </row>
    <row r="39" spans="7:15">
      <c r="G39">
        <f t="shared" si="0"/>
        <v>39270000</v>
      </c>
      <c r="H39">
        <v>18000000</v>
      </c>
      <c r="I39">
        <v>0</v>
      </c>
      <c r="K39">
        <v>39800000</v>
      </c>
      <c r="L39">
        <v>0</v>
      </c>
      <c r="N39">
        <v>39280000</v>
      </c>
      <c r="O39">
        <v>0</v>
      </c>
    </row>
    <row r="40" spans="7:15">
      <c r="G40">
        <f t="shared" si="0"/>
        <v>39280000</v>
      </c>
      <c r="H40">
        <v>19000000</v>
      </c>
      <c r="I40">
        <v>0</v>
      </c>
      <c r="K40">
        <v>39900000</v>
      </c>
      <c r="L40">
        <v>0</v>
      </c>
      <c r="N40">
        <v>39290000</v>
      </c>
      <c r="O40">
        <v>0</v>
      </c>
    </row>
    <row r="41" spans="7:15">
      <c r="G41">
        <f t="shared" si="0"/>
        <v>39290000</v>
      </c>
      <c r="H41">
        <v>20000000</v>
      </c>
      <c r="I41">
        <v>0</v>
      </c>
      <c r="K41">
        <v>40000000</v>
      </c>
      <c r="L41">
        <v>0</v>
      </c>
      <c r="N41">
        <v>39300000</v>
      </c>
      <c r="O41">
        <v>0</v>
      </c>
    </row>
    <row r="42" spans="7:15">
      <c r="G42">
        <f t="shared" si="0"/>
        <v>39300000</v>
      </c>
      <c r="H42">
        <v>21000000</v>
      </c>
      <c r="I42">
        <v>0</v>
      </c>
      <c r="K42">
        <v>40100000</v>
      </c>
      <c r="L42">
        <v>0</v>
      </c>
      <c r="N42">
        <v>39310000</v>
      </c>
      <c r="O42">
        <v>32</v>
      </c>
    </row>
    <row r="43" spans="7:15">
      <c r="G43">
        <f t="shared" si="0"/>
        <v>39310000</v>
      </c>
      <c r="H43">
        <v>22000000</v>
      </c>
      <c r="I43">
        <v>0</v>
      </c>
      <c r="K43">
        <v>40200000</v>
      </c>
      <c r="L43">
        <v>0</v>
      </c>
      <c r="N43">
        <v>39320000</v>
      </c>
      <c r="O43">
        <v>59</v>
      </c>
    </row>
    <row r="44" spans="7:15">
      <c r="G44">
        <f t="shared" si="0"/>
        <v>39320000</v>
      </c>
      <c r="H44">
        <v>23000000</v>
      </c>
      <c r="I44">
        <v>0</v>
      </c>
      <c r="K44">
        <v>40300000</v>
      </c>
      <c r="L44">
        <v>0</v>
      </c>
      <c r="N44">
        <v>39330000</v>
      </c>
      <c r="O44">
        <v>2</v>
      </c>
    </row>
    <row r="45" spans="7:15">
      <c r="G45">
        <f t="shared" si="0"/>
        <v>39330000</v>
      </c>
      <c r="H45">
        <v>24000000</v>
      </c>
      <c r="I45">
        <v>0</v>
      </c>
      <c r="K45">
        <v>40400000</v>
      </c>
      <c r="L45">
        <v>0</v>
      </c>
      <c r="N45">
        <v>39340000</v>
      </c>
      <c r="O45">
        <v>0</v>
      </c>
    </row>
    <row r="46" spans="7:15">
      <c r="G46">
        <f t="shared" si="0"/>
        <v>39340000</v>
      </c>
      <c r="H46">
        <v>25000000</v>
      </c>
      <c r="I46">
        <v>0</v>
      </c>
      <c r="K46">
        <v>40500000</v>
      </c>
      <c r="L46">
        <v>0</v>
      </c>
      <c r="N46">
        <v>39350000</v>
      </c>
      <c r="O46">
        <v>0</v>
      </c>
    </row>
    <row r="47" spans="7:15">
      <c r="G47">
        <f t="shared" si="0"/>
        <v>39350000</v>
      </c>
      <c r="H47">
        <v>26000000</v>
      </c>
      <c r="I47">
        <v>0</v>
      </c>
      <c r="K47">
        <v>40600000</v>
      </c>
      <c r="L47">
        <v>0</v>
      </c>
      <c r="N47">
        <v>39360000</v>
      </c>
      <c r="O47">
        <v>0</v>
      </c>
    </row>
    <row r="48" spans="7:15">
      <c r="G48">
        <f t="shared" si="0"/>
        <v>39360000</v>
      </c>
      <c r="H48">
        <v>27000000</v>
      </c>
      <c r="I48">
        <v>0</v>
      </c>
      <c r="K48">
        <v>40700000</v>
      </c>
      <c r="L48">
        <v>0</v>
      </c>
      <c r="N48">
        <v>39370000</v>
      </c>
      <c r="O48">
        <v>0</v>
      </c>
    </row>
    <row r="49" spans="7:15">
      <c r="G49">
        <f t="shared" si="0"/>
        <v>39370000</v>
      </c>
      <c r="H49">
        <v>28000000</v>
      </c>
      <c r="I49">
        <v>0</v>
      </c>
      <c r="K49">
        <v>40800000</v>
      </c>
      <c r="L49">
        <v>0</v>
      </c>
      <c r="N49">
        <v>39380000</v>
      </c>
      <c r="O49">
        <v>0</v>
      </c>
    </row>
    <row r="50" spans="7:15">
      <c r="G50">
        <f t="shared" si="0"/>
        <v>39380000</v>
      </c>
      <c r="H50">
        <v>29000000</v>
      </c>
      <c r="I50">
        <v>0</v>
      </c>
      <c r="K50">
        <v>40900000</v>
      </c>
      <c r="L50">
        <v>0</v>
      </c>
      <c r="N50">
        <v>39390000</v>
      </c>
      <c r="O50">
        <v>0</v>
      </c>
    </row>
    <row r="51" spans="7:15">
      <c r="G51">
        <f t="shared" si="0"/>
        <v>39390000</v>
      </c>
      <c r="H51">
        <v>30000000</v>
      </c>
      <c r="I51">
        <v>0</v>
      </c>
      <c r="K51">
        <v>41000000</v>
      </c>
      <c r="L51">
        <v>0</v>
      </c>
      <c r="N51">
        <v>39400000</v>
      </c>
      <c r="O51">
        <v>0</v>
      </c>
    </row>
    <row r="52" spans="7:15">
      <c r="G52">
        <f t="shared" si="0"/>
        <v>39400000</v>
      </c>
      <c r="H52">
        <v>31000000</v>
      </c>
      <c r="I52">
        <v>0</v>
      </c>
      <c r="K52">
        <v>41100000</v>
      </c>
      <c r="L52">
        <v>0</v>
      </c>
      <c r="N52">
        <v>39410000</v>
      </c>
      <c r="O52">
        <v>0</v>
      </c>
    </row>
    <row r="53" spans="7:15">
      <c r="G53">
        <f t="shared" si="0"/>
        <v>39410000</v>
      </c>
      <c r="H53">
        <v>32000000</v>
      </c>
      <c r="I53">
        <v>0</v>
      </c>
      <c r="K53">
        <v>41200000</v>
      </c>
      <c r="L53">
        <v>0</v>
      </c>
      <c r="N53">
        <v>39420000</v>
      </c>
      <c r="O53">
        <v>0</v>
      </c>
    </row>
    <row r="54" spans="7:15">
      <c r="G54">
        <f t="shared" si="0"/>
        <v>39420000</v>
      </c>
      <c r="H54">
        <v>33000000</v>
      </c>
      <c r="I54">
        <v>0</v>
      </c>
      <c r="K54">
        <v>41300000</v>
      </c>
      <c r="L54">
        <v>0</v>
      </c>
      <c r="N54">
        <v>39430000</v>
      </c>
      <c r="O54">
        <v>0</v>
      </c>
    </row>
    <row r="55" spans="7:15">
      <c r="G55">
        <f t="shared" si="0"/>
        <v>39430000</v>
      </c>
      <c r="H55">
        <v>34000000</v>
      </c>
      <c r="I55">
        <v>0</v>
      </c>
      <c r="K55">
        <v>41400000</v>
      </c>
      <c r="L55">
        <v>0</v>
      </c>
      <c r="N55">
        <v>39440000</v>
      </c>
      <c r="O55">
        <v>0</v>
      </c>
    </row>
    <row r="56" spans="7:15">
      <c r="G56">
        <f t="shared" si="0"/>
        <v>39440000</v>
      </c>
      <c r="H56">
        <v>35000000</v>
      </c>
      <c r="I56">
        <v>0</v>
      </c>
      <c r="K56">
        <v>41500000</v>
      </c>
      <c r="L56">
        <v>0</v>
      </c>
      <c r="N56">
        <v>39450000</v>
      </c>
      <c r="O56">
        <v>1</v>
      </c>
    </row>
    <row r="57" spans="7:15">
      <c r="G57">
        <f t="shared" si="0"/>
        <v>39450000</v>
      </c>
      <c r="H57">
        <v>36000000</v>
      </c>
      <c r="I57">
        <v>0</v>
      </c>
      <c r="K57">
        <v>41600000</v>
      </c>
      <c r="L57">
        <v>0</v>
      </c>
      <c r="N57">
        <v>39460000</v>
      </c>
      <c r="O57">
        <v>1</v>
      </c>
    </row>
    <row r="58" spans="7:15">
      <c r="G58">
        <f t="shared" si="0"/>
        <v>39460000</v>
      </c>
      <c r="H58">
        <v>37000000</v>
      </c>
      <c r="I58">
        <v>0</v>
      </c>
      <c r="K58">
        <v>41700000</v>
      </c>
      <c r="L58">
        <v>0</v>
      </c>
      <c r="N58">
        <v>39470000</v>
      </c>
      <c r="O58">
        <v>0</v>
      </c>
    </row>
    <row r="59" spans="7:15">
      <c r="G59">
        <f t="shared" si="0"/>
        <v>39470000</v>
      </c>
      <c r="H59">
        <v>38000000</v>
      </c>
      <c r="I59">
        <v>0</v>
      </c>
      <c r="K59">
        <v>41800000</v>
      </c>
      <c r="L59">
        <v>0</v>
      </c>
      <c r="N59">
        <v>39480000</v>
      </c>
      <c r="O59">
        <v>0</v>
      </c>
    </row>
    <row r="60" spans="7:15">
      <c r="G60">
        <f t="shared" si="0"/>
        <v>39480000</v>
      </c>
      <c r="H60">
        <v>39000000</v>
      </c>
      <c r="I60">
        <v>0</v>
      </c>
      <c r="K60">
        <v>41900000</v>
      </c>
      <c r="L60">
        <v>0</v>
      </c>
      <c r="N60">
        <v>39490000</v>
      </c>
      <c r="O60">
        <v>0</v>
      </c>
    </row>
    <row r="61" spans="7:15">
      <c r="G61">
        <f t="shared" si="0"/>
        <v>39490000</v>
      </c>
      <c r="H61">
        <v>40000000</v>
      </c>
      <c r="I61">
        <v>98</v>
      </c>
      <c r="K61">
        <v>42000000</v>
      </c>
      <c r="L61">
        <v>0</v>
      </c>
      <c r="N61">
        <v>39500000</v>
      </c>
      <c r="O61">
        <v>0</v>
      </c>
    </row>
    <row r="62" spans="7:15">
      <c r="G62">
        <f t="shared" si="0"/>
        <v>39500000</v>
      </c>
      <c r="H62">
        <v>41000000</v>
      </c>
      <c r="I62">
        <v>0</v>
      </c>
      <c r="K62">
        <v>42100000</v>
      </c>
      <c r="L62">
        <v>0</v>
      </c>
      <c r="N62">
        <v>39510000</v>
      </c>
      <c r="O62">
        <v>0</v>
      </c>
    </row>
    <row r="63" spans="7:15">
      <c r="G63">
        <f t="shared" si="0"/>
        <v>39510000</v>
      </c>
      <c r="H63">
        <v>42000000</v>
      </c>
      <c r="I63">
        <v>0</v>
      </c>
      <c r="K63">
        <v>42200000</v>
      </c>
      <c r="L63">
        <v>0</v>
      </c>
      <c r="N63">
        <v>39520000</v>
      </c>
      <c r="O63">
        <v>1</v>
      </c>
    </row>
    <row r="64" spans="7:15">
      <c r="G64">
        <f t="shared" si="0"/>
        <v>39520000</v>
      </c>
      <c r="H64">
        <v>43000000</v>
      </c>
      <c r="I64">
        <v>0</v>
      </c>
      <c r="K64">
        <v>42300000</v>
      </c>
      <c r="L64">
        <v>0</v>
      </c>
      <c r="N64">
        <v>39530000</v>
      </c>
      <c r="O64">
        <v>0</v>
      </c>
    </row>
    <row r="65" spans="7:15">
      <c r="G65">
        <f t="shared" si="0"/>
        <v>39530000</v>
      </c>
      <c r="H65">
        <v>44000000</v>
      </c>
      <c r="I65">
        <v>0</v>
      </c>
      <c r="K65">
        <v>42400000</v>
      </c>
      <c r="L65">
        <v>0</v>
      </c>
      <c r="N65">
        <v>39540000</v>
      </c>
      <c r="O65">
        <v>0</v>
      </c>
    </row>
    <row r="66" spans="7:15">
      <c r="G66">
        <f t="shared" si="0"/>
        <v>39540000</v>
      </c>
      <c r="I66">
        <v>1</v>
      </c>
      <c r="L66">
        <v>1</v>
      </c>
      <c r="O66">
        <v>1</v>
      </c>
    </row>
    <row r="67" spans="7:15" ht="13" thickBot="1">
      <c r="G67">
        <f t="shared" si="0"/>
        <v>39550000</v>
      </c>
      <c r="H67" s="5" t="s">
        <v>56</v>
      </c>
      <c r="I67" s="5" t="e">
        <v>#N/A</v>
      </c>
      <c r="K67" s="5" t="s">
        <v>56</v>
      </c>
      <c r="L67" s="5" t="e">
        <v>#N/A</v>
      </c>
      <c r="N67" s="5" t="s">
        <v>56</v>
      </c>
      <c r="O67" s="5" t="e">
        <v>#N/A</v>
      </c>
    </row>
    <row r="68" spans="7:15" ht="13" thickBot="1">
      <c r="H68" s="5" t="s">
        <v>56</v>
      </c>
      <c r="I68" s="5">
        <v>100</v>
      </c>
    </row>
  </sheetData>
  <sortState xmlns:xlrd2="http://schemas.microsoft.com/office/spreadsheetml/2017/richdata2" ref="N21:N66">
    <sortCondition ref="N2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EZ228"/>
  <sheetViews>
    <sheetView topLeftCell="A13" zoomScaleNormal="100" workbookViewId="0"/>
  </sheetViews>
  <sheetFormatPr defaultRowHeight="12.5"/>
  <cols>
    <col min="6" max="6" width="10.81640625" bestFit="1" customWidth="1"/>
    <col min="9" max="9" width="8.7265625" customWidth="1"/>
  </cols>
  <sheetData>
    <row r="1" spans="1:7">
      <c r="A1" t="s">
        <v>84</v>
      </c>
      <c r="B1">
        <v>9</v>
      </c>
      <c r="C1" t="s">
        <v>85</v>
      </c>
      <c r="D1" t="s">
        <v>83</v>
      </c>
      <c r="E1" t="s">
        <v>86</v>
      </c>
    </row>
    <row r="2" spans="1:7">
      <c r="A2" t="s">
        <v>79</v>
      </c>
      <c r="B2" t="s">
        <v>87</v>
      </c>
      <c r="C2">
        <v>1</v>
      </c>
    </row>
    <row r="3" spans="1:7">
      <c r="A3" t="s">
        <v>80</v>
      </c>
    </row>
    <row r="4" spans="1:7">
      <c r="A4" t="s">
        <v>88</v>
      </c>
    </row>
    <row r="5" spans="1:7">
      <c r="A5" t="s">
        <v>81</v>
      </c>
      <c r="B5" t="s">
        <v>89</v>
      </c>
      <c r="C5" t="s">
        <v>58</v>
      </c>
      <c r="D5" t="s">
        <v>90</v>
      </c>
    </row>
    <row r="6" spans="1:7">
      <c r="A6" t="s">
        <v>91</v>
      </c>
    </row>
    <row r="7" spans="1:7">
      <c r="A7" t="s">
        <v>82</v>
      </c>
      <c r="B7" t="s">
        <v>92</v>
      </c>
    </row>
    <row r="8" spans="1:7">
      <c r="A8" t="s">
        <v>93</v>
      </c>
      <c r="B8" t="s">
        <v>94</v>
      </c>
    </row>
    <row r="9" spans="1:7">
      <c r="A9" t="s">
        <v>95</v>
      </c>
      <c r="B9" t="s">
        <v>96</v>
      </c>
      <c r="C9" t="s">
        <v>97</v>
      </c>
    </row>
    <row r="10" spans="1:7">
      <c r="A10" t="s">
        <v>98</v>
      </c>
    </row>
    <row r="11" spans="1:7">
      <c r="A11" t="s">
        <v>99</v>
      </c>
    </row>
    <row r="12" spans="1:7">
      <c r="A12" t="s">
        <v>100</v>
      </c>
      <c r="B12" t="s">
        <v>101</v>
      </c>
      <c r="C12" t="s">
        <v>102</v>
      </c>
      <c r="D12" t="s">
        <v>103</v>
      </c>
      <c r="E12" t="s">
        <v>104</v>
      </c>
      <c r="F12" t="s">
        <v>105</v>
      </c>
      <c r="G12" t="s">
        <v>106</v>
      </c>
    </row>
    <row r="13" spans="1:7">
      <c r="A13">
        <v>2</v>
      </c>
      <c r="B13">
        <v>3738440</v>
      </c>
      <c r="C13">
        <v>0.01</v>
      </c>
      <c r="D13">
        <v>0</v>
      </c>
      <c r="E13">
        <v>0.49</v>
      </c>
      <c r="F13">
        <v>108</v>
      </c>
      <c r="G13">
        <v>280</v>
      </c>
    </row>
    <row r="14" spans="1:7">
      <c r="A14">
        <v>4</v>
      </c>
      <c r="B14">
        <v>4722240</v>
      </c>
      <c r="C14">
        <v>0.02</v>
      </c>
      <c r="D14">
        <v>0</v>
      </c>
      <c r="E14">
        <v>0.71</v>
      </c>
      <c r="F14">
        <v>318</v>
      </c>
      <c r="G14">
        <v>794</v>
      </c>
    </row>
    <row r="15" spans="1:7">
      <c r="A15">
        <v>6</v>
      </c>
      <c r="B15">
        <v>6984980</v>
      </c>
      <c r="C15">
        <v>0.03</v>
      </c>
      <c r="D15">
        <v>0</v>
      </c>
      <c r="E15">
        <v>1.03</v>
      </c>
      <c r="F15">
        <v>626</v>
      </c>
      <c r="G15">
        <v>1546</v>
      </c>
    </row>
    <row r="16" spans="1:7">
      <c r="A16">
        <v>8</v>
      </c>
      <c r="B16">
        <v>12494260</v>
      </c>
      <c r="C16">
        <v>0.05</v>
      </c>
      <c r="D16">
        <v>0</v>
      </c>
      <c r="E16">
        <v>1.62</v>
      </c>
      <c r="F16">
        <v>1089</v>
      </c>
      <c r="G16">
        <v>2671</v>
      </c>
    </row>
    <row r="17" spans="1:7">
      <c r="A17">
        <v>10</v>
      </c>
      <c r="B17">
        <v>19971140</v>
      </c>
      <c r="C17">
        <v>0.08</v>
      </c>
      <c r="D17">
        <v>0</v>
      </c>
      <c r="E17">
        <v>2.99</v>
      </c>
      <c r="F17">
        <v>1903</v>
      </c>
      <c r="G17">
        <v>4686</v>
      </c>
    </row>
    <row r="18" spans="1:7">
      <c r="A18">
        <v>12</v>
      </c>
      <c r="B18">
        <v>36695740</v>
      </c>
      <c r="C18">
        <v>0.15</v>
      </c>
      <c r="D18">
        <v>0</v>
      </c>
      <c r="E18">
        <v>5.14</v>
      </c>
      <c r="F18">
        <v>3364</v>
      </c>
      <c r="G18">
        <v>8265</v>
      </c>
    </row>
    <row r="19" spans="1:7">
      <c r="A19">
        <v>14</v>
      </c>
      <c r="B19">
        <v>60503700</v>
      </c>
      <c r="C19">
        <v>0.24</v>
      </c>
      <c r="D19">
        <v>0</v>
      </c>
      <c r="E19">
        <v>8.2200000000000006</v>
      </c>
      <c r="F19">
        <v>5322</v>
      </c>
      <c r="G19">
        <v>14143</v>
      </c>
    </row>
    <row r="20" spans="1:7">
      <c r="A20">
        <v>16</v>
      </c>
      <c r="B20">
        <v>93067480</v>
      </c>
      <c r="C20">
        <v>0.37</v>
      </c>
      <c r="D20">
        <v>0</v>
      </c>
      <c r="E20">
        <v>12.43</v>
      </c>
      <c r="F20">
        <v>7802</v>
      </c>
      <c r="G20">
        <v>23248</v>
      </c>
    </row>
    <row r="21" spans="1:7">
      <c r="A21">
        <v>18</v>
      </c>
      <c r="B21">
        <v>136551440</v>
      </c>
      <c r="C21">
        <v>0.55000000000000004</v>
      </c>
      <c r="D21">
        <v>0</v>
      </c>
      <c r="E21">
        <v>18.16</v>
      </c>
      <c r="F21">
        <v>10112</v>
      </c>
      <c r="G21">
        <v>36658</v>
      </c>
    </row>
    <row r="22" spans="1:7">
      <c r="A22">
        <v>20</v>
      </c>
      <c r="B22">
        <v>188496080</v>
      </c>
      <c r="C22">
        <v>0.75</v>
      </c>
      <c r="D22">
        <v>0</v>
      </c>
      <c r="E22">
        <v>26.5</v>
      </c>
      <c r="F22">
        <v>13208</v>
      </c>
      <c r="G22">
        <v>56237</v>
      </c>
    </row>
    <row r="23" spans="1:7">
      <c r="A23">
        <v>22</v>
      </c>
      <c r="B23">
        <v>253033360</v>
      </c>
      <c r="C23">
        <v>1.01</v>
      </c>
      <c r="D23">
        <v>0</v>
      </c>
      <c r="E23">
        <v>38.67</v>
      </c>
      <c r="F23">
        <v>17751</v>
      </c>
      <c r="G23">
        <v>84811</v>
      </c>
    </row>
    <row r="24" spans="1:7">
      <c r="A24">
        <v>24</v>
      </c>
      <c r="B24">
        <v>409555940</v>
      </c>
      <c r="C24">
        <v>1.64</v>
      </c>
      <c r="D24">
        <v>0</v>
      </c>
      <c r="E24">
        <v>56.5</v>
      </c>
      <c r="F24">
        <v>24816</v>
      </c>
      <c r="G24">
        <v>126657</v>
      </c>
    </row>
    <row r="25" spans="1:7">
      <c r="A25">
        <v>26</v>
      </c>
      <c r="B25">
        <v>597068220</v>
      </c>
      <c r="C25">
        <v>2.39</v>
      </c>
      <c r="D25">
        <v>0</v>
      </c>
      <c r="E25">
        <v>82.54</v>
      </c>
      <c r="F25">
        <v>35582</v>
      </c>
      <c r="G25">
        <v>187767</v>
      </c>
    </row>
    <row r="26" spans="1:7">
      <c r="A26">
        <v>28</v>
      </c>
      <c r="B26">
        <v>881583180</v>
      </c>
      <c r="C26">
        <v>3.53</v>
      </c>
      <c r="D26">
        <v>0</v>
      </c>
      <c r="E26">
        <v>120.51</v>
      </c>
      <c r="F26">
        <v>51065</v>
      </c>
      <c r="G26">
        <v>276870</v>
      </c>
    </row>
    <row r="27" spans="1:7">
      <c r="A27">
        <v>30</v>
      </c>
      <c r="B27">
        <v>1393159180</v>
      </c>
      <c r="C27">
        <v>5.57</v>
      </c>
      <c r="D27">
        <v>0</v>
      </c>
      <c r="E27">
        <v>175.99</v>
      </c>
      <c r="F27">
        <v>72910</v>
      </c>
      <c r="G27">
        <v>407070</v>
      </c>
    </row>
    <row r="28" spans="1:7">
      <c r="A28">
        <v>32</v>
      </c>
      <c r="B28">
        <v>1650521260</v>
      </c>
      <c r="C28">
        <v>6.6</v>
      </c>
      <c r="D28">
        <v>0</v>
      </c>
      <c r="E28">
        <v>257.19</v>
      </c>
      <c r="F28">
        <v>101854</v>
      </c>
      <c r="G28">
        <v>597652</v>
      </c>
    </row>
    <row r="29" spans="1:7">
      <c r="A29">
        <v>34</v>
      </c>
      <c r="B29">
        <v>2755623800</v>
      </c>
      <c r="C29">
        <v>11.02</v>
      </c>
      <c r="D29">
        <v>0</v>
      </c>
      <c r="E29">
        <v>375.76</v>
      </c>
      <c r="F29">
        <v>142110</v>
      </c>
      <c r="G29">
        <v>875930</v>
      </c>
    </row>
    <row r="30" spans="1:7">
      <c r="A30">
        <v>36</v>
      </c>
      <c r="B30">
        <v>4224240440</v>
      </c>
      <c r="C30">
        <v>16.899999999999999</v>
      </c>
      <c r="D30">
        <v>0</v>
      </c>
      <c r="E30">
        <v>544.22</v>
      </c>
      <c r="F30">
        <v>200392</v>
      </c>
      <c r="G30">
        <v>1280187</v>
      </c>
    </row>
    <row r="31" spans="1:7">
      <c r="A31">
        <v>38</v>
      </c>
      <c r="B31">
        <v>5008132280</v>
      </c>
      <c r="C31">
        <v>20.03</v>
      </c>
      <c r="D31">
        <v>0</v>
      </c>
      <c r="E31">
        <v>757.22</v>
      </c>
      <c r="F31">
        <v>283587</v>
      </c>
      <c r="G31">
        <v>1851604</v>
      </c>
    </row>
    <row r="32" spans="1:7">
      <c r="A32">
        <v>40</v>
      </c>
      <c r="B32">
        <v>6080179140</v>
      </c>
      <c r="C32">
        <v>24.32</v>
      </c>
      <c r="D32">
        <v>0</v>
      </c>
      <c r="E32">
        <v>983.98</v>
      </c>
      <c r="F32">
        <v>387479</v>
      </c>
      <c r="G32">
        <v>2618909</v>
      </c>
    </row>
    <row r="33" spans="1:7">
      <c r="A33">
        <v>42</v>
      </c>
      <c r="B33">
        <v>7919786760</v>
      </c>
      <c r="C33">
        <v>31.68</v>
      </c>
      <c r="D33">
        <v>0</v>
      </c>
      <c r="E33">
        <v>983.98</v>
      </c>
      <c r="F33">
        <v>461287</v>
      </c>
      <c r="G33">
        <v>3448094</v>
      </c>
    </row>
    <row r="34" spans="1:7">
      <c r="A34">
        <v>44</v>
      </c>
      <c r="B34">
        <v>7023249820</v>
      </c>
      <c r="C34">
        <v>28.09</v>
      </c>
      <c r="D34">
        <v>0</v>
      </c>
      <c r="E34">
        <v>983.98</v>
      </c>
      <c r="F34">
        <v>537202</v>
      </c>
      <c r="G34">
        <v>4275326</v>
      </c>
    </row>
    <row r="35" spans="1:7">
      <c r="A35">
        <v>46</v>
      </c>
      <c r="B35">
        <v>7290745040</v>
      </c>
      <c r="C35">
        <v>29.16</v>
      </c>
      <c r="D35">
        <v>0</v>
      </c>
      <c r="E35">
        <v>983.98</v>
      </c>
      <c r="F35">
        <v>614032</v>
      </c>
      <c r="G35">
        <v>5101837</v>
      </c>
    </row>
    <row r="36" spans="1:7">
      <c r="A36">
        <v>48</v>
      </c>
      <c r="B36">
        <v>7745752540</v>
      </c>
      <c r="C36">
        <v>30.98</v>
      </c>
      <c r="D36">
        <v>0</v>
      </c>
      <c r="E36">
        <v>983.98</v>
      </c>
      <c r="F36">
        <v>690723</v>
      </c>
      <c r="G36">
        <v>5927844</v>
      </c>
    </row>
    <row r="37" spans="1:7">
      <c r="A37">
        <v>50</v>
      </c>
      <c r="B37">
        <v>7467730660</v>
      </c>
      <c r="C37">
        <v>29.87</v>
      </c>
      <c r="D37">
        <v>0</v>
      </c>
      <c r="E37">
        <v>983.98</v>
      </c>
      <c r="F37">
        <v>766265</v>
      </c>
      <c r="G37">
        <v>6755146</v>
      </c>
    </row>
    <row r="38" spans="1:7">
      <c r="A38">
        <v>52</v>
      </c>
      <c r="B38">
        <v>6810355500</v>
      </c>
      <c r="C38">
        <v>27.24</v>
      </c>
      <c r="D38">
        <v>0</v>
      </c>
      <c r="E38">
        <v>983.98</v>
      </c>
      <c r="F38">
        <v>843152</v>
      </c>
      <c r="G38">
        <v>7578633</v>
      </c>
    </row>
    <row r="39" spans="1:7">
      <c r="A39">
        <v>54</v>
      </c>
      <c r="B39">
        <v>7599559860</v>
      </c>
      <c r="C39">
        <v>30.4</v>
      </c>
      <c r="D39">
        <v>0</v>
      </c>
      <c r="E39">
        <v>983.98</v>
      </c>
      <c r="F39">
        <v>922742</v>
      </c>
      <c r="G39">
        <v>8404696</v>
      </c>
    </row>
    <row r="40" spans="1:7">
      <c r="A40">
        <v>56</v>
      </c>
      <c r="B40">
        <v>7325866700</v>
      </c>
      <c r="C40">
        <v>29.3</v>
      </c>
      <c r="D40">
        <v>0</v>
      </c>
      <c r="E40">
        <v>983.98</v>
      </c>
      <c r="F40">
        <v>997557</v>
      </c>
      <c r="G40">
        <v>9233055</v>
      </c>
    </row>
    <row r="41" spans="1:7">
      <c r="A41">
        <v>58</v>
      </c>
      <c r="B41">
        <v>7976945540</v>
      </c>
      <c r="C41">
        <v>31.91</v>
      </c>
      <c r="D41">
        <v>0</v>
      </c>
      <c r="E41">
        <v>983.98</v>
      </c>
      <c r="F41">
        <v>1072783</v>
      </c>
      <c r="G41">
        <v>10060896</v>
      </c>
    </row>
    <row r="42" spans="1:7">
      <c r="A42">
        <v>60</v>
      </c>
      <c r="B42">
        <v>6838984080</v>
      </c>
      <c r="C42">
        <v>27.36</v>
      </c>
      <c r="D42">
        <v>0</v>
      </c>
      <c r="E42">
        <v>983.98</v>
      </c>
      <c r="F42">
        <v>1147685</v>
      </c>
      <c r="G42">
        <v>10889220</v>
      </c>
    </row>
    <row r="43" spans="1:7">
      <c r="A43">
        <v>62</v>
      </c>
      <c r="B43">
        <v>7403193380</v>
      </c>
      <c r="C43">
        <v>29.61</v>
      </c>
      <c r="D43">
        <v>0</v>
      </c>
      <c r="E43">
        <v>983.98</v>
      </c>
      <c r="F43">
        <v>1220844</v>
      </c>
      <c r="G43">
        <v>11716823</v>
      </c>
    </row>
    <row r="44" spans="1:7">
      <c r="A44">
        <v>64</v>
      </c>
      <c r="B44">
        <v>7870006480</v>
      </c>
      <c r="C44">
        <v>31.48</v>
      </c>
      <c r="D44">
        <v>0</v>
      </c>
      <c r="E44">
        <v>983.98</v>
      </c>
      <c r="F44">
        <v>1299393</v>
      </c>
      <c r="G44">
        <v>12543726</v>
      </c>
    </row>
    <row r="45" spans="1:7">
      <c r="A45">
        <v>66</v>
      </c>
      <c r="B45">
        <v>6746900400</v>
      </c>
      <c r="C45">
        <v>26.99</v>
      </c>
      <c r="D45">
        <v>0</v>
      </c>
      <c r="E45">
        <v>983.98</v>
      </c>
      <c r="F45">
        <v>1375014</v>
      </c>
      <c r="G45">
        <v>13370377</v>
      </c>
    </row>
    <row r="46" spans="1:7">
      <c r="A46">
        <v>68</v>
      </c>
      <c r="B46">
        <v>7353905000</v>
      </c>
      <c r="C46">
        <v>29.42</v>
      </c>
      <c r="D46">
        <v>0</v>
      </c>
      <c r="E46">
        <v>983.98</v>
      </c>
      <c r="F46">
        <v>1431660</v>
      </c>
      <c r="G46">
        <v>14156857</v>
      </c>
    </row>
    <row r="47" spans="1:7">
      <c r="A47">
        <v>70</v>
      </c>
      <c r="B47">
        <v>6556436720</v>
      </c>
      <c r="C47">
        <v>26.23</v>
      </c>
      <c r="D47">
        <v>0</v>
      </c>
      <c r="E47">
        <v>983.98</v>
      </c>
      <c r="F47">
        <v>1480317</v>
      </c>
      <c r="G47">
        <v>14892536</v>
      </c>
    </row>
    <row r="48" spans="1:7">
      <c r="A48">
        <v>72</v>
      </c>
      <c r="B48">
        <v>6522594000</v>
      </c>
      <c r="C48">
        <v>26.09</v>
      </c>
      <c r="D48">
        <v>0</v>
      </c>
      <c r="E48">
        <v>983.98</v>
      </c>
      <c r="F48">
        <v>1528583</v>
      </c>
      <c r="G48">
        <v>15624253</v>
      </c>
    </row>
    <row r="49" spans="1:7">
      <c r="A49">
        <v>74</v>
      </c>
      <c r="B49">
        <v>6965500760</v>
      </c>
      <c r="C49">
        <v>27.86</v>
      </c>
      <c r="D49">
        <v>0</v>
      </c>
      <c r="E49">
        <v>983.98</v>
      </c>
      <c r="F49">
        <v>1576773</v>
      </c>
      <c r="G49">
        <v>16353873</v>
      </c>
    </row>
    <row r="50" spans="1:7">
      <c r="A50">
        <v>76</v>
      </c>
      <c r="B50">
        <v>6524463220</v>
      </c>
      <c r="C50">
        <v>26.1</v>
      </c>
      <c r="D50">
        <v>0</v>
      </c>
      <c r="E50">
        <v>983.98</v>
      </c>
      <c r="F50">
        <v>1624799</v>
      </c>
      <c r="G50">
        <v>17082169</v>
      </c>
    </row>
    <row r="51" spans="1:7">
      <c r="A51">
        <v>78</v>
      </c>
      <c r="B51">
        <v>6082146740</v>
      </c>
      <c r="C51">
        <v>24.33</v>
      </c>
      <c r="D51">
        <v>0</v>
      </c>
      <c r="E51">
        <v>983.98</v>
      </c>
      <c r="F51">
        <v>1672752</v>
      </c>
      <c r="G51">
        <v>17809971</v>
      </c>
    </row>
    <row r="52" spans="1:7">
      <c r="A52">
        <v>80</v>
      </c>
      <c r="B52">
        <v>6688167540</v>
      </c>
      <c r="C52">
        <v>26.75</v>
      </c>
      <c r="D52">
        <v>0</v>
      </c>
      <c r="E52">
        <v>983.98</v>
      </c>
      <c r="F52">
        <v>1720865</v>
      </c>
      <c r="G52">
        <v>18537421</v>
      </c>
    </row>
    <row r="53" spans="1:7">
      <c r="A53">
        <v>82</v>
      </c>
      <c r="B53">
        <v>6834163460</v>
      </c>
      <c r="C53">
        <v>27.34</v>
      </c>
      <c r="D53">
        <v>0</v>
      </c>
      <c r="E53">
        <v>983.98</v>
      </c>
      <c r="F53">
        <v>1768961</v>
      </c>
      <c r="G53">
        <v>19264113</v>
      </c>
    </row>
    <row r="54" spans="1:7">
      <c r="A54">
        <v>84</v>
      </c>
      <c r="B54">
        <v>6358692920</v>
      </c>
      <c r="C54">
        <v>25.43</v>
      </c>
      <c r="D54">
        <v>0</v>
      </c>
      <c r="E54">
        <v>983.98</v>
      </c>
      <c r="F54">
        <v>1816846</v>
      </c>
      <c r="G54">
        <v>19990624</v>
      </c>
    </row>
    <row r="55" spans="1:7">
      <c r="A55">
        <v>86</v>
      </c>
      <c r="B55">
        <v>6555846440</v>
      </c>
      <c r="C55">
        <v>26.22</v>
      </c>
      <c r="D55">
        <v>0</v>
      </c>
      <c r="E55">
        <v>983.98</v>
      </c>
      <c r="F55">
        <v>1864817</v>
      </c>
      <c r="G55">
        <v>20717235</v>
      </c>
    </row>
    <row r="56" spans="1:7">
      <c r="A56">
        <v>88</v>
      </c>
      <c r="B56">
        <v>6596182240</v>
      </c>
      <c r="C56">
        <v>26.38</v>
      </c>
      <c r="D56">
        <v>0</v>
      </c>
      <c r="E56">
        <v>983.98</v>
      </c>
      <c r="F56">
        <v>1912977</v>
      </c>
      <c r="G56">
        <v>21443448</v>
      </c>
    </row>
    <row r="57" spans="1:7">
      <c r="A57">
        <v>90</v>
      </c>
      <c r="B57">
        <v>6588410220</v>
      </c>
      <c r="C57">
        <v>26.35</v>
      </c>
      <c r="D57">
        <v>0</v>
      </c>
      <c r="E57">
        <v>983.98</v>
      </c>
      <c r="F57">
        <v>1961294</v>
      </c>
      <c r="G57">
        <v>22169109</v>
      </c>
    </row>
    <row r="58" spans="1:7">
      <c r="A58">
        <v>92</v>
      </c>
      <c r="B58">
        <v>6271134720</v>
      </c>
      <c r="C58">
        <v>25.08</v>
      </c>
      <c r="D58">
        <v>0</v>
      </c>
      <c r="E58">
        <v>983.98</v>
      </c>
      <c r="F58">
        <v>2009526</v>
      </c>
      <c r="G58">
        <v>22895248</v>
      </c>
    </row>
    <row r="59" spans="1:7">
      <c r="A59">
        <v>94</v>
      </c>
      <c r="B59">
        <v>5939102220</v>
      </c>
      <c r="C59">
        <v>23.76</v>
      </c>
      <c r="D59">
        <v>0</v>
      </c>
      <c r="E59">
        <v>983.98</v>
      </c>
      <c r="F59">
        <v>2057702</v>
      </c>
      <c r="G59">
        <v>23621822</v>
      </c>
    </row>
    <row r="60" spans="1:7">
      <c r="A60">
        <v>96</v>
      </c>
      <c r="B60">
        <v>6551222580</v>
      </c>
      <c r="C60">
        <v>26.2</v>
      </c>
      <c r="D60">
        <v>0</v>
      </c>
      <c r="E60">
        <v>983.98</v>
      </c>
      <c r="F60">
        <v>2105983</v>
      </c>
      <c r="G60">
        <v>24348320</v>
      </c>
    </row>
    <row r="61" spans="1:7">
      <c r="A61">
        <v>98</v>
      </c>
      <c r="B61">
        <v>6873220320</v>
      </c>
      <c r="C61">
        <v>27.49</v>
      </c>
      <c r="D61">
        <v>0</v>
      </c>
      <c r="E61">
        <v>983.98</v>
      </c>
      <c r="F61">
        <v>2154107</v>
      </c>
      <c r="G61">
        <v>25073052</v>
      </c>
    </row>
    <row r="62" spans="1:7">
      <c r="A62">
        <v>100</v>
      </c>
      <c r="B62">
        <v>6517379860</v>
      </c>
      <c r="C62">
        <v>26.07</v>
      </c>
      <c r="D62">
        <v>0</v>
      </c>
      <c r="E62">
        <v>983.98</v>
      </c>
      <c r="F62">
        <v>2202224</v>
      </c>
      <c r="G62">
        <v>25798935</v>
      </c>
    </row>
    <row r="63" spans="1:7">
      <c r="A63">
        <v>102</v>
      </c>
      <c r="B63">
        <v>6165868120</v>
      </c>
      <c r="C63">
        <v>24.66</v>
      </c>
      <c r="D63">
        <v>0</v>
      </c>
      <c r="E63">
        <v>983.98</v>
      </c>
      <c r="F63">
        <v>2250612</v>
      </c>
      <c r="G63">
        <v>26524782</v>
      </c>
    </row>
    <row r="64" spans="1:7">
      <c r="A64">
        <v>104</v>
      </c>
      <c r="B64">
        <v>6399127100</v>
      </c>
      <c r="C64">
        <v>25.6</v>
      </c>
      <c r="D64">
        <v>0</v>
      </c>
      <c r="E64">
        <v>983.98</v>
      </c>
      <c r="F64">
        <v>2298670</v>
      </c>
      <c r="G64">
        <v>27250689</v>
      </c>
    </row>
    <row r="65" spans="1:7">
      <c r="A65">
        <v>106</v>
      </c>
      <c r="B65">
        <v>6456876160</v>
      </c>
      <c r="C65">
        <v>25.83</v>
      </c>
      <c r="D65">
        <v>0</v>
      </c>
      <c r="E65">
        <v>983.98</v>
      </c>
      <c r="F65">
        <v>2346755</v>
      </c>
      <c r="G65">
        <v>27976711</v>
      </c>
    </row>
    <row r="66" spans="1:7">
      <c r="A66">
        <v>108</v>
      </c>
      <c r="B66">
        <v>6474584560</v>
      </c>
      <c r="C66">
        <v>25.9</v>
      </c>
      <c r="D66">
        <v>0</v>
      </c>
      <c r="E66">
        <v>983.98</v>
      </c>
      <c r="F66">
        <v>2394862</v>
      </c>
      <c r="G66">
        <v>28702981</v>
      </c>
    </row>
    <row r="67" spans="1:7">
      <c r="A67">
        <v>110</v>
      </c>
      <c r="B67">
        <v>6494358940</v>
      </c>
      <c r="C67">
        <v>25.98</v>
      </c>
      <c r="D67">
        <v>0</v>
      </c>
      <c r="E67">
        <v>983.98</v>
      </c>
      <c r="F67">
        <v>2443097</v>
      </c>
      <c r="G67">
        <v>29428921</v>
      </c>
    </row>
    <row r="68" spans="1:7">
      <c r="A68">
        <v>112</v>
      </c>
      <c r="B68">
        <v>6492489720</v>
      </c>
      <c r="C68">
        <v>25.97</v>
      </c>
      <c r="D68">
        <v>0</v>
      </c>
      <c r="E68">
        <v>983.98</v>
      </c>
      <c r="F68">
        <v>2491239</v>
      </c>
      <c r="G68">
        <v>30155052</v>
      </c>
    </row>
    <row r="69" spans="1:7">
      <c r="A69">
        <v>114</v>
      </c>
      <c r="B69">
        <v>6527513000</v>
      </c>
      <c r="C69">
        <v>26.11</v>
      </c>
      <c r="D69">
        <v>0</v>
      </c>
      <c r="E69">
        <v>983.98</v>
      </c>
      <c r="F69">
        <v>2539328</v>
      </c>
      <c r="G69">
        <v>30881289</v>
      </c>
    </row>
    <row r="70" spans="1:7">
      <c r="A70">
        <v>116</v>
      </c>
      <c r="B70">
        <v>6900471580</v>
      </c>
      <c r="C70">
        <v>27.6</v>
      </c>
      <c r="D70">
        <v>0</v>
      </c>
      <c r="E70">
        <v>983.98</v>
      </c>
      <c r="F70">
        <v>2587426</v>
      </c>
      <c r="G70">
        <v>31607802</v>
      </c>
    </row>
    <row r="71" spans="1:7">
      <c r="A71">
        <v>118</v>
      </c>
      <c r="B71">
        <v>6491112400</v>
      </c>
      <c r="C71">
        <v>25.96</v>
      </c>
      <c r="D71">
        <v>0</v>
      </c>
      <c r="E71">
        <v>983.98</v>
      </c>
      <c r="F71">
        <v>2635521</v>
      </c>
      <c r="G71">
        <v>32334207</v>
      </c>
    </row>
    <row r="72" spans="1:7">
      <c r="A72">
        <v>120</v>
      </c>
      <c r="B72">
        <v>6257066380</v>
      </c>
      <c r="C72">
        <v>25.03</v>
      </c>
      <c r="D72">
        <v>0</v>
      </c>
      <c r="E72">
        <v>983.98</v>
      </c>
      <c r="F72">
        <v>2683819</v>
      </c>
      <c r="G72">
        <v>33060524</v>
      </c>
    </row>
    <row r="73" spans="1:7">
      <c r="A73">
        <v>122</v>
      </c>
      <c r="B73">
        <v>6336262280</v>
      </c>
      <c r="C73">
        <v>25.35</v>
      </c>
      <c r="D73">
        <v>0</v>
      </c>
      <c r="E73">
        <v>983.98</v>
      </c>
      <c r="F73">
        <v>2731912</v>
      </c>
      <c r="G73">
        <v>33786637</v>
      </c>
    </row>
    <row r="74" spans="1:7">
      <c r="A74">
        <v>124</v>
      </c>
      <c r="B74">
        <v>6455400460</v>
      </c>
      <c r="C74">
        <v>25.82</v>
      </c>
      <c r="D74">
        <v>0</v>
      </c>
      <c r="E74">
        <v>983.98</v>
      </c>
      <c r="F74">
        <v>2780277</v>
      </c>
      <c r="G74">
        <v>34512288</v>
      </c>
    </row>
    <row r="75" spans="1:7">
      <c r="A75">
        <v>126</v>
      </c>
      <c r="B75">
        <v>6480290600</v>
      </c>
      <c r="C75">
        <v>25.92</v>
      </c>
      <c r="D75">
        <v>0</v>
      </c>
      <c r="E75">
        <v>983.98</v>
      </c>
      <c r="F75">
        <v>2828305</v>
      </c>
      <c r="G75">
        <v>35237999</v>
      </c>
    </row>
    <row r="76" spans="1:7">
      <c r="A76">
        <v>128</v>
      </c>
      <c r="B76">
        <v>6569422880</v>
      </c>
      <c r="C76">
        <v>26.28</v>
      </c>
      <c r="D76">
        <v>0</v>
      </c>
      <c r="E76">
        <v>983.98</v>
      </c>
      <c r="F76">
        <v>2876314</v>
      </c>
      <c r="G76">
        <v>35962367</v>
      </c>
    </row>
    <row r="77" spans="1:7">
      <c r="A77">
        <v>130</v>
      </c>
      <c r="B77">
        <v>6545811680</v>
      </c>
      <c r="C77">
        <v>26.18</v>
      </c>
      <c r="D77">
        <v>0</v>
      </c>
      <c r="E77">
        <v>983.98</v>
      </c>
      <c r="F77">
        <v>2924309</v>
      </c>
      <c r="G77">
        <v>36688076</v>
      </c>
    </row>
    <row r="78" spans="1:7">
      <c r="A78">
        <v>132</v>
      </c>
      <c r="B78">
        <v>6749163140</v>
      </c>
      <c r="C78">
        <v>27</v>
      </c>
      <c r="D78">
        <v>0</v>
      </c>
      <c r="E78">
        <v>983.98</v>
      </c>
      <c r="F78">
        <v>2972383</v>
      </c>
      <c r="G78">
        <v>37413658</v>
      </c>
    </row>
    <row r="79" spans="1:7">
      <c r="A79">
        <v>134</v>
      </c>
      <c r="B79">
        <v>6582704180</v>
      </c>
      <c r="C79">
        <v>26.33</v>
      </c>
      <c r="D79">
        <v>0</v>
      </c>
      <c r="E79">
        <v>983.98</v>
      </c>
      <c r="F79">
        <v>3020335</v>
      </c>
      <c r="G79">
        <v>38139210</v>
      </c>
    </row>
    <row r="80" spans="1:7">
      <c r="A80">
        <v>136</v>
      </c>
      <c r="B80">
        <v>6500950400</v>
      </c>
      <c r="C80">
        <v>26</v>
      </c>
      <c r="D80">
        <v>0</v>
      </c>
      <c r="E80">
        <v>983.98</v>
      </c>
      <c r="F80">
        <v>3068185</v>
      </c>
      <c r="G80">
        <v>38865278</v>
      </c>
    </row>
    <row r="81" spans="1:7">
      <c r="A81">
        <v>138</v>
      </c>
      <c r="B81">
        <v>6551812860</v>
      </c>
      <c r="C81">
        <v>26.21</v>
      </c>
      <c r="D81">
        <v>0</v>
      </c>
      <c r="E81">
        <v>983.98</v>
      </c>
      <c r="F81">
        <v>3116162</v>
      </c>
      <c r="G81">
        <v>39591910</v>
      </c>
    </row>
    <row r="82" spans="1:7">
      <c r="A82">
        <v>140</v>
      </c>
      <c r="B82">
        <v>6587524800</v>
      </c>
      <c r="C82">
        <v>26.35</v>
      </c>
      <c r="D82">
        <v>0</v>
      </c>
      <c r="E82">
        <v>983.98</v>
      </c>
      <c r="F82">
        <v>3164095</v>
      </c>
      <c r="G82">
        <v>40318944</v>
      </c>
    </row>
    <row r="83" spans="1:7">
      <c r="A83">
        <v>142</v>
      </c>
      <c r="B83">
        <v>6558109180</v>
      </c>
      <c r="C83">
        <v>26.23</v>
      </c>
      <c r="D83">
        <v>0</v>
      </c>
      <c r="E83">
        <v>983.98</v>
      </c>
      <c r="F83">
        <v>3211956</v>
      </c>
      <c r="G83">
        <v>41046051</v>
      </c>
    </row>
    <row r="84" spans="1:7">
      <c r="A84">
        <v>144</v>
      </c>
      <c r="B84">
        <v>6500753640</v>
      </c>
      <c r="C84">
        <v>26</v>
      </c>
      <c r="D84">
        <v>0</v>
      </c>
      <c r="E84">
        <v>983.98</v>
      </c>
      <c r="F84">
        <v>3259743</v>
      </c>
      <c r="G84">
        <v>41773357</v>
      </c>
    </row>
    <row r="85" spans="1:7">
      <c r="A85">
        <v>146</v>
      </c>
      <c r="B85">
        <v>6583097700</v>
      </c>
      <c r="C85">
        <v>26.33</v>
      </c>
      <c r="D85">
        <v>0</v>
      </c>
      <c r="E85">
        <v>983.98</v>
      </c>
      <c r="F85">
        <v>3307450</v>
      </c>
      <c r="G85">
        <v>42501190</v>
      </c>
    </row>
    <row r="86" spans="1:7">
      <c r="A86">
        <v>148</v>
      </c>
      <c r="B86">
        <v>6397553020</v>
      </c>
      <c r="C86">
        <v>25.59</v>
      </c>
      <c r="D86">
        <v>0</v>
      </c>
      <c r="E86">
        <v>983.98</v>
      </c>
      <c r="F86">
        <v>3355364</v>
      </c>
      <c r="G86">
        <v>43228724</v>
      </c>
    </row>
    <row r="87" spans="1:7">
      <c r="A87">
        <v>150</v>
      </c>
      <c r="B87">
        <v>6617727460</v>
      </c>
      <c r="C87">
        <v>26.47</v>
      </c>
      <c r="D87">
        <v>0</v>
      </c>
      <c r="E87">
        <v>983.98</v>
      </c>
      <c r="F87">
        <v>3403354</v>
      </c>
      <c r="G87">
        <v>43956079</v>
      </c>
    </row>
    <row r="88" spans="1:7">
      <c r="A88">
        <v>152</v>
      </c>
      <c r="B88">
        <v>6371088800</v>
      </c>
      <c r="C88">
        <v>25.48</v>
      </c>
      <c r="D88">
        <v>0</v>
      </c>
      <c r="E88">
        <v>983.98</v>
      </c>
      <c r="F88">
        <v>3451307</v>
      </c>
      <c r="G88">
        <v>44683171</v>
      </c>
    </row>
    <row r="89" spans="1:7">
      <c r="A89">
        <v>154</v>
      </c>
      <c r="B89">
        <v>6513936560</v>
      </c>
      <c r="C89">
        <v>26.06</v>
      </c>
      <c r="D89">
        <v>0</v>
      </c>
      <c r="E89">
        <v>983.98</v>
      </c>
      <c r="F89">
        <v>3499298</v>
      </c>
      <c r="G89">
        <v>45410005</v>
      </c>
    </row>
    <row r="90" spans="1:7">
      <c r="A90">
        <v>156</v>
      </c>
      <c r="B90">
        <v>6550238780</v>
      </c>
      <c r="C90">
        <v>26.2</v>
      </c>
      <c r="D90">
        <v>0</v>
      </c>
      <c r="E90">
        <v>983.98</v>
      </c>
      <c r="F90">
        <v>3547188</v>
      </c>
      <c r="G90">
        <v>46137306</v>
      </c>
    </row>
    <row r="91" spans="1:7">
      <c r="A91">
        <v>158</v>
      </c>
      <c r="B91">
        <v>6450383080</v>
      </c>
      <c r="C91">
        <v>25.8</v>
      </c>
      <c r="D91">
        <v>0</v>
      </c>
      <c r="E91">
        <v>983.98</v>
      </c>
      <c r="F91">
        <v>3595064</v>
      </c>
      <c r="G91">
        <v>46863220</v>
      </c>
    </row>
    <row r="92" spans="1:7">
      <c r="A92">
        <v>160</v>
      </c>
      <c r="B92">
        <v>6478421380</v>
      </c>
      <c r="C92">
        <v>25.91</v>
      </c>
      <c r="D92">
        <v>0</v>
      </c>
      <c r="E92">
        <v>983.98</v>
      </c>
      <c r="F92">
        <v>3643119</v>
      </c>
      <c r="G92">
        <v>47590053</v>
      </c>
    </row>
    <row r="93" spans="1:7">
      <c r="A93">
        <v>162</v>
      </c>
      <c r="B93">
        <v>6612316560</v>
      </c>
      <c r="C93">
        <v>26.45</v>
      </c>
      <c r="D93">
        <v>0</v>
      </c>
      <c r="E93">
        <v>983.98</v>
      </c>
      <c r="F93">
        <v>3691033</v>
      </c>
      <c r="G93">
        <v>48317103</v>
      </c>
    </row>
    <row r="94" spans="1:7">
      <c r="A94">
        <v>164</v>
      </c>
      <c r="B94">
        <v>6278611600</v>
      </c>
      <c r="C94">
        <v>25.11</v>
      </c>
      <c r="D94">
        <v>0</v>
      </c>
      <c r="E94">
        <v>983.98</v>
      </c>
      <c r="F94">
        <v>3739176</v>
      </c>
      <c r="G94">
        <v>49044292</v>
      </c>
    </row>
    <row r="95" spans="1:7">
      <c r="A95">
        <v>166</v>
      </c>
      <c r="B95">
        <v>6303895260</v>
      </c>
      <c r="C95">
        <v>25.22</v>
      </c>
      <c r="D95">
        <v>0</v>
      </c>
      <c r="E95">
        <v>983.98</v>
      </c>
      <c r="F95">
        <v>3787311</v>
      </c>
      <c r="G95">
        <v>49771284</v>
      </c>
    </row>
    <row r="96" spans="1:7">
      <c r="A96">
        <v>168</v>
      </c>
      <c r="B96">
        <v>6597559560</v>
      </c>
      <c r="C96">
        <v>26.39</v>
      </c>
      <c r="D96">
        <v>0</v>
      </c>
      <c r="E96">
        <v>983.98</v>
      </c>
      <c r="F96">
        <v>3835337</v>
      </c>
      <c r="G96">
        <v>50498115</v>
      </c>
    </row>
    <row r="97" spans="1:7">
      <c r="A97">
        <v>170</v>
      </c>
      <c r="B97">
        <v>6618416120</v>
      </c>
      <c r="C97">
        <v>26.47</v>
      </c>
      <c r="D97">
        <v>0</v>
      </c>
      <c r="E97">
        <v>983.98</v>
      </c>
      <c r="F97">
        <v>3883294</v>
      </c>
      <c r="G97">
        <v>51225078</v>
      </c>
    </row>
    <row r="98" spans="1:7">
      <c r="A98">
        <v>172</v>
      </c>
      <c r="B98">
        <v>6583097700</v>
      </c>
      <c r="C98">
        <v>26.33</v>
      </c>
      <c r="D98">
        <v>0</v>
      </c>
      <c r="E98">
        <v>983.98</v>
      </c>
      <c r="F98">
        <v>3931371</v>
      </c>
      <c r="G98">
        <v>51951944</v>
      </c>
    </row>
    <row r="99" spans="1:7">
      <c r="A99">
        <v>174</v>
      </c>
      <c r="B99">
        <v>6460909740</v>
      </c>
      <c r="C99">
        <v>25.84</v>
      </c>
      <c r="D99">
        <v>0</v>
      </c>
      <c r="E99">
        <v>983.98</v>
      </c>
      <c r="F99">
        <v>3979549</v>
      </c>
      <c r="G99">
        <v>52678656</v>
      </c>
    </row>
    <row r="100" spans="1:7">
      <c r="A100">
        <v>176</v>
      </c>
      <c r="B100">
        <v>6530759540</v>
      </c>
      <c r="C100">
        <v>26.12</v>
      </c>
      <c r="D100">
        <v>0</v>
      </c>
      <c r="E100">
        <v>983.98</v>
      </c>
      <c r="F100">
        <v>4027597</v>
      </c>
      <c r="G100">
        <v>53405102</v>
      </c>
    </row>
    <row r="101" spans="1:7">
      <c r="A101">
        <v>178</v>
      </c>
      <c r="B101">
        <v>6535973680</v>
      </c>
      <c r="C101">
        <v>26.14</v>
      </c>
      <c r="D101">
        <v>0</v>
      </c>
      <c r="E101">
        <v>983.98</v>
      </c>
      <c r="F101">
        <v>4075695</v>
      </c>
      <c r="G101">
        <v>54131328</v>
      </c>
    </row>
    <row r="102" spans="1:7">
      <c r="A102">
        <v>180</v>
      </c>
      <c r="B102">
        <v>6531054680</v>
      </c>
      <c r="C102">
        <v>26.12</v>
      </c>
      <c r="D102">
        <v>0</v>
      </c>
      <c r="E102">
        <v>983.98</v>
      </c>
      <c r="F102">
        <v>4123634</v>
      </c>
      <c r="G102">
        <v>54857466</v>
      </c>
    </row>
    <row r="103" spans="1:7">
      <c r="A103">
        <v>182</v>
      </c>
      <c r="B103">
        <v>6383779820</v>
      </c>
      <c r="C103">
        <v>25.53</v>
      </c>
      <c r="D103">
        <v>0</v>
      </c>
      <c r="E103">
        <v>983.98</v>
      </c>
      <c r="F103">
        <v>4171674</v>
      </c>
      <c r="G103">
        <v>55584112</v>
      </c>
    </row>
    <row r="104" spans="1:7">
      <c r="A104">
        <v>184</v>
      </c>
      <c r="B104">
        <v>6461598400</v>
      </c>
      <c r="C104">
        <v>25.85</v>
      </c>
      <c r="D104">
        <v>0</v>
      </c>
      <c r="E104">
        <v>983.98</v>
      </c>
      <c r="F104">
        <v>4219802</v>
      </c>
      <c r="G104">
        <v>56310819</v>
      </c>
    </row>
    <row r="105" spans="1:7">
      <c r="A105">
        <v>186</v>
      </c>
      <c r="B105">
        <v>6653144260</v>
      </c>
      <c r="C105">
        <v>26.61</v>
      </c>
      <c r="D105">
        <v>0</v>
      </c>
      <c r="E105">
        <v>983.98</v>
      </c>
      <c r="F105">
        <v>4267981</v>
      </c>
      <c r="G105">
        <v>57037994</v>
      </c>
    </row>
    <row r="106" spans="1:7">
      <c r="A106">
        <v>188</v>
      </c>
      <c r="B106">
        <v>6545713300</v>
      </c>
      <c r="C106">
        <v>26.18</v>
      </c>
      <c r="D106">
        <v>0</v>
      </c>
      <c r="E106">
        <v>983.98</v>
      </c>
      <c r="F106">
        <v>4315729</v>
      </c>
      <c r="G106">
        <v>57763843</v>
      </c>
    </row>
    <row r="107" spans="1:7">
      <c r="A107">
        <v>190</v>
      </c>
      <c r="B107">
        <v>6286285240</v>
      </c>
      <c r="C107">
        <v>25.14</v>
      </c>
      <c r="D107">
        <v>0</v>
      </c>
      <c r="E107">
        <v>983.98</v>
      </c>
      <c r="F107">
        <v>4363710</v>
      </c>
      <c r="G107">
        <v>58490831</v>
      </c>
    </row>
    <row r="108" spans="1:7">
      <c r="A108">
        <v>192</v>
      </c>
      <c r="B108">
        <v>6574735400</v>
      </c>
      <c r="C108">
        <v>26.3</v>
      </c>
      <c r="D108">
        <v>0</v>
      </c>
      <c r="E108">
        <v>983.98</v>
      </c>
      <c r="F108">
        <v>4411672</v>
      </c>
      <c r="G108">
        <v>59218044</v>
      </c>
    </row>
    <row r="109" spans="1:7">
      <c r="A109">
        <v>194</v>
      </c>
      <c r="B109">
        <v>6635534240</v>
      </c>
      <c r="C109">
        <v>26.54</v>
      </c>
      <c r="D109">
        <v>0</v>
      </c>
      <c r="E109">
        <v>983.98</v>
      </c>
      <c r="F109">
        <v>4459609</v>
      </c>
      <c r="G109">
        <v>59945188</v>
      </c>
    </row>
    <row r="110" spans="1:7">
      <c r="A110">
        <v>196</v>
      </c>
      <c r="B110">
        <v>6476355400</v>
      </c>
      <c r="C110">
        <v>25.91</v>
      </c>
      <c r="D110">
        <v>0</v>
      </c>
      <c r="E110">
        <v>983.98</v>
      </c>
      <c r="F110">
        <v>4507707</v>
      </c>
      <c r="G110">
        <v>60672139</v>
      </c>
    </row>
    <row r="111" spans="1:7">
      <c r="A111">
        <v>198</v>
      </c>
      <c r="B111">
        <v>6510001360</v>
      </c>
      <c r="C111">
        <v>26.04</v>
      </c>
      <c r="D111">
        <v>0</v>
      </c>
      <c r="E111">
        <v>983.98</v>
      </c>
      <c r="F111">
        <v>4555770</v>
      </c>
      <c r="G111">
        <v>61399425</v>
      </c>
    </row>
    <row r="112" spans="1:7">
      <c r="A112">
        <v>200</v>
      </c>
      <c r="B112">
        <v>6299763300</v>
      </c>
      <c r="C112">
        <v>25.2</v>
      </c>
      <c r="D112">
        <v>0</v>
      </c>
      <c r="E112">
        <v>983.98</v>
      </c>
      <c r="F112">
        <v>4603738</v>
      </c>
      <c r="G112">
        <v>62126658</v>
      </c>
    </row>
    <row r="113" spans="1:7">
      <c r="A113">
        <v>202</v>
      </c>
      <c r="B113">
        <v>6209843980</v>
      </c>
      <c r="C113">
        <v>24.84</v>
      </c>
      <c r="D113">
        <v>0</v>
      </c>
      <c r="E113">
        <v>983.98</v>
      </c>
      <c r="F113">
        <v>4651822</v>
      </c>
      <c r="G113">
        <v>62853964</v>
      </c>
    </row>
    <row r="114" spans="1:7">
      <c r="A114">
        <v>204</v>
      </c>
      <c r="B114">
        <v>6477929480</v>
      </c>
      <c r="C114">
        <v>25.91</v>
      </c>
      <c r="D114">
        <v>0</v>
      </c>
      <c r="E114">
        <v>983.98</v>
      </c>
      <c r="F114">
        <v>4699853</v>
      </c>
      <c r="G114">
        <v>63581125</v>
      </c>
    </row>
    <row r="115" spans="1:7">
      <c r="A115">
        <v>206</v>
      </c>
      <c r="B115">
        <v>6573358080</v>
      </c>
      <c r="C115">
        <v>26.29</v>
      </c>
      <c r="D115">
        <v>0</v>
      </c>
      <c r="E115">
        <v>983.98</v>
      </c>
      <c r="F115">
        <v>4747771</v>
      </c>
      <c r="G115">
        <v>64308213</v>
      </c>
    </row>
    <row r="116" spans="1:7">
      <c r="A116">
        <v>208</v>
      </c>
      <c r="B116">
        <v>6686691840</v>
      </c>
      <c r="C116">
        <v>26.75</v>
      </c>
      <c r="D116">
        <v>0</v>
      </c>
      <c r="E116">
        <v>983.98</v>
      </c>
      <c r="F116">
        <v>4795872</v>
      </c>
      <c r="G116">
        <v>65034902</v>
      </c>
    </row>
    <row r="117" spans="1:7">
      <c r="A117">
        <v>210</v>
      </c>
      <c r="B117">
        <v>6453728000</v>
      </c>
      <c r="C117">
        <v>25.81</v>
      </c>
      <c r="D117">
        <v>0</v>
      </c>
      <c r="E117">
        <v>983.98</v>
      </c>
      <c r="F117">
        <v>4843856</v>
      </c>
      <c r="G117">
        <v>65762239</v>
      </c>
    </row>
    <row r="118" spans="1:7">
      <c r="A118">
        <v>212</v>
      </c>
      <c r="B118">
        <v>6642814360</v>
      </c>
      <c r="C118">
        <v>26.57</v>
      </c>
      <c r="D118">
        <v>0</v>
      </c>
      <c r="E118">
        <v>983.98</v>
      </c>
      <c r="F118">
        <v>4891892</v>
      </c>
      <c r="G118">
        <v>66489384</v>
      </c>
    </row>
    <row r="119" spans="1:7">
      <c r="A119">
        <v>214</v>
      </c>
      <c r="B119">
        <v>6560568680</v>
      </c>
      <c r="C119">
        <v>26.24</v>
      </c>
      <c r="D119">
        <v>0</v>
      </c>
      <c r="E119">
        <v>983.98</v>
      </c>
      <c r="F119">
        <v>4940051</v>
      </c>
      <c r="G119">
        <v>67216313</v>
      </c>
    </row>
    <row r="120" spans="1:7">
      <c r="A120">
        <v>216</v>
      </c>
      <c r="B120">
        <v>6557912420</v>
      </c>
      <c r="C120">
        <v>26.23</v>
      </c>
      <c r="D120">
        <v>0</v>
      </c>
      <c r="E120">
        <v>983.98</v>
      </c>
      <c r="F120">
        <v>4988147</v>
      </c>
      <c r="G120">
        <v>67943465</v>
      </c>
    </row>
    <row r="121" spans="1:7">
      <c r="A121">
        <v>218</v>
      </c>
      <c r="B121">
        <v>6530857920</v>
      </c>
      <c r="C121">
        <v>26.12</v>
      </c>
      <c r="D121">
        <v>0</v>
      </c>
      <c r="E121">
        <v>983.98</v>
      </c>
      <c r="F121">
        <v>5036257</v>
      </c>
      <c r="G121">
        <v>68669178</v>
      </c>
    </row>
    <row r="122" spans="1:7">
      <c r="A122">
        <v>220</v>
      </c>
      <c r="B122">
        <v>6505574260</v>
      </c>
      <c r="C122">
        <v>26.02</v>
      </c>
      <c r="D122">
        <v>0</v>
      </c>
      <c r="E122">
        <v>983.98</v>
      </c>
      <c r="F122">
        <v>5084370</v>
      </c>
      <c r="G122">
        <v>69396274</v>
      </c>
    </row>
    <row r="123" spans="1:7">
      <c r="A123">
        <v>222</v>
      </c>
      <c r="B123">
        <v>6527414620</v>
      </c>
      <c r="C123">
        <v>26.11</v>
      </c>
      <c r="D123">
        <v>0</v>
      </c>
      <c r="E123">
        <v>983.98</v>
      </c>
      <c r="F123">
        <v>5132389</v>
      </c>
      <c r="G123">
        <v>70123419</v>
      </c>
    </row>
    <row r="124" spans="1:7">
      <c r="A124">
        <v>224</v>
      </c>
      <c r="B124">
        <v>6443496480</v>
      </c>
      <c r="C124">
        <v>25.77</v>
      </c>
      <c r="D124">
        <v>0</v>
      </c>
      <c r="E124">
        <v>983.98</v>
      </c>
      <c r="F124">
        <v>5180646</v>
      </c>
      <c r="G124">
        <v>70850407</v>
      </c>
    </row>
    <row r="125" spans="1:7">
      <c r="A125">
        <v>226</v>
      </c>
      <c r="B125">
        <v>6552009620</v>
      </c>
      <c r="C125">
        <v>26.21</v>
      </c>
      <c r="D125">
        <v>0</v>
      </c>
      <c r="E125">
        <v>983.98</v>
      </c>
      <c r="F125">
        <v>5228811</v>
      </c>
      <c r="G125">
        <v>71577287</v>
      </c>
    </row>
    <row r="126" spans="1:7">
      <c r="A126">
        <v>228</v>
      </c>
      <c r="B126">
        <v>6256771240</v>
      </c>
      <c r="C126">
        <v>25.03</v>
      </c>
      <c r="D126">
        <v>0</v>
      </c>
      <c r="E126">
        <v>983.98</v>
      </c>
      <c r="F126">
        <v>5276879</v>
      </c>
      <c r="G126">
        <v>72304473</v>
      </c>
    </row>
    <row r="127" spans="1:7">
      <c r="A127">
        <v>230</v>
      </c>
      <c r="B127">
        <v>6346690560</v>
      </c>
      <c r="C127">
        <v>25.39</v>
      </c>
      <c r="D127">
        <v>0</v>
      </c>
      <c r="E127">
        <v>983.98</v>
      </c>
      <c r="F127">
        <v>5324849</v>
      </c>
      <c r="G127">
        <v>73031657</v>
      </c>
    </row>
    <row r="128" spans="1:7">
      <c r="A128">
        <v>232</v>
      </c>
      <c r="B128">
        <v>6618612880</v>
      </c>
      <c r="C128">
        <v>26.47</v>
      </c>
      <c r="D128">
        <v>0</v>
      </c>
      <c r="E128">
        <v>983.98</v>
      </c>
      <c r="F128">
        <v>5372755</v>
      </c>
      <c r="G128">
        <v>73758912</v>
      </c>
    </row>
    <row r="129" spans="1:7">
      <c r="A129">
        <v>234</v>
      </c>
      <c r="B129">
        <v>6588508600</v>
      </c>
      <c r="C129">
        <v>26.35</v>
      </c>
      <c r="D129">
        <v>0</v>
      </c>
      <c r="E129">
        <v>983.98</v>
      </c>
      <c r="F129">
        <v>5420764</v>
      </c>
      <c r="G129">
        <v>74486104</v>
      </c>
    </row>
    <row r="130" spans="1:7">
      <c r="A130">
        <v>236</v>
      </c>
      <c r="B130">
        <v>6628057360</v>
      </c>
      <c r="C130">
        <v>26.51</v>
      </c>
      <c r="D130">
        <v>0</v>
      </c>
      <c r="E130">
        <v>983.98</v>
      </c>
      <c r="F130">
        <v>5468920</v>
      </c>
      <c r="G130">
        <v>75213197</v>
      </c>
    </row>
    <row r="131" spans="1:7">
      <c r="A131">
        <v>238</v>
      </c>
      <c r="B131">
        <v>6532923900</v>
      </c>
      <c r="C131">
        <v>26.13</v>
      </c>
      <c r="D131">
        <v>0</v>
      </c>
      <c r="E131">
        <v>983.98</v>
      </c>
      <c r="F131">
        <v>5517148</v>
      </c>
      <c r="G131">
        <v>75939775</v>
      </c>
    </row>
    <row r="132" spans="1:7">
      <c r="A132">
        <v>240</v>
      </c>
      <c r="B132">
        <v>6432773060</v>
      </c>
      <c r="C132">
        <v>25.73</v>
      </c>
      <c r="D132">
        <v>0</v>
      </c>
      <c r="E132">
        <v>983.98</v>
      </c>
      <c r="F132">
        <v>5565408</v>
      </c>
      <c r="G132">
        <v>76666806</v>
      </c>
    </row>
    <row r="133" spans="1:7">
      <c r="A133">
        <v>242</v>
      </c>
      <c r="B133">
        <v>6414277620</v>
      </c>
      <c r="C133">
        <v>25.66</v>
      </c>
      <c r="D133">
        <v>0</v>
      </c>
      <c r="E133">
        <v>983.98</v>
      </c>
      <c r="F133">
        <v>5613548</v>
      </c>
      <c r="G133">
        <v>77393875</v>
      </c>
    </row>
    <row r="134" spans="1:7">
      <c r="A134">
        <v>244</v>
      </c>
      <c r="B134">
        <v>6505672640</v>
      </c>
      <c r="C134">
        <v>26.02</v>
      </c>
      <c r="D134">
        <v>0</v>
      </c>
      <c r="E134">
        <v>983.98</v>
      </c>
      <c r="F134">
        <v>5661723</v>
      </c>
      <c r="G134">
        <v>78120791</v>
      </c>
    </row>
    <row r="135" spans="1:7">
      <c r="A135">
        <v>246</v>
      </c>
      <c r="B135">
        <v>6474682940</v>
      </c>
      <c r="C135">
        <v>25.9</v>
      </c>
      <c r="D135">
        <v>0</v>
      </c>
      <c r="E135">
        <v>983.98</v>
      </c>
      <c r="F135">
        <v>5709873</v>
      </c>
      <c r="G135">
        <v>78847684</v>
      </c>
    </row>
    <row r="136" spans="1:7">
      <c r="A136">
        <v>248</v>
      </c>
      <c r="B136">
        <v>6341279660</v>
      </c>
      <c r="C136">
        <v>25.37</v>
      </c>
      <c r="D136">
        <v>0</v>
      </c>
      <c r="E136">
        <v>983.98</v>
      </c>
      <c r="F136">
        <v>5757933</v>
      </c>
      <c r="G136">
        <v>79572603</v>
      </c>
    </row>
    <row r="137" spans="1:7">
      <c r="A137">
        <v>250</v>
      </c>
      <c r="B137">
        <v>6686790220</v>
      </c>
      <c r="C137">
        <v>26.75</v>
      </c>
      <c r="D137">
        <v>0</v>
      </c>
      <c r="E137">
        <v>983.98</v>
      </c>
      <c r="F137">
        <v>5806116</v>
      </c>
      <c r="G137">
        <v>80298718</v>
      </c>
    </row>
    <row r="138" spans="1:7">
      <c r="A138">
        <v>252</v>
      </c>
      <c r="B138">
        <v>6516887960</v>
      </c>
      <c r="C138">
        <v>26.07</v>
      </c>
      <c r="D138">
        <v>0</v>
      </c>
      <c r="E138">
        <v>983.98</v>
      </c>
      <c r="F138">
        <v>5854147</v>
      </c>
      <c r="G138">
        <v>81024973</v>
      </c>
    </row>
    <row r="139" spans="1:7">
      <c r="A139">
        <v>254</v>
      </c>
      <c r="B139">
        <v>6586442620</v>
      </c>
      <c r="C139">
        <v>26.35</v>
      </c>
      <c r="D139">
        <v>0</v>
      </c>
      <c r="E139">
        <v>983.98</v>
      </c>
      <c r="F139">
        <v>5902246</v>
      </c>
      <c r="G139">
        <v>81751370</v>
      </c>
    </row>
    <row r="140" spans="1:7">
      <c r="A140">
        <v>256</v>
      </c>
      <c r="B140">
        <v>6537154240</v>
      </c>
      <c r="C140">
        <v>26.15</v>
      </c>
      <c r="D140">
        <v>0</v>
      </c>
      <c r="E140">
        <v>983.98</v>
      </c>
      <c r="F140">
        <v>5950388</v>
      </c>
      <c r="G140">
        <v>82478163</v>
      </c>
    </row>
    <row r="141" spans="1:7">
      <c r="A141">
        <v>258</v>
      </c>
      <c r="B141">
        <v>6401980120</v>
      </c>
      <c r="C141">
        <v>25.61</v>
      </c>
      <c r="D141">
        <v>0</v>
      </c>
      <c r="E141">
        <v>983.98</v>
      </c>
      <c r="F141">
        <v>5998602</v>
      </c>
      <c r="G141">
        <v>83204590</v>
      </c>
    </row>
    <row r="142" spans="1:7">
      <c r="A142">
        <v>260</v>
      </c>
      <c r="B142">
        <v>6324259920</v>
      </c>
      <c r="C142">
        <v>25.3</v>
      </c>
      <c r="D142">
        <v>0</v>
      </c>
      <c r="E142">
        <v>983.98</v>
      </c>
      <c r="F142">
        <v>6046641</v>
      </c>
      <c r="G142">
        <v>83931291</v>
      </c>
    </row>
    <row r="143" spans="1:7">
      <c r="A143">
        <v>262</v>
      </c>
      <c r="B143">
        <v>6574046740</v>
      </c>
      <c r="C143">
        <v>26.3</v>
      </c>
      <c r="D143">
        <v>0</v>
      </c>
      <c r="E143">
        <v>983.98</v>
      </c>
      <c r="F143">
        <v>6094864</v>
      </c>
      <c r="G143">
        <v>84658238</v>
      </c>
    </row>
    <row r="144" spans="1:7">
      <c r="A144">
        <v>264</v>
      </c>
      <c r="B144">
        <v>6606610520</v>
      </c>
      <c r="C144">
        <v>26.43</v>
      </c>
      <c r="D144">
        <v>0</v>
      </c>
      <c r="E144">
        <v>983.98</v>
      </c>
      <c r="F144">
        <v>6143092</v>
      </c>
      <c r="G144">
        <v>85385196</v>
      </c>
    </row>
    <row r="145" spans="1:7">
      <c r="A145">
        <v>266</v>
      </c>
      <c r="B145">
        <v>6540204020</v>
      </c>
      <c r="C145">
        <v>26.16</v>
      </c>
      <c r="D145">
        <v>0</v>
      </c>
      <c r="E145">
        <v>983.98</v>
      </c>
      <c r="F145">
        <v>6191117</v>
      </c>
      <c r="G145">
        <v>86112149</v>
      </c>
    </row>
    <row r="146" spans="1:7">
      <c r="A146">
        <v>268</v>
      </c>
      <c r="B146">
        <v>6475273220</v>
      </c>
      <c r="C146">
        <v>25.9</v>
      </c>
      <c r="D146">
        <v>0</v>
      </c>
      <c r="E146">
        <v>983.98</v>
      </c>
      <c r="F146">
        <v>6239103</v>
      </c>
      <c r="G146">
        <v>86839050</v>
      </c>
    </row>
    <row r="147" spans="1:7">
      <c r="A147">
        <v>270</v>
      </c>
      <c r="B147">
        <v>6523676180</v>
      </c>
      <c r="C147">
        <v>26.09</v>
      </c>
      <c r="D147">
        <v>0</v>
      </c>
      <c r="E147">
        <v>983.98</v>
      </c>
      <c r="F147">
        <v>6287241</v>
      </c>
      <c r="G147">
        <v>87565403</v>
      </c>
    </row>
    <row r="148" spans="1:7">
      <c r="A148">
        <v>272</v>
      </c>
      <c r="B148">
        <v>6469272040</v>
      </c>
      <c r="C148">
        <v>25.88</v>
      </c>
      <c r="D148">
        <v>0</v>
      </c>
      <c r="E148">
        <v>983.98</v>
      </c>
      <c r="F148">
        <v>6335348</v>
      </c>
      <c r="G148">
        <v>88291764</v>
      </c>
    </row>
    <row r="149" spans="1:7">
      <c r="A149">
        <v>274</v>
      </c>
      <c r="B149">
        <v>6506951580</v>
      </c>
      <c r="C149">
        <v>26.03</v>
      </c>
      <c r="D149">
        <v>0</v>
      </c>
      <c r="E149">
        <v>983.98</v>
      </c>
      <c r="F149">
        <v>6383474</v>
      </c>
      <c r="G149">
        <v>89018774</v>
      </c>
    </row>
    <row r="150" spans="1:7">
      <c r="A150">
        <v>276</v>
      </c>
      <c r="B150">
        <v>6538138040</v>
      </c>
      <c r="C150">
        <v>26.15</v>
      </c>
      <c r="D150">
        <v>0</v>
      </c>
      <c r="E150">
        <v>983.98</v>
      </c>
      <c r="F150">
        <v>6431386</v>
      </c>
      <c r="G150">
        <v>89745514</v>
      </c>
    </row>
    <row r="151" spans="1:7">
      <c r="A151">
        <v>278</v>
      </c>
      <c r="B151">
        <v>6464844940</v>
      </c>
      <c r="C151">
        <v>25.86</v>
      </c>
      <c r="D151">
        <v>0</v>
      </c>
      <c r="E151">
        <v>983.98</v>
      </c>
      <c r="F151">
        <v>6479386</v>
      </c>
      <c r="G151">
        <v>90470703</v>
      </c>
    </row>
    <row r="152" spans="1:7">
      <c r="A152">
        <v>280</v>
      </c>
      <c r="B152">
        <v>6131533500</v>
      </c>
      <c r="C152">
        <v>24.53</v>
      </c>
      <c r="D152">
        <v>0</v>
      </c>
      <c r="E152">
        <v>983.98</v>
      </c>
      <c r="F152">
        <v>6527474</v>
      </c>
      <c r="G152">
        <v>91197317</v>
      </c>
    </row>
    <row r="153" spans="1:7">
      <c r="A153">
        <v>282</v>
      </c>
      <c r="B153">
        <v>6604347780</v>
      </c>
      <c r="C153">
        <v>26.42</v>
      </c>
      <c r="D153">
        <v>0</v>
      </c>
      <c r="E153">
        <v>983.98</v>
      </c>
      <c r="F153">
        <v>6575544</v>
      </c>
      <c r="G153">
        <v>91923349</v>
      </c>
    </row>
    <row r="154" spans="1:7">
      <c r="A154">
        <v>284</v>
      </c>
      <c r="B154">
        <v>6560863820</v>
      </c>
      <c r="C154">
        <v>26.24</v>
      </c>
      <c r="D154">
        <v>0</v>
      </c>
      <c r="E154">
        <v>983.98</v>
      </c>
      <c r="F154">
        <v>6623466</v>
      </c>
      <c r="G154">
        <v>92649467</v>
      </c>
    </row>
    <row r="155" spans="1:7">
      <c r="A155">
        <v>286</v>
      </c>
      <c r="B155">
        <v>6550238780</v>
      </c>
      <c r="C155">
        <v>26.2</v>
      </c>
      <c r="D155">
        <v>0</v>
      </c>
      <c r="E155">
        <v>983.98</v>
      </c>
      <c r="F155">
        <v>6671516</v>
      </c>
      <c r="G155">
        <v>93375976</v>
      </c>
    </row>
    <row r="156" spans="1:7">
      <c r="A156">
        <v>288</v>
      </c>
      <c r="B156">
        <v>6620777240</v>
      </c>
      <c r="C156">
        <v>26.48</v>
      </c>
      <c r="D156">
        <v>0</v>
      </c>
      <c r="E156">
        <v>983.98</v>
      </c>
      <c r="F156">
        <v>6719404</v>
      </c>
      <c r="G156">
        <v>94102590</v>
      </c>
    </row>
    <row r="157" spans="1:7">
      <c r="A157">
        <v>290</v>
      </c>
      <c r="B157">
        <v>6470944500</v>
      </c>
      <c r="C157">
        <v>25.88</v>
      </c>
      <c r="D157">
        <v>0</v>
      </c>
      <c r="E157">
        <v>983.98</v>
      </c>
      <c r="F157">
        <v>6767468</v>
      </c>
      <c r="G157">
        <v>94829886</v>
      </c>
    </row>
    <row r="158" spans="1:7">
      <c r="A158">
        <v>292</v>
      </c>
      <c r="B158">
        <v>6512067340</v>
      </c>
      <c r="C158">
        <v>26.05</v>
      </c>
      <c r="D158">
        <v>0</v>
      </c>
      <c r="E158">
        <v>983.98</v>
      </c>
      <c r="F158">
        <v>6815788</v>
      </c>
      <c r="G158">
        <v>95556733</v>
      </c>
    </row>
    <row r="159" spans="1:7">
      <c r="A159">
        <v>294</v>
      </c>
      <c r="B159">
        <v>6567061760</v>
      </c>
      <c r="C159">
        <v>26.27</v>
      </c>
      <c r="D159">
        <v>0</v>
      </c>
      <c r="E159">
        <v>983.98</v>
      </c>
      <c r="F159">
        <v>6863741</v>
      </c>
      <c r="G159">
        <v>96283941</v>
      </c>
    </row>
    <row r="160" spans="1:7">
      <c r="A160">
        <v>296</v>
      </c>
      <c r="B160">
        <v>6499769840</v>
      </c>
      <c r="C160">
        <v>26</v>
      </c>
      <c r="D160">
        <v>0</v>
      </c>
      <c r="E160">
        <v>983.98</v>
      </c>
      <c r="F160">
        <v>6911874</v>
      </c>
      <c r="G160">
        <v>97010347</v>
      </c>
    </row>
    <row r="161" spans="1:156">
      <c r="A161">
        <v>298</v>
      </c>
      <c r="B161">
        <v>6475568360</v>
      </c>
      <c r="C161">
        <v>25.9</v>
      </c>
      <c r="D161">
        <v>0</v>
      </c>
      <c r="E161">
        <v>983.98</v>
      </c>
      <c r="F161">
        <v>6960041</v>
      </c>
      <c r="G161">
        <v>97736681</v>
      </c>
    </row>
    <row r="162" spans="1:156">
      <c r="A162" t="s">
        <v>107</v>
      </c>
      <c r="B162" t="s">
        <v>45</v>
      </c>
    </row>
    <row r="163" spans="1:156">
      <c r="A163" t="s">
        <v>108</v>
      </c>
      <c r="B163" t="s">
        <v>109</v>
      </c>
      <c r="C163" t="s">
        <v>110</v>
      </c>
      <c r="D163" t="s">
        <v>111</v>
      </c>
      <c r="E163" t="s">
        <v>112</v>
      </c>
      <c r="F163" t="s">
        <v>113</v>
      </c>
      <c r="G163" t="s">
        <v>114</v>
      </c>
      <c r="H163" t="s">
        <v>115</v>
      </c>
      <c r="I163" t="s">
        <v>116</v>
      </c>
      <c r="J163" t="s">
        <v>117</v>
      </c>
      <c r="K163" t="s">
        <v>118</v>
      </c>
      <c r="L163" t="s">
        <v>119</v>
      </c>
      <c r="M163" t="s">
        <v>120</v>
      </c>
      <c r="N163" t="s">
        <v>121</v>
      </c>
      <c r="O163" t="s">
        <v>122</v>
      </c>
      <c r="P163" t="s">
        <v>123</v>
      </c>
      <c r="Q163" t="s">
        <v>124</v>
      </c>
      <c r="R163" t="s">
        <v>118</v>
      </c>
      <c r="S163" t="s">
        <v>125</v>
      </c>
      <c r="T163" t="s">
        <v>126</v>
      </c>
      <c r="U163" t="s">
        <v>127</v>
      </c>
      <c r="V163" t="s">
        <v>128</v>
      </c>
      <c r="W163" t="s">
        <v>129</v>
      </c>
      <c r="X163" t="s">
        <v>130</v>
      </c>
      <c r="Y163" t="s">
        <v>131</v>
      </c>
      <c r="Z163" t="s">
        <v>132</v>
      </c>
      <c r="AA163" t="s">
        <v>133</v>
      </c>
      <c r="AB163" t="s">
        <v>134</v>
      </c>
      <c r="AC163" t="s">
        <v>135</v>
      </c>
      <c r="AD163" t="s">
        <v>105</v>
      </c>
      <c r="AE163" t="s">
        <v>136</v>
      </c>
      <c r="AF163" t="s">
        <v>115</v>
      </c>
      <c r="AG163" t="s">
        <v>137</v>
      </c>
      <c r="AH163" t="s">
        <v>138</v>
      </c>
      <c r="AI163" t="s">
        <v>139</v>
      </c>
      <c r="AJ163" t="s">
        <v>126</v>
      </c>
      <c r="AK163" t="s">
        <v>127</v>
      </c>
      <c r="AL163" t="s">
        <v>128</v>
      </c>
      <c r="AM163" t="s">
        <v>129</v>
      </c>
      <c r="AN163" t="s">
        <v>130</v>
      </c>
      <c r="AO163" t="s">
        <v>131</v>
      </c>
      <c r="AP163" t="s">
        <v>132</v>
      </c>
      <c r="AQ163" t="s">
        <v>133</v>
      </c>
      <c r="AR163" t="s">
        <v>134</v>
      </c>
      <c r="AS163" t="s">
        <v>140</v>
      </c>
      <c r="AT163" t="s">
        <v>105</v>
      </c>
      <c r="AU163" t="s">
        <v>136</v>
      </c>
      <c r="AV163" t="s">
        <v>115</v>
      </c>
      <c r="AW163" t="s">
        <v>137</v>
      </c>
      <c r="AX163" t="s">
        <v>138</v>
      </c>
      <c r="AY163" t="s">
        <v>141</v>
      </c>
      <c r="AZ163" t="s">
        <v>126</v>
      </c>
      <c r="BA163" t="s">
        <v>142</v>
      </c>
      <c r="BB163" t="s">
        <v>143</v>
      </c>
      <c r="BC163" t="s">
        <v>144</v>
      </c>
      <c r="BD163" t="s">
        <v>145</v>
      </c>
      <c r="BE163" t="s">
        <v>146</v>
      </c>
      <c r="BF163" t="s">
        <v>147</v>
      </c>
      <c r="BG163" t="s">
        <v>148</v>
      </c>
      <c r="BH163" t="s">
        <v>149</v>
      </c>
      <c r="BI163" t="s">
        <v>150</v>
      </c>
      <c r="BJ163" t="s">
        <v>141</v>
      </c>
      <c r="BK163" t="s">
        <v>126</v>
      </c>
      <c r="BL163" t="s">
        <v>142</v>
      </c>
      <c r="BM163" t="s">
        <v>143</v>
      </c>
      <c r="BN163" t="s">
        <v>144</v>
      </c>
      <c r="BO163" t="s">
        <v>145</v>
      </c>
      <c r="BP163" t="s">
        <v>146</v>
      </c>
      <c r="BQ163" t="s">
        <v>147</v>
      </c>
      <c r="BR163" t="s">
        <v>148</v>
      </c>
      <c r="BS163" t="s">
        <v>149</v>
      </c>
      <c r="BT163" t="s">
        <v>150</v>
      </c>
    </row>
    <row r="164" spans="1:156">
      <c r="A164">
        <v>98380</v>
      </c>
      <c r="B164">
        <v>0</v>
      </c>
      <c r="C164">
        <v>8956136</v>
      </c>
      <c r="D164">
        <v>0</v>
      </c>
      <c r="E164">
        <v>33.496699999999997</v>
      </c>
      <c r="F164" s="7">
        <v>302001000</v>
      </c>
      <c r="G164">
        <v>23496.1</v>
      </c>
      <c r="H164">
        <v>98530332</v>
      </c>
      <c r="I164">
        <v>0</v>
      </c>
      <c r="J164">
        <v>0</v>
      </c>
      <c r="K164" t="s">
        <v>151</v>
      </c>
      <c r="L164">
        <v>0</v>
      </c>
      <c r="M164">
        <v>8956136</v>
      </c>
      <c r="N164">
        <v>881104659680</v>
      </c>
      <c r="O164">
        <v>33.497500000000002</v>
      </c>
      <c r="P164">
        <v>300008087</v>
      </c>
      <c r="Q164">
        <v>23495.5</v>
      </c>
      <c r="R164" t="s">
        <v>151</v>
      </c>
      <c r="S164" t="s">
        <v>152</v>
      </c>
      <c r="T164" t="s">
        <v>153</v>
      </c>
      <c r="U164" t="s">
        <v>45</v>
      </c>
      <c r="V164">
        <v>0</v>
      </c>
      <c r="W164">
        <v>0</v>
      </c>
      <c r="X164">
        <v>0</v>
      </c>
      <c r="Y164">
        <v>0</v>
      </c>
      <c r="Z164">
        <v>39</v>
      </c>
      <c r="AA164">
        <v>7221</v>
      </c>
      <c r="AB164">
        <v>0</v>
      </c>
      <c r="AC164">
        <v>0</v>
      </c>
      <c r="AD164" t="s">
        <v>154</v>
      </c>
      <c r="AE164" t="s">
        <v>45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155</v>
      </c>
      <c r="AO164" t="s">
        <v>45</v>
      </c>
      <c r="AP164">
        <v>7018793</v>
      </c>
      <c r="AQ164">
        <v>463240232</v>
      </c>
      <c r="AR164">
        <v>0</v>
      </c>
      <c r="AS164">
        <v>0</v>
      </c>
      <c r="AT164">
        <v>98530334</v>
      </c>
      <c r="AU164">
        <v>887607661764</v>
      </c>
      <c r="AV164">
        <v>0</v>
      </c>
      <c r="AW164">
        <v>0</v>
      </c>
      <c r="AX164" t="s">
        <v>156</v>
      </c>
      <c r="AY164" t="s">
        <v>45</v>
      </c>
      <c r="AZ164">
        <v>0</v>
      </c>
      <c r="BA164">
        <v>0</v>
      </c>
      <c r="BB164">
        <v>0</v>
      </c>
      <c r="BC164">
        <v>0</v>
      </c>
      <c r="BD164">
        <v>41</v>
      </c>
      <c r="BE164">
        <v>7931</v>
      </c>
      <c r="BF164">
        <v>0</v>
      </c>
      <c r="BG164">
        <v>0</v>
      </c>
      <c r="BH164" t="s">
        <v>157</v>
      </c>
      <c r="BI164" t="s">
        <v>45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 t="s">
        <v>158</v>
      </c>
      <c r="BS164" t="s">
        <v>45</v>
      </c>
      <c r="BT164">
        <v>16</v>
      </c>
      <c r="BU164">
        <v>1408</v>
      </c>
      <c r="BV164">
        <v>0</v>
      </c>
      <c r="BW164">
        <v>0</v>
      </c>
      <c r="BX164">
        <v>16</v>
      </c>
      <c r="BY164">
        <v>1408</v>
      </c>
      <c r="BZ164">
        <v>0</v>
      </c>
      <c r="CA164">
        <v>0</v>
      </c>
      <c r="CB164" t="s">
        <v>135</v>
      </c>
      <c r="CC164">
        <v>7018760</v>
      </c>
      <c r="CD164">
        <v>0</v>
      </c>
      <c r="CE164">
        <v>98530332</v>
      </c>
      <c r="CF164">
        <v>0</v>
      </c>
      <c r="CG164">
        <v>0</v>
      </c>
      <c r="CH164" t="s">
        <v>159</v>
      </c>
      <c r="CI164" t="s">
        <v>160</v>
      </c>
      <c r="CJ164" t="s">
        <v>45</v>
      </c>
      <c r="CK164">
        <v>91015</v>
      </c>
      <c r="CL164">
        <v>4211069</v>
      </c>
      <c r="CM164">
        <v>0</v>
      </c>
      <c r="CN164">
        <v>0</v>
      </c>
      <c r="CO164">
        <v>873</v>
      </c>
      <c r="CP164">
        <v>314573</v>
      </c>
      <c r="CQ164">
        <v>0</v>
      </c>
      <c r="CR164">
        <v>0</v>
      </c>
      <c r="CS164" t="s">
        <v>161</v>
      </c>
      <c r="CT164" t="s">
        <v>45</v>
      </c>
      <c r="CU164">
        <v>98622663</v>
      </c>
      <c r="CV164">
        <v>887613271535</v>
      </c>
      <c r="CW164">
        <v>0</v>
      </c>
      <c r="CX164">
        <v>0</v>
      </c>
      <c r="CY164">
        <v>7020880</v>
      </c>
      <c r="CZ164">
        <v>463710831</v>
      </c>
      <c r="DA164">
        <v>0</v>
      </c>
      <c r="DB164">
        <v>0</v>
      </c>
      <c r="DC164" t="s">
        <v>158</v>
      </c>
      <c r="DD164" t="s">
        <v>45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 t="s">
        <v>162</v>
      </c>
      <c r="DN164" t="s">
        <v>45</v>
      </c>
      <c r="DO164">
        <v>14588985</v>
      </c>
      <c r="DP164">
        <v>881863323122</v>
      </c>
      <c r="DQ164">
        <v>0</v>
      </c>
      <c r="DR164">
        <v>0</v>
      </c>
      <c r="DS164">
        <v>7019892</v>
      </c>
      <c r="DT164">
        <v>463375468</v>
      </c>
      <c r="DU164">
        <v>0</v>
      </c>
      <c r="DV164">
        <v>0</v>
      </c>
      <c r="DW164" t="s">
        <v>163</v>
      </c>
      <c r="DX164" t="s">
        <v>45</v>
      </c>
      <c r="DY164">
        <v>9514</v>
      </c>
      <c r="DZ164">
        <v>951400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 t="s">
        <v>140</v>
      </c>
      <c r="EH164">
        <v>14588574</v>
      </c>
      <c r="EI164">
        <v>7</v>
      </c>
      <c r="EJ164">
        <v>7019699</v>
      </c>
      <c r="EK164">
        <v>46</v>
      </c>
      <c r="EL164">
        <v>33</v>
      </c>
      <c r="EM164" t="s">
        <v>141</v>
      </c>
      <c r="EN164" t="s">
        <v>164</v>
      </c>
      <c r="EO164">
        <v>98622663</v>
      </c>
      <c r="EP164">
        <v>7020880</v>
      </c>
      <c r="EQ164">
        <v>98632685</v>
      </c>
      <c r="ER164">
        <v>7020880</v>
      </c>
      <c r="ES164">
        <v>0</v>
      </c>
      <c r="ET164">
        <v>0</v>
      </c>
      <c r="EU164">
        <v>0</v>
      </c>
      <c r="EV164">
        <v>0</v>
      </c>
      <c r="EW164">
        <v>0</v>
      </c>
      <c r="EX164" t="s">
        <v>141</v>
      </c>
      <c r="EY164" t="s">
        <v>45</v>
      </c>
      <c r="EZ164" t="s">
        <v>118</v>
      </c>
    </row>
    <row r="165" spans="1:156">
      <c r="A165" t="s">
        <v>165</v>
      </c>
      <c r="B165" t="s">
        <v>166</v>
      </c>
      <c r="C165" t="s">
        <v>167</v>
      </c>
      <c r="D165" t="s">
        <v>168</v>
      </c>
      <c r="E165" t="s">
        <v>169</v>
      </c>
      <c r="F165" t="s">
        <v>170</v>
      </c>
      <c r="G165" t="s">
        <v>171</v>
      </c>
      <c r="H165" t="s">
        <v>172</v>
      </c>
    </row>
    <row r="166" spans="1:156">
      <c r="A166" t="s">
        <v>173</v>
      </c>
      <c r="B166">
        <v>0</v>
      </c>
      <c r="C166">
        <v>0</v>
      </c>
      <c r="D166">
        <v>18</v>
      </c>
      <c r="E166">
        <v>81</v>
      </c>
      <c r="F166">
        <v>0</v>
      </c>
      <c r="G166">
        <v>0</v>
      </c>
      <c r="H166">
        <v>4</v>
      </c>
      <c r="I166" t="s">
        <v>45</v>
      </c>
    </row>
    <row r="167" spans="1:156">
      <c r="A167" t="s">
        <v>174</v>
      </c>
      <c r="B167">
        <v>0</v>
      </c>
      <c r="C167">
        <v>0</v>
      </c>
      <c r="D167">
        <v>71</v>
      </c>
      <c r="E167">
        <v>27</v>
      </c>
      <c r="F167">
        <v>0</v>
      </c>
      <c r="G167">
        <v>3</v>
      </c>
      <c r="H167">
        <v>18</v>
      </c>
      <c r="I167" t="s">
        <v>45</v>
      </c>
    </row>
    <row r="168" spans="1:156">
      <c r="A168" t="s">
        <v>175</v>
      </c>
      <c r="B168">
        <v>0</v>
      </c>
      <c r="C168">
        <v>0</v>
      </c>
      <c r="D168">
        <v>0</v>
      </c>
      <c r="E168">
        <v>99</v>
      </c>
      <c r="F168">
        <v>0</v>
      </c>
      <c r="G168">
        <v>0</v>
      </c>
      <c r="H168">
        <v>0</v>
      </c>
      <c r="I168" t="s">
        <v>45</v>
      </c>
    </row>
    <row r="169" spans="1:156">
      <c r="A169" t="s">
        <v>176</v>
      </c>
      <c r="B169">
        <v>0</v>
      </c>
      <c r="C169">
        <v>0</v>
      </c>
      <c r="D169">
        <v>0</v>
      </c>
      <c r="E169">
        <v>99</v>
      </c>
      <c r="F169">
        <v>0</v>
      </c>
      <c r="G169">
        <v>0</v>
      </c>
      <c r="H169">
        <v>0</v>
      </c>
      <c r="I169" t="s">
        <v>45</v>
      </c>
    </row>
    <row r="170" spans="1:156">
      <c r="A170" t="s">
        <v>177</v>
      </c>
      <c r="B170">
        <v>0</v>
      </c>
      <c r="C170">
        <v>0</v>
      </c>
      <c r="D170">
        <v>0</v>
      </c>
      <c r="E170">
        <v>99</v>
      </c>
      <c r="F170">
        <v>0</v>
      </c>
      <c r="G170">
        <v>0</v>
      </c>
      <c r="H170">
        <v>0</v>
      </c>
      <c r="I170" t="s">
        <v>45</v>
      </c>
    </row>
    <row r="171" spans="1:156">
      <c r="A171" t="s">
        <v>178</v>
      </c>
      <c r="B171" t="s">
        <v>166</v>
      </c>
      <c r="C171" t="s">
        <v>167</v>
      </c>
      <c r="D171" t="s">
        <v>168</v>
      </c>
      <c r="E171" t="s">
        <v>169</v>
      </c>
      <c r="F171" t="s">
        <v>170</v>
      </c>
      <c r="G171" t="s">
        <v>171</v>
      </c>
      <c r="H171" t="s">
        <v>172</v>
      </c>
    </row>
    <row r="172" spans="1:156">
      <c r="A172" t="s">
        <v>179</v>
      </c>
      <c r="B172">
        <v>0</v>
      </c>
      <c r="C172">
        <v>0</v>
      </c>
      <c r="D172">
        <v>1</v>
      </c>
      <c r="E172">
        <v>98</v>
      </c>
      <c r="F172">
        <v>0</v>
      </c>
      <c r="G172">
        <v>0</v>
      </c>
      <c r="H172">
        <v>0</v>
      </c>
      <c r="I172" t="s">
        <v>45</v>
      </c>
    </row>
    <row r="173" spans="1:156">
      <c r="A173" t="s">
        <v>180</v>
      </c>
      <c r="B173">
        <v>0</v>
      </c>
      <c r="C173">
        <v>0</v>
      </c>
      <c r="D173">
        <v>0</v>
      </c>
      <c r="E173">
        <v>99</v>
      </c>
      <c r="F173">
        <v>0</v>
      </c>
      <c r="G173">
        <v>0</v>
      </c>
      <c r="H173">
        <v>0</v>
      </c>
      <c r="I173" t="s">
        <v>45</v>
      </c>
    </row>
    <row r="174" spans="1:156">
      <c r="A174" t="s">
        <v>181</v>
      </c>
      <c r="B174">
        <v>0</v>
      </c>
      <c r="C174">
        <v>0</v>
      </c>
      <c r="D174">
        <v>0</v>
      </c>
      <c r="E174">
        <v>99</v>
      </c>
      <c r="F174">
        <v>0</v>
      </c>
      <c r="G174">
        <v>0</v>
      </c>
      <c r="H174">
        <v>0</v>
      </c>
      <c r="I174" t="s">
        <v>45</v>
      </c>
    </row>
    <row r="175" spans="1:156">
      <c r="A175" t="s">
        <v>182</v>
      </c>
      <c r="B175">
        <v>0</v>
      </c>
      <c r="C175">
        <v>0</v>
      </c>
      <c r="D175">
        <v>0</v>
      </c>
      <c r="E175">
        <v>99</v>
      </c>
      <c r="F175">
        <v>0</v>
      </c>
      <c r="G175">
        <v>0</v>
      </c>
      <c r="H175">
        <v>0</v>
      </c>
      <c r="I175" t="s">
        <v>45</v>
      </c>
    </row>
    <row r="176" spans="1:156">
      <c r="A176" t="s">
        <v>183</v>
      </c>
      <c r="B176">
        <v>0</v>
      </c>
      <c r="C176">
        <v>0</v>
      </c>
      <c r="D176">
        <v>0</v>
      </c>
      <c r="E176">
        <v>99</v>
      </c>
      <c r="F176">
        <v>0</v>
      </c>
      <c r="G176">
        <v>0</v>
      </c>
      <c r="H176">
        <v>0</v>
      </c>
      <c r="I176" t="s">
        <v>45</v>
      </c>
    </row>
    <row r="177" spans="1:9">
      <c r="A177" t="s">
        <v>184</v>
      </c>
      <c r="B177">
        <v>0</v>
      </c>
      <c r="C177">
        <v>0</v>
      </c>
      <c r="D177">
        <v>0</v>
      </c>
      <c r="E177">
        <v>99</v>
      </c>
      <c r="F177">
        <v>0</v>
      </c>
      <c r="G177">
        <v>0</v>
      </c>
      <c r="H177">
        <v>0</v>
      </c>
      <c r="I177" t="s">
        <v>45</v>
      </c>
    </row>
    <row r="178" spans="1:9">
      <c r="A178" t="s">
        <v>185</v>
      </c>
      <c r="B178">
        <v>0</v>
      </c>
      <c r="C178">
        <v>0</v>
      </c>
      <c r="D178">
        <v>0</v>
      </c>
      <c r="E178">
        <v>99</v>
      </c>
      <c r="F178">
        <v>0</v>
      </c>
      <c r="G178">
        <v>0</v>
      </c>
      <c r="H178">
        <v>0</v>
      </c>
      <c r="I178" t="s">
        <v>45</v>
      </c>
    </row>
    <row r="179" spans="1:9">
      <c r="A179" t="s">
        <v>186</v>
      </c>
      <c r="B179">
        <v>4</v>
      </c>
      <c r="C179">
        <v>0</v>
      </c>
      <c r="D179">
        <v>87</v>
      </c>
      <c r="E179">
        <v>8</v>
      </c>
      <c r="F179">
        <v>0</v>
      </c>
      <c r="G179">
        <v>0</v>
      </c>
      <c r="H179">
        <v>0</v>
      </c>
      <c r="I179" t="s">
        <v>45</v>
      </c>
    </row>
    <row r="180" spans="1:9">
      <c r="A180" t="s">
        <v>187</v>
      </c>
      <c r="B180">
        <v>0</v>
      </c>
      <c r="C180">
        <v>0</v>
      </c>
      <c r="D180">
        <v>0</v>
      </c>
      <c r="E180">
        <v>99</v>
      </c>
      <c r="F180">
        <v>0</v>
      </c>
      <c r="G180">
        <v>0</v>
      </c>
      <c r="H180">
        <v>0</v>
      </c>
      <c r="I180" t="s">
        <v>45</v>
      </c>
    </row>
    <row r="181" spans="1:9">
      <c r="A181" t="s">
        <v>188</v>
      </c>
      <c r="B181">
        <v>0</v>
      </c>
      <c r="C181">
        <v>0</v>
      </c>
      <c r="D181">
        <v>0</v>
      </c>
      <c r="E181">
        <v>99</v>
      </c>
      <c r="F181">
        <v>0</v>
      </c>
      <c r="G181">
        <v>0</v>
      </c>
      <c r="H181">
        <v>0</v>
      </c>
      <c r="I181" t="s">
        <v>45</v>
      </c>
    </row>
    <row r="182" spans="1:9">
      <c r="A182" t="s">
        <v>189</v>
      </c>
      <c r="B182">
        <v>0</v>
      </c>
      <c r="C182">
        <v>0</v>
      </c>
      <c r="D182">
        <v>0</v>
      </c>
      <c r="E182">
        <v>99</v>
      </c>
      <c r="F182">
        <v>0</v>
      </c>
      <c r="G182">
        <v>0</v>
      </c>
      <c r="H182">
        <v>0</v>
      </c>
      <c r="I182" t="s">
        <v>45</v>
      </c>
    </row>
    <row r="183" spans="1:9">
      <c r="A183" t="s">
        <v>190</v>
      </c>
      <c r="B183">
        <v>0</v>
      </c>
      <c r="C183">
        <v>0</v>
      </c>
      <c r="D183">
        <v>0</v>
      </c>
      <c r="E183">
        <v>99</v>
      </c>
      <c r="F183">
        <v>0</v>
      </c>
      <c r="G183">
        <v>0</v>
      </c>
      <c r="H183">
        <v>0</v>
      </c>
      <c r="I183" t="s">
        <v>45</v>
      </c>
    </row>
    <row r="184" spans="1:9">
      <c r="A184" t="s">
        <v>191</v>
      </c>
      <c r="B184">
        <v>0</v>
      </c>
      <c r="C184">
        <v>0</v>
      </c>
      <c r="D184">
        <v>0</v>
      </c>
      <c r="E184">
        <v>99</v>
      </c>
      <c r="F184">
        <v>0</v>
      </c>
      <c r="G184">
        <v>0</v>
      </c>
      <c r="H184">
        <v>0</v>
      </c>
      <c r="I184" t="s">
        <v>45</v>
      </c>
    </row>
    <row r="185" spans="1:9">
      <c r="A185" t="s">
        <v>192</v>
      </c>
      <c r="B185">
        <v>0</v>
      </c>
      <c r="C185">
        <v>0</v>
      </c>
      <c r="D185">
        <v>0</v>
      </c>
      <c r="E185">
        <v>99</v>
      </c>
      <c r="F185">
        <v>0</v>
      </c>
      <c r="G185">
        <v>0</v>
      </c>
      <c r="H185">
        <v>0</v>
      </c>
      <c r="I185" t="s">
        <v>45</v>
      </c>
    </row>
    <row r="186" spans="1:9">
      <c r="A186" t="s">
        <v>193</v>
      </c>
      <c r="B186">
        <v>0</v>
      </c>
      <c r="C186">
        <v>0</v>
      </c>
      <c r="D186">
        <v>0</v>
      </c>
      <c r="E186">
        <v>99</v>
      </c>
      <c r="F186">
        <v>0</v>
      </c>
      <c r="G186">
        <v>0</v>
      </c>
      <c r="H186">
        <v>0</v>
      </c>
      <c r="I186" t="s">
        <v>45</v>
      </c>
    </row>
    <row r="187" spans="1:9">
      <c r="A187" t="s">
        <v>194</v>
      </c>
      <c r="B187">
        <v>0</v>
      </c>
      <c r="C187">
        <v>0</v>
      </c>
      <c r="D187">
        <v>0</v>
      </c>
      <c r="E187">
        <v>99</v>
      </c>
      <c r="F187">
        <v>0</v>
      </c>
      <c r="G187">
        <v>0</v>
      </c>
      <c r="H187">
        <v>0</v>
      </c>
      <c r="I187" t="s">
        <v>45</v>
      </c>
    </row>
    <row r="188" spans="1:9">
      <c r="A188" t="s">
        <v>195</v>
      </c>
      <c r="B188">
        <v>0</v>
      </c>
      <c r="C188">
        <v>0</v>
      </c>
      <c r="D188">
        <v>0</v>
      </c>
      <c r="E188">
        <v>99</v>
      </c>
      <c r="F188">
        <v>0</v>
      </c>
      <c r="G188">
        <v>0</v>
      </c>
      <c r="H188">
        <v>0</v>
      </c>
      <c r="I188" t="s">
        <v>45</v>
      </c>
    </row>
    <row r="189" spans="1:9">
      <c r="A189" t="s">
        <v>196</v>
      </c>
      <c r="B189">
        <v>0</v>
      </c>
      <c r="C189">
        <v>0</v>
      </c>
      <c r="D189">
        <v>0</v>
      </c>
      <c r="E189">
        <v>99</v>
      </c>
      <c r="F189">
        <v>0</v>
      </c>
      <c r="G189">
        <v>0</v>
      </c>
      <c r="H189">
        <v>0</v>
      </c>
      <c r="I189" t="s">
        <v>45</v>
      </c>
    </row>
    <row r="190" spans="1:9">
      <c r="A190" t="s">
        <v>197</v>
      </c>
      <c r="B190">
        <v>0</v>
      </c>
      <c r="C190">
        <v>0</v>
      </c>
      <c r="D190">
        <v>0</v>
      </c>
      <c r="E190">
        <v>99</v>
      </c>
      <c r="F190">
        <v>0</v>
      </c>
      <c r="G190">
        <v>0</v>
      </c>
      <c r="H190">
        <v>0</v>
      </c>
      <c r="I190" t="s">
        <v>45</v>
      </c>
    </row>
    <row r="191" spans="1:9">
      <c r="A191" t="s">
        <v>198</v>
      </c>
      <c r="B191">
        <v>0</v>
      </c>
      <c r="C191">
        <v>0</v>
      </c>
      <c r="D191">
        <v>0</v>
      </c>
      <c r="E191">
        <v>99</v>
      </c>
      <c r="F191">
        <v>0</v>
      </c>
      <c r="G191">
        <v>0</v>
      </c>
      <c r="H191">
        <v>0</v>
      </c>
      <c r="I191" t="s">
        <v>45</v>
      </c>
    </row>
    <row r="192" spans="1:9">
      <c r="A192" t="s">
        <v>199</v>
      </c>
      <c r="B192">
        <v>0</v>
      </c>
      <c r="C192">
        <v>0</v>
      </c>
      <c r="D192">
        <v>0</v>
      </c>
      <c r="E192">
        <v>99</v>
      </c>
      <c r="F192">
        <v>0</v>
      </c>
      <c r="G192">
        <v>0</v>
      </c>
      <c r="H192">
        <v>0</v>
      </c>
      <c r="I192" t="s">
        <v>45</v>
      </c>
    </row>
    <row r="193" spans="1:9">
      <c r="A193" t="s">
        <v>200</v>
      </c>
      <c r="B193">
        <v>0</v>
      </c>
      <c r="C193">
        <v>0</v>
      </c>
      <c r="D193">
        <v>0</v>
      </c>
      <c r="E193">
        <v>99</v>
      </c>
      <c r="F193">
        <v>0</v>
      </c>
      <c r="G193">
        <v>0</v>
      </c>
      <c r="H193">
        <v>0</v>
      </c>
      <c r="I193" t="s">
        <v>45</v>
      </c>
    </row>
    <row r="194" spans="1:9">
      <c r="A194" t="s">
        <v>201</v>
      </c>
      <c r="B194">
        <v>0</v>
      </c>
      <c r="C194">
        <v>0</v>
      </c>
      <c r="D194">
        <v>0</v>
      </c>
      <c r="E194">
        <v>99</v>
      </c>
      <c r="F194">
        <v>0</v>
      </c>
      <c r="G194">
        <v>0</v>
      </c>
      <c r="H194">
        <v>0</v>
      </c>
      <c r="I194" t="s">
        <v>45</v>
      </c>
    </row>
    <row r="195" spans="1:9">
      <c r="A195" t="s">
        <v>202</v>
      </c>
      <c r="B195">
        <v>0</v>
      </c>
      <c r="C195">
        <v>0</v>
      </c>
      <c r="D195">
        <v>0</v>
      </c>
      <c r="E195">
        <v>99</v>
      </c>
      <c r="F195">
        <v>0</v>
      </c>
      <c r="G195">
        <v>0</v>
      </c>
      <c r="H195">
        <v>0</v>
      </c>
      <c r="I195" t="s">
        <v>45</v>
      </c>
    </row>
    <row r="196" spans="1:9">
      <c r="A196" t="s">
        <v>203</v>
      </c>
      <c r="B196">
        <v>0</v>
      </c>
      <c r="C196">
        <v>0</v>
      </c>
      <c r="D196">
        <v>0</v>
      </c>
      <c r="E196">
        <v>99</v>
      </c>
      <c r="F196">
        <v>0</v>
      </c>
      <c r="G196">
        <v>0</v>
      </c>
      <c r="H196">
        <v>0</v>
      </c>
      <c r="I196" t="s">
        <v>45</v>
      </c>
    </row>
    <row r="197" spans="1:9">
      <c r="A197" t="s">
        <v>204</v>
      </c>
      <c r="B197">
        <v>0</v>
      </c>
      <c r="C197">
        <v>0</v>
      </c>
      <c r="D197">
        <v>0</v>
      </c>
      <c r="E197">
        <v>99</v>
      </c>
      <c r="F197">
        <v>0</v>
      </c>
      <c r="G197">
        <v>0</v>
      </c>
      <c r="H197">
        <v>0</v>
      </c>
      <c r="I197" t="s">
        <v>45</v>
      </c>
    </row>
    <row r="198" spans="1:9">
      <c r="A198" t="s">
        <v>205</v>
      </c>
      <c r="B198">
        <v>0</v>
      </c>
      <c r="C198">
        <v>0</v>
      </c>
      <c r="D198">
        <v>0</v>
      </c>
      <c r="E198">
        <v>99</v>
      </c>
      <c r="F198">
        <v>0</v>
      </c>
      <c r="G198">
        <v>0</v>
      </c>
      <c r="H198">
        <v>0</v>
      </c>
      <c r="I198" t="s">
        <v>45</v>
      </c>
    </row>
    <row r="199" spans="1:9">
      <c r="A199" t="s">
        <v>206</v>
      </c>
      <c r="B199">
        <v>0</v>
      </c>
      <c r="C199">
        <v>0</v>
      </c>
      <c r="D199">
        <v>0</v>
      </c>
      <c r="E199">
        <v>99</v>
      </c>
      <c r="F199">
        <v>0</v>
      </c>
      <c r="G199">
        <v>0</v>
      </c>
      <c r="H199">
        <v>0</v>
      </c>
      <c r="I199" t="s">
        <v>45</v>
      </c>
    </row>
    <row r="200" spans="1:9">
      <c r="A200" t="s">
        <v>207</v>
      </c>
      <c r="B200">
        <v>0</v>
      </c>
      <c r="C200">
        <v>0</v>
      </c>
      <c r="D200">
        <v>0</v>
      </c>
      <c r="E200">
        <v>99</v>
      </c>
      <c r="F200">
        <v>0</v>
      </c>
      <c r="G200">
        <v>0</v>
      </c>
      <c r="H200">
        <v>0</v>
      </c>
      <c r="I200" t="s">
        <v>45</v>
      </c>
    </row>
    <row r="201" spans="1:9">
      <c r="A201" t="s">
        <v>208</v>
      </c>
      <c r="B201">
        <v>0</v>
      </c>
      <c r="C201">
        <v>0</v>
      </c>
      <c r="D201">
        <v>0</v>
      </c>
      <c r="E201">
        <v>99</v>
      </c>
      <c r="F201">
        <v>0</v>
      </c>
      <c r="G201">
        <v>0</v>
      </c>
      <c r="H201">
        <v>0</v>
      </c>
      <c r="I201" t="s">
        <v>45</v>
      </c>
    </row>
    <row r="202" spans="1:9">
      <c r="A202" t="s">
        <v>209</v>
      </c>
      <c r="B202">
        <v>0</v>
      </c>
      <c r="C202">
        <v>0</v>
      </c>
      <c r="D202">
        <v>0</v>
      </c>
      <c r="E202">
        <v>99</v>
      </c>
      <c r="F202">
        <v>0</v>
      </c>
      <c r="G202">
        <v>0</v>
      </c>
      <c r="H202">
        <v>0</v>
      </c>
      <c r="I202" t="s">
        <v>45</v>
      </c>
    </row>
    <row r="203" spans="1:9">
      <c r="A203" t="s">
        <v>210</v>
      </c>
      <c r="B203">
        <v>0</v>
      </c>
      <c r="C203">
        <v>0</v>
      </c>
      <c r="D203">
        <v>0</v>
      </c>
      <c r="E203">
        <v>99</v>
      </c>
      <c r="F203">
        <v>0</v>
      </c>
      <c r="G203">
        <v>0</v>
      </c>
      <c r="H203">
        <v>0</v>
      </c>
      <c r="I203" t="s">
        <v>45</v>
      </c>
    </row>
    <row r="204" spans="1:9">
      <c r="A204" t="s">
        <v>211</v>
      </c>
      <c r="B204">
        <v>0</v>
      </c>
      <c r="C204">
        <v>0</v>
      </c>
      <c r="D204">
        <v>0</v>
      </c>
      <c r="E204">
        <v>99</v>
      </c>
      <c r="F204">
        <v>0</v>
      </c>
      <c r="G204">
        <v>0</v>
      </c>
      <c r="H204">
        <v>0</v>
      </c>
      <c r="I204" t="s">
        <v>45</v>
      </c>
    </row>
    <row r="205" spans="1:9">
      <c r="A205" t="s">
        <v>212</v>
      </c>
      <c r="B205">
        <v>0</v>
      </c>
      <c r="C205">
        <v>0</v>
      </c>
      <c r="D205">
        <v>1</v>
      </c>
      <c r="E205">
        <v>98</v>
      </c>
      <c r="F205">
        <v>0</v>
      </c>
      <c r="G205">
        <v>0</v>
      </c>
      <c r="H205">
        <v>1</v>
      </c>
      <c r="I205" t="s">
        <v>45</v>
      </c>
    </row>
    <row r="206" spans="1:9">
      <c r="A206" t="s">
        <v>213</v>
      </c>
      <c r="B206">
        <v>0</v>
      </c>
      <c r="C206">
        <v>0</v>
      </c>
      <c r="D206">
        <v>0</v>
      </c>
      <c r="E206">
        <v>99</v>
      </c>
      <c r="F206">
        <v>0</v>
      </c>
      <c r="G206">
        <v>0</v>
      </c>
      <c r="H206">
        <v>0</v>
      </c>
      <c r="I206" t="s">
        <v>45</v>
      </c>
    </row>
    <row r="207" spans="1:9">
      <c r="A207" t="s">
        <v>214</v>
      </c>
      <c r="B207">
        <v>0</v>
      </c>
      <c r="C207">
        <v>0</v>
      </c>
      <c r="D207">
        <v>0</v>
      </c>
      <c r="E207">
        <v>99</v>
      </c>
      <c r="F207">
        <v>0</v>
      </c>
      <c r="G207">
        <v>0</v>
      </c>
      <c r="H207">
        <v>0</v>
      </c>
      <c r="I207" t="s">
        <v>45</v>
      </c>
    </row>
    <row r="208" spans="1:9">
      <c r="A208" t="s">
        <v>215</v>
      </c>
      <c r="B208">
        <v>0</v>
      </c>
      <c r="C208">
        <v>0</v>
      </c>
      <c r="D208">
        <v>0</v>
      </c>
      <c r="E208">
        <v>99</v>
      </c>
      <c r="F208">
        <v>0</v>
      </c>
      <c r="G208">
        <v>0</v>
      </c>
      <c r="H208">
        <v>0</v>
      </c>
      <c r="I208" t="s">
        <v>45</v>
      </c>
    </row>
    <row r="209" spans="1:9">
      <c r="A209" t="s">
        <v>216</v>
      </c>
      <c r="B209">
        <v>0</v>
      </c>
      <c r="C209">
        <v>0</v>
      </c>
      <c r="D209">
        <v>0</v>
      </c>
      <c r="E209">
        <v>99</v>
      </c>
      <c r="F209">
        <v>0</v>
      </c>
      <c r="G209">
        <v>0</v>
      </c>
      <c r="H209">
        <v>0</v>
      </c>
      <c r="I209" t="s">
        <v>45</v>
      </c>
    </row>
    <row r="210" spans="1:9">
      <c r="A210" t="s">
        <v>217</v>
      </c>
      <c r="B210">
        <v>0</v>
      </c>
      <c r="C210">
        <v>0</v>
      </c>
      <c r="D210">
        <v>0</v>
      </c>
      <c r="E210">
        <v>99</v>
      </c>
      <c r="F210">
        <v>0</v>
      </c>
      <c r="G210">
        <v>0</v>
      </c>
      <c r="H210">
        <v>0</v>
      </c>
      <c r="I210" t="s">
        <v>45</v>
      </c>
    </row>
    <row r="211" spans="1:9">
      <c r="A211" t="s">
        <v>218</v>
      </c>
      <c r="B211">
        <v>0</v>
      </c>
      <c r="C211">
        <v>0</v>
      </c>
      <c r="D211">
        <v>0</v>
      </c>
      <c r="E211">
        <v>99</v>
      </c>
      <c r="F211">
        <v>0</v>
      </c>
      <c r="G211">
        <v>0</v>
      </c>
      <c r="H211">
        <v>0</v>
      </c>
      <c r="I211" t="s">
        <v>45</v>
      </c>
    </row>
    <row r="212" spans="1:9">
      <c r="A212" t="s">
        <v>219</v>
      </c>
      <c r="B212">
        <v>0</v>
      </c>
      <c r="C212">
        <v>0</v>
      </c>
      <c r="D212">
        <v>0</v>
      </c>
      <c r="E212">
        <v>99</v>
      </c>
      <c r="F212">
        <v>0</v>
      </c>
      <c r="G212">
        <v>0</v>
      </c>
      <c r="H212">
        <v>0</v>
      </c>
      <c r="I212" t="s">
        <v>45</v>
      </c>
    </row>
    <row r="213" spans="1:9">
      <c r="A213" t="s">
        <v>220</v>
      </c>
      <c r="B213">
        <v>0</v>
      </c>
      <c r="C213">
        <v>0</v>
      </c>
      <c r="D213">
        <v>0</v>
      </c>
      <c r="E213">
        <v>99</v>
      </c>
      <c r="F213">
        <v>0</v>
      </c>
      <c r="G213">
        <v>0</v>
      </c>
      <c r="H213">
        <v>0</v>
      </c>
      <c r="I213" t="s">
        <v>45</v>
      </c>
    </row>
    <row r="214" spans="1:9">
      <c r="A214" t="s">
        <v>221</v>
      </c>
      <c r="B214">
        <v>0</v>
      </c>
      <c r="C214">
        <v>0</v>
      </c>
      <c r="D214">
        <v>0</v>
      </c>
      <c r="E214">
        <v>99</v>
      </c>
      <c r="F214">
        <v>0</v>
      </c>
      <c r="G214">
        <v>0</v>
      </c>
      <c r="H214">
        <v>0</v>
      </c>
      <c r="I214" t="s">
        <v>45</v>
      </c>
    </row>
    <row r="215" spans="1:9">
      <c r="A215" t="s">
        <v>222</v>
      </c>
      <c r="B215">
        <v>0</v>
      </c>
      <c r="C215">
        <v>0</v>
      </c>
      <c r="D215">
        <v>0</v>
      </c>
      <c r="E215">
        <v>99</v>
      </c>
      <c r="F215">
        <v>0</v>
      </c>
      <c r="G215">
        <v>0</v>
      </c>
      <c r="H215">
        <v>0</v>
      </c>
      <c r="I215" t="s">
        <v>45</v>
      </c>
    </row>
    <row r="216" spans="1:9">
      <c r="A216" t="s">
        <v>223</v>
      </c>
      <c r="B216">
        <v>0</v>
      </c>
      <c r="C216">
        <v>0</v>
      </c>
      <c r="D216">
        <v>0</v>
      </c>
      <c r="E216">
        <v>99</v>
      </c>
      <c r="F216">
        <v>0</v>
      </c>
      <c r="G216">
        <v>0</v>
      </c>
      <c r="H216">
        <v>0</v>
      </c>
      <c r="I216" t="s">
        <v>45</v>
      </c>
    </row>
    <row r="217" spans="1:9">
      <c r="A217" t="s">
        <v>224</v>
      </c>
      <c r="B217">
        <v>0</v>
      </c>
      <c r="C217">
        <v>0</v>
      </c>
      <c r="D217">
        <v>0</v>
      </c>
      <c r="E217">
        <v>99</v>
      </c>
      <c r="F217">
        <v>0</v>
      </c>
      <c r="G217">
        <v>0</v>
      </c>
      <c r="H217">
        <v>0</v>
      </c>
      <c r="I217" t="s">
        <v>45</v>
      </c>
    </row>
    <row r="218" spans="1:9">
      <c r="A218" t="s">
        <v>225</v>
      </c>
      <c r="B218">
        <v>0</v>
      </c>
      <c r="C218">
        <v>0</v>
      </c>
      <c r="D218">
        <v>0</v>
      </c>
      <c r="E218">
        <v>99</v>
      </c>
      <c r="F218">
        <v>0</v>
      </c>
      <c r="G218">
        <v>0</v>
      </c>
      <c r="H218">
        <v>0</v>
      </c>
      <c r="I218" t="s">
        <v>45</v>
      </c>
    </row>
    <row r="219" spans="1:9">
      <c r="A219" t="s">
        <v>226</v>
      </c>
      <c r="B219">
        <v>0</v>
      </c>
      <c r="C219">
        <v>0</v>
      </c>
      <c r="D219">
        <v>0</v>
      </c>
      <c r="E219">
        <v>99</v>
      </c>
      <c r="F219">
        <v>0</v>
      </c>
      <c r="G219">
        <v>0</v>
      </c>
      <c r="H219">
        <v>0</v>
      </c>
      <c r="I219" t="s">
        <v>45</v>
      </c>
    </row>
    <row r="220" spans="1:9">
      <c r="A220" t="s">
        <v>227</v>
      </c>
      <c r="B220">
        <v>0</v>
      </c>
      <c r="C220">
        <v>0</v>
      </c>
      <c r="D220">
        <v>0</v>
      </c>
      <c r="E220">
        <v>99</v>
      </c>
      <c r="F220">
        <v>0</v>
      </c>
      <c r="G220">
        <v>0</v>
      </c>
      <c r="H220">
        <v>0</v>
      </c>
      <c r="I220" t="s">
        <v>45</v>
      </c>
    </row>
    <row r="221" spans="1:9">
      <c r="A221" t="s">
        <v>228</v>
      </c>
      <c r="B221">
        <v>0</v>
      </c>
      <c r="C221">
        <v>0</v>
      </c>
      <c r="D221">
        <v>0</v>
      </c>
      <c r="E221">
        <v>99</v>
      </c>
      <c r="F221">
        <v>0</v>
      </c>
      <c r="G221">
        <v>0</v>
      </c>
      <c r="H221">
        <v>0</v>
      </c>
      <c r="I221" t="s">
        <v>45</v>
      </c>
    </row>
    <row r="222" spans="1:9">
      <c r="A222" t="s">
        <v>229</v>
      </c>
      <c r="B222">
        <v>0</v>
      </c>
      <c r="C222">
        <v>0</v>
      </c>
      <c r="D222">
        <v>0</v>
      </c>
      <c r="E222">
        <v>99</v>
      </c>
      <c r="F222">
        <v>0</v>
      </c>
      <c r="G222">
        <v>0</v>
      </c>
      <c r="H222">
        <v>0</v>
      </c>
      <c r="I222" t="s">
        <v>45</v>
      </c>
    </row>
    <row r="223" spans="1:9">
      <c r="A223" t="s">
        <v>230</v>
      </c>
      <c r="B223">
        <v>0</v>
      </c>
      <c r="C223">
        <v>0</v>
      </c>
      <c r="D223">
        <v>0</v>
      </c>
      <c r="E223">
        <v>99</v>
      </c>
      <c r="F223">
        <v>0</v>
      </c>
      <c r="G223">
        <v>0</v>
      </c>
      <c r="H223">
        <v>0</v>
      </c>
      <c r="I223" t="s">
        <v>45</v>
      </c>
    </row>
    <row r="224" spans="1:9">
      <c r="A224" t="s">
        <v>231</v>
      </c>
      <c r="B224">
        <v>0</v>
      </c>
      <c r="C224">
        <v>0</v>
      </c>
      <c r="D224">
        <v>0</v>
      </c>
      <c r="E224">
        <v>99</v>
      </c>
      <c r="F224">
        <v>0</v>
      </c>
      <c r="G224">
        <v>0</v>
      </c>
      <c r="H224">
        <v>0</v>
      </c>
      <c r="I224" t="s">
        <v>45</v>
      </c>
    </row>
    <row r="225" spans="1:9">
      <c r="A225" t="s">
        <v>232</v>
      </c>
      <c r="B225">
        <v>0</v>
      </c>
      <c r="C225">
        <v>0</v>
      </c>
      <c r="D225">
        <v>0</v>
      </c>
      <c r="E225">
        <v>99</v>
      </c>
      <c r="F225">
        <v>0</v>
      </c>
      <c r="G225">
        <v>0</v>
      </c>
      <c r="H225">
        <v>0</v>
      </c>
      <c r="I225" t="s">
        <v>45</v>
      </c>
    </row>
    <row r="226" spans="1:9">
      <c r="A226" t="s">
        <v>233</v>
      </c>
      <c r="B226">
        <v>0</v>
      </c>
      <c r="C226">
        <v>0</v>
      </c>
      <c r="D226">
        <v>0</v>
      </c>
      <c r="E226">
        <v>99</v>
      </c>
      <c r="F226">
        <v>0</v>
      </c>
      <c r="G226">
        <v>0</v>
      </c>
      <c r="H226">
        <v>0</v>
      </c>
      <c r="I226" t="s">
        <v>45</v>
      </c>
    </row>
    <row r="227" spans="1:9">
      <c r="A227" t="s">
        <v>234</v>
      </c>
      <c r="B227">
        <v>0</v>
      </c>
      <c r="C227">
        <v>0</v>
      </c>
      <c r="D227">
        <v>0</v>
      </c>
      <c r="E227">
        <v>99</v>
      </c>
      <c r="F227">
        <v>0</v>
      </c>
      <c r="G227">
        <v>0</v>
      </c>
      <c r="H227">
        <v>0</v>
      </c>
      <c r="I227" t="s">
        <v>45</v>
      </c>
    </row>
    <row r="228" spans="1:9">
      <c r="A228" t="s">
        <v>235</v>
      </c>
      <c r="B228">
        <v>0</v>
      </c>
      <c r="C228">
        <v>0</v>
      </c>
      <c r="D228">
        <v>0</v>
      </c>
      <c r="E228">
        <v>99</v>
      </c>
      <c r="F228">
        <v>0</v>
      </c>
      <c r="G228">
        <v>0</v>
      </c>
      <c r="H228">
        <v>0</v>
      </c>
      <c r="I228" t="s">
        <v>45</v>
      </c>
    </row>
  </sheetData>
  <sortState xmlns:xlrd2="http://schemas.microsoft.com/office/spreadsheetml/2017/richdata2" ref="M36:M56">
    <sortCondition ref="M36"/>
  </sortState>
  <pageMargins left="0.7" right="0.7" top="0.75" bottom="0.75" header="0.3" footer="0.3"/>
  <pageSetup paperSize="9" orientation="portrait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Z228"/>
  <sheetViews>
    <sheetView topLeftCell="A2" workbookViewId="0"/>
  </sheetViews>
  <sheetFormatPr defaultRowHeight="12.5"/>
  <cols>
    <col min="2" max="2" width="13.54296875" customWidth="1"/>
    <col min="3" max="3" width="11.90625" customWidth="1"/>
    <col min="9" max="9" width="13.453125" customWidth="1"/>
  </cols>
  <sheetData>
    <row r="1" spans="1:7">
      <c r="A1" t="s">
        <v>84</v>
      </c>
      <c r="B1">
        <v>34</v>
      </c>
      <c r="C1" t="s">
        <v>85</v>
      </c>
      <c r="D1" t="s">
        <v>83</v>
      </c>
      <c r="E1" t="s">
        <v>86</v>
      </c>
    </row>
    <row r="2" spans="1:7">
      <c r="A2" t="s">
        <v>79</v>
      </c>
      <c r="B2" t="s">
        <v>87</v>
      </c>
      <c r="C2">
        <v>1</v>
      </c>
    </row>
    <row r="3" spans="1:7">
      <c r="A3" t="s">
        <v>80</v>
      </c>
    </row>
    <row r="4" spans="1:7">
      <c r="A4" t="s">
        <v>236</v>
      </c>
    </row>
    <row r="5" spans="1:7">
      <c r="A5" t="s">
        <v>81</v>
      </c>
      <c r="B5" t="s">
        <v>237</v>
      </c>
      <c r="C5" t="s">
        <v>58</v>
      </c>
      <c r="D5" t="s">
        <v>238</v>
      </c>
    </row>
    <row r="6" spans="1:7">
      <c r="A6" t="s">
        <v>239</v>
      </c>
    </row>
    <row r="7" spans="1:7">
      <c r="A7" t="s">
        <v>82</v>
      </c>
      <c r="B7" t="s">
        <v>92</v>
      </c>
    </row>
    <row r="8" spans="1:7">
      <c r="A8" t="s">
        <v>93</v>
      </c>
      <c r="B8" t="s">
        <v>94</v>
      </c>
    </row>
    <row r="9" spans="1:7">
      <c r="A9" t="s">
        <v>95</v>
      </c>
      <c r="B9" t="s">
        <v>96</v>
      </c>
      <c r="C9" t="s">
        <v>97</v>
      </c>
    </row>
    <row r="10" spans="1:7">
      <c r="A10" t="s">
        <v>98</v>
      </c>
    </row>
    <row r="11" spans="1:7">
      <c r="A11" t="s">
        <v>99</v>
      </c>
    </row>
    <row r="12" spans="1:7">
      <c r="A12" t="s">
        <v>100</v>
      </c>
      <c r="B12" t="s">
        <v>101</v>
      </c>
      <c r="C12" t="s">
        <v>102</v>
      </c>
      <c r="D12" t="s">
        <v>103</v>
      </c>
      <c r="E12" t="s">
        <v>104</v>
      </c>
      <c r="F12" t="s">
        <v>105</v>
      </c>
      <c r="G12" t="s">
        <v>106</v>
      </c>
    </row>
    <row r="13" spans="1:7">
      <c r="A13">
        <v>2</v>
      </c>
      <c r="B13">
        <v>26759360</v>
      </c>
      <c r="C13">
        <v>0.11</v>
      </c>
      <c r="D13">
        <v>0</v>
      </c>
      <c r="E13">
        <v>6.77</v>
      </c>
      <c r="F13">
        <v>661</v>
      </c>
      <c r="G13">
        <v>2758</v>
      </c>
    </row>
    <row r="14" spans="1:7">
      <c r="A14">
        <v>4</v>
      </c>
      <c r="B14">
        <v>141962340</v>
      </c>
      <c r="C14">
        <v>0.56999999999999995</v>
      </c>
      <c r="D14">
        <v>0</v>
      </c>
      <c r="E14">
        <v>17.010000000000002</v>
      </c>
      <c r="F14">
        <v>5561</v>
      </c>
      <c r="G14">
        <v>32123</v>
      </c>
    </row>
    <row r="15" spans="1:7">
      <c r="A15">
        <v>6</v>
      </c>
      <c r="B15">
        <v>155342020</v>
      </c>
      <c r="C15">
        <v>0.62</v>
      </c>
      <c r="D15">
        <v>0</v>
      </c>
      <c r="E15">
        <v>24.78</v>
      </c>
      <c r="F15">
        <v>12713</v>
      </c>
      <c r="G15">
        <v>76342</v>
      </c>
    </row>
    <row r="16" spans="1:7">
      <c r="A16">
        <v>8</v>
      </c>
      <c r="B16">
        <v>258641020</v>
      </c>
      <c r="C16">
        <v>1.03</v>
      </c>
      <c r="D16">
        <v>0</v>
      </c>
      <c r="E16">
        <v>36.14</v>
      </c>
      <c r="F16">
        <v>23568</v>
      </c>
      <c r="G16">
        <v>140924</v>
      </c>
    </row>
    <row r="17" spans="1:7">
      <c r="A17">
        <v>10</v>
      </c>
      <c r="B17">
        <v>381025740</v>
      </c>
      <c r="C17">
        <v>1.52</v>
      </c>
      <c r="D17">
        <v>0</v>
      </c>
      <c r="E17">
        <v>53.03</v>
      </c>
      <c r="F17">
        <v>40561</v>
      </c>
      <c r="G17">
        <v>237146</v>
      </c>
    </row>
    <row r="18" spans="1:7">
      <c r="A18">
        <v>12</v>
      </c>
      <c r="B18">
        <v>572768360</v>
      </c>
      <c r="C18">
        <v>2.29</v>
      </c>
      <c r="D18">
        <v>0</v>
      </c>
      <c r="E18">
        <v>77.319999999999993</v>
      </c>
      <c r="F18">
        <v>65144</v>
      </c>
      <c r="G18">
        <v>375305</v>
      </c>
    </row>
    <row r="19" spans="1:7">
      <c r="A19">
        <v>14</v>
      </c>
      <c r="B19">
        <v>844690680</v>
      </c>
      <c r="C19">
        <v>3.38</v>
      </c>
      <c r="D19">
        <v>0</v>
      </c>
      <c r="E19">
        <v>112.75</v>
      </c>
      <c r="F19">
        <v>101167</v>
      </c>
      <c r="G19">
        <v>576863</v>
      </c>
    </row>
    <row r="20" spans="1:7">
      <c r="A20">
        <v>16</v>
      </c>
      <c r="B20">
        <v>1268314960</v>
      </c>
      <c r="C20">
        <v>5.07</v>
      </c>
      <c r="D20">
        <v>0</v>
      </c>
      <c r="E20">
        <v>164.49</v>
      </c>
      <c r="F20">
        <v>150354</v>
      </c>
      <c r="G20">
        <v>871003</v>
      </c>
    </row>
    <row r="21" spans="1:7">
      <c r="A21">
        <v>18</v>
      </c>
      <c r="B21">
        <v>1577031400</v>
      </c>
      <c r="C21">
        <v>6.31</v>
      </c>
      <c r="D21">
        <v>0</v>
      </c>
      <c r="E21">
        <v>241.31</v>
      </c>
      <c r="F21">
        <v>216332</v>
      </c>
      <c r="G21">
        <v>1308179</v>
      </c>
    </row>
    <row r="22" spans="1:7">
      <c r="A22">
        <v>20</v>
      </c>
      <c r="B22">
        <v>2585721540</v>
      </c>
      <c r="C22">
        <v>10.34</v>
      </c>
      <c r="D22">
        <v>0</v>
      </c>
      <c r="E22">
        <v>347.53</v>
      </c>
      <c r="F22">
        <v>309708</v>
      </c>
      <c r="G22">
        <v>1933764</v>
      </c>
    </row>
    <row r="23" spans="1:7">
      <c r="A23">
        <v>22</v>
      </c>
      <c r="B23">
        <v>3374335620</v>
      </c>
      <c r="C23">
        <v>13.5</v>
      </c>
      <c r="D23">
        <v>0</v>
      </c>
      <c r="E23">
        <v>474.11</v>
      </c>
      <c r="F23">
        <v>439909</v>
      </c>
      <c r="G23">
        <v>2785419</v>
      </c>
    </row>
    <row r="24" spans="1:7">
      <c r="A24">
        <v>24</v>
      </c>
      <c r="B24">
        <v>4784809680</v>
      </c>
      <c r="C24">
        <v>19.14</v>
      </c>
      <c r="D24">
        <v>0</v>
      </c>
      <c r="E24">
        <v>637.29</v>
      </c>
      <c r="F24">
        <v>599586</v>
      </c>
      <c r="G24">
        <v>3939516</v>
      </c>
    </row>
    <row r="25" spans="1:7">
      <c r="A25">
        <v>26</v>
      </c>
      <c r="B25">
        <v>5437954500</v>
      </c>
      <c r="C25">
        <v>21.75</v>
      </c>
      <c r="D25">
        <v>0</v>
      </c>
      <c r="E25">
        <v>850.67</v>
      </c>
      <c r="F25">
        <v>762808</v>
      </c>
      <c r="G25">
        <v>5398594</v>
      </c>
    </row>
    <row r="26" spans="1:7">
      <c r="A26">
        <v>28</v>
      </c>
      <c r="B26">
        <v>6750048560</v>
      </c>
      <c r="C26">
        <v>27</v>
      </c>
      <c r="D26">
        <v>0</v>
      </c>
      <c r="E26">
        <v>936.01</v>
      </c>
      <c r="F26">
        <v>944742</v>
      </c>
      <c r="G26">
        <v>6949051</v>
      </c>
    </row>
    <row r="27" spans="1:7">
      <c r="A27">
        <v>30</v>
      </c>
      <c r="B27">
        <v>6970911660</v>
      </c>
      <c r="C27">
        <v>27.88</v>
      </c>
      <c r="D27">
        <v>0</v>
      </c>
      <c r="E27">
        <v>939.4</v>
      </c>
      <c r="F27">
        <v>1131847</v>
      </c>
      <c r="G27">
        <v>8526091</v>
      </c>
    </row>
    <row r="28" spans="1:7">
      <c r="A28">
        <v>32</v>
      </c>
      <c r="B28">
        <v>7014100480</v>
      </c>
      <c r="C28">
        <v>28.06</v>
      </c>
      <c r="D28">
        <v>0</v>
      </c>
      <c r="E28">
        <v>1012.21</v>
      </c>
      <c r="F28">
        <v>1319988</v>
      </c>
      <c r="G28">
        <v>10114870</v>
      </c>
    </row>
    <row r="29" spans="1:7">
      <c r="A29">
        <v>34</v>
      </c>
      <c r="B29">
        <v>7278250780</v>
      </c>
      <c r="C29">
        <v>29.11</v>
      </c>
      <c r="D29">
        <v>0</v>
      </c>
      <c r="E29">
        <v>1012.21</v>
      </c>
      <c r="F29">
        <v>1509174</v>
      </c>
      <c r="G29">
        <v>11708850</v>
      </c>
    </row>
    <row r="30" spans="1:7">
      <c r="A30">
        <v>36</v>
      </c>
      <c r="B30">
        <v>7987865720</v>
      </c>
      <c r="C30">
        <v>31.95</v>
      </c>
      <c r="D30">
        <v>0</v>
      </c>
      <c r="E30">
        <v>1012.21</v>
      </c>
      <c r="F30">
        <v>1698842</v>
      </c>
      <c r="G30">
        <v>13308423</v>
      </c>
    </row>
    <row r="31" spans="1:7">
      <c r="A31">
        <v>38</v>
      </c>
      <c r="B31">
        <v>6938544640</v>
      </c>
      <c r="C31">
        <v>27.75</v>
      </c>
      <c r="D31">
        <v>0</v>
      </c>
      <c r="E31">
        <v>1012.21</v>
      </c>
      <c r="F31">
        <v>1888607</v>
      </c>
      <c r="G31">
        <v>14906566</v>
      </c>
    </row>
    <row r="32" spans="1:7">
      <c r="A32">
        <v>40</v>
      </c>
      <c r="B32">
        <v>7134517600</v>
      </c>
      <c r="C32">
        <v>28.54</v>
      </c>
      <c r="D32">
        <v>0</v>
      </c>
      <c r="E32">
        <v>1012.21</v>
      </c>
      <c r="F32">
        <v>2078760</v>
      </c>
      <c r="G32">
        <v>16503672</v>
      </c>
    </row>
    <row r="33" spans="1:7">
      <c r="A33">
        <v>42</v>
      </c>
      <c r="B33">
        <v>7568471780</v>
      </c>
      <c r="C33">
        <v>30.27</v>
      </c>
      <c r="D33">
        <v>0</v>
      </c>
      <c r="E33">
        <v>1012.21</v>
      </c>
      <c r="F33">
        <v>2268859</v>
      </c>
      <c r="G33">
        <v>18101460</v>
      </c>
    </row>
    <row r="34" spans="1:7">
      <c r="A34">
        <v>44</v>
      </c>
      <c r="B34">
        <v>8050435400</v>
      </c>
      <c r="C34">
        <v>32.200000000000003</v>
      </c>
      <c r="D34">
        <v>0</v>
      </c>
      <c r="E34">
        <v>1012.21</v>
      </c>
      <c r="F34">
        <v>2458458</v>
      </c>
      <c r="G34">
        <v>19701982</v>
      </c>
    </row>
    <row r="35" spans="1:7">
      <c r="A35">
        <v>46</v>
      </c>
      <c r="B35">
        <v>7213516740</v>
      </c>
      <c r="C35">
        <v>28.85</v>
      </c>
      <c r="D35">
        <v>0</v>
      </c>
      <c r="E35">
        <v>1012.21</v>
      </c>
      <c r="F35">
        <v>2648182</v>
      </c>
      <c r="G35">
        <v>21297818</v>
      </c>
    </row>
    <row r="36" spans="1:7">
      <c r="A36">
        <v>48</v>
      </c>
      <c r="B36">
        <v>7044598280</v>
      </c>
      <c r="C36">
        <v>28.18</v>
      </c>
      <c r="D36">
        <v>0</v>
      </c>
      <c r="E36">
        <v>1012.21</v>
      </c>
      <c r="F36">
        <v>2837716</v>
      </c>
      <c r="G36">
        <v>22893182</v>
      </c>
    </row>
    <row r="37" spans="1:7">
      <c r="A37">
        <v>50</v>
      </c>
      <c r="B37">
        <v>7653570480</v>
      </c>
      <c r="C37">
        <v>30.61</v>
      </c>
      <c r="D37">
        <v>0</v>
      </c>
      <c r="E37">
        <v>1012.21</v>
      </c>
      <c r="F37">
        <v>3027268</v>
      </c>
      <c r="G37">
        <v>24488195</v>
      </c>
    </row>
    <row r="38" spans="1:7">
      <c r="A38">
        <v>52</v>
      </c>
      <c r="B38">
        <v>7115333500</v>
      </c>
      <c r="C38">
        <v>28.46</v>
      </c>
      <c r="D38">
        <v>0</v>
      </c>
      <c r="E38">
        <v>1012.21</v>
      </c>
      <c r="F38">
        <v>3216273</v>
      </c>
      <c r="G38">
        <v>26081964</v>
      </c>
    </row>
    <row r="39" spans="1:7">
      <c r="A39">
        <v>54</v>
      </c>
      <c r="B39">
        <v>7816389380</v>
      </c>
      <c r="C39">
        <v>31.27</v>
      </c>
      <c r="D39">
        <v>0</v>
      </c>
      <c r="E39">
        <v>1012.21</v>
      </c>
      <c r="F39">
        <v>3405768</v>
      </c>
      <c r="G39">
        <v>27677503</v>
      </c>
    </row>
    <row r="40" spans="1:7">
      <c r="A40">
        <v>56</v>
      </c>
      <c r="B40">
        <v>7383419000</v>
      </c>
      <c r="C40">
        <v>29.53</v>
      </c>
      <c r="D40">
        <v>0</v>
      </c>
      <c r="E40">
        <v>1012.21</v>
      </c>
      <c r="F40">
        <v>3594835</v>
      </c>
      <c r="G40">
        <v>29273316</v>
      </c>
    </row>
    <row r="41" spans="1:7">
      <c r="A41">
        <v>58</v>
      </c>
      <c r="B41">
        <v>7051681640</v>
      </c>
      <c r="C41">
        <v>28.21</v>
      </c>
      <c r="D41">
        <v>0</v>
      </c>
      <c r="E41">
        <v>1012.21</v>
      </c>
      <c r="F41">
        <v>3784480</v>
      </c>
      <c r="G41">
        <v>30870921</v>
      </c>
    </row>
    <row r="42" spans="1:7">
      <c r="A42">
        <v>60</v>
      </c>
      <c r="B42">
        <v>7053452480</v>
      </c>
      <c r="C42">
        <v>28.21</v>
      </c>
      <c r="D42">
        <v>0</v>
      </c>
      <c r="E42">
        <v>1012.21</v>
      </c>
      <c r="F42">
        <v>3973892</v>
      </c>
      <c r="G42">
        <v>32466094</v>
      </c>
    </row>
    <row r="43" spans="1:7">
      <c r="A43">
        <v>62</v>
      </c>
      <c r="B43">
        <v>7341509120</v>
      </c>
      <c r="C43">
        <v>29.37</v>
      </c>
      <c r="D43">
        <v>0</v>
      </c>
      <c r="E43">
        <v>1012.21</v>
      </c>
      <c r="F43">
        <v>4163385</v>
      </c>
      <c r="G43">
        <v>34063600</v>
      </c>
    </row>
    <row r="44" spans="1:7">
      <c r="A44">
        <v>64</v>
      </c>
      <c r="B44">
        <v>7088475760</v>
      </c>
      <c r="C44">
        <v>28.35</v>
      </c>
      <c r="D44">
        <v>0</v>
      </c>
      <c r="E44">
        <v>1012.21</v>
      </c>
      <c r="F44">
        <v>4352312</v>
      </c>
      <c r="G44">
        <v>35656650</v>
      </c>
    </row>
    <row r="45" spans="1:7">
      <c r="A45">
        <v>66</v>
      </c>
      <c r="B45">
        <v>7297139740</v>
      </c>
      <c r="C45">
        <v>29.19</v>
      </c>
      <c r="D45">
        <v>0</v>
      </c>
      <c r="E45">
        <v>1012.21</v>
      </c>
      <c r="F45">
        <v>4541188</v>
      </c>
      <c r="G45">
        <v>37249469</v>
      </c>
    </row>
    <row r="46" spans="1:7">
      <c r="A46">
        <v>68</v>
      </c>
      <c r="B46">
        <v>7764444740</v>
      </c>
      <c r="C46">
        <v>31.06</v>
      </c>
      <c r="D46">
        <v>0</v>
      </c>
      <c r="E46">
        <v>1012.21</v>
      </c>
      <c r="F46">
        <v>4730625</v>
      </c>
      <c r="G46">
        <v>38848566</v>
      </c>
    </row>
    <row r="47" spans="1:7">
      <c r="A47">
        <v>70</v>
      </c>
      <c r="B47">
        <v>7798877740</v>
      </c>
      <c r="C47">
        <v>31.2</v>
      </c>
      <c r="D47">
        <v>0</v>
      </c>
      <c r="E47">
        <v>1012.21</v>
      </c>
      <c r="F47">
        <v>4920608</v>
      </c>
      <c r="G47">
        <v>40447905</v>
      </c>
    </row>
    <row r="48" spans="1:7">
      <c r="A48">
        <v>72</v>
      </c>
      <c r="B48">
        <v>7051976780</v>
      </c>
      <c r="C48">
        <v>28.21</v>
      </c>
      <c r="D48">
        <v>0</v>
      </c>
      <c r="E48">
        <v>1012.21</v>
      </c>
      <c r="F48">
        <v>5109712</v>
      </c>
      <c r="G48">
        <v>42040136</v>
      </c>
    </row>
    <row r="49" spans="1:7">
      <c r="A49">
        <v>74</v>
      </c>
      <c r="B49">
        <v>7027676920</v>
      </c>
      <c r="C49">
        <v>28.11</v>
      </c>
      <c r="D49">
        <v>0</v>
      </c>
      <c r="E49">
        <v>1012.21</v>
      </c>
      <c r="F49">
        <v>5299212</v>
      </c>
      <c r="G49">
        <v>43636863</v>
      </c>
    </row>
    <row r="50" spans="1:7">
      <c r="A50">
        <v>76</v>
      </c>
      <c r="B50">
        <v>7150061640</v>
      </c>
      <c r="C50">
        <v>28.6</v>
      </c>
      <c r="D50">
        <v>0</v>
      </c>
      <c r="E50">
        <v>1012.21</v>
      </c>
      <c r="F50">
        <v>5488953</v>
      </c>
      <c r="G50">
        <v>45234362</v>
      </c>
    </row>
    <row r="51" spans="1:7">
      <c r="A51">
        <v>78</v>
      </c>
      <c r="B51">
        <v>7516133620</v>
      </c>
      <c r="C51">
        <v>30.06</v>
      </c>
      <c r="D51">
        <v>0</v>
      </c>
      <c r="E51">
        <v>1012.21</v>
      </c>
      <c r="F51">
        <v>5678718</v>
      </c>
      <c r="G51">
        <v>46830597</v>
      </c>
    </row>
    <row r="52" spans="1:7">
      <c r="A52">
        <v>80</v>
      </c>
      <c r="B52">
        <v>7376434020</v>
      </c>
      <c r="C52">
        <v>29.5</v>
      </c>
      <c r="D52">
        <v>0</v>
      </c>
      <c r="E52">
        <v>1012.21</v>
      </c>
      <c r="F52">
        <v>5867670</v>
      </c>
      <c r="G52">
        <v>48429898</v>
      </c>
    </row>
    <row r="53" spans="1:7">
      <c r="A53">
        <v>82</v>
      </c>
      <c r="B53">
        <v>7382533580</v>
      </c>
      <c r="C53">
        <v>29.53</v>
      </c>
      <c r="D53">
        <v>0</v>
      </c>
      <c r="E53">
        <v>1012.21</v>
      </c>
      <c r="F53">
        <v>6057077</v>
      </c>
      <c r="G53">
        <v>50028138</v>
      </c>
    </row>
    <row r="54" spans="1:7">
      <c r="A54">
        <v>84</v>
      </c>
      <c r="B54">
        <v>7126352060</v>
      </c>
      <c r="C54">
        <v>28.5</v>
      </c>
      <c r="D54">
        <v>0</v>
      </c>
      <c r="E54">
        <v>1012.21</v>
      </c>
      <c r="F54">
        <v>6246550</v>
      </c>
      <c r="G54">
        <v>51620317</v>
      </c>
    </row>
    <row r="55" spans="1:7">
      <c r="A55">
        <v>86</v>
      </c>
      <c r="B55">
        <v>7570832900</v>
      </c>
      <c r="C55">
        <v>30.28</v>
      </c>
      <c r="D55">
        <v>0</v>
      </c>
      <c r="E55">
        <v>1012.21</v>
      </c>
      <c r="F55">
        <v>6435628</v>
      </c>
      <c r="G55">
        <v>53217835</v>
      </c>
    </row>
    <row r="56" spans="1:7">
      <c r="A56">
        <v>88</v>
      </c>
      <c r="B56">
        <v>7932969680</v>
      </c>
      <c r="C56">
        <v>31.73</v>
      </c>
      <c r="D56">
        <v>0</v>
      </c>
      <c r="E56">
        <v>1012.21</v>
      </c>
      <c r="F56">
        <v>6625222</v>
      </c>
      <c r="G56">
        <v>54819600</v>
      </c>
    </row>
    <row r="57" spans="1:7">
      <c r="A57">
        <v>90</v>
      </c>
      <c r="B57">
        <v>7456613720</v>
      </c>
      <c r="C57">
        <v>29.83</v>
      </c>
      <c r="D57">
        <v>0</v>
      </c>
      <c r="E57">
        <v>1012.21</v>
      </c>
      <c r="F57">
        <v>6814863</v>
      </c>
      <c r="G57">
        <v>56420044</v>
      </c>
    </row>
    <row r="58" spans="1:7">
      <c r="A58">
        <v>92</v>
      </c>
      <c r="B58">
        <v>7063093720</v>
      </c>
      <c r="C58">
        <v>28.25</v>
      </c>
      <c r="D58">
        <v>0</v>
      </c>
      <c r="E58">
        <v>1012.21</v>
      </c>
      <c r="F58">
        <v>7003673</v>
      </c>
      <c r="G58">
        <v>58015012</v>
      </c>
    </row>
    <row r="59" spans="1:7">
      <c r="A59">
        <v>94</v>
      </c>
      <c r="B59">
        <v>6964910480</v>
      </c>
      <c r="C59">
        <v>27.86</v>
      </c>
      <c r="D59">
        <v>0</v>
      </c>
      <c r="E59">
        <v>1012.21</v>
      </c>
      <c r="F59">
        <v>7193158</v>
      </c>
      <c r="G59">
        <v>59614346</v>
      </c>
    </row>
    <row r="60" spans="1:7">
      <c r="A60">
        <v>96</v>
      </c>
      <c r="B60">
        <v>7110808020</v>
      </c>
      <c r="C60">
        <v>28.44</v>
      </c>
      <c r="D60">
        <v>0</v>
      </c>
      <c r="E60">
        <v>1012.21</v>
      </c>
      <c r="F60">
        <v>7382748</v>
      </c>
      <c r="G60">
        <v>61211784</v>
      </c>
    </row>
    <row r="61" spans="1:7">
      <c r="A61">
        <v>98</v>
      </c>
      <c r="B61">
        <v>7514264400</v>
      </c>
      <c r="C61">
        <v>30.06</v>
      </c>
      <c r="D61">
        <v>0</v>
      </c>
      <c r="E61">
        <v>1012.21</v>
      </c>
      <c r="F61">
        <v>7572701</v>
      </c>
      <c r="G61">
        <v>62812009</v>
      </c>
    </row>
    <row r="62" spans="1:7">
      <c r="A62">
        <v>100</v>
      </c>
      <c r="B62">
        <v>8164949720</v>
      </c>
      <c r="C62">
        <v>32.659999999999997</v>
      </c>
      <c r="D62">
        <v>0</v>
      </c>
      <c r="E62">
        <v>1012.21</v>
      </c>
      <c r="F62">
        <v>7762379</v>
      </c>
      <c r="G62">
        <v>64413449</v>
      </c>
    </row>
    <row r="63" spans="1:7">
      <c r="A63">
        <v>102</v>
      </c>
      <c r="B63">
        <v>7033382960</v>
      </c>
      <c r="C63">
        <v>28.13</v>
      </c>
      <c r="D63">
        <v>0</v>
      </c>
      <c r="E63">
        <v>1012.21</v>
      </c>
      <c r="F63">
        <v>7951570</v>
      </c>
      <c r="G63">
        <v>66006641</v>
      </c>
    </row>
    <row r="64" spans="1:7">
      <c r="A64">
        <v>104</v>
      </c>
      <c r="B64">
        <v>7030136420</v>
      </c>
      <c r="C64">
        <v>28.12</v>
      </c>
      <c r="D64">
        <v>0</v>
      </c>
      <c r="E64">
        <v>1012.21</v>
      </c>
      <c r="F64">
        <v>8140955</v>
      </c>
      <c r="G64">
        <v>67602268</v>
      </c>
    </row>
    <row r="65" spans="1:7">
      <c r="A65">
        <v>106</v>
      </c>
      <c r="B65">
        <v>7560798140</v>
      </c>
      <c r="C65">
        <v>30.24</v>
      </c>
      <c r="D65">
        <v>0</v>
      </c>
      <c r="E65">
        <v>1012.21</v>
      </c>
      <c r="F65">
        <v>8330538</v>
      </c>
      <c r="G65">
        <v>69198343</v>
      </c>
    </row>
    <row r="66" spans="1:7">
      <c r="A66">
        <v>108</v>
      </c>
      <c r="B66">
        <v>7108446900</v>
      </c>
      <c r="C66">
        <v>28.43</v>
      </c>
      <c r="D66">
        <v>0</v>
      </c>
      <c r="E66">
        <v>1012.21</v>
      </c>
      <c r="F66">
        <v>8520353</v>
      </c>
      <c r="G66">
        <v>70797724</v>
      </c>
    </row>
    <row r="67" spans="1:7">
      <c r="A67">
        <v>110</v>
      </c>
      <c r="B67">
        <v>7166097580</v>
      </c>
      <c r="C67">
        <v>28.66</v>
      </c>
      <c r="D67">
        <v>0</v>
      </c>
      <c r="E67">
        <v>1012.21</v>
      </c>
      <c r="F67">
        <v>8709266</v>
      </c>
      <c r="G67">
        <v>72391046</v>
      </c>
    </row>
    <row r="68" spans="1:7">
      <c r="A68">
        <v>112</v>
      </c>
      <c r="B68">
        <v>7303140920</v>
      </c>
      <c r="C68">
        <v>29.21</v>
      </c>
      <c r="D68">
        <v>0</v>
      </c>
      <c r="E68">
        <v>1012.21</v>
      </c>
      <c r="F68">
        <v>8898367</v>
      </c>
      <c r="G68">
        <v>73986654</v>
      </c>
    </row>
    <row r="69" spans="1:7">
      <c r="A69">
        <v>114</v>
      </c>
      <c r="B69">
        <v>7632812300</v>
      </c>
      <c r="C69">
        <v>30.53</v>
      </c>
      <c r="D69">
        <v>0</v>
      </c>
      <c r="E69">
        <v>1012.21</v>
      </c>
      <c r="F69">
        <v>9088309</v>
      </c>
      <c r="G69">
        <v>75586417</v>
      </c>
    </row>
    <row r="70" spans="1:7">
      <c r="A70">
        <v>116</v>
      </c>
      <c r="B70">
        <v>7602314500</v>
      </c>
      <c r="C70">
        <v>30.41</v>
      </c>
      <c r="D70">
        <v>0</v>
      </c>
      <c r="E70">
        <v>1012.21</v>
      </c>
      <c r="F70">
        <v>9277775</v>
      </c>
      <c r="G70">
        <v>77185875</v>
      </c>
    </row>
    <row r="71" spans="1:7">
      <c r="A71">
        <v>118</v>
      </c>
      <c r="B71">
        <v>7301566840</v>
      </c>
      <c r="C71">
        <v>29.21</v>
      </c>
      <c r="D71">
        <v>0</v>
      </c>
      <c r="E71">
        <v>1012.21</v>
      </c>
      <c r="F71">
        <v>9467203</v>
      </c>
      <c r="G71">
        <v>78784159</v>
      </c>
    </row>
    <row r="72" spans="1:7">
      <c r="A72">
        <v>120</v>
      </c>
      <c r="B72">
        <v>7066143500</v>
      </c>
      <c r="C72">
        <v>28.26</v>
      </c>
      <c r="D72">
        <v>0</v>
      </c>
      <c r="E72">
        <v>1012.21</v>
      </c>
      <c r="F72">
        <v>9655968</v>
      </c>
      <c r="G72">
        <v>80383352</v>
      </c>
    </row>
    <row r="73" spans="1:7">
      <c r="A73">
        <v>122</v>
      </c>
      <c r="B73">
        <v>7825341960</v>
      </c>
      <c r="C73">
        <v>31.3</v>
      </c>
      <c r="D73">
        <v>0</v>
      </c>
      <c r="E73">
        <v>1012.21</v>
      </c>
      <c r="F73">
        <v>9845021</v>
      </c>
      <c r="G73">
        <v>81981854</v>
      </c>
    </row>
    <row r="74" spans="1:7">
      <c r="A74">
        <v>124</v>
      </c>
      <c r="B74">
        <v>7137075480</v>
      </c>
      <c r="C74">
        <v>28.55</v>
      </c>
      <c r="D74">
        <v>0</v>
      </c>
      <c r="E74">
        <v>1012.21</v>
      </c>
      <c r="F74">
        <v>10034513</v>
      </c>
      <c r="G74">
        <v>83582799</v>
      </c>
    </row>
    <row r="75" spans="1:7">
      <c r="A75">
        <v>126</v>
      </c>
      <c r="B75">
        <v>7242735600</v>
      </c>
      <c r="C75">
        <v>28.97</v>
      </c>
      <c r="D75">
        <v>0</v>
      </c>
      <c r="E75">
        <v>1012.21</v>
      </c>
      <c r="F75">
        <v>10223528</v>
      </c>
      <c r="G75">
        <v>85180315</v>
      </c>
    </row>
    <row r="76" spans="1:7">
      <c r="A76">
        <v>128</v>
      </c>
      <c r="B76">
        <v>7528529500</v>
      </c>
      <c r="C76">
        <v>30.11</v>
      </c>
      <c r="D76">
        <v>0</v>
      </c>
      <c r="E76">
        <v>1012.21</v>
      </c>
      <c r="F76">
        <v>10412913</v>
      </c>
      <c r="G76">
        <v>86777503</v>
      </c>
    </row>
    <row r="77" spans="1:7">
      <c r="A77">
        <v>130</v>
      </c>
      <c r="B77">
        <v>7507082660</v>
      </c>
      <c r="C77">
        <v>30.03</v>
      </c>
      <c r="D77">
        <v>0</v>
      </c>
      <c r="E77">
        <v>1012.21</v>
      </c>
      <c r="F77">
        <v>10602748</v>
      </c>
      <c r="G77">
        <v>88377772</v>
      </c>
    </row>
    <row r="78" spans="1:7">
      <c r="A78">
        <v>132</v>
      </c>
      <c r="B78">
        <v>7125860160</v>
      </c>
      <c r="C78">
        <v>28.5</v>
      </c>
      <c r="D78">
        <v>0</v>
      </c>
      <c r="E78">
        <v>1012.21</v>
      </c>
      <c r="F78">
        <v>10791919</v>
      </c>
      <c r="G78">
        <v>89974930</v>
      </c>
    </row>
    <row r="79" spans="1:7">
      <c r="A79">
        <v>134</v>
      </c>
      <c r="B79">
        <v>7367481440</v>
      </c>
      <c r="C79">
        <v>29.47</v>
      </c>
      <c r="D79">
        <v>0</v>
      </c>
      <c r="E79">
        <v>1012.21</v>
      </c>
      <c r="F79">
        <v>10981400</v>
      </c>
      <c r="G79">
        <v>91573174</v>
      </c>
    </row>
    <row r="80" spans="1:7">
      <c r="A80">
        <v>136</v>
      </c>
      <c r="B80">
        <v>7234865200</v>
      </c>
      <c r="C80">
        <v>28.94</v>
      </c>
      <c r="D80">
        <v>0</v>
      </c>
      <c r="E80">
        <v>1012.21</v>
      </c>
      <c r="F80">
        <v>11170449</v>
      </c>
      <c r="G80">
        <v>93169440</v>
      </c>
    </row>
    <row r="81" spans="1:7">
      <c r="A81">
        <v>138</v>
      </c>
      <c r="B81">
        <v>7428968940</v>
      </c>
      <c r="C81">
        <v>29.72</v>
      </c>
      <c r="D81">
        <v>0</v>
      </c>
      <c r="E81">
        <v>1012.21</v>
      </c>
      <c r="F81">
        <v>11359713</v>
      </c>
      <c r="G81">
        <v>94766071</v>
      </c>
    </row>
    <row r="82" spans="1:7">
      <c r="A82">
        <v>140</v>
      </c>
      <c r="B82">
        <v>7303927960</v>
      </c>
      <c r="C82">
        <v>29.22</v>
      </c>
      <c r="D82">
        <v>0</v>
      </c>
      <c r="E82">
        <v>1012.21</v>
      </c>
      <c r="F82">
        <v>11548987</v>
      </c>
      <c r="G82">
        <v>96363121</v>
      </c>
    </row>
    <row r="83" spans="1:7">
      <c r="A83">
        <v>142</v>
      </c>
      <c r="B83">
        <v>7487013140</v>
      </c>
      <c r="C83">
        <v>29.95</v>
      </c>
      <c r="D83">
        <v>0</v>
      </c>
      <c r="E83">
        <v>1012.21</v>
      </c>
      <c r="F83">
        <v>11738648</v>
      </c>
      <c r="G83">
        <v>97960202</v>
      </c>
    </row>
    <row r="84" spans="1:7">
      <c r="A84">
        <v>144</v>
      </c>
      <c r="B84">
        <v>7151537340</v>
      </c>
      <c r="C84">
        <v>28.61</v>
      </c>
      <c r="D84">
        <v>0</v>
      </c>
      <c r="E84">
        <v>1012.21</v>
      </c>
      <c r="F84">
        <v>11928054</v>
      </c>
      <c r="G84">
        <v>99557373</v>
      </c>
    </row>
    <row r="85" spans="1:7">
      <c r="A85">
        <v>146</v>
      </c>
      <c r="B85">
        <v>7426214300</v>
      </c>
      <c r="C85">
        <v>29.7</v>
      </c>
      <c r="D85">
        <v>0</v>
      </c>
      <c r="E85">
        <v>1012.21</v>
      </c>
      <c r="F85">
        <v>12118098</v>
      </c>
      <c r="G85">
        <v>101154752</v>
      </c>
    </row>
    <row r="86" spans="1:7">
      <c r="A86">
        <v>148</v>
      </c>
      <c r="B86">
        <v>7370236080</v>
      </c>
      <c r="C86">
        <v>29.48</v>
      </c>
      <c r="D86">
        <v>0</v>
      </c>
      <c r="E86">
        <v>1012.21</v>
      </c>
      <c r="F86">
        <v>12307684</v>
      </c>
      <c r="G86">
        <v>102754659</v>
      </c>
    </row>
    <row r="87" spans="1:7">
      <c r="A87">
        <v>150</v>
      </c>
      <c r="B87">
        <v>7336786880</v>
      </c>
      <c r="C87">
        <v>29.35</v>
      </c>
      <c r="D87">
        <v>0</v>
      </c>
      <c r="E87">
        <v>1012.21</v>
      </c>
      <c r="F87">
        <v>12497243</v>
      </c>
      <c r="G87">
        <v>104354969</v>
      </c>
    </row>
    <row r="88" spans="1:7">
      <c r="A88">
        <v>152</v>
      </c>
      <c r="B88">
        <v>7310617800</v>
      </c>
      <c r="C88">
        <v>29.24</v>
      </c>
      <c r="D88">
        <v>0</v>
      </c>
      <c r="E88">
        <v>1012.21</v>
      </c>
      <c r="F88">
        <v>12687094</v>
      </c>
      <c r="G88">
        <v>105954495</v>
      </c>
    </row>
    <row r="89" spans="1:7">
      <c r="A89">
        <v>154</v>
      </c>
      <c r="B89">
        <v>7289859620</v>
      </c>
      <c r="C89">
        <v>29.16</v>
      </c>
      <c r="D89">
        <v>0</v>
      </c>
      <c r="E89">
        <v>1012.21</v>
      </c>
      <c r="F89">
        <v>12876709</v>
      </c>
      <c r="G89">
        <v>107552521</v>
      </c>
    </row>
    <row r="90" spans="1:7">
      <c r="A90">
        <v>156</v>
      </c>
      <c r="B90">
        <v>7588934820</v>
      </c>
      <c r="C90">
        <v>30.36</v>
      </c>
      <c r="D90">
        <v>0</v>
      </c>
      <c r="E90">
        <v>1012.21</v>
      </c>
      <c r="F90">
        <v>13066493</v>
      </c>
      <c r="G90">
        <v>109152995</v>
      </c>
    </row>
    <row r="91" spans="1:7">
      <c r="A91">
        <v>158</v>
      </c>
      <c r="B91">
        <v>7559224060</v>
      </c>
      <c r="C91">
        <v>30.24</v>
      </c>
      <c r="D91">
        <v>0</v>
      </c>
      <c r="E91">
        <v>1012.21</v>
      </c>
      <c r="F91">
        <v>13256257</v>
      </c>
      <c r="G91">
        <v>110752759</v>
      </c>
    </row>
    <row r="92" spans="1:7">
      <c r="A92">
        <v>160</v>
      </c>
      <c r="B92">
        <v>7097133200</v>
      </c>
      <c r="C92">
        <v>28.39</v>
      </c>
      <c r="D92">
        <v>0</v>
      </c>
      <c r="E92">
        <v>1012.21</v>
      </c>
      <c r="F92">
        <v>13445857</v>
      </c>
      <c r="G92">
        <v>112350440</v>
      </c>
    </row>
    <row r="93" spans="1:7">
      <c r="A93">
        <v>162</v>
      </c>
      <c r="B93">
        <v>7282677880</v>
      </c>
      <c r="C93">
        <v>29.13</v>
      </c>
      <c r="D93">
        <v>0</v>
      </c>
      <c r="E93">
        <v>1012.21</v>
      </c>
      <c r="F93">
        <v>13635116</v>
      </c>
      <c r="G93">
        <v>113946992</v>
      </c>
    </row>
    <row r="94" spans="1:7">
      <c r="A94">
        <v>164</v>
      </c>
      <c r="B94">
        <v>7750376400</v>
      </c>
      <c r="C94">
        <v>31</v>
      </c>
      <c r="D94">
        <v>0</v>
      </c>
      <c r="E94">
        <v>1012.21</v>
      </c>
      <c r="F94">
        <v>13824490</v>
      </c>
      <c r="G94">
        <v>115540041</v>
      </c>
    </row>
    <row r="95" spans="1:7">
      <c r="A95">
        <v>166</v>
      </c>
      <c r="B95">
        <v>7200137060</v>
      </c>
      <c r="C95">
        <v>28.8</v>
      </c>
      <c r="D95">
        <v>0</v>
      </c>
      <c r="E95">
        <v>1012.21</v>
      </c>
      <c r="F95">
        <v>14014252</v>
      </c>
      <c r="G95">
        <v>117135283</v>
      </c>
    </row>
    <row r="96" spans="1:7">
      <c r="A96">
        <v>168</v>
      </c>
      <c r="B96">
        <v>7138846320</v>
      </c>
      <c r="C96">
        <v>28.56</v>
      </c>
      <c r="D96">
        <v>0</v>
      </c>
      <c r="E96">
        <v>1012.21</v>
      </c>
      <c r="F96">
        <v>14204076</v>
      </c>
      <c r="G96">
        <v>118732985</v>
      </c>
    </row>
    <row r="97" spans="1:7">
      <c r="A97">
        <v>170</v>
      </c>
      <c r="B97">
        <v>7451104440</v>
      </c>
      <c r="C97">
        <v>29.8</v>
      </c>
      <c r="D97">
        <v>0</v>
      </c>
      <c r="E97">
        <v>1012.21</v>
      </c>
      <c r="F97">
        <v>14393997</v>
      </c>
      <c r="G97">
        <v>120330319</v>
      </c>
    </row>
    <row r="98" spans="1:7">
      <c r="A98">
        <v>172</v>
      </c>
      <c r="B98">
        <v>7256607180</v>
      </c>
      <c r="C98">
        <v>29.03</v>
      </c>
      <c r="D98">
        <v>0</v>
      </c>
      <c r="E98">
        <v>1012.21</v>
      </c>
      <c r="F98">
        <v>14583753</v>
      </c>
      <c r="G98">
        <v>121929414</v>
      </c>
    </row>
    <row r="99" spans="1:7">
      <c r="A99">
        <v>174</v>
      </c>
      <c r="B99">
        <v>7511903280</v>
      </c>
      <c r="C99">
        <v>30.05</v>
      </c>
      <c r="D99">
        <v>0</v>
      </c>
      <c r="E99">
        <v>1012.21</v>
      </c>
      <c r="F99">
        <v>14773410</v>
      </c>
      <c r="G99">
        <v>123527494</v>
      </c>
    </row>
    <row r="100" spans="1:7">
      <c r="A100">
        <v>176</v>
      </c>
      <c r="B100">
        <v>7096838060</v>
      </c>
      <c r="C100">
        <v>28.39</v>
      </c>
      <c r="D100">
        <v>0</v>
      </c>
      <c r="E100">
        <v>1012.21</v>
      </c>
      <c r="F100">
        <v>14962926</v>
      </c>
      <c r="G100">
        <v>125126896</v>
      </c>
    </row>
    <row r="101" spans="1:7">
      <c r="A101">
        <v>178</v>
      </c>
      <c r="B101">
        <v>7510919480</v>
      </c>
      <c r="C101">
        <v>30.04</v>
      </c>
      <c r="D101">
        <v>0</v>
      </c>
      <c r="E101">
        <v>1012.21</v>
      </c>
      <c r="F101">
        <v>15153086</v>
      </c>
      <c r="G101">
        <v>126724959</v>
      </c>
    </row>
    <row r="102" spans="1:7">
      <c r="A102">
        <v>180</v>
      </c>
      <c r="B102">
        <v>7063290480</v>
      </c>
      <c r="C102">
        <v>28.25</v>
      </c>
      <c r="D102">
        <v>0</v>
      </c>
      <c r="E102">
        <v>1012.21</v>
      </c>
      <c r="F102">
        <v>15342838</v>
      </c>
      <c r="G102">
        <v>128325828</v>
      </c>
    </row>
    <row r="103" spans="1:7">
      <c r="A103">
        <v>182</v>
      </c>
      <c r="B103">
        <v>7132550000</v>
      </c>
      <c r="C103">
        <v>28.53</v>
      </c>
      <c r="D103">
        <v>0</v>
      </c>
      <c r="E103">
        <v>1012.21</v>
      </c>
      <c r="F103">
        <v>15533153</v>
      </c>
      <c r="G103">
        <v>129925429</v>
      </c>
    </row>
    <row r="104" spans="1:7">
      <c r="A104">
        <v>184</v>
      </c>
      <c r="B104">
        <v>7599756620</v>
      </c>
      <c r="C104">
        <v>30.4</v>
      </c>
      <c r="D104">
        <v>0</v>
      </c>
      <c r="E104">
        <v>1012.21</v>
      </c>
      <c r="F104">
        <v>15723743</v>
      </c>
      <c r="G104">
        <v>131525661</v>
      </c>
    </row>
    <row r="105" spans="1:7">
      <c r="A105">
        <v>186</v>
      </c>
      <c r="B105">
        <v>7934937280</v>
      </c>
      <c r="C105">
        <v>31.74</v>
      </c>
      <c r="D105">
        <v>0</v>
      </c>
      <c r="E105">
        <v>1012.21</v>
      </c>
      <c r="F105">
        <v>15914405</v>
      </c>
      <c r="G105">
        <v>133127929</v>
      </c>
    </row>
    <row r="106" spans="1:7">
      <c r="A106">
        <v>188</v>
      </c>
      <c r="B106">
        <v>7058568240</v>
      </c>
      <c r="C106">
        <v>28.23</v>
      </c>
      <c r="D106">
        <v>0</v>
      </c>
      <c r="E106">
        <v>1012.21</v>
      </c>
      <c r="F106">
        <v>16105239</v>
      </c>
      <c r="G106">
        <v>134727222</v>
      </c>
    </row>
    <row r="107" spans="1:7">
      <c r="A107">
        <v>190</v>
      </c>
      <c r="B107">
        <v>7155079020</v>
      </c>
      <c r="C107">
        <v>28.62</v>
      </c>
      <c r="D107">
        <v>0</v>
      </c>
      <c r="E107">
        <v>1012.21</v>
      </c>
      <c r="F107">
        <v>16295676</v>
      </c>
      <c r="G107">
        <v>136326789</v>
      </c>
    </row>
    <row r="108" spans="1:7">
      <c r="A108">
        <v>192</v>
      </c>
      <c r="B108">
        <v>7107069580</v>
      </c>
      <c r="C108">
        <v>28.43</v>
      </c>
      <c r="D108">
        <v>0</v>
      </c>
      <c r="E108">
        <v>1012.21</v>
      </c>
      <c r="F108">
        <v>16486348</v>
      </c>
      <c r="G108">
        <v>137925586</v>
      </c>
    </row>
    <row r="109" spans="1:7">
      <c r="A109">
        <v>194</v>
      </c>
      <c r="B109">
        <v>7633205820</v>
      </c>
      <c r="C109">
        <v>30.53</v>
      </c>
      <c r="D109">
        <v>0</v>
      </c>
      <c r="E109">
        <v>1012.21</v>
      </c>
      <c r="F109">
        <v>16677008</v>
      </c>
      <c r="G109">
        <v>139525504</v>
      </c>
    </row>
    <row r="110" spans="1:7">
      <c r="A110">
        <v>196</v>
      </c>
      <c r="B110">
        <v>7969468660</v>
      </c>
      <c r="C110">
        <v>31.89</v>
      </c>
      <c r="D110">
        <v>0</v>
      </c>
      <c r="E110">
        <v>1012.21</v>
      </c>
      <c r="F110">
        <v>16867006</v>
      </c>
      <c r="G110">
        <v>141126129</v>
      </c>
    </row>
    <row r="111" spans="1:7">
      <c r="A111">
        <v>198</v>
      </c>
      <c r="B111">
        <v>7189708780</v>
      </c>
      <c r="C111">
        <v>28.76</v>
      </c>
      <c r="D111">
        <v>0</v>
      </c>
      <c r="E111">
        <v>1012.21</v>
      </c>
      <c r="F111">
        <v>17057498</v>
      </c>
      <c r="G111">
        <v>142723536</v>
      </c>
    </row>
    <row r="112" spans="1:7">
      <c r="A112">
        <v>200</v>
      </c>
      <c r="B112">
        <v>7154193600</v>
      </c>
      <c r="C112">
        <v>28.62</v>
      </c>
      <c r="D112">
        <v>0</v>
      </c>
      <c r="E112">
        <v>1012.21</v>
      </c>
      <c r="F112">
        <v>17247891</v>
      </c>
      <c r="G112">
        <v>144324501</v>
      </c>
    </row>
    <row r="113" spans="1:7">
      <c r="A113">
        <v>202</v>
      </c>
      <c r="B113">
        <v>7272249600</v>
      </c>
      <c r="C113">
        <v>29.09</v>
      </c>
      <c r="D113">
        <v>0</v>
      </c>
      <c r="E113">
        <v>1012.21</v>
      </c>
      <c r="F113">
        <v>17438474</v>
      </c>
      <c r="G113">
        <v>145922337</v>
      </c>
    </row>
    <row r="114" spans="1:7">
      <c r="A114">
        <v>204</v>
      </c>
      <c r="B114">
        <v>7467829040</v>
      </c>
      <c r="C114">
        <v>29.87</v>
      </c>
      <c r="D114">
        <v>0</v>
      </c>
      <c r="E114">
        <v>1012.21</v>
      </c>
      <c r="F114">
        <v>17628593</v>
      </c>
      <c r="G114">
        <v>147519051</v>
      </c>
    </row>
    <row r="115" spans="1:7">
      <c r="A115">
        <v>206</v>
      </c>
      <c r="B115">
        <v>7084934080</v>
      </c>
      <c r="C115">
        <v>28.34</v>
      </c>
      <c r="D115">
        <v>0</v>
      </c>
      <c r="E115">
        <v>1012.21</v>
      </c>
      <c r="F115">
        <v>17818524</v>
      </c>
      <c r="G115">
        <v>149117124</v>
      </c>
    </row>
    <row r="116" spans="1:7">
      <c r="A116">
        <v>208</v>
      </c>
      <c r="B116">
        <v>7161768860</v>
      </c>
      <c r="C116">
        <v>28.65</v>
      </c>
      <c r="D116">
        <v>0</v>
      </c>
      <c r="E116">
        <v>1012.21</v>
      </c>
      <c r="F116">
        <v>18008018</v>
      </c>
      <c r="G116">
        <v>150712827</v>
      </c>
    </row>
    <row r="117" spans="1:7">
      <c r="A117">
        <v>210</v>
      </c>
      <c r="B117">
        <v>7355872600</v>
      </c>
      <c r="C117">
        <v>29.42</v>
      </c>
      <c r="D117">
        <v>0</v>
      </c>
      <c r="E117">
        <v>1012.21</v>
      </c>
      <c r="F117">
        <v>18198120</v>
      </c>
      <c r="G117">
        <v>152310184</v>
      </c>
    </row>
    <row r="118" spans="1:7">
      <c r="A118">
        <v>212</v>
      </c>
      <c r="B118">
        <v>7806059480</v>
      </c>
      <c r="C118">
        <v>31.23</v>
      </c>
      <c r="D118">
        <v>0</v>
      </c>
      <c r="E118">
        <v>1012.21</v>
      </c>
      <c r="F118">
        <v>18387611</v>
      </c>
      <c r="G118">
        <v>153910485</v>
      </c>
    </row>
    <row r="119" spans="1:7">
      <c r="A119">
        <v>214</v>
      </c>
      <c r="B119">
        <v>7411850820</v>
      </c>
      <c r="C119">
        <v>29.65</v>
      </c>
      <c r="D119">
        <v>0</v>
      </c>
      <c r="E119">
        <v>1012.21</v>
      </c>
      <c r="F119">
        <v>18578139</v>
      </c>
      <c r="G119">
        <v>155511970</v>
      </c>
    </row>
    <row r="120" spans="1:7">
      <c r="A120">
        <v>216</v>
      </c>
      <c r="B120">
        <v>6940905760</v>
      </c>
      <c r="C120">
        <v>27.76</v>
      </c>
      <c r="D120">
        <v>0</v>
      </c>
      <c r="E120">
        <v>1012.21</v>
      </c>
      <c r="F120">
        <v>18768343</v>
      </c>
      <c r="G120">
        <v>157107315</v>
      </c>
    </row>
    <row r="121" spans="1:7">
      <c r="A121">
        <v>218</v>
      </c>
      <c r="B121">
        <v>8049451600</v>
      </c>
      <c r="C121">
        <v>32.200000000000003</v>
      </c>
      <c r="D121">
        <v>0</v>
      </c>
      <c r="E121">
        <v>1012.21</v>
      </c>
      <c r="F121">
        <v>18958255</v>
      </c>
      <c r="G121">
        <v>158710050</v>
      </c>
    </row>
    <row r="122" spans="1:7">
      <c r="A122">
        <v>220</v>
      </c>
      <c r="B122">
        <v>7081195640</v>
      </c>
      <c r="C122">
        <v>28.32</v>
      </c>
      <c r="D122">
        <v>0</v>
      </c>
      <c r="E122">
        <v>1012.21</v>
      </c>
      <c r="F122">
        <v>19148050</v>
      </c>
      <c r="G122">
        <v>160307858</v>
      </c>
    </row>
    <row r="123" spans="1:7">
      <c r="A123">
        <v>222</v>
      </c>
      <c r="B123">
        <v>7409883220</v>
      </c>
      <c r="C123">
        <v>29.64</v>
      </c>
      <c r="D123">
        <v>0</v>
      </c>
      <c r="E123">
        <v>1012.21</v>
      </c>
      <c r="F123">
        <v>19337949</v>
      </c>
      <c r="G123">
        <v>161906388</v>
      </c>
    </row>
    <row r="124" spans="1:7">
      <c r="A124">
        <v>224</v>
      </c>
      <c r="B124">
        <v>7058371480</v>
      </c>
      <c r="C124">
        <v>28.23</v>
      </c>
      <c r="D124">
        <v>0</v>
      </c>
      <c r="E124">
        <v>1012.21</v>
      </c>
      <c r="F124">
        <v>19527364</v>
      </c>
      <c r="G124">
        <v>163502727</v>
      </c>
    </row>
    <row r="125" spans="1:7">
      <c r="A125">
        <v>226</v>
      </c>
      <c r="B125">
        <v>7610381660</v>
      </c>
      <c r="C125">
        <v>30.44</v>
      </c>
      <c r="D125">
        <v>0</v>
      </c>
      <c r="E125">
        <v>1012.21</v>
      </c>
      <c r="F125">
        <v>19717237</v>
      </c>
      <c r="G125">
        <v>165100500</v>
      </c>
    </row>
    <row r="126" spans="1:7">
      <c r="A126">
        <v>228</v>
      </c>
      <c r="B126">
        <v>7065258080</v>
      </c>
      <c r="C126">
        <v>28.26</v>
      </c>
      <c r="D126">
        <v>0</v>
      </c>
      <c r="E126">
        <v>1012.21</v>
      </c>
      <c r="F126">
        <v>19907342</v>
      </c>
      <c r="G126">
        <v>166700458</v>
      </c>
    </row>
    <row r="127" spans="1:7">
      <c r="A127">
        <v>230</v>
      </c>
      <c r="B127">
        <v>7042040400</v>
      </c>
      <c r="C127">
        <v>28.17</v>
      </c>
      <c r="D127">
        <v>0</v>
      </c>
      <c r="E127">
        <v>1012.21</v>
      </c>
      <c r="F127">
        <v>20096719</v>
      </c>
      <c r="G127">
        <v>168293389</v>
      </c>
    </row>
    <row r="128" spans="1:7">
      <c r="A128">
        <v>232</v>
      </c>
      <c r="B128">
        <v>7380762740</v>
      </c>
      <c r="C128">
        <v>29.52</v>
      </c>
      <c r="D128">
        <v>0</v>
      </c>
      <c r="E128">
        <v>1012.21</v>
      </c>
      <c r="F128">
        <v>20286933</v>
      </c>
      <c r="G128">
        <v>169893503</v>
      </c>
    </row>
    <row r="129" spans="1:7">
      <c r="A129">
        <v>234</v>
      </c>
      <c r="B129">
        <v>7353413100</v>
      </c>
      <c r="C129">
        <v>29.41</v>
      </c>
      <c r="D129">
        <v>0</v>
      </c>
      <c r="E129">
        <v>1012.21</v>
      </c>
      <c r="F129">
        <v>20476965</v>
      </c>
      <c r="G129">
        <v>171491995</v>
      </c>
    </row>
    <row r="130" spans="1:7">
      <c r="A130">
        <v>236</v>
      </c>
      <c r="B130">
        <v>7611070320</v>
      </c>
      <c r="C130">
        <v>30.45</v>
      </c>
      <c r="D130">
        <v>0</v>
      </c>
      <c r="E130">
        <v>1012.21</v>
      </c>
      <c r="F130">
        <v>20666378</v>
      </c>
      <c r="G130">
        <v>173089816</v>
      </c>
    </row>
    <row r="131" spans="1:7">
      <c r="A131">
        <v>238</v>
      </c>
      <c r="B131">
        <v>7722042960</v>
      </c>
      <c r="C131">
        <v>30.89</v>
      </c>
      <c r="D131">
        <v>0</v>
      </c>
      <c r="E131">
        <v>1012.21</v>
      </c>
      <c r="F131">
        <v>20856273</v>
      </c>
      <c r="G131">
        <v>174692681</v>
      </c>
    </row>
    <row r="132" spans="1:7">
      <c r="A132">
        <v>240</v>
      </c>
      <c r="B132">
        <v>7005246280</v>
      </c>
      <c r="C132">
        <v>28.02</v>
      </c>
      <c r="D132">
        <v>0</v>
      </c>
      <c r="E132">
        <v>1012.21</v>
      </c>
      <c r="F132">
        <v>21045826</v>
      </c>
      <c r="G132">
        <v>176291342</v>
      </c>
    </row>
    <row r="133" spans="1:7">
      <c r="A133">
        <v>242</v>
      </c>
      <c r="B133">
        <v>7496457620</v>
      </c>
      <c r="C133">
        <v>29.99</v>
      </c>
      <c r="D133">
        <v>0</v>
      </c>
      <c r="E133">
        <v>1012.21</v>
      </c>
      <c r="F133">
        <v>21235625</v>
      </c>
      <c r="G133">
        <v>177889364</v>
      </c>
    </row>
    <row r="134" spans="1:7">
      <c r="A134">
        <v>244</v>
      </c>
      <c r="B134">
        <v>7177411280</v>
      </c>
      <c r="C134">
        <v>28.71</v>
      </c>
      <c r="D134">
        <v>0</v>
      </c>
      <c r="E134">
        <v>1012.21</v>
      </c>
      <c r="F134">
        <v>21425430</v>
      </c>
      <c r="G134">
        <v>179489386</v>
      </c>
    </row>
    <row r="135" spans="1:7">
      <c r="A135">
        <v>246</v>
      </c>
      <c r="B135">
        <v>7311503220</v>
      </c>
      <c r="C135">
        <v>29.25</v>
      </c>
      <c r="D135">
        <v>0</v>
      </c>
      <c r="E135">
        <v>1012.21</v>
      </c>
      <c r="F135">
        <v>21614891</v>
      </c>
      <c r="G135">
        <v>181084998</v>
      </c>
    </row>
    <row r="136" spans="1:7">
      <c r="A136">
        <v>248</v>
      </c>
      <c r="B136">
        <v>7779693640</v>
      </c>
      <c r="C136">
        <v>31.12</v>
      </c>
      <c r="D136">
        <v>0</v>
      </c>
      <c r="E136">
        <v>1012.21</v>
      </c>
      <c r="F136">
        <v>21804044</v>
      </c>
      <c r="G136">
        <v>182681017</v>
      </c>
    </row>
    <row r="137" spans="1:7">
      <c r="A137">
        <v>250</v>
      </c>
      <c r="B137">
        <v>7580572520</v>
      </c>
      <c r="C137">
        <v>30.32</v>
      </c>
      <c r="D137">
        <v>0</v>
      </c>
      <c r="E137">
        <v>1012.21</v>
      </c>
      <c r="F137">
        <v>21993705</v>
      </c>
      <c r="G137">
        <v>184277627</v>
      </c>
    </row>
    <row r="138" spans="1:7">
      <c r="A138">
        <v>252</v>
      </c>
      <c r="B138">
        <v>7184593020</v>
      </c>
      <c r="C138">
        <v>28.74</v>
      </c>
      <c r="D138">
        <v>0</v>
      </c>
      <c r="E138">
        <v>1012.21</v>
      </c>
      <c r="F138">
        <v>22182887</v>
      </c>
      <c r="G138">
        <v>185875188</v>
      </c>
    </row>
    <row r="139" spans="1:7">
      <c r="A139">
        <v>254</v>
      </c>
      <c r="B139">
        <v>7491440240</v>
      </c>
      <c r="C139">
        <v>29.97</v>
      </c>
      <c r="D139">
        <v>0</v>
      </c>
      <c r="E139">
        <v>1012.21</v>
      </c>
      <c r="F139">
        <v>22371762</v>
      </c>
      <c r="G139">
        <v>187468927</v>
      </c>
    </row>
    <row r="140" spans="1:7">
      <c r="A140">
        <v>256</v>
      </c>
      <c r="B140">
        <v>7100182980</v>
      </c>
      <c r="C140">
        <v>28.4</v>
      </c>
      <c r="D140">
        <v>0</v>
      </c>
      <c r="E140">
        <v>1012.21</v>
      </c>
      <c r="F140">
        <v>22559952</v>
      </c>
      <c r="G140">
        <v>189059697</v>
      </c>
    </row>
    <row r="141" spans="1:7">
      <c r="A141">
        <v>258</v>
      </c>
      <c r="B141">
        <v>7303337680</v>
      </c>
      <c r="C141">
        <v>29.21</v>
      </c>
      <c r="D141">
        <v>0</v>
      </c>
      <c r="E141">
        <v>1012.21</v>
      </c>
      <c r="F141">
        <v>22748974</v>
      </c>
      <c r="G141">
        <v>190656027</v>
      </c>
    </row>
    <row r="142" spans="1:7">
      <c r="A142">
        <v>260</v>
      </c>
      <c r="B142">
        <v>7101363540</v>
      </c>
      <c r="C142">
        <v>28.4</v>
      </c>
      <c r="D142">
        <v>0</v>
      </c>
      <c r="E142">
        <v>1012.21</v>
      </c>
      <c r="F142">
        <v>22938448</v>
      </c>
      <c r="G142">
        <v>192253268</v>
      </c>
    </row>
    <row r="143" spans="1:7">
      <c r="A143">
        <v>262</v>
      </c>
      <c r="B143">
        <v>7293204540</v>
      </c>
      <c r="C143">
        <v>29.17</v>
      </c>
      <c r="D143">
        <v>0</v>
      </c>
      <c r="E143">
        <v>1012.21</v>
      </c>
      <c r="F143">
        <v>23127583</v>
      </c>
      <c r="G143">
        <v>193849561</v>
      </c>
    </row>
    <row r="144" spans="1:7">
      <c r="A144">
        <v>264</v>
      </c>
      <c r="B144">
        <v>7195021300</v>
      </c>
      <c r="C144">
        <v>28.78</v>
      </c>
      <c r="D144">
        <v>0</v>
      </c>
      <c r="E144">
        <v>1012.21</v>
      </c>
      <c r="F144">
        <v>23317389</v>
      </c>
      <c r="G144">
        <v>195446868</v>
      </c>
    </row>
    <row r="145" spans="1:7">
      <c r="A145">
        <v>266</v>
      </c>
      <c r="B145">
        <v>7438708560</v>
      </c>
      <c r="C145">
        <v>29.75</v>
      </c>
      <c r="D145">
        <v>0</v>
      </c>
      <c r="E145">
        <v>1012.21</v>
      </c>
      <c r="F145">
        <v>23506922</v>
      </c>
      <c r="G145">
        <v>197043489</v>
      </c>
    </row>
    <row r="146" spans="1:7">
      <c r="A146">
        <v>268</v>
      </c>
      <c r="B146">
        <v>7461926240</v>
      </c>
      <c r="C146">
        <v>29.85</v>
      </c>
      <c r="D146">
        <v>0</v>
      </c>
      <c r="E146">
        <v>1012.21</v>
      </c>
      <c r="F146">
        <v>23696531</v>
      </c>
      <c r="G146">
        <v>198641467</v>
      </c>
    </row>
    <row r="147" spans="1:7">
      <c r="A147">
        <v>270</v>
      </c>
      <c r="B147">
        <v>7253360640</v>
      </c>
      <c r="C147">
        <v>29.01</v>
      </c>
      <c r="D147">
        <v>0</v>
      </c>
      <c r="E147">
        <v>1012.21</v>
      </c>
      <c r="F147">
        <v>23886534</v>
      </c>
      <c r="G147">
        <v>200238848</v>
      </c>
    </row>
    <row r="148" spans="1:7">
      <c r="A148">
        <v>272</v>
      </c>
      <c r="B148">
        <v>7638518340</v>
      </c>
      <c r="C148">
        <v>30.56</v>
      </c>
      <c r="D148">
        <v>0</v>
      </c>
      <c r="E148">
        <v>1012.21</v>
      </c>
      <c r="F148">
        <v>24076470</v>
      </c>
      <c r="G148">
        <v>201835073</v>
      </c>
    </row>
    <row r="149" spans="1:7">
      <c r="A149">
        <v>274</v>
      </c>
      <c r="B149">
        <v>7050205940</v>
      </c>
      <c r="C149">
        <v>28.2</v>
      </c>
      <c r="D149">
        <v>0</v>
      </c>
      <c r="E149">
        <v>1012.21</v>
      </c>
      <c r="F149">
        <v>24266266</v>
      </c>
      <c r="G149">
        <v>203433497</v>
      </c>
    </row>
    <row r="150" spans="1:7">
      <c r="A150">
        <v>276</v>
      </c>
      <c r="B150">
        <v>7146815100</v>
      </c>
      <c r="C150">
        <v>28.59</v>
      </c>
      <c r="D150">
        <v>0</v>
      </c>
      <c r="E150">
        <v>1012.21</v>
      </c>
      <c r="F150">
        <v>24455558</v>
      </c>
      <c r="G150">
        <v>205027482</v>
      </c>
    </row>
    <row r="151" spans="1:7">
      <c r="A151">
        <v>278</v>
      </c>
      <c r="B151">
        <v>7193348840</v>
      </c>
      <c r="C151">
        <v>28.77</v>
      </c>
      <c r="D151">
        <v>0</v>
      </c>
      <c r="E151">
        <v>1012.21</v>
      </c>
      <c r="F151">
        <v>24644835</v>
      </c>
      <c r="G151">
        <v>206620308</v>
      </c>
    </row>
    <row r="152" spans="1:7">
      <c r="A152">
        <v>280</v>
      </c>
      <c r="B152">
        <v>7667933960</v>
      </c>
      <c r="C152">
        <v>30.67</v>
      </c>
      <c r="D152">
        <v>0</v>
      </c>
      <c r="E152">
        <v>1012.21</v>
      </c>
      <c r="F152">
        <v>24834239</v>
      </c>
      <c r="G152">
        <v>208218290</v>
      </c>
    </row>
    <row r="153" spans="1:7">
      <c r="A153">
        <v>282</v>
      </c>
      <c r="B153">
        <v>7801730760</v>
      </c>
      <c r="C153">
        <v>31.21</v>
      </c>
      <c r="D153">
        <v>0</v>
      </c>
      <c r="E153">
        <v>1012.21</v>
      </c>
      <c r="F153">
        <v>25024039</v>
      </c>
      <c r="G153">
        <v>209819071</v>
      </c>
    </row>
    <row r="154" spans="1:7">
      <c r="A154">
        <v>284</v>
      </c>
      <c r="B154">
        <v>7011149080</v>
      </c>
      <c r="C154">
        <v>28.04</v>
      </c>
      <c r="D154">
        <v>0</v>
      </c>
      <c r="E154">
        <v>1012.21</v>
      </c>
      <c r="F154">
        <v>25213607</v>
      </c>
      <c r="G154">
        <v>211418047</v>
      </c>
    </row>
    <row r="155" spans="1:7">
      <c r="A155">
        <v>286</v>
      </c>
      <c r="B155">
        <v>7381156260</v>
      </c>
      <c r="C155">
        <v>29.53</v>
      </c>
      <c r="D155">
        <v>0</v>
      </c>
      <c r="E155">
        <v>1012.21</v>
      </c>
      <c r="F155">
        <v>25402754</v>
      </c>
      <c r="G155">
        <v>213015069</v>
      </c>
    </row>
    <row r="156" spans="1:7">
      <c r="A156">
        <v>288</v>
      </c>
      <c r="B156">
        <v>7296746220</v>
      </c>
      <c r="C156">
        <v>29.19</v>
      </c>
      <c r="D156">
        <v>0</v>
      </c>
      <c r="E156">
        <v>1012.21</v>
      </c>
      <c r="F156">
        <v>25592004</v>
      </c>
      <c r="G156">
        <v>214614146</v>
      </c>
    </row>
    <row r="157" spans="1:7">
      <c r="A157">
        <v>290</v>
      </c>
      <c r="B157">
        <v>7285530900</v>
      </c>
      <c r="C157">
        <v>29.14</v>
      </c>
      <c r="D157">
        <v>0</v>
      </c>
      <c r="E157">
        <v>1012.21</v>
      </c>
      <c r="F157">
        <v>25781022</v>
      </c>
      <c r="G157">
        <v>216210640</v>
      </c>
    </row>
    <row r="158" spans="1:7">
      <c r="A158">
        <v>292</v>
      </c>
      <c r="B158">
        <v>7099199180</v>
      </c>
      <c r="C158">
        <v>28.4</v>
      </c>
      <c r="D158">
        <v>0</v>
      </c>
      <c r="E158">
        <v>1012.21</v>
      </c>
      <c r="F158">
        <v>25970085</v>
      </c>
      <c r="G158">
        <v>217803850</v>
      </c>
    </row>
    <row r="159" spans="1:7">
      <c r="A159">
        <v>294</v>
      </c>
      <c r="B159">
        <v>7251884940</v>
      </c>
      <c r="C159">
        <v>29.01</v>
      </c>
      <c r="D159">
        <v>0</v>
      </c>
      <c r="E159">
        <v>1012.21</v>
      </c>
      <c r="F159">
        <v>26159226</v>
      </c>
      <c r="G159">
        <v>219399027</v>
      </c>
    </row>
    <row r="160" spans="1:7">
      <c r="A160">
        <v>296</v>
      </c>
      <c r="B160">
        <v>7696956060</v>
      </c>
      <c r="C160">
        <v>30.79</v>
      </c>
      <c r="D160">
        <v>0</v>
      </c>
      <c r="E160">
        <v>1012.21</v>
      </c>
      <c r="F160">
        <v>26348681</v>
      </c>
      <c r="G160">
        <v>220998304</v>
      </c>
    </row>
    <row r="161" spans="1:156">
      <c r="A161">
        <v>298</v>
      </c>
      <c r="B161">
        <v>7582540120</v>
      </c>
      <c r="C161">
        <v>30.33</v>
      </c>
      <c r="D161">
        <v>0</v>
      </c>
      <c r="E161">
        <v>1012.21</v>
      </c>
      <c r="F161">
        <v>26538400</v>
      </c>
      <c r="G161">
        <v>222599919</v>
      </c>
    </row>
    <row r="162" spans="1:156">
      <c r="A162" t="s">
        <v>107</v>
      </c>
      <c r="B162" t="s">
        <v>45</v>
      </c>
    </row>
    <row r="163" spans="1:156">
      <c r="A163" t="s">
        <v>108</v>
      </c>
      <c r="B163" t="s">
        <v>109</v>
      </c>
      <c r="C163" t="s">
        <v>110</v>
      </c>
      <c r="D163" t="s">
        <v>111</v>
      </c>
      <c r="E163" t="s">
        <v>112</v>
      </c>
      <c r="F163" t="s">
        <v>113</v>
      </c>
      <c r="G163" t="s">
        <v>114</v>
      </c>
      <c r="H163" t="s">
        <v>115</v>
      </c>
      <c r="I163" t="s">
        <v>116</v>
      </c>
      <c r="J163" t="s">
        <v>117</v>
      </c>
      <c r="K163" t="s">
        <v>118</v>
      </c>
      <c r="L163" t="s">
        <v>119</v>
      </c>
      <c r="M163" t="s">
        <v>120</v>
      </c>
      <c r="N163" t="s">
        <v>121</v>
      </c>
      <c r="O163" t="s">
        <v>122</v>
      </c>
      <c r="P163" t="s">
        <v>123</v>
      </c>
      <c r="Q163" t="s">
        <v>124</v>
      </c>
      <c r="R163" t="s">
        <v>118</v>
      </c>
      <c r="S163" t="s">
        <v>125</v>
      </c>
      <c r="T163" t="s">
        <v>126</v>
      </c>
      <c r="U163" t="s">
        <v>127</v>
      </c>
      <c r="V163" t="s">
        <v>128</v>
      </c>
      <c r="W163" t="s">
        <v>129</v>
      </c>
      <c r="X163" t="s">
        <v>130</v>
      </c>
      <c r="Y163" t="s">
        <v>131</v>
      </c>
      <c r="Z163" t="s">
        <v>132</v>
      </c>
      <c r="AA163" t="s">
        <v>133</v>
      </c>
      <c r="AB163" t="s">
        <v>134</v>
      </c>
      <c r="AC163" t="s">
        <v>135</v>
      </c>
      <c r="AD163" t="s">
        <v>105</v>
      </c>
      <c r="AE163" t="s">
        <v>136</v>
      </c>
      <c r="AF163" t="s">
        <v>115</v>
      </c>
      <c r="AG163" t="s">
        <v>137</v>
      </c>
      <c r="AH163" t="s">
        <v>138</v>
      </c>
      <c r="AI163" t="s">
        <v>139</v>
      </c>
      <c r="AJ163" t="s">
        <v>126</v>
      </c>
      <c r="AK163" t="s">
        <v>127</v>
      </c>
      <c r="AL163" t="s">
        <v>128</v>
      </c>
      <c r="AM163" t="s">
        <v>129</v>
      </c>
      <c r="AN163" t="s">
        <v>130</v>
      </c>
      <c r="AO163" t="s">
        <v>131</v>
      </c>
      <c r="AP163" t="s">
        <v>132</v>
      </c>
      <c r="AQ163" t="s">
        <v>133</v>
      </c>
      <c r="AR163" t="s">
        <v>134</v>
      </c>
      <c r="AS163" t="s">
        <v>140</v>
      </c>
      <c r="AT163" t="s">
        <v>105</v>
      </c>
      <c r="AU163" t="s">
        <v>136</v>
      </c>
      <c r="AV163" t="s">
        <v>115</v>
      </c>
      <c r="AW163" t="s">
        <v>137</v>
      </c>
      <c r="AX163" t="s">
        <v>138</v>
      </c>
      <c r="AY163" t="s">
        <v>141</v>
      </c>
      <c r="AZ163" t="s">
        <v>126</v>
      </c>
      <c r="BA163" t="s">
        <v>142</v>
      </c>
      <c r="BB163" t="s">
        <v>143</v>
      </c>
      <c r="BC163" t="s">
        <v>144</v>
      </c>
      <c r="BD163" t="s">
        <v>145</v>
      </c>
      <c r="BE163" t="s">
        <v>146</v>
      </c>
      <c r="BF163" t="s">
        <v>147</v>
      </c>
      <c r="BG163" t="s">
        <v>148</v>
      </c>
      <c r="BH163" t="s">
        <v>149</v>
      </c>
      <c r="BI163" t="s">
        <v>150</v>
      </c>
      <c r="BJ163" t="s">
        <v>141</v>
      </c>
      <c r="BK163" t="s">
        <v>126</v>
      </c>
      <c r="BL163" t="s">
        <v>142</v>
      </c>
      <c r="BM163" t="s">
        <v>143</v>
      </c>
      <c r="BN163" t="s">
        <v>144</v>
      </c>
      <c r="BO163" t="s">
        <v>145</v>
      </c>
      <c r="BP163" t="s">
        <v>146</v>
      </c>
      <c r="BQ163" t="s">
        <v>147</v>
      </c>
      <c r="BR163" t="s">
        <v>148</v>
      </c>
      <c r="BS163" t="s">
        <v>149</v>
      </c>
      <c r="BT163" t="s">
        <v>150</v>
      </c>
    </row>
    <row r="164" spans="1:156">
      <c r="A164">
        <v>98380</v>
      </c>
      <c r="B164">
        <v>0</v>
      </c>
      <c r="C164">
        <v>10449683</v>
      </c>
      <c r="D164">
        <v>0</v>
      </c>
      <c r="E164">
        <v>28.7088</v>
      </c>
      <c r="F164" s="7">
        <v>301998000</v>
      </c>
      <c r="G164">
        <v>27414.6</v>
      </c>
      <c r="H164">
        <v>224329922</v>
      </c>
      <c r="I164">
        <v>0</v>
      </c>
      <c r="J164">
        <v>0</v>
      </c>
      <c r="K164" t="s">
        <v>151</v>
      </c>
      <c r="L164">
        <v>0</v>
      </c>
      <c r="M164">
        <v>10449683</v>
      </c>
      <c r="N164">
        <v>1028039813540</v>
      </c>
      <c r="O164">
        <v>28.701699999999999</v>
      </c>
      <c r="P164">
        <v>299923367</v>
      </c>
      <c r="Q164">
        <v>27421.4</v>
      </c>
      <c r="R164" t="s">
        <v>151</v>
      </c>
      <c r="S164" t="s">
        <v>152</v>
      </c>
      <c r="T164" t="s">
        <v>153</v>
      </c>
      <c r="U164" t="s">
        <v>45</v>
      </c>
      <c r="V164">
        <v>0</v>
      </c>
      <c r="W164">
        <v>0</v>
      </c>
      <c r="X164">
        <v>0</v>
      </c>
      <c r="Y164">
        <v>0</v>
      </c>
      <c r="Z164">
        <v>53</v>
      </c>
      <c r="AA164">
        <v>9983</v>
      </c>
      <c r="AB164">
        <v>0</v>
      </c>
      <c r="AC164">
        <v>0</v>
      </c>
      <c r="AD164" t="s">
        <v>154</v>
      </c>
      <c r="AE164" t="s">
        <v>45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155</v>
      </c>
      <c r="AO164" t="s">
        <v>45</v>
      </c>
      <c r="AP164">
        <v>26768553</v>
      </c>
      <c r="AQ164">
        <v>1766724464</v>
      </c>
      <c r="AR164">
        <v>0</v>
      </c>
      <c r="AS164">
        <v>0</v>
      </c>
      <c r="AT164">
        <v>224329926</v>
      </c>
      <c r="AU164">
        <v>2021731015796</v>
      </c>
      <c r="AV164">
        <v>0</v>
      </c>
      <c r="AW164">
        <v>0</v>
      </c>
      <c r="AX164" t="s">
        <v>156</v>
      </c>
      <c r="AY164" t="s">
        <v>45</v>
      </c>
      <c r="AZ164">
        <v>0</v>
      </c>
      <c r="BA164">
        <v>0</v>
      </c>
      <c r="BB164">
        <v>0</v>
      </c>
      <c r="BC164">
        <v>0</v>
      </c>
      <c r="BD164">
        <v>50</v>
      </c>
      <c r="BE164">
        <v>8918</v>
      </c>
      <c r="BF164">
        <v>0</v>
      </c>
      <c r="BG164">
        <v>0</v>
      </c>
      <c r="BH164" t="s">
        <v>157</v>
      </c>
      <c r="BI164" t="s">
        <v>45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 t="s">
        <v>158</v>
      </c>
      <c r="BS164" t="s">
        <v>45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 t="s">
        <v>135</v>
      </c>
      <c r="CC164">
        <v>26768525</v>
      </c>
      <c r="CD164">
        <v>0</v>
      </c>
      <c r="CE164">
        <v>224329922</v>
      </c>
      <c r="CF164">
        <v>0</v>
      </c>
      <c r="CG164">
        <v>0</v>
      </c>
      <c r="CH164" t="s">
        <v>159</v>
      </c>
      <c r="CI164" t="s">
        <v>160</v>
      </c>
      <c r="CJ164" t="s">
        <v>45</v>
      </c>
      <c r="CK164">
        <v>83826</v>
      </c>
      <c r="CL164">
        <v>3942722</v>
      </c>
      <c r="CM164">
        <v>0</v>
      </c>
      <c r="CN164">
        <v>0</v>
      </c>
      <c r="CO164">
        <v>753</v>
      </c>
      <c r="CP164">
        <v>293400</v>
      </c>
      <c r="CQ164">
        <v>0</v>
      </c>
      <c r="CR164">
        <v>0</v>
      </c>
      <c r="CS164" t="s">
        <v>161</v>
      </c>
      <c r="CT164" t="s">
        <v>45</v>
      </c>
      <c r="CU164">
        <v>224415084</v>
      </c>
      <c r="CV164">
        <v>2021736253242</v>
      </c>
      <c r="CW164">
        <v>0</v>
      </c>
      <c r="CX164">
        <v>0</v>
      </c>
      <c r="CY164">
        <v>26770521</v>
      </c>
      <c r="CZ164">
        <v>1767175902</v>
      </c>
      <c r="DA164">
        <v>0</v>
      </c>
      <c r="DB164">
        <v>0</v>
      </c>
      <c r="DC164" t="s">
        <v>158</v>
      </c>
      <c r="DD164" t="s">
        <v>45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 t="s">
        <v>162</v>
      </c>
      <c r="DN164" t="s">
        <v>45</v>
      </c>
      <c r="DO164">
        <v>35900682</v>
      </c>
      <c r="DP164">
        <v>2008792107806</v>
      </c>
      <c r="DQ164">
        <v>0</v>
      </c>
      <c r="DR164">
        <v>0</v>
      </c>
      <c r="DS164">
        <v>26769661</v>
      </c>
      <c r="DT164">
        <v>1766864532</v>
      </c>
      <c r="DU164">
        <v>0</v>
      </c>
      <c r="DV164">
        <v>0</v>
      </c>
      <c r="DW164" t="s">
        <v>163</v>
      </c>
      <c r="DX164" t="s">
        <v>45</v>
      </c>
      <c r="DY164">
        <v>11147</v>
      </c>
      <c r="DZ164">
        <v>1114700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 t="s">
        <v>140</v>
      </c>
      <c r="EH164">
        <v>35900212</v>
      </c>
      <c r="EI164">
        <v>6</v>
      </c>
      <c r="EJ164">
        <v>26769408</v>
      </c>
      <c r="EK164">
        <v>35</v>
      </c>
      <c r="EL164">
        <v>37</v>
      </c>
      <c r="EM164" t="s">
        <v>141</v>
      </c>
      <c r="EN164" t="s">
        <v>164</v>
      </c>
      <c r="EO164">
        <v>224415083</v>
      </c>
      <c r="EP164">
        <v>26770522</v>
      </c>
      <c r="EQ164">
        <v>224426558</v>
      </c>
      <c r="ER164">
        <v>26770522</v>
      </c>
      <c r="ES164">
        <v>0</v>
      </c>
      <c r="ET164">
        <v>0</v>
      </c>
      <c r="EU164">
        <v>0</v>
      </c>
      <c r="EV164">
        <v>0</v>
      </c>
      <c r="EW164">
        <v>0</v>
      </c>
      <c r="EX164" t="s">
        <v>141</v>
      </c>
      <c r="EY164" t="s">
        <v>45</v>
      </c>
      <c r="EZ164" t="s">
        <v>118</v>
      </c>
    </row>
    <row r="165" spans="1:156">
      <c r="A165" t="s">
        <v>165</v>
      </c>
      <c r="B165" t="s">
        <v>166</v>
      </c>
      <c r="C165" t="s">
        <v>167</v>
      </c>
      <c r="D165" t="s">
        <v>168</v>
      </c>
      <c r="E165" t="s">
        <v>169</v>
      </c>
      <c r="F165" t="s">
        <v>170</v>
      </c>
      <c r="G165" t="s">
        <v>171</v>
      </c>
      <c r="H165" t="s">
        <v>172</v>
      </c>
    </row>
    <row r="166" spans="1:156">
      <c r="A166" t="s">
        <v>173</v>
      </c>
      <c r="B166">
        <v>0</v>
      </c>
      <c r="C166">
        <v>0</v>
      </c>
      <c r="D166">
        <v>45</v>
      </c>
      <c r="E166">
        <v>54</v>
      </c>
      <c r="F166">
        <v>0</v>
      </c>
      <c r="G166">
        <v>1</v>
      </c>
      <c r="H166">
        <v>14</v>
      </c>
      <c r="I166" t="s">
        <v>45</v>
      </c>
    </row>
    <row r="167" spans="1:156">
      <c r="A167" t="s">
        <v>174</v>
      </c>
      <c r="B167">
        <v>0</v>
      </c>
      <c r="C167">
        <v>0</v>
      </c>
      <c r="D167">
        <v>81</v>
      </c>
      <c r="E167">
        <v>18</v>
      </c>
      <c r="F167">
        <v>0</v>
      </c>
      <c r="G167">
        <v>2</v>
      </c>
      <c r="H167">
        <v>18</v>
      </c>
      <c r="I167" t="s">
        <v>45</v>
      </c>
    </row>
    <row r="168" spans="1:156">
      <c r="A168" t="s">
        <v>175</v>
      </c>
      <c r="B168">
        <v>0</v>
      </c>
      <c r="C168">
        <v>0</v>
      </c>
      <c r="D168">
        <v>60</v>
      </c>
      <c r="E168">
        <v>38</v>
      </c>
      <c r="F168">
        <v>0</v>
      </c>
      <c r="G168">
        <v>1</v>
      </c>
      <c r="H168">
        <v>3</v>
      </c>
      <c r="I168" t="s">
        <v>45</v>
      </c>
    </row>
    <row r="169" spans="1:156">
      <c r="A169" t="s">
        <v>176</v>
      </c>
      <c r="B169">
        <v>0</v>
      </c>
      <c r="C169">
        <v>0</v>
      </c>
      <c r="D169">
        <v>18</v>
      </c>
      <c r="E169">
        <v>81</v>
      </c>
      <c r="F169">
        <v>0</v>
      </c>
      <c r="G169">
        <v>0</v>
      </c>
      <c r="H169">
        <v>17</v>
      </c>
      <c r="I169" t="s">
        <v>45</v>
      </c>
    </row>
    <row r="170" spans="1:156">
      <c r="A170" t="s">
        <v>177</v>
      </c>
      <c r="B170">
        <v>0</v>
      </c>
      <c r="C170">
        <v>0</v>
      </c>
      <c r="D170">
        <v>20</v>
      </c>
      <c r="E170">
        <v>79</v>
      </c>
      <c r="F170">
        <v>0</v>
      </c>
      <c r="G170">
        <v>3</v>
      </c>
      <c r="H170">
        <v>17</v>
      </c>
      <c r="I170" t="s">
        <v>45</v>
      </c>
    </row>
    <row r="171" spans="1:156">
      <c r="A171" t="s">
        <v>178</v>
      </c>
      <c r="B171" t="s">
        <v>166</v>
      </c>
      <c r="C171" t="s">
        <v>167</v>
      </c>
      <c r="D171" t="s">
        <v>168</v>
      </c>
      <c r="E171" t="s">
        <v>169</v>
      </c>
      <c r="F171" t="s">
        <v>170</v>
      </c>
      <c r="G171" t="s">
        <v>171</v>
      </c>
      <c r="H171" t="s">
        <v>172</v>
      </c>
    </row>
    <row r="172" spans="1:156">
      <c r="A172" t="s">
        <v>179</v>
      </c>
      <c r="B172">
        <v>0</v>
      </c>
      <c r="C172">
        <v>0</v>
      </c>
      <c r="D172">
        <v>3</v>
      </c>
      <c r="E172">
        <v>96</v>
      </c>
      <c r="F172">
        <v>0</v>
      </c>
      <c r="G172">
        <v>0</v>
      </c>
      <c r="H172">
        <v>0</v>
      </c>
      <c r="I172" t="s">
        <v>45</v>
      </c>
    </row>
    <row r="173" spans="1:156">
      <c r="A173" t="s">
        <v>180</v>
      </c>
      <c r="B173">
        <v>0</v>
      </c>
      <c r="C173">
        <v>0</v>
      </c>
      <c r="D173">
        <v>0</v>
      </c>
      <c r="E173">
        <v>99</v>
      </c>
      <c r="F173">
        <v>0</v>
      </c>
      <c r="G173">
        <v>0</v>
      </c>
      <c r="H173">
        <v>0</v>
      </c>
      <c r="I173" t="s">
        <v>45</v>
      </c>
    </row>
    <row r="174" spans="1:156">
      <c r="A174" t="s">
        <v>181</v>
      </c>
      <c r="B174">
        <v>0</v>
      </c>
      <c r="C174">
        <v>0</v>
      </c>
      <c r="D174">
        <v>0</v>
      </c>
      <c r="E174">
        <v>99</v>
      </c>
      <c r="F174">
        <v>0</v>
      </c>
      <c r="G174">
        <v>0</v>
      </c>
      <c r="H174">
        <v>0</v>
      </c>
      <c r="I174" t="s">
        <v>45</v>
      </c>
    </row>
    <row r="175" spans="1:156">
      <c r="A175" t="s">
        <v>182</v>
      </c>
      <c r="B175">
        <v>0</v>
      </c>
      <c r="C175">
        <v>0</v>
      </c>
      <c r="D175">
        <v>0</v>
      </c>
      <c r="E175">
        <v>99</v>
      </c>
      <c r="F175">
        <v>0</v>
      </c>
      <c r="G175">
        <v>0</v>
      </c>
      <c r="H175">
        <v>0</v>
      </c>
      <c r="I175" t="s">
        <v>45</v>
      </c>
    </row>
    <row r="176" spans="1:156">
      <c r="A176" t="s">
        <v>183</v>
      </c>
      <c r="B176">
        <v>0</v>
      </c>
      <c r="C176">
        <v>0</v>
      </c>
      <c r="D176">
        <v>0</v>
      </c>
      <c r="E176">
        <v>99</v>
      </c>
      <c r="F176">
        <v>0</v>
      </c>
      <c r="G176">
        <v>0</v>
      </c>
      <c r="H176">
        <v>0</v>
      </c>
      <c r="I176" t="s">
        <v>45</v>
      </c>
    </row>
    <row r="177" spans="1:9">
      <c r="A177" t="s">
        <v>184</v>
      </c>
      <c r="B177">
        <v>0</v>
      </c>
      <c r="C177">
        <v>0</v>
      </c>
      <c r="D177">
        <v>0</v>
      </c>
      <c r="E177">
        <v>99</v>
      </c>
      <c r="F177">
        <v>0</v>
      </c>
      <c r="G177">
        <v>0</v>
      </c>
      <c r="H177">
        <v>0</v>
      </c>
      <c r="I177" t="s">
        <v>45</v>
      </c>
    </row>
    <row r="178" spans="1:9">
      <c r="A178" t="s">
        <v>185</v>
      </c>
      <c r="B178">
        <v>0</v>
      </c>
      <c r="C178">
        <v>0</v>
      </c>
      <c r="D178">
        <v>0</v>
      </c>
      <c r="E178">
        <v>99</v>
      </c>
      <c r="F178">
        <v>0</v>
      </c>
      <c r="G178">
        <v>0</v>
      </c>
      <c r="H178">
        <v>0</v>
      </c>
      <c r="I178" t="s">
        <v>45</v>
      </c>
    </row>
    <row r="179" spans="1:9">
      <c r="A179" t="s">
        <v>186</v>
      </c>
      <c r="B179">
        <v>5</v>
      </c>
      <c r="C179">
        <v>0</v>
      </c>
      <c r="D179">
        <v>90</v>
      </c>
      <c r="E179">
        <v>4</v>
      </c>
      <c r="F179">
        <v>0</v>
      </c>
      <c r="G179">
        <v>0</v>
      </c>
      <c r="H179">
        <v>0</v>
      </c>
      <c r="I179" t="s">
        <v>45</v>
      </c>
    </row>
    <row r="180" spans="1:9">
      <c r="A180" t="s">
        <v>187</v>
      </c>
      <c r="B180">
        <v>4</v>
      </c>
      <c r="C180">
        <v>0</v>
      </c>
      <c r="D180">
        <v>91</v>
      </c>
      <c r="E180">
        <v>3</v>
      </c>
      <c r="F180">
        <v>0</v>
      </c>
      <c r="G180">
        <v>0</v>
      </c>
      <c r="H180">
        <v>0</v>
      </c>
      <c r="I180" t="s">
        <v>45</v>
      </c>
    </row>
    <row r="181" spans="1:9">
      <c r="A181" t="s">
        <v>188</v>
      </c>
      <c r="B181">
        <v>0</v>
      </c>
      <c r="C181">
        <v>0</v>
      </c>
      <c r="D181">
        <v>0</v>
      </c>
      <c r="E181">
        <v>99</v>
      </c>
      <c r="F181">
        <v>0</v>
      </c>
      <c r="G181">
        <v>0</v>
      </c>
      <c r="H181">
        <v>0</v>
      </c>
      <c r="I181" t="s">
        <v>45</v>
      </c>
    </row>
    <row r="182" spans="1:9">
      <c r="A182" t="s">
        <v>189</v>
      </c>
      <c r="B182">
        <v>0</v>
      </c>
      <c r="C182">
        <v>0</v>
      </c>
      <c r="D182">
        <v>0</v>
      </c>
      <c r="E182">
        <v>99</v>
      </c>
      <c r="F182">
        <v>0</v>
      </c>
      <c r="G182">
        <v>0</v>
      </c>
      <c r="H182">
        <v>0</v>
      </c>
      <c r="I182" t="s">
        <v>45</v>
      </c>
    </row>
    <row r="183" spans="1:9">
      <c r="A183" t="s">
        <v>190</v>
      </c>
      <c r="B183">
        <v>0</v>
      </c>
      <c r="C183">
        <v>0</v>
      </c>
      <c r="D183">
        <v>0</v>
      </c>
      <c r="E183">
        <v>99</v>
      </c>
      <c r="F183">
        <v>0</v>
      </c>
      <c r="G183">
        <v>0</v>
      </c>
      <c r="H183">
        <v>0</v>
      </c>
      <c r="I183" t="s">
        <v>45</v>
      </c>
    </row>
    <row r="184" spans="1:9">
      <c r="A184" t="s">
        <v>191</v>
      </c>
      <c r="B184">
        <v>0</v>
      </c>
      <c r="C184">
        <v>0</v>
      </c>
      <c r="D184">
        <v>0</v>
      </c>
      <c r="E184">
        <v>99</v>
      </c>
      <c r="F184">
        <v>0</v>
      </c>
      <c r="G184">
        <v>0</v>
      </c>
      <c r="H184">
        <v>0</v>
      </c>
      <c r="I184" t="s">
        <v>45</v>
      </c>
    </row>
    <row r="185" spans="1:9">
      <c r="A185" t="s">
        <v>192</v>
      </c>
      <c r="B185">
        <v>0</v>
      </c>
      <c r="C185">
        <v>0</v>
      </c>
      <c r="D185">
        <v>4</v>
      </c>
      <c r="E185">
        <v>95</v>
      </c>
      <c r="F185">
        <v>0</v>
      </c>
      <c r="G185">
        <v>0</v>
      </c>
      <c r="H185">
        <v>4</v>
      </c>
      <c r="I185" t="s">
        <v>45</v>
      </c>
    </row>
    <row r="186" spans="1:9">
      <c r="A186" t="s">
        <v>193</v>
      </c>
      <c r="B186">
        <v>0</v>
      </c>
      <c r="C186">
        <v>0</v>
      </c>
      <c r="D186">
        <v>0</v>
      </c>
      <c r="E186">
        <v>99</v>
      </c>
      <c r="F186">
        <v>0</v>
      </c>
      <c r="G186">
        <v>0</v>
      </c>
      <c r="H186">
        <v>0</v>
      </c>
      <c r="I186" t="s">
        <v>45</v>
      </c>
    </row>
    <row r="187" spans="1:9">
      <c r="A187" t="s">
        <v>194</v>
      </c>
      <c r="B187">
        <v>0</v>
      </c>
      <c r="C187">
        <v>0</v>
      </c>
      <c r="D187">
        <v>0</v>
      </c>
      <c r="E187">
        <v>99</v>
      </c>
      <c r="F187">
        <v>0</v>
      </c>
      <c r="G187">
        <v>0</v>
      </c>
      <c r="H187">
        <v>0</v>
      </c>
      <c r="I187" t="s">
        <v>45</v>
      </c>
    </row>
    <row r="188" spans="1:9">
      <c r="A188" t="s">
        <v>195</v>
      </c>
      <c r="B188">
        <v>0</v>
      </c>
      <c r="C188">
        <v>0</v>
      </c>
      <c r="D188">
        <v>0</v>
      </c>
      <c r="E188">
        <v>99</v>
      </c>
      <c r="F188">
        <v>0</v>
      </c>
      <c r="G188">
        <v>0</v>
      </c>
      <c r="H188">
        <v>0</v>
      </c>
      <c r="I188" t="s">
        <v>45</v>
      </c>
    </row>
    <row r="189" spans="1:9">
      <c r="A189" t="s">
        <v>196</v>
      </c>
      <c r="B189">
        <v>0</v>
      </c>
      <c r="C189">
        <v>0</v>
      </c>
      <c r="D189">
        <v>0</v>
      </c>
      <c r="E189">
        <v>99</v>
      </c>
      <c r="F189">
        <v>0</v>
      </c>
      <c r="G189">
        <v>0</v>
      </c>
      <c r="H189">
        <v>0</v>
      </c>
      <c r="I189" t="s">
        <v>45</v>
      </c>
    </row>
    <row r="190" spans="1:9">
      <c r="A190" t="s">
        <v>197</v>
      </c>
      <c r="B190">
        <v>0</v>
      </c>
      <c r="C190">
        <v>0</v>
      </c>
      <c r="D190">
        <v>0</v>
      </c>
      <c r="E190">
        <v>99</v>
      </c>
      <c r="F190">
        <v>0</v>
      </c>
      <c r="G190">
        <v>0</v>
      </c>
      <c r="H190">
        <v>0</v>
      </c>
      <c r="I190" t="s">
        <v>45</v>
      </c>
    </row>
    <row r="191" spans="1:9">
      <c r="A191" t="s">
        <v>198</v>
      </c>
      <c r="B191">
        <v>0</v>
      </c>
      <c r="C191">
        <v>0</v>
      </c>
      <c r="D191">
        <v>0</v>
      </c>
      <c r="E191">
        <v>99</v>
      </c>
      <c r="F191">
        <v>0</v>
      </c>
      <c r="G191">
        <v>0</v>
      </c>
      <c r="H191">
        <v>0</v>
      </c>
      <c r="I191" t="s">
        <v>45</v>
      </c>
    </row>
    <row r="192" spans="1:9">
      <c r="A192" t="s">
        <v>199</v>
      </c>
      <c r="B192">
        <v>0</v>
      </c>
      <c r="C192">
        <v>0</v>
      </c>
      <c r="D192">
        <v>0</v>
      </c>
      <c r="E192">
        <v>99</v>
      </c>
      <c r="F192">
        <v>0</v>
      </c>
      <c r="G192">
        <v>0</v>
      </c>
      <c r="H192">
        <v>0</v>
      </c>
      <c r="I192" t="s">
        <v>45</v>
      </c>
    </row>
    <row r="193" spans="1:9">
      <c r="A193" t="s">
        <v>200</v>
      </c>
      <c r="B193">
        <v>0</v>
      </c>
      <c r="C193">
        <v>0</v>
      </c>
      <c r="D193">
        <v>0</v>
      </c>
      <c r="E193">
        <v>99</v>
      </c>
      <c r="F193">
        <v>0</v>
      </c>
      <c r="G193">
        <v>0</v>
      </c>
      <c r="H193">
        <v>0</v>
      </c>
      <c r="I193" t="s">
        <v>45</v>
      </c>
    </row>
    <row r="194" spans="1:9">
      <c r="A194" t="s">
        <v>201</v>
      </c>
      <c r="B194">
        <v>0</v>
      </c>
      <c r="C194">
        <v>0</v>
      </c>
      <c r="D194">
        <v>0</v>
      </c>
      <c r="E194">
        <v>99</v>
      </c>
      <c r="F194">
        <v>0</v>
      </c>
      <c r="G194">
        <v>0</v>
      </c>
      <c r="H194">
        <v>0</v>
      </c>
      <c r="I194" t="s">
        <v>45</v>
      </c>
    </row>
    <row r="195" spans="1:9">
      <c r="A195" t="s">
        <v>202</v>
      </c>
      <c r="B195">
        <v>0</v>
      </c>
      <c r="C195">
        <v>0</v>
      </c>
      <c r="D195">
        <v>0</v>
      </c>
      <c r="E195">
        <v>99</v>
      </c>
      <c r="F195">
        <v>0</v>
      </c>
      <c r="G195">
        <v>0</v>
      </c>
      <c r="H195">
        <v>0</v>
      </c>
      <c r="I195" t="s">
        <v>45</v>
      </c>
    </row>
    <row r="196" spans="1:9">
      <c r="A196" t="s">
        <v>203</v>
      </c>
      <c r="B196">
        <v>0</v>
      </c>
      <c r="C196">
        <v>0</v>
      </c>
      <c r="D196">
        <v>0</v>
      </c>
      <c r="E196">
        <v>99</v>
      </c>
      <c r="F196">
        <v>0</v>
      </c>
      <c r="G196">
        <v>0</v>
      </c>
      <c r="H196">
        <v>0</v>
      </c>
      <c r="I196" t="s">
        <v>45</v>
      </c>
    </row>
    <row r="197" spans="1:9">
      <c r="A197" t="s">
        <v>204</v>
      </c>
      <c r="B197">
        <v>0</v>
      </c>
      <c r="C197">
        <v>0</v>
      </c>
      <c r="D197">
        <v>0</v>
      </c>
      <c r="E197">
        <v>99</v>
      </c>
      <c r="F197">
        <v>0</v>
      </c>
      <c r="G197">
        <v>0</v>
      </c>
      <c r="H197">
        <v>0</v>
      </c>
      <c r="I197" t="s">
        <v>45</v>
      </c>
    </row>
    <row r="198" spans="1:9">
      <c r="A198" t="s">
        <v>205</v>
      </c>
      <c r="B198">
        <v>0</v>
      </c>
      <c r="C198">
        <v>0</v>
      </c>
      <c r="D198">
        <v>0</v>
      </c>
      <c r="E198">
        <v>99</v>
      </c>
      <c r="F198">
        <v>0</v>
      </c>
      <c r="G198">
        <v>0</v>
      </c>
      <c r="H198">
        <v>0</v>
      </c>
      <c r="I198" t="s">
        <v>45</v>
      </c>
    </row>
    <row r="199" spans="1:9">
      <c r="A199" t="s">
        <v>206</v>
      </c>
      <c r="B199">
        <v>0</v>
      </c>
      <c r="C199">
        <v>0</v>
      </c>
      <c r="D199">
        <v>0</v>
      </c>
      <c r="E199">
        <v>99</v>
      </c>
      <c r="F199">
        <v>0</v>
      </c>
      <c r="G199">
        <v>0</v>
      </c>
      <c r="H199">
        <v>0</v>
      </c>
      <c r="I199" t="s">
        <v>45</v>
      </c>
    </row>
    <row r="200" spans="1:9">
      <c r="A200" t="s">
        <v>207</v>
      </c>
      <c r="B200">
        <v>0</v>
      </c>
      <c r="C200">
        <v>0</v>
      </c>
      <c r="D200">
        <v>0</v>
      </c>
      <c r="E200">
        <v>99</v>
      </c>
      <c r="F200">
        <v>0</v>
      </c>
      <c r="G200">
        <v>0</v>
      </c>
      <c r="H200">
        <v>0</v>
      </c>
      <c r="I200" t="s">
        <v>45</v>
      </c>
    </row>
    <row r="201" spans="1:9">
      <c r="A201" t="s">
        <v>208</v>
      </c>
      <c r="B201">
        <v>0</v>
      </c>
      <c r="C201">
        <v>0</v>
      </c>
      <c r="D201">
        <v>0</v>
      </c>
      <c r="E201">
        <v>99</v>
      </c>
      <c r="F201">
        <v>0</v>
      </c>
      <c r="G201">
        <v>0</v>
      </c>
      <c r="H201">
        <v>0</v>
      </c>
      <c r="I201" t="s">
        <v>45</v>
      </c>
    </row>
    <row r="202" spans="1:9">
      <c r="A202" t="s">
        <v>209</v>
      </c>
      <c r="B202">
        <v>0</v>
      </c>
      <c r="C202">
        <v>0</v>
      </c>
      <c r="D202">
        <v>0</v>
      </c>
      <c r="E202">
        <v>99</v>
      </c>
      <c r="F202">
        <v>0</v>
      </c>
      <c r="G202">
        <v>0</v>
      </c>
      <c r="H202">
        <v>0</v>
      </c>
      <c r="I202" t="s">
        <v>45</v>
      </c>
    </row>
    <row r="203" spans="1:9">
      <c r="A203" t="s">
        <v>210</v>
      </c>
      <c r="B203">
        <v>0</v>
      </c>
      <c r="C203">
        <v>0</v>
      </c>
      <c r="D203">
        <v>0</v>
      </c>
      <c r="E203">
        <v>99</v>
      </c>
      <c r="F203">
        <v>0</v>
      </c>
      <c r="G203">
        <v>0</v>
      </c>
      <c r="H203">
        <v>0</v>
      </c>
      <c r="I203" t="s">
        <v>45</v>
      </c>
    </row>
    <row r="204" spans="1:9">
      <c r="A204" t="s">
        <v>211</v>
      </c>
      <c r="B204">
        <v>0</v>
      </c>
      <c r="C204">
        <v>0</v>
      </c>
      <c r="D204">
        <v>0</v>
      </c>
      <c r="E204">
        <v>99</v>
      </c>
      <c r="F204">
        <v>0</v>
      </c>
      <c r="G204">
        <v>0</v>
      </c>
      <c r="H204">
        <v>0</v>
      </c>
      <c r="I204" t="s">
        <v>45</v>
      </c>
    </row>
    <row r="205" spans="1:9">
      <c r="A205" t="s">
        <v>212</v>
      </c>
      <c r="B205">
        <v>0</v>
      </c>
      <c r="C205">
        <v>0</v>
      </c>
      <c r="D205">
        <v>0</v>
      </c>
      <c r="E205">
        <v>99</v>
      </c>
      <c r="F205">
        <v>0</v>
      </c>
      <c r="G205">
        <v>0</v>
      </c>
      <c r="H205">
        <v>0</v>
      </c>
      <c r="I205" t="s">
        <v>45</v>
      </c>
    </row>
    <row r="206" spans="1:9">
      <c r="A206" t="s">
        <v>213</v>
      </c>
      <c r="B206">
        <v>0</v>
      </c>
      <c r="C206">
        <v>0</v>
      </c>
      <c r="D206">
        <v>0</v>
      </c>
      <c r="E206">
        <v>99</v>
      </c>
      <c r="F206">
        <v>0</v>
      </c>
      <c r="G206">
        <v>0</v>
      </c>
      <c r="H206">
        <v>0</v>
      </c>
      <c r="I206" t="s">
        <v>45</v>
      </c>
    </row>
    <row r="207" spans="1:9">
      <c r="A207" t="s">
        <v>214</v>
      </c>
      <c r="B207">
        <v>0</v>
      </c>
      <c r="C207">
        <v>0</v>
      </c>
      <c r="D207">
        <v>0</v>
      </c>
      <c r="E207">
        <v>99</v>
      </c>
      <c r="F207">
        <v>0</v>
      </c>
      <c r="G207">
        <v>0</v>
      </c>
      <c r="H207">
        <v>0</v>
      </c>
      <c r="I207" t="s">
        <v>45</v>
      </c>
    </row>
    <row r="208" spans="1:9">
      <c r="A208" t="s">
        <v>215</v>
      </c>
      <c r="B208">
        <v>0</v>
      </c>
      <c r="C208">
        <v>0</v>
      </c>
      <c r="D208">
        <v>0</v>
      </c>
      <c r="E208">
        <v>99</v>
      </c>
      <c r="F208">
        <v>0</v>
      </c>
      <c r="G208">
        <v>0</v>
      </c>
      <c r="H208">
        <v>0</v>
      </c>
      <c r="I208" t="s">
        <v>45</v>
      </c>
    </row>
    <row r="209" spans="1:9">
      <c r="A209" t="s">
        <v>216</v>
      </c>
      <c r="B209">
        <v>0</v>
      </c>
      <c r="C209">
        <v>0</v>
      </c>
      <c r="D209">
        <v>0</v>
      </c>
      <c r="E209">
        <v>99</v>
      </c>
      <c r="F209">
        <v>0</v>
      </c>
      <c r="G209">
        <v>0</v>
      </c>
      <c r="H209">
        <v>0</v>
      </c>
      <c r="I209" t="s">
        <v>45</v>
      </c>
    </row>
    <row r="210" spans="1:9">
      <c r="A210" t="s">
        <v>217</v>
      </c>
      <c r="B210">
        <v>0</v>
      </c>
      <c r="C210">
        <v>0</v>
      </c>
      <c r="D210">
        <v>0</v>
      </c>
      <c r="E210">
        <v>99</v>
      </c>
      <c r="F210">
        <v>0</v>
      </c>
      <c r="G210">
        <v>0</v>
      </c>
      <c r="H210">
        <v>0</v>
      </c>
      <c r="I210" t="s">
        <v>45</v>
      </c>
    </row>
    <row r="211" spans="1:9">
      <c r="A211" t="s">
        <v>218</v>
      </c>
      <c r="B211">
        <v>0</v>
      </c>
      <c r="C211">
        <v>0</v>
      </c>
      <c r="D211">
        <v>0</v>
      </c>
      <c r="E211">
        <v>99</v>
      </c>
      <c r="F211">
        <v>0</v>
      </c>
      <c r="G211">
        <v>0</v>
      </c>
      <c r="H211">
        <v>0</v>
      </c>
      <c r="I211" t="s">
        <v>45</v>
      </c>
    </row>
    <row r="212" spans="1:9">
      <c r="A212" t="s">
        <v>219</v>
      </c>
      <c r="B212">
        <v>0</v>
      </c>
      <c r="C212">
        <v>0</v>
      </c>
      <c r="D212">
        <v>0</v>
      </c>
      <c r="E212">
        <v>99</v>
      </c>
      <c r="F212">
        <v>0</v>
      </c>
      <c r="G212">
        <v>0</v>
      </c>
      <c r="H212">
        <v>0</v>
      </c>
      <c r="I212" t="s">
        <v>45</v>
      </c>
    </row>
    <row r="213" spans="1:9">
      <c r="A213" t="s">
        <v>220</v>
      </c>
      <c r="B213">
        <v>0</v>
      </c>
      <c r="C213">
        <v>0</v>
      </c>
      <c r="D213">
        <v>0</v>
      </c>
      <c r="E213">
        <v>99</v>
      </c>
      <c r="F213">
        <v>0</v>
      </c>
      <c r="G213">
        <v>0</v>
      </c>
      <c r="H213">
        <v>0</v>
      </c>
      <c r="I213" t="s">
        <v>45</v>
      </c>
    </row>
    <row r="214" spans="1:9">
      <c r="A214" t="s">
        <v>221</v>
      </c>
      <c r="B214">
        <v>0</v>
      </c>
      <c r="C214">
        <v>0</v>
      </c>
      <c r="D214">
        <v>0</v>
      </c>
      <c r="E214">
        <v>99</v>
      </c>
      <c r="F214">
        <v>0</v>
      </c>
      <c r="G214">
        <v>0</v>
      </c>
      <c r="H214">
        <v>0</v>
      </c>
      <c r="I214" t="s">
        <v>45</v>
      </c>
    </row>
    <row r="215" spans="1:9">
      <c r="A215" t="s">
        <v>222</v>
      </c>
      <c r="B215">
        <v>0</v>
      </c>
      <c r="C215">
        <v>0</v>
      </c>
      <c r="D215">
        <v>0</v>
      </c>
      <c r="E215">
        <v>99</v>
      </c>
      <c r="F215">
        <v>0</v>
      </c>
      <c r="G215">
        <v>0</v>
      </c>
      <c r="H215">
        <v>0</v>
      </c>
      <c r="I215" t="s">
        <v>45</v>
      </c>
    </row>
    <row r="216" spans="1:9">
      <c r="A216" t="s">
        <v>223</v>
      </c>
      <c r="B216">
        <v>0</v>
      </c>
      <c r="C216">
        <v>0</v>
      </c>
      <c r="D216">
        <v>0</v>
      </c>
      <c r="E216">
        <v>99</v>
      </c>
      <c r="F216">
        <v>0</v>
      </c>
      <c r="G216">
        <v>0</v>
      </c>
      <c r="H216">
        <v>0</v>
      </c>
      <c r="I216" t="s">
        <v>45</v>
      </c>
    </row>
    <row r="217" spans="1:9">
      <c r="A217" t="s">
        <v>224</v>
      </c>
      <c r="B217">
        <v>0</v>
      </c>
      <c r="C217">
        <v>0</v>
      </c>
      <c r="D217">
        <v>0</v>
      </c>
      <c r="E217">
        <v>99</v>
      </c>
      <c r="F217">
        <v>0</v>
      </c>
      <c r="G217">
        <v>0</v>
      </c>
      <c r="H217">
        <v>0</v>
      </c>
      <c r="I217" t="s">
        <v>45</v>
      </c>
    </row>
    <row r="218" spans="1:9">
      <c r="A218" t="s">
        <v>225</v>
      </c>
      <c r="B218">
        <v>0</v>
      </c>
      <c r="C218">
        <v>0</v>
      </c>
      <c r="D218">
        <v>0</v>
      </c>
      <c r="E218">
        <v>99</v>
      </c>
      <c r="F218">
        <v>0</v>
      </c>
      <c r="G218">
        <v>0</v>
      </c>
      <c r="H218">
        <v>0</v>
      </c>
      <c r="I218" t="s">
        <v>45</v>
      </c>
    </row>
    <row r="219" spans="1:9">
      <c r="A219" t="s">
        <v>226</v>
      </c>
      <c r="B219">
        <v>0</v>
      </c>
      <c r="C219">
        <v>0</v>
      </c>
      <c r="D219">
        <v>0</v>
      </c>
      <c r="E219">
        <v>99</v>
      </c>
      <c r="F219">
        <v>0</v>
      </c>
      <c r="G219">
        <v>0</v>
      </c>
      <c r="H219">
        <v>0</v>
      </c>
      <c r="I219" t="s">
        <v>45</v>
      </c>
    </row>
    <row r="220" spans="1:9">
      <c r="A220" t="s">
        <v>227</v>
      </c>
      <c r="B220">
        <v>0</v>
      </c>
      <c r="C220">
        <v>0</v>
      </c>
      <c r="D220">
        <v>0</v>
      </c>
      <c r="E220">
        <v>99</v>
      </c>
      <c r="F220">
        <v>0</v>
      </c>
      <c r="G220">
        <v>0</v>
      </c>
      <c r="H220">
        <v>0</v>
      </c>
      <c r="I220" t="s">
        <v>45</v>
      </c>
    </row>
    <row r="221" spans="1:9">
      <c r="A221" t="s">
        <v>228</v>
      </c>
      <c r="B221">
        <v>0</v>
      </c>
      <c r="C221">
        <v>0</v>
      </c>
      <c r="D221">
        <v>0</v>
      </c>
      <c r="E221">
        <v>99</v>
      </c>
      <c r="F221">
        <v>0</v>
      </c>
      <c r="G221">
        <v>0</v>
      </c>
      <c r="H221">
        <v>0</v>
      </c>
      <c r="I221" t="s">
        <v>45</v>
      </c>
    </row>
    <row r="222" spans="1:9">
      <c r="A222" t="s">
        <v>229</v>
      </c>
      <c r="B222">
        <v>0</v>
      </c>
      <c r="C222">
        <v>0</v>
      </c>
      <c r="D222">
        <v>0</v>
      </c>
      <c r="E222">
        <v>99</v>
      </c>
      <c r="F222">
        <v>0</v>
      </c>
      <c r="G222">
        <v>0</v>
      </c>
      <c r="H222">
        <v>0</v>
      </c>
      <c r="I222" t="s">
        <v>45</v>
      </c>
    </row>
    <row r="223" spans="1:9">
      <c r="A223" t="s">
        <v>230</v>
      </c>
      <c r="B223">
        <v>0</v>
      </c>
      <c r="C223">
        <v>0</v>
      </c>
      <c r="D223">
        <v>0</v>
      </c>
      <c r="E223">
        <v>99</v>
      </c>
      <c r="F223">
        <v>0</v>
      </c>
      <c r="G223">
        <v>0</v>
      </c>
      <c r="H223">
        <v>0</v>
      </c>
      <c r="I223" t="s">
        <v>45</v>
      </c>
    </row>
    <row r="224" spans="1:9">
      <c r="A224" t="s">
        <v>231</v>
      </c>
      <c r="B224">
        <v>0</v>
      </c>
      <c r="C224">
        <v>0</v>
      </c>
      <c r="D224">
        <v>0</v>
      </c>
      <c r="E224">
        <v>99</v>
      </c>
      <c r="F224">
        <v>0</v>
      </c>
      <c r="G224">
        <v>0</v>
      </c>
      <c r="H224">
        <v>0</v>
      </c>
      <c r="I224" t="s">
        <v>45</v>
      </c>
    </row>
    <row r="225" spans="1:9">
      <c r="A225" t="s">
        <v>232</v>
      </c>
      <c r="B225">
        <v>0</v>
      </c>
      <c r="C225">
        <v>0</v>
      </c>
      <c r="D225">
        <v>0</v>
      </c>
      <c r="E225">
        <v>99</v>
      </c>
      <c r="F225">
        <v>0</v>
      </c>
      <c r="G225">
        <v>0</v>
      </c>
      <c r="H225">
        <v>0</v>
      </c>
      <c r="I225" t="s">
        <v>45</v>
      </c>
    </row>
    <row r="226" spans="1:9">
      <c r="A226" t="s">
        <v>233</v>
      </c>
      <c r="B226">
        <v>0</v>
      </c>
      <c r="C226">
        <v>0</v>
      </c>
      <c r="D226">
        <v>0</v>
      </c>
      <c r="E226">
        <v>99</v>
      </c>
      <c r="F226">
        <v>0</v>
      </c>
      <c r="G226">
        <v>0</v>
      </c>
      <c r="H226">
        <v>0</v>
      </c>
      <c r="I226" t="s">
        <v>45</v>
      </c>
    </row>
    <row r="227" spans="1:9">
      <c r="A227" t="s">
        <v>234</v>
      </c>
      <c r="B227">
        <v>0</v>
      </c>
      <c r="C227">
        <v>0</v>
      </c>
      <c r="D227">
        <v>0</v>
      </c>
      <c r="E227">
        <v>99</v>
      </c>
      <c r="F227">
        <v>0</v>
      </c>
      <c r="G227">
        <v>0</v>
      </c>
      <c r="H227">
        <v>0</v>
      </c>
      <c r="I227" t="s">
        <v>45</v>
      </c>
    </row>
    <row r="228" spans="1:9">
      <c r="A228" t="s">
        <v>235</v>
      </c>
      <c r="B228">
        <v>0</v>
      </c>
      <c r="C228">
        <v>0</v>
      </c>
      <c r="D228">
        <v>0</v>
      </c>
      <c r="E228">
        <v>99</v>
      </c>
      <c r="F228">
        <v>0</v>
      </c>
      <c r="G228">
        <v>0</v>
      </c>
      <c r="H228">
        <v>0</v>
      </c>
      <c r="I228" t="s">
        <v>45</v>
      </c>
    </row>
  </sheetData>
  <phoneticPr fontId="1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Z228"/>
  <sheetViews>
    <sheetView workbookViewId="0"/>
  </sheetViews>
  <sheetFormatPr defaultRowHeight="12.5"/>
  <cols>
    <col min="2" max="2" width="13.08984375" customWidth="1"/>
    <col min="9" max="9" width="14.6328125" customWidth="1"/>
  </cols>
  <sheetData>
    <row r="1" spans="1:7">
      <c r="A1" t="s">
        <v>84</v>
      </c>
      <c r="B1">
        <v>34</v>
      </c>
      <c r="C1" t="s">
        <v>85</v>
      </c>
      <c r="D1" t="s">
        <v>83</v>
      </c>
      <c r="E1" t="s">
        <v>240</v>
      </c>
    </row>
    <row r="2" spans="1:7">
      <c r="A2" t="s">
        <v>79</v>
      </c>
      <c r="B2" t="s">
        <v>87</v>
      </c>
      <c r="C2">
        <v>2</v>
      </c>
    </row>
    <row r="3" spans="1:7">
      <c r="A3" t="s">
        <v>80</v>
      </c>
    </row>
    <row r="4" spans="1:7">
      <c r="A4" t="s">
        <v>241</v>
      </c>
    </row>
    <row r="5" spans="1:7">
      <c r="A5" t="s">
        <v>81</v>
      </c>
      <c r="B5" t="s">
        <v>237</v>
      </c>
      <c r="C5" t="s">
        <v>58</v>
      </c>
      <c r="D5" t="s">
        <v>242</v>
      </c>
    </row>
    <row r="6" spans="1:7">
      <c r="A6" t="s">
        <v>243</v>
      </c>
    </row>
    <row r="7" spans="1:7">
      <c r="A7" t="s">
        <v>82</v>
      </c>
      <c r="B7" t="s">
        <v>92</v>
      </c>
    </row>
    <row r="8" spans="1:7">
      <c r="A8" t="s">
        <v>93</v>
      </c>
      <c r="B8" t="s">
        <v>94</v>
      </c>
    </row>
    <row r="9" spans="1:7">
      <c r="A9" t="s">
        <v>95</v>
      </c>
      <c r="B9" t="s">
        <v>96</v>
      </c>
      <c r="C9" t="s">
        <v>97</v>
      </c>
    </row>
    <row r="10" spans="1:7">
      <c r="A10" t="s">
        <v>244</v>
      </c>
    </row>
    <row r="11" spans="1:7">
      <c r="A11" t="s">
        <v>99</v>
      </c>
    </row>
    <row r="12" spans="1:7">
      <c r="A12" t="s">
        <v>100</v>
      </c>
      <c r="B12" t="s">
        <v>101</v>
      </c>
      <c r="C12" t="s">
        <v>102</v>
      </c>
      <c r="D12" t="s">
        <v>103</v>
      </c>
      <c r="E12" t="s">
        <v>104</v>
      </c>
      <c r="F12" t="s">
        <v>105</v>
      </c>
      <c r="G12" t="s">
        <v>106</v>
      </c>
    </row>
    <row r="13" spans="1:7">
      <c r="A13">
        <v>2</v>
      </c>
      <c r="B13">
        <v>22725780</v>
      </c>
      <c r="C13">
        <v>0.09</v>
      </c>
      <c r="D13">
        <v>0</v>
      </c>
      <c r="E13">
        <v>5.64</v>
      </c>
      <c r="F13">
        <v>661</v>
      </c>
      <c r="G13">
        <v>2760</v>
      </c>
    </row>
    <row r="14" spans="1:7">
      <c r="A14">
        <v>4</v>
      </c>
      <c r="B14">
        <v>200793580</v>
      </c>
      <c r="C14">
        <v>0.8</v>
      </c>
      <c r="D14">
        <v>0</v>
      </c>
      <c r="E14">
        <v>24.21</v>
      </c>
      <c r="F14">
        <v>5563</v>
      </c>
      <c r="G14">
        <v>32137</v>
      </c>
    </row>
    <row r="15" spans="1:7">
      <c r="A15">
        <v>6</v>
      </c>
      <c r="B15">
        <v>225486960</v>
      </c>
      <c r="C15">
        <v>0.9</v>
      </c>
      <c r="D15">
        <v>0</v>
      </c>
      <c r="E15">
        <v>35.28</v>
      </c>
      <c r="F15">
        <v>12717</v>
      </c>
      <c r="G15">
        <v>76356</v>
      </c>
    </row>
    <row r="16" spans="1:7">
      <c r="A16">
        <v>8</v>
      </c>
      <c r="B16">
        <v>371974780</v>
      </c>
      <c r="C16">
        <v>1.49</v>
      </c>
      <c r="D16">
        <v>0</v>
      </c>
      <c r="E16">
        <v>51.44</v>
      </c>
      <c r="F16">
        <v>23571</v>
      </c>
      <c r="G16">
        <v>140944</v>
      </c>
    </row>
    <row r="17" spans="1:7">
      <c r="A17">
        <v>10</v>
      </c>
      <c r="B17">
        <v>549353920</v>
      </c>
      <c r="C17">
        <v>2.2000000000000002</v>
      </c>
      <c r="D17">
        <v>0</v>
      </c>
      <c r="E17">
        <v>75.55</v>
      </c>
      <c r="F17">
        <v>40569</v>
      </c>
      <c r="G17">
        <v>237174</v>
      </c>
    </row>
    <row r="18" spans="1:7">
      <c r="A18">
        <v>12</v>
      </c>
      <c r="B18">
        <v>828851500</v>
      </c>
      <c r="C18">
        <v>3.32</v>
      </c>
      <c r="D18">
        <v>0</v>
      </c>
      <c r="E18">
        <v>110.14</v>
      </c>
      <c r="F18">
        <v>65155</v>
      </c>
      <c r="G18">
        <v>375354</v>
      </c>
    </row>
    <row r="19" spans="1:7">
      <c r="A19">
        <v>14</v>
      </c>
      <c r="B19">
        <v>1241162080</v>
      </c>
      <c r="C19">
        <v>4.96</v>
      </c>
      <c r="D19">
        <v>0</v>
      </c>
      <c r="E19">
        <v>160.61000000000001</v>
      </c>
      <c r="F19">
        <v>101181</v>
      </c>
      <c r="G19">
        <v>576933</v>
      </c>
    </row>
    <row r="20" spans="1:7">
      <c r="A20">
        <v>16</v>
      </c>
      <c r="B20">
        <v>1505312380</v>
      </c>
      <c r="C20">
        <v>6.02</v>
      </c>
      <c r="D20">
        <v>0</v>
      </c>
      <c r="E20">
        <v>234.2</v>
      </c>
      <c r="F20">
        <v>150365</v>
      </c>
      <c r="G20">
        <v>871066</v>
      </c>
    </row>
    <row r="21" spans="1:7">
      <c r="A21">
        <v>18</v>
      </c>
      <c r="B21">
        <v>2723847060</v>
      </c>
      <c r="C21">
        <v>10.9</v>
      </c>
      <c r="D21">
        <v>0</v>
      </c>
      <c r="E21">
        <v>343.63</v>
      </c>
      <c r="F21">
        <v>216332</v>
      </c>
      <c r="G21">
        <v>1308180</v>
      </c>
    </row>
    <row r="22" spans="1:7">
      <c r="A22">
        <v>20</v>
      </c>
      <c r="B22">
        <v>3168426280</v>
      </c>
      <c r="C22">
        <v>12.67</v>
      </c>
      <c r="D22">
        <v>0</v>
      </c>
      <c r="E22">
        <v>480.31</v>
      </c>
      <c r="F22">
        <v>309730</v>
      </c>
      <c r="G22">
        <v>1933932</v>
      </c>
    </row>
    <row r="23" spans="1:7">
      <c r="A23">
        <v>22</v>
      </c>
      <c r="B23">
        <v>4417163620</v>
      </c>
      <c r="C23">
        <v>17.670000000000002</v>
      </c>
      <c r="D23">
        <v>0</v>
      </c>
      <c r="E23">
        <v>646.02</v>
      </c>
      <c r="F23">
        <v>439952</v>
      </c>
      <c r="G23">
        <v>2785685</v>
      </c>
    </row>
    <row r="24" spans="1:7">
      <c r="A24">
        <v>24</v>
      </c>
      <c r="B24">
        <v>6250278160</v>
      </c>
      <c r="C24">
        <v>25</v>
      </c>
      <c r="D24">
        <v>0</v>
      </c>
      <c r="E24">
        <v>884.98</v>
      </c>
      <c r="F24">
        <v>599600</v>
      </c>
      <c r="G24">
        <v>3939838</v>
      </c>
    </row>
    <row r="25" spans="1:7">
      <c r="A25">
        <v>26</v>
      </c>
      <c r="B25">
        <v>6936872180</v>
      </c>
      <c r="C25">
        <v>27.75</v>
      </c>
      <c r="D25">
        <v>0</v>
      </c>
      <c r="E25">
        <v>949.45</v>
      </c>
      <c r="F25">
        <v>762892</v>
      </c>
      <c r="G25">
        <v>5398993</v>
      </c>
    </row>
    <row r="26" spans="1:7">
      <c r="A26">
        <v>28</v>
      </c>
      <c r="B26">
        <v>6632582840</v>
      </c>
      <c r="C26">
        <v>26.53</v>
      </c>
      <c r="D26">
        <v>0</v>
      </c>
      <c r="E26">
        <v>949.45</v>
      </c>
      <c r="F26">
        <v>944776</v>
      </c>
      <c r="G26">
        <v>6949429</v>
      </c>
    </row>
    <row r="27" spans="1:7">
      <c r="A27">
        <v>30</v>
      </c>
      <c r="B27">
        <v>7513870880</v>
      </c>
      <c r="C27">
        <v>30.06</v>
      </c>
      <c r="D27">
        <v>0</v>
      </c>
      <c r="E27">
        <v>949.45</v>
      </c>
      <c r="F27">
        <v>1131877</v>
      </c>
      <c r="G27">
        <v>8526350</v>
      </c>
    </row>
    <row r="28" spans="1:7">
      <c r="A28">
        <v>32</v>
      </c>
      <c r="B28">
        <v>6588902120</v>
      </c>
      <c r="C28">
        <v>26.36</v>
      </c>
      <c r="D28">
        <v>0</v>
      </c>
      <c r="E28">
        <v>949.45</v>
      </c>
      <c r="F28">
        <v>1320057</v>
      </c>
      <c r="G28">
        <v>10115283</v>
      </c>
    </row>
    <row r="29" spans="1:7">
      <c r="A29">
        <v>34</v>
      </c>
      <c r="B29">
        <v>6744834420</v>
      </c>
      <c r="C29">
        <v>26.98</v>
      </c>
      <c r="D29">
        <v>0</v>
      </c>
      <c r="E29">
        <v>949.45</v>
      </c>
      <c r="F29">
        <v>1509253</v>
      </c>
      <c r="G29">
        <v>11709256</v>
      </c>
    </row>
    <row r="30" spans="1:7">
      <c r="A30">
        <v>36</v>
      </c>
      <c r="B30">
        <v>7042827440</v>
      </c>
      <c r="C30">
        <v>28.17</v>
      </c>
      <c r="D30">
        <v>0</v>
      </c>
      <c r="E30">
        <v>949.45</v>
      </c>
      <c r="F30">
        <v>1698900</v>
      </c>
      <c r="G30">
        <v>13308969</v>
      </c>
    </row>
    <row r="31" spans="1:7">
      <c r="A31">
        <v>38</v>
      </c>
      <c r="B31">
        <v>7449530360</v>
      </c>
      <c r="C31">
        <v>29.8</v>
      </c>
      <c r="D31">
        <v>0</v>
      </c>
      <c r="E31">
        <v>949.45</v>
      </c>
      <c r="F31">
        <v>1888642</v>
      </c>
      <c r="G31">
        <v>14906958</v>
      </c>
    </row>
    <row r="32" spans="1:7">
      <c r="A32">
        <v>40</v>
      </c>
      <c r="B32">
        <v>6355446380</v>
      </c>
      <c r="C32">
        <v>25.42</v>
      </c>
      <c r="D32">
        <v>0</v>
      </c>
      <c r="E32">
        <v>949.45</v>
      </c>
      <c r="F32">
        <v>2078856</v>
      </c>
      <c r="G32">
        <v>16504079</v>
      </c>
    </row>
    <row r="33" spans="1:7">
      <c r="A33">
        <v>42</v>
      </c>
      <c r="B33">
        <v>6814093940</v>
      </c>
      <c r="C33">
        <v>27.26</v>
      </c>
      <c r="D33">
        <v>0</v>
      </c>
      <c r="E33">
        <v>949.45</v>
      </c>
      <c r="F33">
        <v>2268916</v>
      </c>
      <c r="G33">
        <v>18101852</v>
      </c>
    </row>
    <row r="34" spans="1:7">
      <c r="A34">
        <v>44</v>
      </c>
      <c r="B34">
        <v>7491833760</v>
      </c>
      <c r="C34">
        <v>29.97</v>
      </c>
      <c r="D34">
        <v>0</v>
      </c>
      <c r="E34">
        <v>949.45</v>
      </c>
      <c r="F34">
        <v>2458477</v>
      </c>
      <c r="G34">
        <v>19702402</v>
      </c>
    </row>
    <row r="35" spans="1:7">
      <c r="A35">
        <v>46</v>
      </c>
      <c r="B35">
        <v>6396372460</v>
      </c>
      <c r="C35">
        <v>25.59</v>
      </c>
      <c r="D35">
        <v>0</v>
      </c>
      <c r="E35">
        <v>949.45</v>
      </c>
      <c r="F35">
        <v>2648243</v>
      </c>
      <c r="G35">
        <v>21298231</v>
      </c>
    </row>
    <row r="36" spans="1:7">
      <c r="A36">
        <v>48</v>
      </c>
      <c r="B36">
        <v>7279037820</v>
      </c>
      <c r="C36">
        <v>29.12</v>
      </c>
      <c r="D36">
        <v>0</v>
      </c>
      <c r="E36">
        <v>949.45</v>
      </c>
      <c r="F36">
        <v>2837751</v>
      </c>
      <c r="G36">
        <v>22893651</v>
      </c>
    </row>
    <row r="37" spans="1:7">
      <c r="A37">
        <v>50</v>
      </c>
      <c r="B37">
        <v>6571685620</v>
      </c>
      <c r="C37">
        <v>26.29</v>
      </c>
      <c r="D37">
        <v>0</v>
      </c>
      <c r="E37">
        <v>949.45</v>
      </c>
      <c r="F37">
        <v>3027309</v>
      </c>
      <c r="G37">
        <v>24488643</v>
      </c>
    </row>
    <row r="38" spans="1:7">
      <c r="A38">
        <v>52</v>
      </c>
      <c r="B38">
        <v>7092509340</v>
      </c>
      <c r="C38">
        <v>28.37</v>
      </c>
      <c r="D38">
        <v>0</v>
      </c>
      <c r="E38">
        <v>949.45</v>
      </c>
      <c r="F38">
        <v>3216326</v>
      </c>
      <c r="G38">
        <v>26082426</v>
      </c>
    </row>
    <row r="39" spans="1:7">
      <c r="A39">
        <v>54</v>
      </c>
      <c r="B39">
        <v>6807797620</v>
      </c>
      <c r="C39">
        <v>27.23</v>
      </c>
      <c r="D39">
        <v>0</v>
      </c>
      <c r="E39">
        <v>949.45</v>
      </c>
      <c r="F39">
        <v>3405857</v>
      </c>
      <c r="G39">
        <v>27678000</v>
      </c>
    </row>
    <row r="40" spans="1:7">
      <c r="A40">
        <v>56</v>
      </c>
      <c r="B40">
        <v>6948481020</v>
      </c>
      <c r="C40">
        <v>27.79</v>
      </c>
      <c r="D40">
        <v>0</v>
      </c>
      <c r="E40">
        <v>949.45</v>
      </c>
      <c r="F40">
        <v>3594942</v>
      </c>
      <c r="G40">
        <v>29273953</v>
      </c>
    </row>
    <row r="41" spans="1:7">
      <c r="A41">
        <v>58</v>
      </c>
      <c r="B41">
        <v>7096346160</v>
      </c>
      <c r="C41">
        <v>28.39</v>
      </c>
      <c r="D41">
        <v>0</v>
      </c>
      <c r="E41">
        <v>949.45</v>
      </c>
      <c r="F41">
        <v>3784494</v>
      </c>
      <c r="G41">
        <v>30871369</v>
      </c>
    </row>
    <row r="42" spans="1:7">
      <c r="A42">
        <v>60</v>
      </c>
      <c r="B42">
        <v>6616546900</v>
      </c>
      <c r="C42">
        <v>26.47</v>
      </c>
      <c r="D42">
        <v>0</v>
      </c>
      <c r="E42">
        <v>949.45</v>
      </c>
      <c r="F42">
        <v>3973990</v>
      </c>
      <c r="G42">
        <v>32466501</v>
      </c>
    </row>
    <row r="43" spans="1:7">
      <c r="A43">
        <v>62</v>
      </c>
      <c r="B43">
        <v>7477371900</v>
      </c>
      <c r="C43">
        <v>29.91</v>
      </c>
      <c r="D43">
        <v>0</v>
      </c>
      <c r="E43">
        <v>949.45</v>
      </c>
      <c r="F43">
        <v>4163466</v>
      </c>
      <c r="G43">
        <v>34064181</v>
      </c>
    </row>
    <row r="44" spans="1:7">
      <c r="A44">
        <v>64</v>
      </c>
      <c r="B44">
        <v>6443693240</v>
      </c>
      <c r="C44">
        <v>25.78</v>
      </c>
      <c r="D44">
        <v>0</v>
      </c>
      <c r="E44">
        <v>949.45</v>
      </c>
      <c r="F44">
        <v>4352362</v>
      </c>
      <c r="G44">
        <v>35657092</v>
      </c>
    </row>
    <row r="45" spans="1:7">
      <c r="A45">
        <v>66</v>
      </c>
      <c r="B45">
        <v>6835442400</v>
      </c>
      <c r="C45">
        <v>27.34</v>
      </c>
      <c r="D45">
        <v>0</v>
      </c>
      <c r="E45">
        <v>949.45</v>
      </c>
      <c r="F45">
        <v>4541262</v>
      </c>
      <c r="G45">
        <v>37249791</v>
      </c>
    </row>
    <row r="46" spans="1:7">
      <c r="A46">
        <v>68</v>
      </c>
      <c r="B46">
        <v>7168753840</v>
      </c>
      <c r="C46">
        <v>28.67</v>
      </c>
      <c r="D46">
        <v>0</v>
      </c>
      <c r="E46">
        <v>949.45</v>
      </c>
      <c r="F46">
        <v>4730699</v>
      </c>
      <c r="G46">
        <v>38849014</v>
      </c>
    </row>
    <row r="47" spans="1:7">
      <c r="A47">
        <v>70</v>
      </c>
      <c r="B47">
        <v>7178690220</v>
      </c>
      <c r="C47">
        <v>28.71</v>
      </c>
      <c r="D47">
        <v>0</v>
      </c>
      <c r="E47">
        <v>949.45</v>
      </c>
      <c r="F47">
        <v>4920649</v>
      </c>
      <c r="G47">
        <v>40448409</v>
      </c>
    </row>
    <row r="48" spans="1:7">
      <c r="A48">
        <v>72</v>
      </c>
      <c r="B48">
        <v>6447431680</v>
      </c>
      <c r="C48">
        <v>25.79</v>
      </c>
      <c r="D48">
        <v>0</v>
      </c>
      <c r="E48">
        <v>949.45</v>
      </c>
      <c r="F48">
        <v>5109812</v>
      </c>
      <c r="G48">
        <v>42040626</v>
      </c>
    </row>
    <row r="49" spans="1:7">
      <c r="A49">
        <v>74</v>
      </c>
      <c r="B49">
        <v>7550369860</v>
      </c>
      <c r="C49">
        <v>30.2</v>
      </c>
      <c r="D49">
        <v>0</v>
      </c>
      <c r="E49">
        <v>949.45</v>
      </c>
      <c r="F49">
        <v>5299223</v>
      </c>
      <c r="G49">
        <v>43637227</v>
      </c>
    </row>
    <row r="50" spans="1:7">
      <c r="A50">
        <v>76</v>
      </c>
      <c r="B50">
        <v>6400996320</v>
      </c>
      <c r="C50">
        <v>25.6</v>
      </c>
      <c r="D50">
        <v>0</v>
      </c>
      <c r="E50">
        <v>949.45</v>
      </c>
      <c r="F50">
        <v>5489020</v>
      </c>
      <c r="G50">
        <v>45234684</v>
      </c>
    </row>
    <row r="51" spans="1:7">
      <c r="A51">
        <v>78</v>
      </c>
      <c r="B51">
        <v>6784579940</v>
      </c>
      <c r="C51">
        <v>27.14</v>
      </c>
      <c r="D51">
        <v>0</v>
      </c>
      <c r="E51">
        <v>949.45</v>
      </c>
      <c r="F51">
        <v>5678807</v>
      </c>
      <c r="G51">
        <v>46830941</v>
      </c>
    </row>
    <row r="52" spans="1:7">
      <c r="A52">
        <v>80</v>
      </c>
      <c r="B52">
        <v>7387059060</v>
      </c>
      <c r="C52">
        <v>29.55</v>
      </c>
      <c r="D52">
        <v>0</v>
      </c>
      <c r="E52">
        <v>949.45</v>
      </c>
      <c r="F52">
        <v>5867765</v>
      </c>
      <c r="G52">
        <v>48430255</v>
      </c>
    </row>
    <row r="53" spans="1:7">
      <c r="A53">
        <v>82</v>
      </c>
      <c r="B53">
        <v>6592640560</v>
      </c>
      <c r="C53">
        <v>26.37</v>
      </c>
      <c r="D53">
        <v>0</v>
      </c>
      <c r="E53">
        <v>949.45</v>
      </c>
      <c r="F53">
        <v>6057127</v>
      </c>
      <c r="G53">
        <v>50028537</v>
      </c>
    </row>
    <row r="54" spans="1:7">
      <c r="A54">
        <v>84</v>
      </c>
      <c r="B54">
        <v>6842919280</v>
      </c>
      <c r="C54">
        <v>27.37</v>
      </c>
      <c r="D54">
        <v>0</v>
      </c>
      <c r="E54">
        <v>949.45</v>
      </c>
      <c r="F54">
        <v>6246563</v>
      </c>
      <c r="G54">
        <v>51620674</v>
      </c>
    </row>
    <row r="55" spans="1:7">
      <c r="A55">
        <v>86</v>
      </c>
      <c r="B55">
        <v>7075391220</v>
      </c>
      <c r="C55">
        <v>28.3</v>
      </c>
      <c r="D55">
        <v>0</v>
      </c>
      <c r="E55">
        <v>949.45</v>
      </c>
      <c r="F55">
        <v>6435723</v>
      </c>
      <c r="G55">
        <v>53218157</v>
      </c>
    </row>
    <row r="56" spans="1:7">
      <c r="A56">
        <v>88</v>
      </c>
      <c r="B56">
        <v>7327047260</v>
      </c>
      <c r="C56">
        <v>29.31</v>
      </c>
      <c r="D56">
        <v>0</v>
      </c>
      <c r="E56">
        <v>949.45</v>
      </c>
      <c r="F56">
        <v>6625283</v>
      </c>
      <c r="G56">
        <v>54819992</v>
      </c>
    </row>
    <row r="57" spans="1:7">
      <c r="A57">
        <v>90</v>
      </c>
      <c r="B57">
        <v>6473600760</v>
      </c>
      <c r="C57">
        <v>25.89</v>
      </c>
      <c r="D57">
        <v>0</v>
      </c>
      <c r="E57">
        <v>949.45</v>
      </c>
      <c r="F57">
        <v>6814918</v>
      </c>
      <c r="G57">
        <v>56420513</v>
      </c>
    </row>
    <row r="58" spans="1:7">
      <c r="A58">
        <v>92</v>
      </c>
      <c r="B58">
        <v>6930575860</v>
      </c>
      <c r="C58">
        <v>27.72</v>
      </c>
      <c r="D58">
        <v>0</v>
      </c>
      <c r="E58">
        <v>949.45</v>
      </c>
      <c r="F58">
        <v>7003725</v>
      </c>
      <c r="G58">
        <v>58015495</v>
      </c>
    </row>
    <row r="59" spans="1:7">
      <c r="A59">
        <v>94</v>
      </c>
      <c r="B59">
        <v>7595427900</v>
      </c>
      <c r="C59">
        <v>30.38</v>
      </c>
      <c r="D59">
        <v>0</v>
      </c>
      <c r="E59">
        <v>949.45</v>
      </c>
      <c r="F59">
        <v>7193249</v>
      </c>
      <c r="G59">
        <v>59614836</v>
      </c>
    </row>
    <row r="60" spans="1:7">
      <c r="A60">
        <v>96</v>
      </c>
      <c r="B60">
        <v>6441528880</v>
      </c>
      <c r="C60">
        <v>25.77</v>
      </c>
      <c r="D60">
        <v>0</v>
      </c>
      <c r="E60">
        <v>949.45</v>
      </c>
      <c r="F60">
        <v>7382802</v>
      </c>
      <c r="G60">
        <v>61212218</v>
      </c>
    </row>
    <row r="61" spans="1:7">
      <c r="A61">
        <v>98</v>
      </c>
      <c r="B61">
        <v>6778382000</v>
      </c>
      <c r="C61">
        <v>27.11</v>
      </c>
      <c r="D61">
        <v>0</v>
      </c>
      <c r="E61">
        <v>949.45</v>
      </c>
      <c r="F61">
        <v>7572802</v>
      </c>
      <c r="G61">
        <v>62812352</v>
      </c>
    </row>
    <row r="62" spans="1:7">
      <c r="A62">
        <v>100</v>
      </c>
      <c r="B62">
        <v>7508361600</v>
      </c>
      <c r="C62">
        <v>30.03</v>
      </c>
      <c r="D62">
        <v>0</v>
      </c>
      <c r="E62">
        <v>949.45</v>
      </c>
      <c r="F62">
        <v>7762466</v>
      </c>
      <c r="G62">
        <v>64413925</v>
      </c>
    </row>
    <row r="63" spans="1:7">
      <c r="A63">
        <v>102</v>
      </c>
      <c r="B63">
        <v>6418704720</v>
      </c>
      <c r="C63">
        <v>25.68</v>
      </c>
      <c r="D63">
        <v>0</v>
      </c>
      <c r="E63">
        <v>949.45</v>
      </c>
      <c r="F63">
        <v>7951634</v>
      </c>
      <c r="G63">
        <v>66007103</v>
      </c>
    </row>
    <row r="64" spans="1:7">
      <c r="A64">
        <v>104</v>
      </c>
      <c r="B64">
        <v>7306682600</v>
      </c>
      <c r="C64">
        <v>29.23</v>
      </c>
      <c r="D64">
        <v>0</v>
      </c>
      <c r="E64">
        <v>949.45</v>
      </c>
      <c r="F64">
        <v>8140973</v>
      </c>
      <c r="G64">
        <v>67602660</v>
      </c>
    </row>
    <row r="65" spans="1:7">
      <c r="A65">
        <v>106</v>
      </c>
      <c r="B65">
        <v>6541286200</v>
      </c>
      <c r="C65">
        <v>26.17</v>
      </c>
      <c r="D65">
        <v>0</v>
      </c>
      <c r="E65">
        <v>949.45</v>
      </c>
      <c r="F65">
        <v>8330633</v>
      </c>
      <c r="G65">
        <v>69198819</v>
      </c>
    </row>
    <row r="66" spans="1:7">
      <c r="A66">
        <v>108</v>
      </c>
      <c r="B66">
        <v>7509345400</v>
      </c>
      <c r="C66">
        <v>30.04</v>
      </c>
      <c r="D66">
        <v>0</v>
      </c>
      <c r="E66">
        <v>949.45</v>
      </c>
      <c r="F66">
        <v>8520444</v>
      </c>
      <c r="G66">
        <v>70798158</v>
      </c>
    </row>
    <row r="67" spans="1:7">
      <c r="A67">
        <v>110</v>
      </c>
      <c r="B67">
        <v>6505180740</v>
      </c>
      <c r="C67">
        <v>26.02</v>
      </c>
      <c r="D67">
        <v>0</v>
      </c>
      <c r="E67">
        <v>949.45</v>
      </c>
      <c r="F67">
        <v>8709282</v>
      </c>
      <c r="G67">
        <v>72391466</v>
      </c>
    </row>
    <row r="68" spans="1:7">
      <c r="A68">
        <v>112</v>
      </c>
      <c r="B68">
        <v>6852363760</v>
      </c>
      <c r="C68">
        <v>27.41</v>
      </c>
      <c r="D68">
        <v>0</v>
      </c>
      <c r="E68">
        <v>949.45</v>
      </c>
      <c r="F68">
        <v>8898413</v>
      </c>
      <c r="G68">
        <v>73987054</v>
      </c>
    </row>
    <row r="69" spans="1:7">
      <c r="A69">
        <v>114</v>
      </c>
      <c r="B69">
        <v>6998753200</v>
      </c>
      <c r="C69">
        <v>27.99</v>
      </c>
      <c r="D69">
        <v>0</v>
      </c>
      <c r="E69">
        <v>949.45</v>
      </c>
      <c r="F69">
        <v>9088311</v>
      </c>
      <c r="G69">
        <v>75586459</v>
      </c>
    </row>
    <row r="70" spans="1:7">
      <c r="A70">
        <v>116</v>
      </c>
      <c r="B70">
        <v>7250015720</v>
      </c>
      <c r="C70">
        <v>29</v>
      </c>
      <c r="D70">
        <v>0</v>
      </c>
      <c r="E70">
        <v>949.45</v>
      </c>
      <c r="F70">
        <v>9277793</v>
      </c>
      <c r="G70">
        <v>77186267</v>
      </c>
    </row>
    <row r="71" spans="1:7">
      <c r="A71">
        <v>118</v>
      </c>
      <c r="B71">
        <v>6522102100</v>
      </c>
      <c r="C71">
        <v>26.09</v>
      </c>
      <c r="D71">
        <v>0</v>
      </c>
      <c r="E71">
        <v>949.45</v>
      </c>
      <c r="F71">
        <v>9467227</v>
      </c>
      <c r="G71">
        <v>78784628</v>
      </c>
    </row>
    <row r="72" spans="1:7">
      <c r="A72">
        <v>120</v>
      </c>
      <c r="B72">
        <v>7451104440</v>
      </c>
      <c r="C72">
        <v>29.8</v>
      </c>
      <c r="D72">
        <v>0</v>
      </c>
      <c r="E72">
        <v>949.45</v>
      </c>
      <c r="F72">
        <v>9656043</v>
      </c>
      <c r="G72">
        <v>80383793</v>
      </c>
    </row>
    <row r="73" spans="1:7">
      <c r="A73">
        <v>122</v>
      </c>
      <c r="B73">
        <v>6735685080</v>
      </c>
      <c r="C73">
        <v>26.94</v>
      </c>
      <c r="D73">
        <v>0</v>
      </c>
      <c r="E73">
        <v>949.45</v>
      </c>
      <c r="F73">
        <v>9845065</v>
      </c>
      <c r="G73">
        <v>81982233</v>
      </c>
    </row>
    <row r="74" spans="1:7">
      <c r="A74">
        <v>124</v>
      </c>
      <c r="B74">
        <v>6746605260</v>
      </c>
      <c r="C74">
        <v>26.99</v>
      </c>
      <c r="D74">
        <v>0</v>
      </c>
      <c r="E74">
        <v>949.45</v>
      </c>
      <c r="F74">
        <v>10034520</v>
      </c>
      <c r="G74">
        <v>83583219</v>
      </c>
    </row>
    <row r="75" spans="1:7">
      <c r="A75">
        <v>126</v>
      </c>
      <c r="B75">
        <v>7277168600</v>
      </c>
      <c r="C75">
        <v>29.11</v>
      </c>
      <c r="D75">
        <v>0</v>
      </c>
      <c r="E75">
        <v>949.45</v>
      </c>
      <c r="F75">
        <v>10223609</v>
      </c>
      <c r="G75">
        <v>85180715</v>
      </c>
    </row>
    <row r="76" spans="1:7">
      <c r="A76">
        <v>128</v>
      </c>
      <c r="B76">
        <v>6540007260</v>
      </c>
      <c r="C76">
        <v>26.16</v>
      </c>
      <c r="D76">
        <v>0</v>
      </c>
      <c r="E76">
        <v>949.45</v>
      </c>
      <c r="F76">
        <v>10412956</v>
      </c>
      <c r="G76">
        <v>86777902</v>
      </c>
    </row>
    <row r="77" spans="1:7">
      <c r="A77">
        <v>130</v>
      </c>
      <c r="B77">
        <v>7196103480</v>
      </c>
      <c r="C77">
        <v>28.78</v>
      </c>
      <c r="D77">
        <v>0</v>
      </c>
      <c r="E77">
        <v>949.45</v>
      </c>
      <c r="F77">
        <v>10602817</v>
      </c>
      <c r="G77">
        <v>88378221</v>
      </c>
    </row>
    <row r="78" spans="1:7">
      <c r="A78">
        <v>132</v>
      </c>
      <c r="B78">
        <v>7020101660</v>
      </c>
      <c r="C78">
        <v>28.08</v>
      </c>
      <c r="D78">
        <v>0</v>
      </c>
      <c r="E78">
        <v>949.45</v>
      </c>
      <c r="F78">
        <v>10791969</v>
      </c>
      <c r="G78">
        <v>89975378</v>
      </c>
    </row>
    <row r="79" spans="1:7">
      <c r="A79">
        <v>134</v>
      </c>
      <c r="B79">
        <v>6770118080</v>
      </c>
      <c r="C79">
        <v>27.08</v>
      </c>
      <c r="D79">
        <v>0</v>
      </c>
      <c r="E79">
        <v>949.45</v>
      </c>
      <c r="F79">
        <v>10981438</v>
      </c>
      <c r="G79">
        <v>91573637</v>
      </c>
    </row>
    <row r="80" spans="1:7">
      <c r="A80">
        <v>136</v>
      </c>
      <c r="B80">
        <v>7153013040</v>
      </c>
      <c r="C80">
        <v>28.61</v>
      </c>
      <c r="D80">
        <v>0</v>
      </c>
      <c r="E80">
        <v>949.45</v>
      </c>
      <c r="F80">
        <v>11170520</v>
      </c>
      <c r="G80">
        <v>93169972</v>
      </c>
    </row>
    <row r="81" spans="1:7">
      <c r="A81">
        <v>138</v>
      </c>
      <c r="B81">
        <v>6710794940</v>
      </c>
      <c r="C81">
        <v>26.84</v>
      </c>
      <c r="D81">
        <v>0</v>
      </c>
      <c r="E81">
        <v>949.45</v>
      </c>
      <c r="F81">
        <v>11359819</v>
      </c>
      <c r="G81">
        <v>94766547</v>
      </c>
    </row>
    <row r="82" spans="1:7">
      <c r="A82">
        <v>140</v>
      </c>
      <c r="B82">
        <v>7176525860</v>
      </c>
      <c r="C82">
        <v>28.71</v>
      </c>
      <c r="D82">
        <v>0</v>
      </c>
      <c r="E82">
        <v>949.45</v>
      </c>
      <c r="F82">
        <v>11549099</v>
      </c>
      <c r="G82">
        <v>96363639</v>
      </c>
    </row>
    <row r="83" spans="1:7">
      <c r="A83">
        <v>142</v>
      </c>
      <c r="B83">
        <v>6576309480</v>
      </c>
      <c r="C83">
        <v>26.31</v>
      </c>
      <c r="D83">
        <v>0</v>
      </c>
      <c r="E83">
        <v>949.45</v>
      </c>
      <c r="F83">
        <v>11738717</v>
      </c>
      <c r="G83">
        <v>97960699</v>
      </c>
    </row>
    <row r="84" spans="1:7">
      <c r="A84">
        <v>144</v>
      </c>
      <c r="B84">
        <v>7436347440</v>
      </c>
      <c r="C84">
        <v>29.75</v>
      </c>
      <c r="D84">
        <v>0</v>
      </c>
      <c r="E84">
        <v>949.45</v>
      </c>
      <c r="F84">
        <v>11928122</v>
      </c>
      <c r="G84">
        <v>99557891</v>
      </c>
    </row>
    <row r="85" spans="1:7">
      <c r="A85">
        <v>146</v>
      </c>
      <c r="B85">
        <v>6500950400</v>
      </c>
      <c r="C85">
        <v>26</v>
      </c>
      <c r="D85">
        <v>0</v>
      </c>
      <c r="E85">
        <v>949.45</v>
      </c>
      <c r="F85">
        <v>12118114</v>
      </c>
      <c r="G85">
        <v>101155151</v>
      </c>
    </row>
    <row r="86" spans="1:7">
      <c r="A86">
        <v>148</v>
      </c>
      <c r="B86">
        <v>7152619520</v>
      </c>
      <c r="C86">
        <v>28.61</v>
      </c>
      <c r="D86">
        <v>0</v>
      </c>
      <c r="E86">
        <v>949.45</v>
      </c>
      <c r="F86">
        <v>12307703</v>
      </c>
      <c r="G86">
        <v>102755135</v>
      </c>
    </row>
    <row r="87" spans="1:7">
      <c r="A87">
        <v>150</v>
      </c>
      <c r="B87">
        <v>6931559660</v>
      </c>
      <c r="C87">
        <v>27.73</v>
      </c>
      <c r="D87">
        <v>0</v>
      </c>
      <c r="E87">
        <v>949.45</v>
      </c>
      <c r="F87">
        <v>12497340</v>
      </c>
      <c r="G87">
        <v>104355452</v>
      </c>
    </row>
    <row r="88" spans="1:7">
      <c r="A88">
        <v>152</v>
      </c>
      <c r="B88">
        <v>7100478120</v>
      </c>
      <c r="C88">
        <v>28.4</v>
      </c>
      <c r="D88">
        <v>0</v>
      </c>
      <c r="E88">
        <v>949.45</v>
      </c>
      <c r="F88">
        <v>12687110</v>
      </c>
      <c r="G88">
        <v>105954964</v>
      </c>
    </row>
    <row r="89" spans="1:7">
      <c r="A89">
        <v>154</v>
      </c>
      <c r="B89">
        <v>6594017880</v>
      </c>
      <c r="C89">
        <v>26.38</v>
      </c>
      <c r="D89">
        <v>0</v>
      </c>
      <c r="E89">
        <v>949.45</v>
      </c>
      <c r="F89">
        <v>12876719</v>
      </c>
      <c r="G89">
        <v>107552906</v>
      </c>
    </row>
    <row r="90" spans="1:7">
      <c r="A90">
        <v>156</v>
      </c>
      <c r="B90">
        <v>6880303680</v>
      </c>
      <c r="C90">
        <v>27.52</v>
      </c>
      <c r="D90">
        <v>0</v>
      </c>
      <c r="E90">
        <v>949.45</v>
      </c>
      <c r="F90">
        <v>13066543</v>
      </c>
      <c r="G90">
        <v>109153555</v>
      </c>
    </row>
    <row r="91" spans="1:7">
      <c r="A91">
        <v>158</v>
      </c>
      <c r="B91">
        <v>7162457520</v>
      </c>
      <c r="C91">
        <v>28.65</v>
      </c>
      <c r="D91">
        <v>0</v>
      </c>
      <c r="E91">
        <v>949.45</v>
      </c>
      <c r="F91">
        <v>13256368</v>
      </c>
      <c r="G91">
        <v>110753242</v>
      </c>
    </row>
    <row r="92" spans="1:7">
      <c r="A92">
        <v>160</v>
      </c>
      <c r="B92">
        <v>6979273960</v>
      </c>
      <c r="C92">
        <v>27.92</v>
      </c>
      <c r="D92">
        <v>0</v>
      </c>
      <c r="E92">
        <v>949.45</v>
      </c>
      <c r="F92">
        <v>13445933</v>
      </c>
      <c r="G92">
        <v>112350902</v>
      </c>
    </row>
    <row r="93" spans="1:7">
      <c r="A93">
        <v>162</v>
      </c>
      <c r="B93">
        <v>7000622420</v>
      </c>
      <c r="C93">
        <v>28</v>
      </c>
      <c r="D93">
        <v>0</v>
      </c>
      <c r="E93">
        <v>949.45</v>
      </c>
      <c r="F93">
        <v>13635211</v>
      </c>
      <c r="G93">
        <v>113947573</v>
      </c>
    </row>
    <row r="94" spans="1:7">
      <c r="A94">
        <v>164</v>
      </c>
      <c r="B94">
        <v>6786842680</v>
      </c>
      <c r="C94">
        <v>27.15</v>
      </c>
      <c r="D94">
        <v>0</v>
      </c>
      <c r="E94">
        <v>949.45</v>
      </c>
      <c r="F94">
        <v>13824579</v>
      </c>
      <c r="G94">
        <v>115540469</v>
      </c>
    </row>
    <row r="95" spans="1:7">
      <c r="A95">
        <v>166</v>
      </c>
      <c r="B95">
        <v>6724273000</v>
      </c>
      <c r="C95">
        <v>26.9</v>
      </c>
      <c r="D95">
        <v>0</v>
      </c>
      <c r="E95">
        <v>949.45</v>
      </c>
      <c r="F95">
        <v>14014337</v>
      </c>
      <c r="G95">
        <v>117135731</v>
      </c>
    </row>
    <row r="96" spans="1:7">
      <c r="A96">
        <v>168</v>
      </c>
      <c r="B96">
        <v>7317307640</v>
      </c>
      <c r="C96">
        <v>29.27</v>
      </c>
      <c r="D96">
        <v>0</v>
      </c>
      <c r="E96">
        <v>949.45</v>
      </c>
      <c r="F96">
        <v>14204169</v>
      </c>
      <c r="G96">
        <v>118733482</v>
      </c>
    </row>
    <row r="97" spans="1:7">
      <c r="A97">
        <v>170</v>
      </c>
      <c r="B97">
        <v>6604052640</v>
      </c>
      <c r="C97">
        <v>26.42</v>
      </c>
      <c r="D97">
        <v>0</v>
      </c>
      <c r="E97">
        <v>949.45</v>
      </c>
      <c r="F97">
        <v>14394067</v>
      </c>
      <c r="G97">
        <v>120330711</v>
      </c>
    </row>
    <row r="98" spans="1:7">
      <c r="A98">
        <v>172</v>
      </c>
      <c r="B98">
        <v>7175148540</v>
      </c>
      <c r="C98">
        <v>28.7</v>
      </c>
      <c r="D98">
        <v>0</v>
      </c>
      <c r="E98">
        <v>949.45</v>
      </c>
      <c r="F98">
        <v>14583849</v>
      </c>
      <c r="G98">
        <v>121929897</v>
      </c>
    </row>
    <row r="99" spans="1:7">
      <c r="A99">
        <v>174</v>
      </c>
      <c r="B99">
        <v>6784088040</v>
      </c>
      <c r="C99">
        <v>27.14</v>
      </c>
      <c r="D99">
        <v>0</v>
      </c>
      <c r="E99">
        <v>949.45</v>
      </c>
      <c r="F99">
        <v>14773499</v>
      </c>
      <c r="G99">
        <v>123527963</v>
      </c>
    </row>
    <row r="100" spans="1:7">
      <c r="A100">
        <v>176</v>
      </c>
      <c r="B100">
        <v>7249818960</v>
      </c>
      <c r="C100">
        <v>29</v>
      </c>
      <c r="D100">
        <v>0</v>
      </c>
      <c r="E100">
        <v>949.45</v>
      </c>
      <c r="F100">
        <v>14963001</v>
      </c>
      <c r="G100">
        <v>125127316</v>
      </c>
    </row>
    <row r="101" spans="1:7">
      <c r="A101">
        <v>178</v>
      </c>
      <c r="B101">
        <v>6614480920</v>
      </c>
      <c r="C101">
        <v>26.46</v>
      </c>
      <c r="D101">
        <v>0</v>
      </c>
      <c r="E101">
        <v>949.45</v>
      </c>
      <c r="F101">
        <v>15153150</v>
      </c>
      <c r="G101">
        <v>126725498</v>
      </c>
    </row>
    <row r="102" spans="1:7">
      <c r="A102">
        <v>180</v>
      </c>
      <c r="B102">
        <v>7528529500</v>
      </c>
      <c r="C102">
        <v>30.12</v>
      </c>
      <c r="D102">
        <v>0</v>
      </c>
      <c r="E102">
        <v>949.45</v>
      </c>
      <c r="F102">
        <v>15342931</v>
      </c>
      <c r="G102">
        <v>128326220</v>
      </c>
    </row>
    <row r="103" spans="1:7">
      <c r="A103">
        <v>182</v>
      </c>
      <c r="B103">
        <v>6399520620</v>
      </c>
      <c r="C103">
        <v>25.6</v>
      </c>
      <c r="D103">
        <v>0</v>
      </c>
      <c r="E103">
        <v>949.45</v>
      </c>
      <c r="F103">
        <v>15533188</v>
      </c>
      <c r="G103">
        <v>129925843</v>
      </c>
    </row>
    <row r="104" spans="1:7">
      <c r="A104">
        <v>184</v>
      </c>
      <c r="B104">
        <v>6830129880</v>
      </c>
      <c r="C104">
        <v>27.32</v>
      </c>
      <c r="D104">
        <v>0</v>
      </c>
      <c r="E104">
        <v>949.45</v>
      </c>
      <c r="F104">
        <v>15723823</v>
      </c>
      <c r="G104">
        <v>131526004</v>
      </c>
    </row>
    <row r="105" spans="1:7">
      <c r="A105">
        <v>186</v>
      </c>
      <c r="B105">
        <v>7411752440</v>
      </c>
      <c r="C105">
        <v>29.65</v>
      </c>
      <c r="D105">
        <v>0</v>
      </c>
      <c r="E105">
        <v>949.45</v>
      </c>
      <c r="F105">
        <v>15914489</v>
      </c>
      <c r="G105">
        <v>133128321</v>
      </c>
    </row>
    <row r="106" spans="1:7">
      <c r="A106">
        <v>188</v>
      </c>
      <c r="B106">
        <v>6601396380</v>
      </c>
      <c r="C106">
        <v>26.41</v>
      </c>
      <c r="D106">
        <v>0</v>
      </c>
      <c r="E106">
        <v>949.45</v>
      </c>
      <c r="F106">
        <v>16105340</v>
      </c>
      <c r="G106">
        <v>134727740</v>
      </c>
    </row>
    <row r="107" spans="1:7">
      <c r="A107">
        <v>190</v>
      </c>
      <c r="B107">
        <v>7492915940</v>
      </c>
      <c r="C107">
        <v>29.97</v>
      </c>
      <c r="D107">
        <v>0</v>
      </c>
      <c r="E107">
        <v>949.45</v>
      </c>
      <c r="F107">
        <v>16295719</v>
      </c>
      <c r="G107">
        <v>136327174</v>
      </c>
    </row>
    <row r="108" spans="1:7">
      <c r="A108">
        <v>192</v>
      </c>
      <c r="B108">
        <v>6387715020</v>
      </c>
      <c r="C108">
        <v>25.55</v>
      </c>
      <c r="D108">
        <v>0</v>
      </c>
      <c r="E108">
        <v>949.45</v>
      </c>
      <c r="F108">
        <v>16486443</v>
      </c>
      <c r="G108">
        <v>137925985</v>
      </c>
    </row>
    <row r="109" spans="1:7">
      <c r="A109">
        <v>194</v>
      </c>
      <c r="B109">
        <v>6860824440</v>
      </c>
      <c r="C109">
        <v>27.44</v>
      </c>
      <c r="D109">
        <v>0</v>
      </c>
      <c r="E109">
        <v>949.45</v>
      </c>
      <c r="F109">
        <v>16677000</v>
      </c>
      <c r="G109">
        <v>139525448</v>
      </c>
    </row>
    <row r="110" spans="1:7">
      <c r="A110">
        <v>196</v>
      </c>
      <c r="B110">
        <v>7558437020</v>
      </c>
      <c r="C110">
        <v>30.23</v>
      </c>
      <c r="D110">
        <v>0</v>
      </c>
      <c r="E110">
        <v>949.45</v>
      </c>
      <c r="F110">
        <v>16867033</v>
      </c>
      <c r="G110">
        <v>141126578</v>
      </c>
    </row>
    <row r="111" spans="1:7">
      <c r="A111">
        <v>198</v>
      </c>
      <c r="B111">
        <v>6440938600</v>
      </c>
      <c r="C111">
        <v>25.76</v>
      </c>
      <c r="D111">
        <v>0</v>
      </c>
      <c r="E111">
        <v>949.45</v>
      </c>
      <c r="F111">
        <v>17057565</v>
      </c>
      <c r="G111">
        <v>142723949</v>
      </c>
    </row>
    <row r="112" spans="1:7">
      <c r="A112">
        <v>200</v>
      </c>
      <c r="B112">
        <v>7014002100</v>
      </c>
      <c r="C112">
        <v>28.06</v>
      </c>
      <c r="D112">
        <v>0</v>
      </c>
      <c r="E112">
        <v>949.45</v>
      </c>
      <c r="F112">
        <v>17247945</v>
      </c>
      <c r="G112">
        <v>144324914</v>
      </c>
    </row>
    <row r="113" spans="1:7">
      <c r="A113">
        <v>202</v>
      </c>
      <c r="B113">
        <v>7153504940</v>
      </c>
      <c r="C113">
        <v>28.61</v>
      </c>
      <c r="D113">
        <v>0</v>
      </c>
      <c r="E113">
        <v>949.45</v>
      </c>
      <c r="F113">
        <v>17438559</v>
      </c>
      <c r="G113">
        <v>145922736</v>
      </c>
    </row>
    <row r="114" spans="1:7">
      <c r="A114">
        <v>204</v>
      </c>
      <c r="B114">
        <v>6585557200</v>
      </c>
      <c r="C114">
        <v>26.34</v>
      </c>
      <c r="D114">
        <v>0</v>
      </c>
      <c r="E114">
        <v>949.45</v>
      </c>
      <c r="F114">
        <v>17628641</v>
      </c>
      <c r="G114">
        <v>147519499</v>
      </c>
    </row>
    <row r="115" spans="1:7">
      <c r="A115">
        <v>206</v>
      </c>
      <c r="B115">
        <v>7530989000</v>
      </c>
      <c r="C115">
        <v>30.12</v>
      </c>
      <c r="D115">
        <v>0</v>
      </c>
      <c r="E115">
        <v>949.45</v>
      </c>
      <c r="F115">
        <v>17818538</v>
      </c>
      <c r="G115">
        <v>149117544</v>
      </c>
    </row>
    <row r="116" spans="1:7">
      <c r="A116">
        <v>208</v>
      </c>
      <c r="B116">
        <v>6483340380</v>
      </c>
      <c r="C116">
        <v>25.93</v>
      </c>
      <c r="D116">
        <v>0</v>
      </c>
      <c r="E116">
        <v>949.45</v>
      </c>
      <c r="F116">
        <v>18008049</v>
      </c>
      <c r="G116">
        <v>150713219</v>
      </c>
    </row>
    <row r="117" spans="1:7">
      <c r="A117">
        <v>210</v>
      </c>
      <c r="B117">
        <v>6730175800</v>
      </c>
      <c r="C117">
        <v>26.92</v>
      </c>
      <c r="D117">
        <v>0</v>
      </c>
      <c r="E117">
        <v>949.45</v>
      </c>
      <c r="F117">
        <v>18198127</v>
      </c>
      <c r="G117">
        <v>152310352</v>
      </c>
    </row>
    <row r="118" spans="1:7">
      <c r="A118">
        <v>212</v>
      </c>
      <c r="B118">
        <v>7231717040</v>
      </c>
      <c r="C118">
        <v>28.93</v>
      </c>
      <c r="D118">
        <v>0</v>
      </c>
      <c r="E118">
        <v>949.45</v>
      </c>
      <c r="F118">
        <v>18387661</v>
      </c>
      <c r="G118">
        <v>153910835</v>
      </c>
    </row>
    <row r="119" spans="1:7">
      <c r="A119">
        <v>214</v>
      </c>
      <c r="B119">
        <v>7050501080</v>
      </c>
      <c r="C119">
        <v>28.2</v>
      </c>
      <c r="D119">
        <v>0</v>
      </c>
      <c r="E119">
        <v>949.45</v>
      </c>
      <c r="F119">
        <v>18578201</v>
      </c>
      <c r="G119">
        <v>155512243</v>
      </c>
    </row>
    <row r="120" spans="1:7">
      <c r="A120">
        <v>216</v>
      </c>
      <c r="B120">
        <v>6630615240</v>
      </c>
      <c r="C120">
        <v>26.52</v>
      </c>
      <c r="D120">
        <v>0</v>
      </c>
      <c r="E120">
        <v>949.45</v>
      </c>
      <c r="F120">
        <v>18768433</v>
      </c>
      <c r="G120">
        <v>157107595</v>
      </c>
    </row>
    <row r="121" spans="1:7">
      <c r="A121">
        <v>218</v>
      </c>
      <c r="B121">
        <v>7407522100</v>
      </c>
      <c r="C121">
        <v>29.63</v>
      </c>
      <c r="D121">
        <v>0</v>
      </c>
      <c r="E121">
        <v>949.45</v>
      </c>
      <c r="F121">
        <v>18958304</v>
      </c>
      <c r="G121">
        <v>158710575</v>
      </c>
    </row>
    <row r="122" spans="1:7">
      <c r="A122">
        <v>220</v>
      </c>
      <c r="B122">
        <v>6465041700</v>
      </c>
      <c r="C122">
        <v>25.86</v>
      </c>
      <c r="D122">
        <v>0</v>
      </c>
      <c r="E122">
        <v>949.45</v>
      </c>
      <c r="F122">
        <v>19148156</v>
      </c>
      <c r="G122">
        <v>160308348</v>
      </c>
    </row>
    <row r="123" spans="1:7">
      <c r="A123">
        <v>222</v>
      </c>
      <c r="B123">
        <v>7067520820</v>
      </c>
      <c r="C123">
        <v>28.27</v>
      </c>
      <c r="D123">
        <v>0</v>
      </c>
      <c r="E123">
        <v>949.45</v>
      </c>
      <c r="F123">
        <v>19338043</v>
      </c>
      <c r="G123">
        <v>161906850</v>
      </c>
    </row>
    <row r="124" spans="1:7">
      <c r="A124">
        <v>224</v>
      </c>
      <c r="B124">
        <v>7306780980</v>
      </c>
      <c r="C124">
        <v>29.23</v>
      </c>
      <c r="D124">
        <v>0</v>
      </c>
      <c r="E124">
        <v>949.45</v>
      </c>
      <c r="F124">
        <v>19527428</v>
      </c>
      <c r="G124">
        <v>163503231</v>
      </c>
    </row>
    <row r="125" spans="1:7">
      <c r="A125">
        <v>226</v>
      </c>
      <c r="B125">
        <v>6448513860</v>
      </c>
      <c r="C125">
        <v>25.79</v>
      </c>
      <c r="D125">
        <v>0</v>
      </c>
      <c r="E125">
        <v>949.45</v>
      </c>
      <c r="F125">
        <v>19717325</v>
      </c>
      <c r="G125">
        <v>165100976</v>
      </c>
    </row>
    <row r="126" spans="1:7">
      <c r="A126">
        <v>228</v>
      </c>
      <c r="B126">
        <v>7460745680</v>
      </c>
      <c r="C126">
        <v>29.84</v>
      </c>
      <c r="D126">
        <v>0</v>
      </c>
      <c r="E126">
        <v>949.45</v>
      </c>
      <c r="F126">
        <v>19907394</v>
      </c>
      <c r="G126">
        <v>166700920</v>
      </c>
    </row>
    <row r="127" spans="1:7">
      <c r="A127">
        <v>230</v>
      </c>
      <c r="B127">
        <v>6704695380</v>
      </c>
      <c r="C127">
        <v>26.82</v>
      </c>
      <c r="D127">
        <v>0</v>
      </c>
      <c r="E127">
        <v>949.45</v>
      </c>
      <c r="F127">
        <v>20096774</v>
      </c>
      <c r="G127">
        <v>168293810</v>
      </c>
    </row>
    <row r="128" spans="1:7">
      <c r="A128">
        <v>232</v>
      </c>
      <c r="B128">
        <v>6691118940</v>
      </c>
      <c r="C128">
        <v>26.76</v>
      </c>
      <c r="D128">
        <v>0</v>
      </c>
      <c r="E128">
        <v>949.45</v>
      </c>
      <c r="F128">
        <v>20287029</v>
      </c>
      <c r="G128">
        <v>169893874</v>
      </c>
    </row>
    <row r="129" spans="1:7">
      <c r="A129">
        <v>234</v>
      </c>
      <c r="B129">
        <v>7008000920</v>
      </c>
      <c r="C129">
        <v>28.03</v>
      </c>
      <c r="D129">
        <v>0</v>
      </c>
      <c r="E129">
        <v>949.45</v>
      </c>
      <c r="F129">
        <v>20476984</v>
      </c>
      <c r="G129">
        <v>171492241</v>
      </c>
    </row>
    <row r="130" spans="1:7">
      <c r="A130">
        <v>236</v>
      </c>
      <c r="B130">
        <v>7111299920</v>
      </c>
      <c r="C130">
        <v>28.45</v>
      </c>
      <c r="D130">
        <v>0</v>
      </c>
      <c r="E130">
        <v>949.45</v>
      </c>
      <c r="F130">
        <v>20666404</v>
      </c>
      <c r="G130">
        <v>173090089</v>
      </c>
    </row>
    <row r="131" spans="1:7">
      <c r="A131">
        <v>238</v>
      </c>
      <c r="B131">
        <v>7102150580</v>
      </c>
      <c r="C131">
        <v>28.41</v>
      </c>
      <c r="D131">
        <v>0</v>
      </c>
      <c r="E131">
        <v>949.45</v>
      </c>
      <c r="F131">
        <v>20856346</v>
      </c>
      <c r="G131">
        <v>174693017</v>
      </c>
    </row>
    <row r="132" spans="1:7">
      <c r="A132">
        <v>240</v>
      </c>
      <c r="B132">
        <v>7060043940</v>
      </c>
      <c r="C132">
        <v>28.24</v>
      </c>
      <c r="D132">
        <v>0</v>
      </c>
      <c r="E132">
        <v>949.45</v>
      </c>
      <c r="F132">
        <v>21045907</v>
      </c>
      <c r="G132">
        <v>176291825</v>
      </c>
    </row>
    <row r="133" spans="1:7">
      <c r="A133">
        <v>242</v>
      </c>
      <c r="B133">
        <v>6528595180</v>
      </c>
      <c r="C133">
        <v>26.11</v>
      </c>
      <c r="D133">
        <v>0</v>
      </c>
      <c r="E133">
        <v>949.45</v>
      </c>
      <c r="F133">
        <v>21235654</v>
      </c>
      <c r="G133">
        <v>177889777</v>
      </c>
    </row>
    <row r="134" spans="1:7">
      <c r="A134">
        <v>244</v>
      </c>
      <c r="B134">
        <v>7463401940</v>
      </c>
      <c r="C134">
        <v>29.85</v>
      </c>
      <c r="D134">
        <v>0</v>
      </c>
      <c r="E134">
        <v>949.45</v>
      </c>
      <c r="F134">
        <v>21425503</v>
      </c>
      <c r="G134">
        <v>179489842</v>
      </c>
    </row>
    <row r="135" spans="1:7">
      <c r="A135">
        <v>246</v>
      </c>
      <c r="B135">
        <v>6564405500</v>
      </c>
      <c r="C135">
        <v>26.26</v>
      </c>
      <c r="D135">
        <v>0</v>
      </c>
      <c r="E135">
        <v>949.45</v>
      </c>
      <c r="F135">
        <v>21614930</v>
      </c>
      <c r="G135">
        <v>181085383</v>
      </c>
    </row>
    <row r="136" spans="1:7">
      <c r="A136">
        <v>248</v>
      </c>
      <c r="B136">
        <v>6922115180</v>
      </c>
      <c r="C136">
        <v>27.69</v>
      </c>
      <c r="D136">
        <v>0</v>
      </c>
      <c r="E136">
        <v>949.45</v>
      </c>
      <c r="F136">
        <v>21804056</v>
      </c>
      <c r="G136">
        <v>182681353</v>
      </c>
    </row>
    <row r="137" spans="1:7">
      <c r="A137">
        <v>250</v>
      </c>
      <c r="B137">
        <v>6748474480</v>
      </c>
      <c r="C137">
        <v>26.99</v>
      </c>
      <c r="D137">
        <v>0</v>
      </c>
      <c r="E137">
        <v>949.45</v>
      </c>
      <c r="F137">
        <v>21993735</v>
      </c>
      <c r="G137">
        <v>184278145</v>
      </c>
    </row>
    <row r="138" spans="1:7">
      <c r="A138">
        <v>252</v>
      </c>
      <c r="B138">
        <v>7378598380</v>
      </c>
      <c r="C138">
        <v>29.52</v>
      </c>
      <c r="D138">
        <v>0</v>
      </c>
      <c r="E138">
        <v>949.45</v>
      </c>
      <c r="F138">
        <v>22182926</v>
      </c>
      <c r="G138">
        <v>185875510</v>
      </c>
    </row>
    <row r="139" spans="1:7">
      <c r="A139">
        <v>254</v>
      </c>
      <c r="B139">
        <v>6742374920</v>
      </c>
      <c r="C139">
        <v>26.97</v>
      </c>
      <c r="D139">
        <v>0</v>
      </c>
      <c r="E139">
        <v>949.45</v>
      </c>
      <c r="F139">
        <v>22371819</v>
      </c>
      <c r="G139">
        <v>187469319</v>
      </c>
    </row>
    <row r="140" spans="1:7">
      <c r="A140">
        <v>256</v>
      </c>
      <c r="B140">
        <v>6749163140</v>
      </c>
      <c r="C140">
        <v>27</v>
      </c>
      <c r="D140">
        <v>0</v>
      </c>
      <c r="E140">
        <v>949.45</v>
      </c>
      <c r="F140">
        <v>22559969</v>
      </c>
      <c r="G140">
        <v>189060103</v>
      </c>
    </row>
    <row r="141" spans="1:7">
      <c r="A141">
        <v>258</v>
      </c>
      <c r="B141">
        <v>6990981180</v>
      </c>
      <c r="C141">
        <v>27.96</v>
      </c>
      <c r="D141">
        <v>0</v>
      </c>
      <c r="E141">
        <v>949.45</v>
      </c>
      <c r="F141">
        <v>22749031</v>
      </c>
      <c r="G141">
        <v>190656475</v>
      </c>
    </row>
    <row r="142" spans="1:7">
      <c r="A142">
        <v>260</v>
      </c>
      <c r="B142">
        <v>7168557080</v>
      </c>
      <c r="C142">
        <v>28.67</v>
      </c>
      <c r="D142">
        <v>0</v>
      </c>
      <c r="E142">
        <v>949.45</v>
      </c>
      <c r="F142">
        <v>22938498</v>
      </c>
      <c r="G142">
        <v>192253744</v>
      </c>
    </row>
    <row r="143" spans="1:7">
      <c r="A143">
        <v>262</v>
      </c>
      <c r="B143">
        <v>6970419760</v>
      </c>
      <c r="C143">
        <v>27.88</v>
      </c>
      <c r="D143">
        <v>0</v>
      </c>
      <c r="E143">
        <v>949.45</v>
      </c>
      <c r="F143">
        <v>23127618</v>
      </c>
      <c r="G143">
        <v>193850044</v>
      </c>
    </row>
    <row r="144" spans="1:7">
      <c r="A144">
        <v>264</v>
      </c>
      <c r="B144">
        <v>6662195220</v>
      </c>
      <c r="C144">
        <v>26.65</v>
      </c>
      <c r="D144">
        <v>0</v>
      </c>
      <c r="E144">
        <v>949.45</v>
      </c>
      <c r="F144">
        <v>23317406</v>
      </c>
      <c r="G144">
        <v>195447274</v>
      </c>
    </row>
    <row r="145" spans="1:7">
      <c r="A145">
        <v>266</v>
      </c>
      <c r="B145">
        <v>6847739900</v>
      </c>
      <c r="C145">
        <v>27.39</v>
      </c>
      <c r="D145">
        <v>0</v>
      </c>
      <c r="E145">
        <v>949.45</v>
      </c>
      <c r="F145">
        <v>23506929</v>
      </c>
      <c r="G145">
        <v>197043735</v>
      </c>
    </row>
    <row r="146" spans="1:7">
      <c r="A146">
        <v>268</v>
      </c>
      <c r="B146">
        <v>7210663720</v>
      </c>
      <c r="C146">
        <v>28.84</v>
      </c>
      <c r="D146">
        <v>0</v>
      </c>
      <c r="E146">
        <v>949.45</v>
      </c>
      <c r="F146">
        <v>23696611</v>
      </c>
      <c r="G146">
        <v>198642020</v>
      </c>
    </row>
    <row r="147" spans="1:7">
      <c r="A147">
        <v>270</v>
      </c>
      <c r="B147">
        <v>7083851900</v>
      </c>
      <c r="C147">
        <v>28.34</v>
      </c>
      <c r="D147">
        <v>0</v>
      </c>
      <c r="E147">
        <v>949.45</v>
      </c>
      <c r="F147">
        <v>23886549</v>
      </c>
      <c r="G147">
        <v>200239247</v>
      </c>
    </row>
    <row r="148" spans="1:7">
      <c r="A148">
        <v>272</v>
      </c>
      <c r="B148">
        <v>6495736260</v>
      </c>
      <c r="C148">
        <v>25.98</v>
      </c>
      <c r="D148">
        <v>0</v>
      </c>
      <c r="E148">
        <v>949.45</v>
      </c>
      <c r="F148">
        <v>24076555</v>
      </c>
      <c r="G148">
        <v>201835529</v>
      </c>
    </row>
    <row r="149" spans="1:7">
      <c r="A149">
        <v>274</v>
      </c>
      <c r="B149">
        <v>7474125360</v>
      </c>
      <c r="C149">
        <v>29.9</v>
      </c>
      <c r="D149">
        <v>0</v>
      </c>
      <c r="E149">
        <v>949.45</v>
      </c>
      <c r="F149">
        <v>24266334</v>
      </c>
      <c r="G149">
        <v>203433917</v>
      </c>
    </row>
    <row r="150" spans="1:7">
      <c r="A150">
        <v>276</v>
      </c>
      <c r="B150">
        <v>6504787220</v>
      </c>
      <c r="C150">
        <v>26.02</v>
      </c>
      <c r="D150">
        <v>0</v>
      </c>
      <c r="E150">
        <v>949.45</v>
      </c>
      <c r="F150">
        <v>24455643</v>
      </c>
      <c r="G150">
        <v>205027917</v>
      </c>
    </row>
    <row r="151" spans="1:7">
      <c r="A151">
        <v>278</v>
      </c>
      <c r="B151">
        <v>6816159920</v>
      </c>
      <c r="C151">
        <v>27.26</v>
      </c>
      <c r="D151">
        <v>0</v>
      </c>
      <c r="E151">
        <v>949.45</v>
      </c>
      <c r="F151">
        <v>24644880</v>
      </c>
      <c r="G151">
        <v>206620672</v>
      </c>
    </row>
    <row r="152" spans="1:7">
      <c r="A152">
        <v>280</v>
      </c>
      <c r="B152">
        <v>7076079880</v>
      </c>
      <c r="C152">
        <v>28.3</v>
      </c>
      <c r="D152">
        <v>0</v>
      </c>
      <c r="E152">
        <v>949.45</v>
      </c>
      <c r="F152">
        <v>24834244</v>
      </c>
      <c r="G152">
        <v>208218318</v>
      </c>
    </row>
    <row r="153" spans="1:7">
      <c r="A153">
        <v>282</v>
      </c>
      <c r="B153">
        <v>7262313220</v>
      </c>
      <c r="C153">
        <v>29.05</v>
      </c>
      <c r="D153">
        <v>0</v>
      </c>
      <c r="E153">
        <v>949.45</v>
      </c>
      <c r="F153">
        <v>25024096</v>
      </c>
      <c r="G153">
        <v>209819463</v>
      </c>
    </row>
    <row r="154" spans="1:7">
      <c r="A154">
        <v>284</v>
      </c>
      <c r="B154">
        <v>6823144900</v>
      </c>
      <c r="C154">
        <v>27.29</v>
      </c>
      <c r="D154">
        <v>0</v>
      </c>
      <c r="E154">
        <v>949.45</v>
      </c>
      <c r="F154">
        <v>25213628</v>
      </c>
      <c r="G154">
        <v>211418481</v>
      </c>
    </row>
    <row r="155" spans="1:7">
      <c r="A155">
        <v>286</v>
      </c>
      <c r="B155">
        <v>6943857160</v>
      </c>
      <c r="C155">
        <v>27.78</v>
      </c>
      <c r="D155">
        <v>0</v>
      </c>
      <c r="E155">
        <v>949.45</v>
      </c>
      <c r="F155">
        <v>25402823</v>
      </c>
      <c r="G155">
        <v>213015545</v>
      </c>
    </row>
    <row r="156" spans="1:7">
      <c r="A156">
        <v>288</v>
      </c>
      <c r="B156">
        <v>6627958980</v>
      </c>
      <c r="C156">
        <v>26.51</v>
      </c>
      <c r="D156">
        <v>0</v>
      </c>
      <c r="E156">
        <v>949.45</v>
      </c>
      <c r="F156">
        <v>25592103</v>
      </c>
      <c r="G156">
        <v>214614573</v>
      </c>
    </row>
    <row r="157" spans="1:7">
      <c r="A157">
        <v>290</v>
      </c>
      <c r="B157">
        <v>7579490340</v>
      </c>
      <c r="C157">
        <v>30.32</v>
      </c>
      <c r="D157">
        <v>0</v>
      </c>
      <c r="E157">
        <v>949.45</v>
      </c>
      <c r="F157">
        <v>25781061</v>
      </c>
      <c r="G157">
        <v>216211032</v>
      </c>
    </row>
    <row r="158" spans="1:7">
      <c r="A158">
        <v>292</v>
      </c>
      <c r="B158">
        <v>6466025500</v>
      </c>
      <c r="C158">
        <v>25.86</v>
      </c>
      <c r="D158">
        <v>0</v>
      </c>
      <c r="E158">
        <v>949.45</v>
      </c>
      <c r="F158">
        <v>25970176</v>
      </c>
      <c r="G158">
        <v>217804256</v>
      </c>
    </row>
    <row r="159" spans="1:7">
      <c r="A159">
        <v>294</v>
      </c>
      <c r="B159">
        <v>6758312480</v>
      </c>
      <c r="C159">
        <v>27.03</v>
      </c>
      <c r="D159">
        <v>0</v>
      </c>
      <c r="E159">
        <v>949.45</v>
      </c>
      <c r="F159">
        <v>26159240</v>
      </c>
      <c r="G159">
        <v>219399405</v>
      </c>
    </row>
    <row r="160" spans="1:7">
      <c r="A160">
        <v>296</v>
      </c>
      <c r="B160">
        <v>7134419220</v>
      </c>
      <c r="C160">
        <v>28.54</v>
      </c>
      <c r="D160">
        <v>0</v>
      </c>
      <c r="E160">
        <v>949.45</v>
      </c>
      <c r="F160">
        <v>26348702</v>
      </c>
      <c r="G160">
        <v>220998542</v>
      </c>
    </row>
    <row r="161" spans="1:156">
      <c r="A161">
        <v>298</v>
      </c>
      <c r="B161">
        <v>7253852540</v>
      </c>
      <c r="C161">
        <v>29.02</v>
      </c>
      <c r="D161">
        <v>0</v>
      </c>
      <c r="E161">
        <v>949.45</v>
      </c>
      <c r="F161">
        <v>26538452</v>
      </c>
      <c r="G161">
        <v>222600325</v>
      </c>
    </row>
    <row r="162" spans="1:156">
      <c r="A162" t="s">
        <v>107</v>
      </c>
      <c r="B162" t="s">
        <v>45</v>
      </c>
    </row>
    <row r="163" spans="1:156">
      <c r="A163" t="s">
        <v>108</v>
      </c>
      <c r="B163" t="s">
        <v>109</v>
      </c>
      <c r="C163" t="s">
        <v>110</v>
      </c>
      <c r="D163" t="s">
        <v>111</v>
      </c>
      <c r="E163" t="s">
        <v>112</v>
      </c>
      <c r="F163" t="s">
        <v>113</v>
      </c>
      <c r="G163" t="s">
        <v>114</v>
      </c>
      <c r="H163" t="s">
        <v>115</v>
      </c>
      <c r="I163" t="s">
        <v>116</v>
      </c>
      <c r="J163" t="s">
        <v>117</v>
      </c>
      <c r="K163" t="s">
        <v>118</v>
      </c>
      <c r="L163" t="s">
        <v>119</v>
      </c>
      <c r="M163" t="s">
        <v>120</v>
      </c>
      <c r="N163" t="s">
        <v>121</v>
      </c>
      <c r="O163" t="s">
        <v>122</v>
      </c>
      <c r="P163" t="s">
        <v>123</v>
      </c>
      <c r="Q163" t="s">
        <v>124</v>
      </c>
      <c r="R163" t="s">
        <v>118</v>
      </c>
      <c r="S163" t="s">
        <v>125</v>
      </c>
      <c r="T163" t="s">
        <v>126</v>
      </c>
      <c r="U163" t="s">
        <v>127</v>
      </c>
      <c r="V163" t="s">
        <v>128</v>
      </c>
      <c r="W163" t="s">
        <v>129</v>
      </c>
      <c r="X163" t="s">
        <v>130</v>
      </c>
      <c r="Y163" t="s">
        <v>131</v>
      </c>
      <c r="Z163" t="s">
        <v>132</v>
      </c>
      <c r="AA163" t="s">
        <v>133</v>
      </c>
      <c r="AB163" t="s">
        <v>134</v>
      </c>
      <c r="AC163" t="s">
        <v>135</v>
      </c>
      <c r="AD163" t="s">
        <v>105</v>
      </c>
      <c r="AE163" t="s">
        <v>136</v>
      </c>
      <c r="AF163" t="s">
        <v>115</v>
      </c>
      <c r="AG163" t="s">
        <v>137</v>
      </c>
      <c r="AH163" t="s">
        <v>138</v>
      </c>
      <c r="AI163" t="s">
        <v>139</v>
      </c>
      <c r="AJ163" t="s">
        <v>126</v>
      </c>
      <c r="AK163" t="s">
        <v>127</v>
      </c>
      <c r="AL163" t="s">
        <v>128</v>
      </c>
      <c r="AM163" t="s">
        <v>129</v>
      </c>
      <c r="AN163" t="s">
        <v>130</v>
      </c>
      <c r="AO163" t="s">
        <v>131</v>
      </c>
      <c r="AP163" t="s">
        <v>132</v>
      </c>
      <c r="AQ163" t="s">
        <v>133</v>
      </c>
      <c r="AR163" t="s">
        <v>134</v>
      </c>
      <c r="AS163" t="s">
        <v>140</v>
      </c>
      <c r="AT163" t="s">
        <v>105</v>
      </c>
      <c r="AU163" t="s">
        <v>136</v>
      </c>
      <c r="AV163" t="s">
        <v>115</v>
      </c>
      <c r="AW163" t="s">
        <v>137</v>
      </c>
      <c r="AX163" t="s">
        <v>138</v>
      </c>
      <c r="AY163" t="s">
        <v>141</v>
      </c>
      <c r="AZ163" t="s">
        <v>126</v>
      </c>
      <c r="BA163" t="s">
        <v>142</v>
      </c>
      <c r="BB163" t="s">
        <v>143</v>
      </c>
      <c r="BC163" t="s">
        <v>144</v>
      </c>
      <c r="BD163" t="s">
        <v>145</v>
      </c>
      <c r="BE163" t="s">
        <v>146</v>
      </c>
      <c r="BF163" t="s">
        <v>147</v>
      </c>
      <c r="BG163" t="s">
        <v>148</v>
      </c>
      <c r="BH163" t="s">
        <v>149</v>
      </c>
      <c r="BI163" t="s">
        <v>150</v>
      </c>
      <c r="BJ163" t="s">
        <v>141</v>
      </c>
      <c r="BK163" t="s">
        <v>126</v>
      </c>
      <c r="BL163" t="s">
        <v>142</v>
      </c>
      <c r="BM163" t="s">
        <v>143</v>
      </c>
      <c r="BN163" t="s">
        <v>144</v>
      </c>
      <c r="BO163" t="s">
        <v>145</v>
      </c>
      <c r="BP163" t="s">
        <v>146</v>
      </c>
      <c r="BQ163" t="s">
        <v>147</v>
      </c>
      <c r="BR163" t="s">
        <v>148</v>
      </c>
      <c r="BS163" t="s">
        <v>149</v>
      </c>
      <c r="BT163" t="s">
        <v>150</v>
      </c>
    </row>
    <row r="164" spans="1:156">
      <c r="A164">
        <v>98380</v>
      </c>
      <c r="B164">
        <v>0</v>
      </c>
      <c r="C164">
        <v>9950045</v>
      </c>
      <c r="D164">
        <v>0</v>
      </c>
      <c r="E164">
        <v>30.150600000000001</v>
      </c>
      <c r="F164" s="7">
        <v>302000000</v>
      </c>
      <c r="G164">
        <v>26103.599999999999</v>
      </c>
      <c r="H164">
        <v>224329923</v>
      </c>
      <c r="I164">
        <v>0</v>
      </c>
      <c r="J164">
        <v>0</v>
      </c>
      <c r="K164" t="s">
        <v>151</v>
      </c>
      <c r="L164">
        <v>0</v>
      </c>
      <c r="M164">
        <v>9950045</v>
      </c>
      <c r="N164">
        <v>978885427100</v>
      </c>
      <c r="O164">
        <v>30.142299999999999</v>
      </c>
      <c r="P164">
        <v>299916767</v>
      </c>
      <c r="Q164">
        <v>26110.9</v>
      </c>
      <c r="R164" t="s">
        <v>151</v>
      </c>
      <c r="S164" t="s">
        <v>152</v>
      </c>
      <c r="T164" t="s">
        <v>153</v>
      </c>
      <c r="U164" t="s">
        <v>45</v>
      </c>
      <c r="V164">
        <v>0</v>
      </c>
      <c r="W164">
        <v>0</v>
      </c>
      <c r="X164">
        <v>0</v>
      </c>
      <c r="Y164">
        <v>0</v>
      </c>
      <c r="Z164">
        <v>53</v>
      </c>
      <c r="AA164">
        <v>9983</v>
      </c>
      <c r="AB164">
        <v>0</v>
      </c>
      <c r="AC164">
        <v>0</v>
      </c>
      <c r="AD164" t="s">
        <v>154</v>
      </c>
      <c r="AE164" t="s">
        <v>45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155</v>
      </c>
      <c r="AO164" t="s">
        <v>45</v>
      </c>
      <c r="AP164">
        <v>26768553</v>
      </c>
      <c r="AQ164">
        <v>1766724464</v>
      </c>
      <c r="AR164">
        <v>0</v>
      </c>
      <c r="AS164">
        <v>0</v>
      </c>
      <c r="AT164">
        <v>224329926</v>
      </c>
      <c r="AU164">
        <v>2021731015796</v>
      </c>
      <c r="AV164">
        <v>0</v>
      </c>
      <c r="AW164">
        <v>0</v>
      </c>
      <c r="AX164" t="s">
        <v>156</v>
      </c>
      <c r="AY164" t="s">
        <v>45</v>
      </c>
      <c r="AZ164">
        <v>0</v>
      </c>
      <c r="BA164">
        <v>0</v>
      </c>
      <c r="BB164">
        <v>0</v>
      </c>
      <c r="BC164">
        <v>0</v>
      </c>
      <c r="BD164">
        <v>50</v>
      </c>
      <c r="BE164">
        <v>8918</v>
      </c>
      <c r="BF164">
        <v>0</v>
      </c>
      <c r="BG164">
        <v>0</v>
      </c>
      <c r="BH164" t="s">
        <v>157</v>
      </c>
      <c r="BI164" t="s">
        <v>45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 t="s">
        <v>158</v>
      </c>
      <c r="BS164" t="s">
        <v>45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 t="s">
        <v>135</v>
      </c>
      <c r="CC164">
        <v>26768525</v>
      </c>
      <c r="CD164">
        <v>0</v>
      </c>
      <c r="CE164">
        <v>224329923</v>
      </c>
      <c r="CF164">
        <v>0</v>
      </c>
      <c r="CG164">
        <v>0</v>
      </c>
      <c r="CH164" t="s">
        <v>159</v>
      </c>
      <c r="CI164" t="s">
        <v>160</v>
      </c>
      <c r="CJ164" t="s">
        <v>45</v>
      </c>
      <c r="CK164">
        <v>83826</v>
      </c>
      <c r="CL164">
        <v>3942722</v>
      </c>
      <c r="CM164">
        <v>0</v>
      </c>
      <c r="CN164">
        <v>0</v>
      </c>
      <c r="CO164">
        <v>753</v>
      </c>
      <c r="CP164">
        <v>293400</v>
      </c>
      <c r="CQ164">
        <v>0</v>
      </c>
      <c r="CR164">
        <v>0</v>
      </c>
      <c r="CS164" t="s">
        <v>161</v>
      </c>
      <c r="CT164" t="s">
        <v>45</v>
      </c>
      <c r="CU164">
        <v>224415084</v>
      </c>
      <c r="CV164">
        <v>2021736253386</v>
      </c>
      <c r="CW164">
        <v>0</v>
      </c>
      <c r="CX164">
        <v>0</v>
      </c>
      <c r="CY164">
        <v>26770522</v>
      </c>
      <c r="CZ164">
        <v>1767175968</v>
      </c>
      <c r="DA164">
        <v>0</v>
      </c>
      <c r="DB164">
        <v>0</v>
      </c>
      <c r="DC164" t="s">
        <v>158</v>
      </c>
      <c r="DD164" t="s">
        <v>45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 t="s">
        <v>162</v>
      </c>
      <c r="DN164" t="s">
        <v>45</v>
      </c>
      <c r="DO164">
        <v>35900682</v>
      </c>
      <c r="DP164">
        <v>2008792107950</v>
      </c>
      <c r="DQ164">
        <v>0</v>
      </c>
      <c r="DR164">
        <v>0</v>
      </c>
      <c r="DS164">
        <v>26769662</v>
      </c>
      <c r="DT164">
        <v>1766864598</v>
      </c>
      <c r="DU164">
        <v>0</v>
      </c>
      <c r="DV164">
        <v>0</v>
      </c>
      <c r="DW164" t="s">
        <v>163</v>
      </c>
      <c r="DX164" t="s">
        <v>45</v>
      </c>
      <c r="DY164">
        <v>11147</v>
      </c>
      <c r="DZ164">
        <v>1114700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 t="s">
        <v>140</v>
      </c>
      <c r="EH164">
        <v>35900211</v>
      </c>
      <c r="EI164">
        <v>6</v>
      </c>
      <c r="EJ164">
        <v>26769408</v>
      </c>
      <c r="EK164">
        <v>35</v>
      </c>
      <c r="EL164">
        <v>37</v>
      </c>
      <c r="EM164" t="s">
        <v>141</v>
      </c>
      <c r="EN164" t="s">
        <v>164</v>
      </c>
      <c r="EO164">
        <v>224415084</v>
      </c>
      <c r="EP164">
        <v>26770523</v>
      </c>
      <c r="EQ164">
        <v>224426558</v>
      </c>
      <c r="ER164">
        <v>26770523</v>
      </c>
      <c r="ES164">
        <v>0</v>
      </c>
      <c r="ET164">
        <v>0</v>
      </c>
      <c r="EU164">
        <v>0</v>
      </c>
      <c r="EV164">
        <v>0</v>
      </c>
      <c r="EW164">
        <v>0</v>
      </c>
      <c r="EX164" t="s">
        <v>141</v>
      </c>
      <c r="EY164" t="s">
        <v>45</v>
      </c>
      <c r="EZ164" t="s">
        <v>118</v>
      </c>
    </row>
    <row r="165" spans="1:156">
      <c r="A165" t="s">
        <v>165</v>
      </c>
      <c r="B165" t="s">
        <v>166</v>
      </c>
      <c r="C165" t="s">
        <v>167</v>
      </c>
      <c r="D165" t="s">
        <v>168</v>
      </c>
      <c r="E165" t="s">
        <v>169</v>
      </c>
      <c r="F165" t="s">
        <v>170</v>
      </c>
      <c r="G165" t="s">
        <v>171</v>
      </c>
      <c r="H165" t="s">
        <v>172</v>
      </c>
    </row>
    <row r="166" spans="1:156">
      <c r="A166" t="s">
        <v>173</v>
      </c>
      <c r="B166">
        <v>0</v>
      </c>
      <c r="C166">
        <v>0</v>
      </c>
      <c r="D166">
        <v>45</v>
      </c>
      <c r="E166">
        <v>54</v>
      </c>
      <c r="F166">
        <v>0</v>
      </c>
      <c r="G166">
        <v>1</v>
      </c>
      <c r="H166">
        <v>14</v>
      </c>
      <c r="I166" t="s">
        <v>45</v>
      </c>
    </row>
    <row r="167" spans="1:156">
      <c r="A167" t="s">
        <v>174</v>
      </c>
      <c r="B167">
        <v>0</v>
      </c>
      <c r="C167">
        <v>0</v>
      </c>
      <c r="D167">
        <v>81</v>
      </c>
      <c r="E167">
        <v>18</v>
      </c>
      <c r="F167">
        <v>0</v>
      </c>
      <c r="G167">
        <v>2</v>
      </c>
      <c r="H167">
        <v>18</v>
      </c>
      <c r="I167" t="s">
        <v>45</v>
      </c>
    </row>
    <row r="168" spans="1:156">
      <c r="A168" t="s">
        <v>175</v>
      </c>
      <c r="B168">
        <v>0</v>
      </c>
      <c r="C168">
        <v>0</v>
      </c>
      <c r="D168">
        <v>60</v>
      </c>
      <c r="E168">
        <v>38</v>
      </c>
      <c r="F168">
        <v>0</v>
      </c>
      <c r="G168">
        <v>1</v>
      </c>
      <c r="H168">
        <v>3</v>
      </c>
      <c r="I168" t="s">
        <v>45</v>
      </c>
    </row>
    <row r="169" spans="1:156">
      <c r="A169" t="s">
        <v>176</v>
      </c>
      <c r="B169">
        <v>0</v>
      </c>
      <c r="C169">
        <v>0</v>
      </c>
      <c r="D169">
        <v>18</v>
      </c>
      <c r="E169">
        <v>81</v>
      </c>
      <c r="F169">
        <v>0</v>
      </c>
      <c r="G169">
        <v>0</v>
      </c>
      <c r="H169">
        <v>17</v>
      </c>
      <c r="I169" t="s">
        <v>45</v>
      </c>
    </row>
    <row r="170" spans="1:156">
      <c r="A170" t="s">
        <v>177</v>
      </c>
      <c r="B170">
        <v>0</v>
      </c>
      <c r="C170">
        <v>0</v>
      </c>
      <c r="D170">
        <v>20</v>
      </c>
      <c r="E170">
        <v>79</v>
      </c>
      <c r="F170">
        <v>0</v>
      </c>
      <c r="G170">
        <v>3</v>
      </c>
      <c r="H170">
        <v>17</v>
      </c>
      <c r="I170" t="s">
        <v>45</v>
      </c>
    </row>
    <row r="171" spans="1:156">
      <c r="A171" t="s">
        <v>178</v>
      </c>
      <c r="B171" t="s">
        <v>166</v>
      </c>
      <c r="C171" t="s">
        <v>167</v>
      </c>
      <c r="D171" t="s">
        <v>168</v>
      </c>
      <c r="E171" t="s">
        <v>169</v>
      </c>
      <c r="F171" t="s">
        <v>170</v>
      </c>
      <c r="G171" t="s">
        <v>171</v>
      </c>
      <c r="H171" t="s">
        <v>172</v>
      </c>
    </row>
    <row r="172" spans="1:156">
      <c r="A172" t="s">
        <v>179</v>
      </c>
      <c r="B172">
        <v>0</v>
      </c>
      <c r="C172">
        <v>0</v>
      </c>
      <c r="D172">
        <v>3</v>
      </c>
      <c r="E172">
        <v>96</v>
      </c>
      <c r="F172">
        <v>0</v>
      </c>
      <c r="G172">
        <v>0</v>
      </c>
      <c r="H172">
        <v>0</v>
      </c>
      <c r="I172" t="s">
        <v>45</v>
      </c>
    </row>
    <row r="173" spans="1:156">
      <c r="A173" t="s">
        <v>180</v>
      </c>
      <c r="B173">
        <v>0</v>
      </c>
      <c r="C173">
        <v>0</v>
      </c>
      <c r="D173">
        <v>0</v>
      </c>
      <c r="E173">
        <v>99</v>
      </c>
      <c r="F173">
        <v>0</v>
      </c>
      <c r="G173">
        <v>0</v>
      </c>
      <c r="H173">
        <v>0</v>
      </c>
      <c r="I173" t="s">
        <v>45</v>
      </c>
    </row>
    <row r="174" spans="1:156">
      <c r="A174" t="s">
        <v>181</v>
      </c>
      <c r="B174">
        <v>0</v>
      </c>
      <c r="C174">
        <v>0</v>
      </c>
      <c r="D174">
        <v>0</v>
      </c>
      <c r="E174">
        <v>99</v>
      </c>
      <c r="F174">
        <v>0</v>
      </c>
      <c r="G174">
        <v>0</v>
      </c>
      <c r="H174">
        <v>0</v>
      </c>
      <c r="I174" t="s">
        <v>45</v>
      </c>
    </row>
    <row r="175" spans="1:156">
      <c r="A175" t="s">
        <v>182</v>
      </c>
      <c r="B175">
        <v>0</v>
      </c>
      <c r="C175">
        <v>0</v>
      </c>
      <c r="D175">
        <v>0</v>
      </c>
      <c r="E175">
        <v>99</v>
      </c>
      <c r="F175">
        <v>0</v>
      </c>
      <c r="G175">
        <v>0</v>
      </c>
      <c r="H175">
        <v>0</v>
      </c>
      <c r="I175" t="s">
        <v>45</v>
      </c>
    </row>
    <row r="176" spans="1:156">
      <c r="A176" t="s">
        <v>183</v>
      </c>
      <c r="B176">
        <v>0</v>
      </c>
      <c r="C176">
        <v>0</v>
      </c>
      <c r="D176">
        <v>0</v>
      </c>
      <c r="E176">
        <v>99</v>
      </c>
      <c r="F176">
        <v>0</v>
      </c>
      <c r="G176">
        <v>0</v>
      </c>
      <c r="H176">
        <v>0</v>
      </c>
      <c r="I176" t="s">
        <v>45</v>
      </c>
    </row>
    <row r="177" spans="1:9">
      <c r="A177" t="s">
        <v>184</v>
      </c>
      <c r="B177">
        <v>0</v>
      </c>
      <c r="C177">
        <v>0</v>
      </c>
      <c r="D177">
        <v>0</v>
      </c>
      <c r="E177">
        <v>99</v>
      </c>
      <c r="F177">
        <v>0</v>
      </c>
      <c r="G177">
        <v>0</v>
      </c>
      <c r="H177">
        <v>0</v>
      </c>
      <c r="I177" t="s">
        <v>45</v>
      </c>
    </row>
    <row r="178" spans="1:9">
      <c r="A178" t="s">
        <v>185</v>
      </c>
      <c r="B178">
        <v>0</v>
      </c>
      <c r="C178">
        <v>0</v>
      </c>
      <c r="D178">
        <v>0</v>
      </c>
      <c r="E178">
        <v>99</v>
      </c>
      <c r="F178">
        <v>0</v>
      </c>
      <c r="G178">
        <v>0</v>
      </c>
      <c r="H178">
        <v>0</v>
      </c>
      <c r="I178" t="s">
        <v>45</v>
      </c>
    </row>
    <row r="179" spans="1:9">
      <c r="A179" t="s">
        <v>186</v>
      </c>
      <c r="B179">
        <v>5</v>
      </c>
      <c r="C179">
        <v>0</v>
      </c>
      <c r="D179">
        <v>90</v>
      </c>
      <c r="E179">
        <v>4</v>
      </c>
      <c r="F179">
        <v>0</v>
      </c>
      <c r="G179">
        <v>0</v>
      </c>
      <c r="H179">
        <v>0</v>
      </c>
      <c r="I179" t="s">
        <v>45</v>
      </c>
    </row>
    <row r="180" spans="1:9">
      <c r="A180" t="s">
        <v>187</v>
      </c>
      <c r="B180">
        <v>4</v>
      </c>
      <c r="C180">
        <v>0</v>
      </c>
      <c r="D180">
        <v>91</v>
      </c>
      <c r="E180">
        <v>3</v>
      </c>
      <c r="F180">
        <v>0</v>
      </c>
      <c r="G180">
        <v>0</v>
      </c>
      <c r="H180">
        <v>0</v>
      </c>
      <c r="I180" t="s">
        <v>45</v>
      </c>
    </row>
    <row r="181" spans="1:9">
      <c r="A181" t="s">
        <v>188</v>
      </c>
      <c r="B181">
        <v>0</v>
      </c>
      <c r="C181">
        <v>0</v>
      </c>
      <c r="D181">
        <v>0</v>
      </c>
      <c r="E181">
        <v>99</v>
      </c>
      <c r="F181">
        <v>0</v>
      </c>
      <c r="G181">
        <v>0</v>
      </c>
      <c r="H181">
        <v>0</v>
      </c>
      <c r="I181" t="s">
        <v>45</v>
      </c>
    </row>
    <row r="182" spans="1:9">
      <c r="A182" t="s">
        <v>189</v>
      </c>
      <c r="B182">
        <v>0</v>
      </c>
      <c r="C182">
        <v>0</v>
      </c>
      <c r="D182">
        <v>0</v>
      </c>
      <c r="E182">
        <v>99</v>
      </c>
      <c r="F182">
        <v>0</v>
      </c>
      <c r="G182">
        <v>0</v>
      </c>
      <c r="H182">
        <v>0</v>
      </c>
      <c r="I182" t="s">
        <v>45</v>
      </c>
    </row>
    <row r="183" spans="1:9">
      <c r="A183" t="s">
        <v>190</v>
      </c>
      <c r="B183">
        <v>0</v>
      </c>
      <c r="C183">
        <v>0</v>
      </c>
      <c r="D183">
        <v>0</v>
      </c>
      <c r="E183">
        <v>99</v>
      </c>
      <c r="F183">
        <v>0</v>
      </c>
      <c r="G183">
        <v>0</v>
      </c>
      <c r="H183">
        <v>0</v>
      </c>
      <c r="I183" t="s">
        <v>45</v>
      </c>
    </row>
    <row r="184" spans="1:9">
      <c r="A184" t="s">
        <v>191</v>
      </c>
      <c r="B184">
        <v>0</v>
      </c>
      <c r="C184">
        <v>0</v>
      </c>
      <c r="D184">
        <v>0</v>
      </c>
      <c r="E184">
        <v>99</v>
      </c>
      <c r="F184">
        <v>0</v>
      </c>
      <c r="G184">
        <v>0</v>
      </c>
      <c r="H184">
        <v>0</v>
      </c>
      <c r="I184" t="s">
        <v>45</v>
      </c>
    </row>
    <row r="185" spans="1:9">
      <c r="A185" t="s">
        <v>192</v>
      </c>
      <c r="B185">
        <v>0</v>
      </c>
      <c r="C185">
        <v>0</v>
      </c>
      <c r="D185">
        <v>4</v>
      </c>
      <c r="E185">
        <v>95</v>
      </c>
      <c r="F185">
        <v>0</v>
      </c>
      <c r="G185">
        <v>0</v>
      </c>
      <c r="H185">
        <v>4</v>
      </c>
      <c r="I185" t="s">
        <v>45</v>
      </c>
    </row>
    <row r="186" spans="1:9">
      <c r="A186" t="s">
        <v>193</v>
      </c>
      <c r="B186">
        <v>0</v>
      </c>
      <c r="C186">
        <v>0</v>
      </c>
      <c r="D186">
        <v>0</v>
      </c>
      <c r="E186">
        <v>99</v>
      </c>
      <c r="F186">
        <v>0</v>
      </c>
      <c r="G186">
        <v>0</v>
      </c>
      <c r="H186">
        <v>0</v>
      </c>
      <c r="I186" t="s">
        <v>45</v>
      </c>
    </row>
    <row r="187" spans="1:9">
      <c r="A187" t="s">
        <v>194</v>
      </c>
      <c r="B187">
        <v>0</v>
      </c>
      <c r="C187">
        <v>0</v>
      </c>
      <c r="D187">
        <v>0</v>
      </c>
      <c r="E187">
        <v>99</v>
      </c>
      <c r="F187">
        <v>0</v>
      </c>
      <c r="G187">
        <v>0</v>
      </c>
      <c r="H187">
        <v>0</v>
      </c>
      <c r="I187" t="s">
        <v>45</v>
      </c>
    </row>
    <row r="188" spans="1:9">
      <c r="A188" t="s">
        <v>195</v>
      </c>
      <c r="B188">
        <v>0</v>
      </c>
      <c r="C188">
        <v>0</v>
      </c>
      <c r="D188">
        <v>0</v>
      </c>
      <c r="E188">
        <v>99</v>
      </c>
      <c r="F188">
        <v>0</v>
      </c>
      <c r="G188">
        <v>0</v>
      </c>
      <c r="H188">
        <v>0</v>
      </c>
      <c r="I188" t="s">
        <v>45</v>
      </c>
    </row>
    <row r="189" spans="1:9">
      <c r="A189" t="s">
        <v>196</v>
      </c>
      <c r="B189">
        <v>0</v>
      </c>
      <c r="C189">
        <v>0</v>
      </c>
      <c r="D189">
        <v>0</v>
      </c>
      <c r="E189">
        <v>99</v>
      </c>
      <c r="F189">
        <v>0</v>
      </c>
      <c r="G189">
        <v>0</v>
      </c>
      <c r="H189">
        <v>0</v>
      </c>
      <c r="I189" t="s">
        <v>45</v>
      </c>
    </row>
    <row r="190" spans="1:9">
      <c r="A190" t="s">
        <v>197</v>
      </c>
      <c r="B190">
        <v>0</v>
      </c>
      <c r="C190">
        <v>0</v>
      </c>
      <c r="D190">
        <v>0</v>
      </c>
      <c r="E190">
        <v>99</v>
      </c>
      <c r="F190">
        <v>0</v>
      </c>
      <c r="G190">
        <v>0</v>
      </c>
      <c r="H190">
        <v>0</v>
      </c>
      <c r="I190" t="s">
        <v>45</v>
      </c>
    </row>
    <row r="191" spans="1:9">
      <c r="A191" t="s">
        <v>198</v>
      </c>
      <c r="B191">
        <v>0</v>
      </c>
      <c r="C191">
        <v>0</v>
      </c>
      <c r="D191">
        <v>0</v>
      </c>
      <c r="E191">
        <v>99</v>
      </c>
      <c r="F191">
        <v>0</v>
      </c>
      <c r="G191">
        <v>0</v>
      </c>
      <c r="H191">
        <v>0</v>
      </c>
      <c r="I191" t="s">
        <v>45</v>
      </c>
    </row>
    <row r="192" spans="1:9">
      <c r="A192" t="s">
        <v>199</v>
      </c>
      <c r="B192">
        <v>0</v>
      </c>
      <c r="C192">
        <v>0</v>
      </c>
      <c r="D192">
        <v>0</v>
      </c>
      <c r="E192">
        <v>99</v>
      </c>
      <c r="F192">
        <v>0</v>
      </c>
      <c r="G192">
        <v>0</v>
      </c>
      <c r="H192">
        <v>0</v>
      </c>
      <c r="I192" t="s">
        <v>45</v>
      </c>
    </row>
    <row r="193" spans="1:9">
      <c r="A193" t="s">
        <v>200</v>
      </c>
      <c r="B193">
        <v>0</v>
      </c>
      <c r="C193">
        <v>0</v>
      </c>
      <c r="D193">
        <v>0</v>
      </c>
      <c r="E193">
        <v>99</v>
      </c>
      <c r="F193">
        <v>0</v>
      </c>
      <c r="G193">
        <v>0</v>
      </c>
      <c r="H193">
        <v>0</v>
      </c>
      <c r="I193" t="s">
        <v>45</v>
      </c>
    </row>
    <row r="194" spans="1:9">
      <c r="A194" t="s">
        <v>201</v>
      </c>
      <c r="B194">
        <v>0</v>
      </c>
      <c r="C194">
        <v>0</v>
      </c>
      <c r="D194">
        <v>0</v>
      </c>
      <c r="E194">
        <v>99</v>
      </c>
      <c r="F194">
        <v>0</v>
      </c>
      <c r="G194">
        <v>0</v>
      </c>
      <c r="H194">
        <v>0</v>
      </c>
      <c r="I194" t="s">
        <v>45</v>
      </c>
    </row>
    <row r="195" spans="1:9">
      <c r="A195" t="s">
        <v>202</v>
      </c>
      <c r="B195">
        <v>0</v>
      </c>
      <c r="C195">
        <v>0</v>
      </c>
      <c r="D195">
        <v>0</v>
      </c>
      <c r="E195">
        <v>99</v>
      </c>
      <c r="F195">
        <v>0</v>
      </c>
      <c r="G195">
        <v>0</v>
      </c>
      <c r="H195">
        <v>0</v>
      </c>
      <c r="I195" t="s">
        <v>45</v>
      </c>
    </row>
    <row r="196" spans="1:9">
      <c r="A196" t="s">
        <v>203</v>
      </c>
      <c r="B196">
        <v>0</v>
      </c>
      <c r="C196">
        <v>0</v>
      </c>
      <c r="D196">
        <v>0</v>
      </c>
      <c r="E196">
        <v>99</v>
      </c>
      <c r="F196">
        <v>0</v>
      </c>
      <c r="G196">
        <v>0</v>
      </c>
      <c r="H196">
        <v>0</v>
      </c>
      <c r="I196" t="s">
        <v>45</v>
      </c>
    </row>
    <row r="197" spans="1:9">
      <c r="A197" t="s">
        <v>204</v>
      </c>
      <c r="B197">
        <v>0</v>
      </c>
      <c r="C197">
        <v>0</v>
      </c>
      <c r="D197">
        <v>0</v>
      </c>
      <c r="E197">
        <v>99</v>
      </c>
      <c r="F197">
        <v>0</v>
      </c>
      <c r="G197">
        <v>0</v>
      </c>
      <c r="H197">
        <v>0</v>
      </c>
      <c r="I197" t="s">
        <v>45</v>
      </c>
    </row>
    <row r="198" spans="1:9">
      <c r="A198" t="s">
        <v>205</v>
      </c>
      <c r="B198">
        <v>0</v>
      </c>
      <c r="C198">
        <v>0</v>
      </c>
      <c r="D198">
        <v>0</v>
      </c>
      <c r="E198">
        <v>99</v>
      </c>
      <c r="F198">
        <v>0</v>
      </c>
      <c r="G198">
        <v>0</v>
      </c>
      <c r="H198">
        <v>0</v>
      </c>
      <c r="I198" t="s">
        <v>45</v>
      </c>
    </row>
    <row r="199" spans="1:9">
      <c r="A199" t="s">
        <v>206</v>
      </c>
      <c r="B199">
        <v>0</v>
      </c>
      <c r="C199">
        <v>0</v>
      </c>
      <c r="D199">
        <v>0</v>
      </c>
      <c r="E199">
        <v>99</v>
      </c>
      <c r="F199">
        <v>0</v>
      </c>
      <c r="G199">
        <v>0</v>
      </c>
      <c r="H199">
        <v>0</v>
      </c>
      <c r="I199" t="s">
        <v>45</v>
      </c>
    </row>
    <row r="200" spans="1:9">
      <c r="A200" t="s">
        <v>207</v>
      </c>
      <c r="B200">
        <v>0</v>
      </c>
      <c r="C200">
        <v>0</v>
      </c>
      <c r="D200">
        <v>0</v>
      </c>
      <c r="E200">
        <v>99</v>
      </c>
      <c r="F200">
        <v>0</v>
      </c>
      <c r="G200">
        <v>0</v>
      </c>
      <c r="H200">
        <v>0</v>
      </c>
      <c r="I200" t="s">
        <v>45</v>
      </c>
    </row>
    <row r="201" spans="1:9">
      <c r="A201" t="s">
        <v>208</v>
      </c>
      <c r="B201">
        <v>0</v>
      </c>
      <c r="C201">
        <v>0</v>
      </c>
      <c r="D201">
        <v>0</v>
      </c>
      <c r="E201">
        <v>99</v>
      </c>
      <c r="F201">
        <v>0</v>
      </c>
      <c r="G201">
        <v>0</v>
      </c>
      <c r="H201">
        <v>0</v>
      </c>
      <c r="I201" t="s">
        <v>45</v>
      </c>
    </row>
    <row r="202" spans="1:9">
      <c r="A202" t="s">
        <v>209</v>
      </c>
      <c r="B202">
        <v>0</v>
      </c>
      <c r="C202">
        <v>0</v>
      </c>
      <c r="D202">
        <v>0</v>
      </c>
      <c r="E202">
        <v>99</v>
      </c>
      <c r="F202">
        <v>0</v>
      </c>
      <c r="G202">
        <v>0</v>
      </c>
      <c r="H202">
        <v>0</v>
      </c>
      <c r="I202" t="s">
        <v>45</v>
      </c>
    </row>
    <row r="203" spans="1:9">
      <c r="A203" t="s">
        <v>210</v>
      </c>
      <c r="B203">
        <v>0</v>
      </c>
      <c r="C203">
        <v>0</v>
      </c>
      <c r="D203">
        <v>0</v>
      </c>
      <c r="E203">
        <v>99</v>
      </c>
      <c r="F203">
        <v>0</v>
      </c>
      <c r="G203">
        <v>0</v>
      </c>
      <c r="H203">
        <v>0</v>
      </c>
      <c r="I203" t="s">
        <v>45</v>
      </c>
    </row>
    <row r="204" spans="1:9">
      <c r="A204" t="s">
        <v>211</v>
      </c>
      <c r="B204">
        <v>0</v>
      </c>
      <c r="C204">
        <v>0</v>
      </c>
      <c r="D204">
        <v>0</v>
      </c>
      <c r="E204">
        <v>99</v>
      </c>
      <c r="F204">
        <v>0</v>
      </c>
      <c r="G204">
        <v>0</v>
      </c>
      <c r="H204">
        <v>0</v>
      </c>
      <c r="I204" t="s">
        <v>45</v>
      </c>
    </row>
    <row r="205" spans="1:9">
      <c r="A205" t="s">
        <v>212</v>
      </c>
      <c r="B205">
        <v>0</v>
      </c>
      <c r="C205">
        <v>0</v>
      </c>
      <c r="D205">
        <v>0</v>
      </c>
      <c r="E205">
        <v>99</v>
      </c>
      <c r="F205">
        <v>0</v>
      </c>
      <c r="G205">
        <v>0</v>
      </c>
      <c r="H205">
        <v>0</v>
      </c>
      <c r="I205" t="s">
        <v>45</v>
      </c>
    </row>
    <row r="206" spans="1:9">
      <c r="A206" t="s">
        <v>213</v>
      </c>
      <c r="B206">
        <v>0</v>
      </c>
      <c r="C206">
        <v>0</v>
      </c>
      <c r="D206">
        <v>0</v>
      </c>
      <c r="E206">
        <v>99</v>
      </c>
      <c r="F206">
        <v>0</v>
      </c>
      <c r="G206">
        <v>0</v>
      </c>
      <c r="H206">
        <v>0</v>
      </c>
      <c r="I206" t="s">
        <v>45</v>
      </c>
    </row>
    <row r="207" spans="1:9">
      <c r="A207" t="s">
        <v>214</v>
      </c>
      <c r="B207">
        <v>0</v>
      </c>
      <c r="C207">
        <v>0</v>
      </c>
      <c r="D207">
        <v>0</v>
      </c>
      <c r="E207">
        <v>99</v>
      </c>
      <c r="F207">
        <v>0</v>
      </c>
      <c r="G207">
        <v>0</v>
      </c>
      <c r="H207">
        <v>0</v>
      </c>
      <c r="I207" t="s">
        <v>45</v>
      </c>
    </row>
    <row r="208" spans="1:9">
      <c r="A208" t="s">
        <v>215</v>
      </c>
      <c r="B208">
        <v>0</v>
      </c>
      <c r="C208">
        <v>0</v>
      </c>
      <c r="D208">
        <v>0</v>
      </c>
      <c r="E208">
        <v>99</v>
      </c>
      <c r="F208">
        <v>0</v>
      </c>
      <c r="G208">
        <v>0</v>
      </c>
      <c r="H208">
        <v>0</v>
      </c>
      <c r="I208" t="s">
        <v>45</v>
      </c>
    </row>
    <row r="209" spans="1:9">
      <c r="A209" t="s">
        <v>216</v>
      </c>
      <c r="B209">
        <v>0</v>
      </c>
      <c r="C209">
        <v>0</v>
      </c>
      <c r="D209">
        <v>0</v>
      </c>
      <c r="E209">
        <v>99</v>
      </c>
      <c r="F209">
        <v>0</v>
      </c>
      <c r="G209">
        <v>0</v>
      </c>
      <c r="H209">
        <v>0</v>
      </c>
      <c r="I209" t="s">
        <v>45</v>
      </c>
    </row>
    <row r="210" spans="1:9">
      <c r="A210" t="s">
        <v>217</v>
      </c>
      <c r="B210">
        <v>0</v>
      </c>
      <c r="C210">
        <v>0</v>
      </c>
      <c r="D210">
        <v>0</v>
      </c>
      <c r="E210">
        <v>99</v>
      </c>
      <c r="F210">
        <v>0</v>
      </c>
      <c r="G210">
        <v>0</v>
      </c>
      <c r="H210">
        <v>0</v>
      </c>
      <c r="I210" t="s">
        <v>45</v>
      </c>
    </row>
    <row r="211" spans="1:9">
      <c r="A211" t="s">
        <v>218</v>
      </c>
      <c r="B211">
        <v>0</v>
      </c>
      <c r="C211">
        <v>0</v>
      </c>
      <c r="D211">
        <v>0</v>
      </c>
      <c r="E211">
        <v>99</v>
      </c>
      <c r="F211">
        <v>0</v>
      </c>
      <c r="G211">
        <v>0</v>
      </c>
      <c r="H211">
        <v>0</v>
      </c>
      <c r="I211" t="s">
        <v>45</v>
      </c>
    </row>
    <row r="212" spans="1:9">
      <c r="A212" t="s">
        <v>219</v>
      </c>
      <c r="B212">
        <v>0</v>
      </c>
      <c r="C212">
        <v>0</v>
      </c>
      <c r="D212">
        <v>0</v>
      </c>
      <c r="E212">
        <v>99</v>
      </c>
      <c r="F212">
        <v>0</v>
      </c>
      <c r="G212">
        <v>0</v>
      </c>
      <c r="H212">
        <v>0</v>
      </c>
      <c r="I212" t="s">
        <v>45</v>
      </c>
    </row>
    <row r="213" spans="1:9">
      <c r="A213" t="s">
        <v>220</v>
      </c>
      <c r="B213">
        <v>0</v>
      </c>
      <c r="C213">
        <v>0</v>
      </c>
      <c r="D213">
        <v>0</v>
      </c>
      <c r="E213">
        <v>99</v>
      </c>
      <c r="F213">
        <v>0</v>
      </c>
      <c r="G213">
        <v>0</v>
      </c>
      <c r="H213">
        <v>0</v>
      </c>
      <c r="I213" t="s">
        <v>45</v>
      </c>
    </row>
    <row r="214" spans="1:9">
      <c r="A214" t="s">
        <v>221</v>
      </c>
      <c r="B214">
        <v>0</v>
      </c>
      <c r="C214">
        <v>0</v>
      </c>
      <c r="D214">
        <v>0</v>
      </c>
      <c r="E214">
        <v>99</v>
      </c>
      <c r="F214">
        <v>0</v>
      </c>
      <c r="G214">
        <v>0</v>
      </c>
      <c r="H214">
        <v>0</v>
      </c>
      <c r="I214" t="s">
        <v>45</v>
      </c>
    </row>
    <row r="215" spans="1:9">
      <c r="A215" t="s">
        <v>222</v>
      </c>
      <c r="B215">
        <v>0</v>
      </c>
      <c r="C215">
        <v>0</v>
      </c>
      <c r="D215">
        <v>0</v>
      </c>
      <c r="E215">
        <v>99</v>
      </c>
      <c r="F215">
        <v>0</v>
      </c>
      <c r="G215">
        <v>0</v>
      </c>
      <c r="H215">
        <v>0</v>
      </c>
      <c r="I215" t="s">
        <v>45</v>
      </c>
    </row>
    <row r="216" spans="1:9">
      <c r="A216" t="s">
        <v>223</v>
      </c>
      <c r="B216">
        <v>0</v>
      </c>
      <c r="C216">
        <v>0</v>
      </c>
      <c r="D216">
        <v>0</v>
      </c>
      <c r="E216">
        <v>99</v>
      </c>
      <c r="F216">
        <v>0</v>
      </c>
      <c r="G216">
        <v>0</v>
      </c>
      <c r="H216">
        <v>0</v>
      </c>
      <c r="I216" t="s">
        <v>45</v>
      </c>
    </row>
    <row r="217" spans="1:9">
      <c r="A217" t="s">
        <v>224</v>
      </c>
      <c r="B217">
        <v>0</v>
      </c>
      <c r="C217">
        <v>0</v>
      </c>
      <c r="D217">
        <v>0</v>
      </c>
      <c r="E217">
        <v>99</v>
      </c>
      <c r="F217">
        <v>0</v>
      </c>
      <c r="G217">
        <v>0</v>
      </c>
      <c r="H217">
        <v>0</v>
      </c>
      <c r="I217" t="s">
        <v>45</v>
      </c>
    </row>
    <row r="218" spans="1:9">
      <c r="A218" t="s">
        <v>225</v>
      </c>
      <c r="B218">
        <v>0</v>
      </c>
      <c r="C218">
        <v>0</v>
      </c>
      <c r="D218">
        <v>0</v>
      </c>
      <c r="E218">
        <v>99</v>
      </c>
      <c r="F218">
        <v>0</v>
      </c>
      <c r="G218">
        <v>0</v>
      </c>
      <c r="H218">
        <v>0</v>
      </c>
      <c r="I218" t="s">
        <v>45</v>
      </c>
    </row>
    <row r="219" spans="1:9">
      <c r="A219" t="s">
        <v>226</v>
      </c>
      <c r="B219">
        <v>0</v>
      </c>
      <c r="C219">
        <v>0</v>
      </c>
      <c r="D219">
        <v>0</v>
      </c>
      <c r="E219">
        <v>99</v>
      </c>
      <c r="F219">
        <v>0</v>
      </c>
      <c r="G219">
        <v>0</v>
      </c>
      <c r="H219">
        <v>0</v>
      </c>
      <c r="I219" t="s">
        <v>45</v>
      </c>
    </row>
    <row r="220" spans="1:9">
      <c r="A220" t="s">
        <v>227</v>
      </c>
      <c r="B220">
        <v>0</v>
      </c>
      <c r="C220">
        <v>0</v>
      </c>
      <c r="D220">
        <v>0</v>
      </c>
      <c r="E220">
        <v>99</v>
      </c>
      <c r="F220">
        <v>0</v>
      </c>
      <c r="G220">
        <v>0</v>
      </c>
      <c r="H220">
        <v>0</v>
      </c>
      <c r="I220" t="s">
        <v>45</v>
      </c>
    </row>
    <row r="221" spans="1:9">
      <c r="A221" t="s">
        <v>228</v>
      </c>
      <c r="B221">
        <v>0</v>
      </c>
      <c r="C221">
        <v>0</v>
      </c>
      <c r="D221">
        <v>0</v>
      </c>
      <c r="E221">
        <v>99</v>
      </c>
      <c r="F221">
        <v>0</v>
      </c>
      <c r="G221">
        <v>0</v>
      </c>
      <c r="H221">
        <v>0</v>
      </c>
      <c r="I221" t="s">
        <v>45</v>
      </c>
    </row>
    <row r="222" spans="1:9">
      <c r="A222" t="s">
        <v>229</v>
      </c>
      <c r="B222">
        <v>0</v>
      </c>
      <c r="C222">
        <v>0</v>
      </c>
      <c r="D222">
        <v>0</v>
      </c>
      <c r="E222">
        <v>99</v>
      </c>
      <c r="F222">
        <v>0</v>
      </c>
      <c r="G222">
        <v>0</v>
      </c>
      <c r="H222">
        <v>0</v>
      </c>
      <c r="I222" t="s">
        <v>45</v>
      </c>
    </row>
    <row r="223" spans="1:9">
      <c r="A223" t="s">
        <v>230</v>
      </c>
      <c r="B223">
        <v>0</v>
      </c>
      <c r="C223">
        <v>0</v>
      </c>
      <c r="D223">
        <v>0</v>
      </c>
      <c r="E223">
        <v>99</v>
      </c>
      <c r="F223">
        <v>0</v>
      </c>
      <c r="G223">
        <v>0</v>
      </c>
      <c r="H223">
        <v>0</v>
      </c>
      <c r="I223" t="s">
        <v>45</v>
      </c>
    </row>
    <row r="224" spans="1:9">
      <c r="A224" t="s">
        <v>231</v>
      </c>
      <c r="B224">
        <v>0</v>
      </c>
      <c r="C224">
        <v>0</v>
      </c>
      <c r="D224">
        <v>0</v>
      </c>
      <c r="E224">
        <v>99</v>
      </c>
      <c r="F224">
        <v>0</v>
      </c>
      <c r="G224">
        <v>0</v>
      </c>
      <c r="H224">
        <v>0</v>
      </c>
      <c r="I224" t="s">
        <v>45</v>
      </c>
    </row>
    <row r="225" spans="1:9">
      <c r="A225" t="s">
        <v>232</v>
      </c>
      <c r="B225">
        <v>0</v>
      </c>
      <c r="C225">
        <v>0</v>
      </c>
      <c r="D225">
        <v>0</v>
      </c>
      <c r="E225">
        <v>99</v>
      </c>
      <c r="F225">
        <v>0</v>
      </c>
      <c r="G225">
        <v>0</v>
      </c>
      <c r="H225">
        <v>0</v>
      </c>
      <c r="I225" t="s">
        <v>45</v>
      </c>
    </row>
    <row r="226" spans="1:9">
      <c r="A226" t="s">
        <v>233</v>
      </c>
      <c r="B226">
        <v>0</v>
      </c>
      <c r="C226">
        <v>0</v>
      </c>
      <c r="D226">
        <v>0</v>
      </c>
      <c r="E226">
        <v>99</v>
      </c>
      <c r="F226">
        <v>0</v>
      </c>
      <c r="G226">
        <v>0</v>
      </c>
      <c r="H226">
        <v>0</v>
      </c>
      <c r="I226" t="s">
        <v>45</v>
      </c>
    </row>
    <row r="227" spans="1:9">
      <c r="A227" t="s">
        <v>234</v>
      </c>
      <c r="B227">
        <v>0</v>
      </c>
      <c r="C227">
        <v>0</v>
      </c>
      <c r="D227">
        <v>0</v>
      </c>
      <c r="E227">
        <v>99</v>
      </c>
      <c r="F227">
        <v>0</v>
      </c>
      <c r="G227">
        <v>0</v>
      </c>
      <c r="H227">
        <v>0</v>
      </c>
      <c r="I227" t="s">
        <v>45</v>
      </c>
    </row>
    <row r="228" spans="1:9">
      <c r="A228" t="s">
        <v>235</v>
      </c>
      <c r="B228">
        <v>0</v>
      </c>
      <c r="C228">
        <v>0</v>
      </c>
      <c r="D228">
        <v>0</v>
      </c>
      <c r="E228">
        <v>99</v>
      </c>
      <c r="F228">
        <v>0</v>
      </c>
      <c r="G228">
        <v>0</v>
      </c>
      <c r="H228">
        <v>0</v>
      </c>
      <c r="I228" t="s">
        <v>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FFD31-EEAD-452B-B1C2-36A8DF371C02}">
  <sheetPr codeName="Sheet7"/>
  <dimension ref="A1:EZ228"/>
  <sheetViews>
    <sheetView topLeftCell="A3" workbookViewId="0"/>
  </sheetViews>
  <sheetFormatPr defaultRowHeight="12.5"/>
  <sheetData>
    <row r="1" spans="1:7">
      <c r="A1" t="s">
        <v>84</v>
      </c>
      <c r="B1">
        <v>59</v>
      </c>
      <c r="C1" t="s">
        <v>245</v>
      </c>
      <c r="D1" t="s">
        <v>83</v>
      </c>
      <c r="E1" t="s">
        <v>86</v>
      </c>
    </row>
    <row r="2" spans="1:7">
      <c r="A2" t="s">
        <v>79</v>
      </c>
      <c r="B2" t="s">
        <v>87</v>
      </c>
      <c r="C2">
        <v>1</v>
      </c>
    </row>
    <row r="3" spans="1:7">
      <c r="A3" t="s">
        <v>80</v>
      </c>
    </row>
    <row r="4" spans="1:7">
      <c r="A4" t="s">
        <v>246</v>
      </c>
    </row>
    <row r="5" spans="1:7">
      <c r="A5" t="s">
        <v>81</v>
      </c>
      <c r="B5" t="s">
        <v>237</v>
      </c>
      <c r="C5" t="s">
        <v>58</v>
      </c>
      <c r="D5" t="s">
        <v>247</v>
      </c>
    </row>
    <row r="6" spans="1:7">
      <c r="A6" t="s">
        <v>239</v>
      </c>
    </row>
    <row r="7" spans="1:7">
      <c r="A7" t="s">
        <v>82</v>
      </c>
      <c r="B7" t="s">
        <v>92</v>
      </c>
    </row>
    <row r="8" spans="1:7">
      <c r="A8" t="s">
        <v>93</v>
      </c>
      <c r="B8" t="s">
        <v>94</v>
      </c>
    </row>
    <row r="9" spans="1:7">
      <c r="A9" t="s">
        <v>95</v>
      </c>
      <c r="B9" t="s">
        <v>96</v>
      </c>
      <c r="C9" t="s">
        <v>97</v>
      </c>
    </row>
    <row r="10" spans="1:7">
      <c r="A10" t="s">
        <v>98</v>
      </c>
    </row>
    <row r="11" spans="1:7">
      <c r="A11" t="s">
        <v>99</v>
      </c>
    </row>
    <row r="12" spans="1:7">
      <c r="A12" t="s">
        <v>100</v>
      </c>
      <c r="B12" t="s">
        <v>101</v>
      </c>
      <c r="C12" t="s">
        <v>102</v>
      </c>
      <c r="D12" t="s">
        <v>103</v>
      </c>
      <c r="E12" t="s">
        <v>104</v>
      </c>
      <c r="F12" t="s">
        <v>105</v>
      </c>
      <c r="G12" t="s">
        <v>106</v>
      </c>
    </row>
    <row r="13" spans="1:7">
      <c r="A13">
        <v>2</v>
      </c>
      <c r="B13">
        <v>26759360</v>
      </c>
      <c r="C13">
        <v>0.11</v>
      </c>
      <c r="D13">
        <v>0</v>
      </c>
      <c r="E13">
        <v>6.77</v>
      </c>
      <c r="F13">
        <v>830</v>
      </c>
      <c r="G13">
        <v>3279</v>
      </c>
    </row>
    <row r="14" spans="1:7">
      <c r="A14">
        <v>4</v>
      </c>
      <c r="B14">
        <v>147274860</v>
      </c>
      <c r="C14">
        <v>0.59</v>
      </c>
      <c r="D14">
        <v>0</v>
      </c>
      <c r="E14">
        <v>17.93</v>
      </c>
      <c r="F14">
        <v>5360</v>
      </c>
      <c r="G14">
        <v>29805</v>
      </c>
    </row>
    <row r="15" spans="1:7">
      <c r="A15">
        <v>6</v>
      </c>
      <c r="B15">
        <v>166360580</v>
      </c>
      <c r="C15">
        <v>0.67</v>
      </c>
      <c r="D15">
        <v>0</v>
      </c>
      <c r="E15">
        <v>26.13</v>
      </c>
      <c r="F15">
        <v>11811</v>
      </c>
      <c r="G15">
        <v>68997</v>
      </c>
    </row>
    <row r="16" spans="1:7">
      <c r="A16">
        <v>8</v>
      </c>
      <c r="B16">
        <v>273299640</v>
      </c>
      <c r="C16">
        <v>1.0900000000000001</v>
      </c>
      <c r="D16">
        <v>0</v>
      </c>
      <c r="E16">
        <v>38.119999999999997</v>
      </c>
      <c r="F16">
        <v>21340</v>
      </c>
      <c r="G16">
        <v>126325</v>
      </c>
    </row>
    <row r="17" spans="1:7">
      <c r="A17">
        <v>10</v>
      </c>
      <c r="B17">
        <v>403456380</v>
      </c>
      <c r="C17">
        <v>1.61</v>
      </c>
      <c r="D17">
        <v>0</v>
      </c>
      <c r="E17">
        <v>55.94</v>
      </c>
      <c r="F17">
        <v>35753</v>
      </c>
      <c r="G17">
        <v>212029</v>
      </c>
    </row>
    <row r="18" spans="1:7">
      <c r="A18">
        <v>12</v>
      </c>
      <c r="B18">
        <v>603266160</v>
      </c>
      <c r="C18">
        <v>2.41</v>
      </c>
      <c r="D18">
        <v>0</v>
      </c>
      <c r="E18">
        <v>81.56</v>
      </c>
      <c r="F18">
        <v>57104</v>
      </c>
      <c r="G18">
        <v>335804</v>
      </c>
    </row>
    <row r="19" spans="1:7">
      <c r="A19">
        <v>14</v>
      </c>
      <c r="B19">
        <v>891322800</v>
      </c>
      <c r="C19">
        <v>3.57</v>
      </c>
      <c r="D19">
        <v>0</v>
      </c>
      <c r="E19">
        <v>118.91</v>
      </c>
      <c r="F19">
        <v>88467</v>
      </c>
      <c r="G19">
        <v>517021</v>
      </c>
    </row>
    <row r="20" spans="1:7">
      <c r="A20">
        <v>16</v>
      </c>
      <c r="B20">
        <v>1220502280</v>
      </c>
      <c r="C20">
        <v>4.88</v>
      </c>
      <c r="D20">
        <v>0</v>
      </c>
      <c r="E20">
        <v>173.46</v>
      </c>
      <c r="F20">
        <v>132677</v>
      </c>
      <c r="G20">
        <v>782090</v>
      </c>
    </row>
    <row r="21" spans="1:7">
      <c r="A21">
        <v>18</v>
      </c>
      <c r="B21">
        <v>1840788180</v>
      </c>
      <c r="C21">
        <v>7.36</v>
      </c>
      <c r="D21">
        <v>0</v>
      </c>
      <c r="E21">
        <v>254.5</v>
      </c>
      <c r="F21">
        <v>192453</v>
      </c>
      <c r="G21">
        <v>1176492</v>
      </c>
    </row>
    <row r="22" spans="1:7">
      <c r="A22">
        <v>20</v>
      </c>
      <c r="B22">
        <v>2822817340</v>
      </c>
      <c r="C22">
        <v>11.29</v>
      </c>
      <c r="D22">
        <v>0</v>
      </c>
      <c r="E22">
        <v>370.13</v>
      </c>
      <c r="F22">
        <v>276352</v>
      </c>
      <c r="G22">
        <v>1742337</v>
      </c>
    </row>
    <row r="23" spans="1:7">
      <c r="A23">
        <v>22</v>
      </c>
      <c r="B23">
        <v>3770511880</v>
      </c>
      <c r="C23">
        <v>15.08</v>
      </c>
      <c r="D23">
        <v>0</v>
      </c>
      <c r="E23">
        <v>507.33</v>
      </c>
      <c r="F23">
        <v>398468</v>
      </c>
      <c r="G23">
        <v>2544354</v>
      </c>
    </row>
    <row r="24" spans="1:7">
      <c r="A24">
        <v>24</v>
      </c>
      <c r="B24">
        <v>4472945080</v>
      </c>
      <c r="C24">
        <v>17.89</v>
      </c>
      <c r="D24">
        <v>0</v>
      </c>
      <c r="E24">
        <v>676.49</v>
      </c>
      <c r="F24">
        <v>569661</v>
      </c>
      <c r="G24">
        <v>3633407</v>
      </c>
    </row>
    <row r="25" spans="1:7">
      <c r="A25">
        <v>26</v>
      </c>
      <c r="B25">
        <v>6419885280</v>
      </c>
      <c r="C25">
        <v>25.68</v>
      </c>
      <c r="D25">
        <v>0</v>
      </c>
      <c r="E25">
        <v>888.87</v>
      </c>
      <c r="F25">
        <v>715729</v>
      </c>
      <c r="G25">
        <v>5126773</v>
      </c>
    </row>
    <row r="26" spans="1:7">
      <c r="A26">
        <v>28</v>
      </c>
      <c r="B26">
        <v>5806781120</v>
      </c>
      <c r="C26">
        <v>23.23</v>
      </c>
      <c r="D26">
        <v>0</v>
      </c>
      <c r="E26">
        <v>943.21</v>
      </c>
      <c r="F26">
        <v>835268</v>
      </c>
      <c r="G26">
        <v>6640398</v>
      </c>
    </row>
    <row r="27" spans="1:7">
      <c r="A27">
        <v>30</v>
      </c>
      <c r="B27">
        <v>5882238580</v>
      </c>
      <c r="C27">
        <v>23.53</v>
      </c>
      <c r="D27">
        <v>0</v>
      </c>
      <c r="E27">
        <v>943.21</v>
      </c>
      <c r="F27">
        <v>954044</v>
      </c>
      <c r="G27">
        <v>8137683</v>
      </c>
    </row>
    <row r="28" spans="1:7">
      <c r="A28">
        <v>32</v>
      </c>
      <c r="B28">
        <v>6025873380</v>
      </c>
      <c r="C28">
        <v>24.1</v>
      </c>
      <c r="D28">
        <v>0</v>
      </c>
      <c r="E28">
        <v>943.21</v>
      </c>
      <c r="F28">
        <v>1077527</v>
      </c>
      <c r="G28">
        <v>9677867</v>
      </c>
    </row>
    <row r="29" spans="1:7">
      <c r="A29">
        <v>34</v>
      </c>
      <c r="B29">
        <v>5749228820</v>
      </c>
      <c r="C29">
        <v>23</v>
      </c>
      <c r="D29">
        <v>0</v>
      </c>
      <c r="E29">
        <v>943.21</v>
      </c>
      <c r="F29">
        <v>1213926</v>
      </c>
      <c r="G29">
        <v>11292205</v>
      </c>
    </row>
    <row r="30" spans="1:7">
      <c r="A30">
        <v>36</v>
      </c>
      <c r="B30">
        <v>5338295560</v>
      </c>
      <c r="C30">
        <v>21.35</v>
      </c>
      <c r="D30">
        <v>0</v>
      </c>
      <c r="E30">
        <v>943.21</v>
      </c>
      <c r="F30">
        <v>1369239</v>
      </c>
      <c r="G30">
        <v>13023746</v>
      </c>
    </row>
    <row r="31" spans="1:7">
      <c r="A31">
        <v>38</v>
      </c>
      <c r="B31">
        <v>6123859860</v>
      </c>
      <c r="C31">
        <v>24.5</v>
      </c>
      <c r="D31">
        <v>0</v>
      </c>
      <c r="E31">
        <v>943.21</v>
      </c>
      <c r="F31">
        <v>1541569</v>
      </c>
      <c r="G31">
        <v>14901776</v>
      </c>
    </row>
    <row r="32" spans="1:7">
      <c r="A32">
        <v>40</v>
      </c>
      <c r="B32">
        <v>4822194080</v>
      </c>
      <c r="C32">
        <v>19.29</v>
      </c>
      <c r="D32">
        <v>0</v>
      </c>
      <c r="E32">
        <v>943.21</v>
      </c>
      <c r="F32">
        <v>1678907</v>
      </c>
      <c r="G32">
        <v>16902479</v>
      </c>
    </row>
    <row r="33" spans="1:7">
      <c r="A33">
        <v>42</v>
      </c>
      <c r="B33">
        <v>6312159180</v>
      </c>
      <c r="C33">
        <v>25.25</v>
      </c>
      <c r="D33">
        <v>0</v>
      </c>
      <c r="E33">
        <v>943.21</v>
      </c>
      <c r="F33">
        <v>1808144</v>
      </c>
      <c r="G33">
        <v>18827316</v>
      </c>
    </row>
    <row r="34" spans="1:7">
      <c r="A34">
        <v>44</v>
      </c>
      <c r="B34">
        <v>5142716120</v>
      </c>
      <c r="C34">
        <v>20.57</v>
      </c>
      <c r="D34">
        <v>0</v>
      </c>
      <c r="E34">
        <v>943.21</v>
      </c>
      <c r="F34">
        <v>1936290</v>
      </c>
      <c r="G34">
        <v>20731246</v>
      </c>
    </row>
    <row r="35" spans="1:7">
      <c r="A35">
        <v>46</v>
      </c>
      <c r="B35">
        <v>5829802040</v>
      </c>
      <c r="C35">
        <v>23.32</v>
      </c>
      <c r="D35">
        <v>0</v>
      </c>
      <c r="E35">
        <v>943.21</v>
      </c>
      <c r="F35">
        <v>2063644</v>
      </c>
      <c r="G35">
        <v>22625774</v>
      </c>
    </row>
    <row r="36" spans="1:7">
      <c r="A36">
        <v>48</v>
      </c>
      <c r="B36">
        <v>5079064260</v>
      </c>
      <c r="C36">
        <v>20.32</v>
      </c>
      <c r="D36">
        <v>0</v>
      </c>
      <c r="E36">
        <v>943.21</v>
      </c>
      <c r="F36">
        <v>2190753</v>
      </c>
      <c r="G36">
        <v>24516995</v>
      </c>
    </row>
    <row r="37" spans="1:7">
      <c r="A37">
        <v>50</v>
      </c>
      <c r="B37">
        <v>6097690780</v>
      </c>
      <c r="C37">
        <v>24.39</v>
      </c>
      <c r="D37">
        <v>0</v>
      </c>
      <c r="E37">
        <v>943.21</v>
      </c>
      <c r="F37">
        <v>2316506</v>
      </c>
      <c r="G37">
        <v>26405522</v>
      </c>
    </row>
    <row r="38" spans="1:7">
      <c r="A38">
        <v>52</v>
      </c>
      <c r="B38">
        <v>5484980140</v>
      </c>
      <c r="C38">
        <v>21.94</v>
      </c>
      <c r="D38">
        <v>0</v>
      </c>
      <c r="E38">
        <v>943.21</v>
      </c>
      <c r="F38">
        <v>2442469</v>
      </c>
      <c r="G38">
        <v>28294846</v>
      </c>
    </row>
    <row r="39" spans="1:7">
      <c r="A39">
        <v>54</v>
      </c>
      <c r="B39">
        <v>4961008260</v>
      </c>
      <c r="C39">
        <v>19.84</v>
      </c>
      <c r="D39">
        <v>0</v>
      </c>
      <c r="E39">
        <v>943.21</v>
      </c>
      <c r="F39">
        <v>2569188</v>
      </c>
      <c r="G39">
        <v>30183389</v>
      </c>
    </row>
    <row r="40" spans="1:7">
      <c r="A40">
        <v>56</v>
      </c>
      <c r="B40">
        <v>5931526960</v>
      </c>
      <c r="C40">
        <v>23.73</v>
      </c>
      <c r="D40">
        <v>0</v>
      </c>
      <c r="E40">
        <v>943.21</v>
      </c>
      <c r="F40">
        <v>2695702</v>
      </c>
      <c r="G40">
        <v>32071235</v>
      </c>
    </row>
    <row r="41" spans="1:7">
      <c r="A41">
        <v>58</v>
      </c>
      <c r="B41">
        <v>5361513240</v>
      </c>
      <c r="C41">
        <v>21.45</v>
      </c>
      <c r="D41">
        <v>0</v>
      </c>
      <c r="E41">
        <v>943.21</v>
      </c>
      <c r="F41">
        <v>2822287</v>
      </c>
      <c r="G41">
        <v>33958563</v>
      </c>
    </row>
    <row r="42" spans="1:7">
      <c r="A42">
        <v>60</v>
      </c>
      <c r="B42">
        <v>5835803220</v>
      </c>
      <c r="C42">
        <v>23.34</v>
      </c>
      <c r="D42">
        <v>0</v>
      </c>
      <c r="E42">
        <v>943.21</v>
      </c>
      <c r="F42">
        <v>2948715</v>
      </c>
      <c r="G42">
        <v>35847429</v>
      </c>
    </row>
    <row r="43" spans="1:7">
      <c r="A43">
        <v>62</v>
      </c>
      <c r="B43">
        <v>4884271860</v>
      </c>
      <c r="C43">
        <v>19.54</v>
      </c>
      <c r="D43">
        <v>0</v>
      </c>
      <c r="E43">
        <v>943.21</v>
      </c>
      <c r="F43">
        <v>3075039</v>
      </c>
      <c r="G43">
        <v>37735995</v>
      </c>
    </row>
    <row r="44" spans="1:7">
      <c r="A44">
        <v>64</v>
      </c>
      <c r="B44">
        <v>6156620400</v>
      </c>
      <c r="C44">
        <v>24.63</v>
      </c>
      <c r="D44">
        <v>0</v>
      </c>
      <c r="E44">
        <v>943.21</v>
      </c>
      <c r="F44">
        <v>3201277</v>
      </c>
      <c r="G44">
        <v>39624281</v>
      </c>
    </row>
    <row r="45" spans="1:7">
      <c r="A45">
        <v>66</v>
      </c>
      <c r="B45">
        <v>4876303080</v>
      </c>
      <c r="C45">
        <v>19.5</v>
      </c>
      <c r="D45">
        <v>0</v>
      </c>
      <c r="E45">
        <v>943.21</v>
      </c>
      <c r="F45">
        <v>3328132</v>
      </c>
      <c r="G45">
        <v>41511257</v>
      </c>
    </row>
    <row r="46" spans="1:7">
      <c r="A46">
        <v>68</v>
      </c>
      <c r="B46">
        <v>6099560000</v>
      </c>
      <c r="C46">
        <v>24.4</v>
      </c>
      <c r="D46">
        <v>0</v>
      </c>
      <c r="E46">
        <v>943.21</v>
      </c>
      <c r="F46">
        <v>3454421</v>
      </c>
      <c r="G46">
        <v>43396945</v>
      </c>
    </row>
    <row r="47" spans="1:7">
      <c r="A47">
        <v>70</v>
      </c>
      <c r="B47">
        <v>4901488360</v>
      </c>
      <c r="C47">
        <v>19.61</v>
      </c>
      <c r="D47">
        <v>0</v>
      </c>
      <c r="E47">
        <v>943.21</v>
      </c>
      <c r="F47">
        <v>3580758</v>
      </c>
      <c r="G47">
        <v>45283475</v>
      </c>
    </row>
    <row r="48" spans="1:7">
      <c r="A48">
        <v>72</v>
      </c>
      <c r="B48">
        <v>6048008880</v>
      </c>
      <c r="C48">
        <v>24.19</v>
      </c>
      <c r="D48">
        <v>0</v>
      </c>
      <c r="E48">
        <v>943.21</v>
      </c>
      <c r="F48">
        <v>3707341</v>
      </c>
      <c r="G48">
        <v>47170201</v>
      </c>
    </row>
    <row r="49" spans="1:7">
      <c r="A49">
        <v>74</v>
      </c>
      <c r="B49">
        <v>4962877480</v>
      </c>
      <c r="C49">
        <v>19.850000000000001</v>
      </c>
      <c r="D49">
        <v>0</v>
      </c>
      <c r="E49">
        <v>943.21</v>
      </c>
      <c r="F49">
        <v>3834185</v>
      </c>
      <c r="G49">
        <v>49056657</v>
      </c>
    </row>
    <row r="50" spans="1:7">
      <c r="A50">
        <v>76</v>
      </c>
      <c r="B50">
        <v>6152193300</v>
      </c>
      <c r="C50">
        <v>24.61</v>
      </c>
      <c r="D50">
        <v>0</v>
      </c>
      <c r="E50">
        <v>943.21</v>
      </c>
      <c r="F50">
        <v>3960599</v>
      </c>
      <c r="G50">
        <v>50943429</v>
      </c>
    </row>
    <row r="51" spans="1:7">
      <c r="A51">
        <v>78</v>
      </c>
      <c r="B51">
        <v>4810585240</v>
      </c>
      <c r="C51">
        <v>19.239999999999998</v>
      </c>
      <c r="D51">
        <v>0</v>
      </c>
      <c r="E51">
        <v>943.21</v>
      </c>
      <c r="F51">
        <v>4087351</v>
      </c>
      <c r="G51">
        <v>52829998</v>
      </c>
    </row>
    <row r="52" spans="1:7">
      <c r="A52">
        <v>80</v>
      </c>
      <c r="B52">
        <v>5854101900</v>
      </c>
      <c r="C52">
        <v>23.42</v>
      </c>
      <c r="D52">
        <v>0</v>
      </c>
      <c r="E52">
        <v>943.21</v>
      </c>
      <c r="F52">
        <v>4213676</v>
      </c>
      <c r="G52">
        <v>54716711</v>
      </c>
    </row>
    <row r="53" spans="1:7">
      <c r="A53">
        <v>82</v>
      </c>
      <c r="B53">
        <v>5658719220</v>
      </c>
      <c r="C53">
        <v>22.64</v>
      </c>
      <c r="D53">
        <v>0</v>
      </c>
      <c r="E53">
        <v>943.21</v>
      </c>
      <c r="F53">
        <v>4340086</v>
      </c>
      <c r="G53">
        <v>56603725</v>
      </c>
    </row>
    <row r="54" spans="1:7">
      <c r="A54">
        <v>84</v>
      </c>
      <c r="B54">
        <v>5206466360</v>
      </c>
      <c r="C54">
        <v>20.83</v>
      </c>
      <c r="D54">
        <v>0</v>
      </c>
      <c r="E54">
        <v>943.21</v>
      </c>
      <c r="F54">
        <v>4466408</v>
      </c>
      <c r="G54">
        <v>58491995</v>
      </c>
    </row>
    <row r="55" spans="1:7">
      <c r="A55">
        <v>86</v>
      </c>
      <c r="B55">
        <v>5938315180</v>
      </c>
      <c r="C55">
        <v>23.75</v>
      </c>
      <c r="D55">
        <v>0</v>
      </c>
      <c r="E55">
        <v>943.21</v>
      </c>
      <c r="F55">
        <v>4592550</v>
      </c>
      <c r="G55">
        <v>60380131</v>
      </c>
    </row>
    <row r="56" spans="1:7">
      <c r="A56">
        <v>88</v>
      </c>
      <c r="B56">
        <v>4866563460</v>
      </c>
      <c r="C56">
        <v>19.47</v>
      </c>
      <c r="D56">
        <v>0</v>
      </c>
      <c r="E56">
        <v>943.21</v>
      </c>
      <c r="F56">
        <v>4718730</v>
      </c>
      <c r="G56">
        <v>62268730</v>
      </c>
    </row>
    <row r="57" spans="1:7">
      <c r="A57">
        <v>90</v>
      </c>
      <c r="B57">
        <v>6083524060</v>
      </c>
      <c r="C57">
        <v>24.33</v>
      </c>
      <c r="D57">
        <v>0</v>
      </c>
      <c r="E57">
        <v>943.21</v>
      </c>
      <c r="F57">
        <v>4844751</v>
      </c>
      <c r="G57">
        <v>64156587</v>
      </c>
    </row>
    <row r="58" spans="1:7">
      <c r="A58">
        <v>92</v>
      </c>
      <c r="B58">
        <v>5060273680</v>
      </c>
      <c r="C58">
        <v>20.239999999999998</v>
      </c>
      <c r="D58">
        <v>0</v>
      </c>
      <c r="E58">
        <v>943.21</v>
      </c>
      <c r="F58">
        <v>4970931</v>
      </c>
      <c r="G58">
        <v>66043899</v>
      </c>
    </row>
    <row r="59" spans="1:7">
      <c r="A59">
        <v>94</v>
      </c>
      <c r="B59">
        <v>5950415920</v>
      </c>
      <c r="C59">
        <v>23.8</v>
      </c>
      <c r="D59">
        <v>0</v>
      </c>
      <c r="E59">
        <v>943.21</v>
      </c>
      <c r="F59">
        <v>5096836</v>
      </c>
      <c r="G59">
        <v>67932424</v>
      </c>
    </row>
    <row r="60" spans="1:7">
      <c r="A60">
        <v>96</v>
      </c>
      <c r="B60">
        <v>4979405320</v>
      </c>
      <c r="C60">
        <v>19.920000000000002</v>
      </c>
      <c r="D60">
        <v>0</v>
      </c>
      <c r="E60">
        <v>943.21</v>
      </c>
      <c r="F60">
        <v>5222990</v>
      </c>
      <c r="G60">
        <v>69819348</v>
      </c>
    </row>
    <row r="61" spans="1:7">
      <c r="A61">
        <v>98</v>
      </c>
      <c r="B61">
        <v>6075358520</v>
      </c>
      <c r="C61">
        <v>24.3</v>
      </c>
      <c r="D61">
        <v>0</v>
      </c>
      <c r="E61">
        <v>943.21</v>
      </c>
      <c r="F61">
        <v>5347832</v>
      </c>
      <c r="G61">
        <v>71705441</v>
      </c>
    </row>
    <row r="62" spans="1:7">
      <c r="A62">
        <v>100</v>
      </c>
      <c r="B62">
        <v>5017183240</v>
      </c>
      <c r="C62">
        <v>20.07</v>
      </c>
      <c r="D62">
        <v>0</v>
      </c>
      <c r="E62">
        <v>943.21</v>
      </c>
      <c r="F62">
        <v>5473610</v>
      </c>
      <c r="G62">
        <v>73595544</v>
      </c>
    </row>
    <row r="63" spans="1:7">
      <c r="A63">
        <v>102</v>
      </c>
      <c r="B63">
        <v>5926411200</v>
      </c>
      <c r="C63">
        <v>23.71</v>
      </c>
      <c r="D63">
        <v>0</v>
      </c>
      <c r="E63">
        <v>943.21</v>
      </c>
      <c r="F63">
        <v>5600253</v>
      </c>
      <c r="G63">
        <v>75485400</v>
      </c>
    </row>
    <row r="64" spans="1:7">
      <c r="A64">
        <v>104</v>
      </c>
      <c r="B64">
        <v>5058896360</v>
      </c>
      <c r="C64">
        <v>20.239999999999998</v>
      </c>
      <c r="D64">
        <v>0</v>
      </c>
      <c r="E64">
        <v>943.21</v>
      </c>
      <c r="F64">
        <v>5726853</v>
      </c>
      <c r="G64">
        <v>77374465</v>
      </c>
    </row>
    <row r="65" spans="1:7">
      <c r="A65">
        <v>106</v>
      </c>
      <c r="B65">
        <v>6019872200</v>
      </c>
      <c r="C65">
        <v>24.08</v>
      </c>
      <c r="D65">
        <v>0</v>
      </c>
      <c r="E65">
        <v>943.21</v>
      </c>
      <c r="F65">
        <v>5853045</v>
      </c>
      <c r="G65">
        <v>79263385</v>
      </c>
    </row>
    <row r="66" spans="1:7">
      <c r="A66">
        <v>108</v>
      </c>
      <c r="B66">
        <v>5023282800</v>
      </c>
      <c r="C66">
        <v>20.09</v>
      </c>
      <c r="D66">
        <v>0</v>
      </c>
      <c r="E66">
        <v>943.21</v>
      </c>
      <c r="F66">
        <v>5979321</v>
      </c>
      <c r="G66">
        <v>81151865</v>
      </c>
    </row>
    <row r="67" spans="1:7">
      <c r="A67">
        <v>110</v>
      </c>
      <c r="B67">
        <v>5878106620</v>
      </c>
      <c r="C67">
        <v>23.51</v>
      </c>
      <c r="D67">
        <v>0</v>
      </c>
      <c r="E67">
        <v>943.21</v>
      </c>
      <c r="F67">
        <v>6105187</v>
      </c>
      <c r="G67">
        <v>83039716</v>
      </c>
    </row>
    <row r="68" spans="1:7">
      <c r="A68">
        <v>112</v>
      </c>
      <c r="B68">
        <v>5084180020</v>
      </c>
      <c r="C68">
        <v>20.34</v>
      </c>
      <c r="D68">
        <v>0</v>
      </c>
      <c r="E68">
        <v>943.21</v>
      </c>
      <c r="F68">
        <v>6231291</v>
      </c>
      <c r="G68">
        <v>84927682</v>
      </c>
    </row>
    <row r="69" spans="1:7">
      <c r="A69">
        <v>114</v>
      </c>
      <c r="B69">
        <v>6155538220</v>
      </c>
      <c r="C69">
        <v>24.62</v>
      </c>
      <c r="D69">
        <v>0</v>
      </c>
      <c r="E69">
        <v>943.21</v>
      </c>
      <c r="F69">
        <v>6357467</v>
      </c>
      <c r="G69">
        <v>86815715</v>
      </c>
    </row>
    <row r="70" spans="1:7">
      <c r="A70">
        <v>116</v>
      </c>
      <c r="B70">
        <v>4847871260</v>
      </c>
      <c r="C70">
        <v>19.39</v>
      </c>
      <c r="D70">
        <v>0</v>
      </c>
      <c r="E70">
        <v>943.21</v>
      </c>
      <c r="F70">
        <v>6483232</v>
      </c>
      <c r="G70">
        <v>88703253</v>
      </c>
    </row>
    <row r="71" spans="1:7">
      <c r="A71">
        <v>118</v>
      </c>
      <c r="B71">
        <v>6039744960</v>
      </c>
      <c r="C71">
        <v>24.16</v>
      </c>
      <c r="D71">
        <v>0</v>
      </c>
      <c r="E71">
        <v>943.21</v>
      </c>
      <c r="F71">
        <v>6609581</v>
      </c>
      <c r="G71">
        <v>90590459</v>
      </c>
    </row>
    <row r="72" spans="1:7">
      <c r="A72">
        <v>120</v>
      </c>
      <c r="B72">
        <v>4963172620</v>
      </c>
      <c r="C72">
        <v>19.850000000000001</v>
      </c>
      <c r="D72">
        <v>0</v>
      </c>
      <c r="E72">
        <v>943.21</v>
      </c>
      <c r="F72">
        <v>6735483</v>
      </c>
      <c r="G72">
        <v>92478182</v>
      </c>
    </row>
    <row r="73" spans="1:7">
      <c r="A73">
        <v>122</v>
      </c>
      <c r="B73">
        <v>6138223340</v>
      </c>
      <c r="C73">
        <v>24.55</v>
      </c>
      <c r="D73">
        <v>0</v>
      </c>
      <c r="E73">
        <v>943.21</v>
      </c>
      <c r="F73">
        <v>6861404</v>
      </c>
      <c r="G73">
        <v>94365728</v>
      </c>
    </row>
    <row r="74" spans="1:7">
      <c r="A74">
        <v>124</v>
      </c>
      <c r="B74">
        <v>4925886600</v>
      </c>
      <c r="C74">
        <v>19.7</v>
      </c>
      <c r="D74">
        <v>0</v>
      </c>
      <c r="E74">
        <v>943.21</v>
      </c>
      <c r="F74">
        <v>6987577</v>
      </c>
      <c r="G74">
        <v>96253979</v>
      </c>
    </row>
    <row r="75" spans="1:7">
      <c r="A75">
        <v>126</v>
      </c>
      <c r="B75">
        <v>6079884000</v>
      </c>
      <c r="C75">
        <v>24.32</v>
      </c>
      <c r="D75">
        <v>0</v>
      </c>
      <c r="E75">
        <v>943.21</v>
      </c>
      <c r="F75">
        <v>7113209</v>
      </c>
      <c r="G75">
        <v>98142670</v>
      </c>
    </row>
    <row r="76" spans="1:7">
      <c r="A76">
        <v>128</v>
      </c>
      <c r="B76">
        <v>5416114140</v>
      </c>
      <c r="C76">
        <v>21.66</v>
      </c>
      <c r="D76">
        <v>0</v>
      </c>
      <c r="E76">
        <v>943.21</v>
      </c>
      <c r="F76">
        <v>7239600</v>
      </c>
      <c r="G76">
        <v>100028644</v>
      </c>
    </row>
    <row r="77" spans="1:7">
      <c r="A77">
        <v>130</v>
      </c>
      <c r="B77">
        <v>5167409500</v>
      </c>
      <c r="C77">
        <v>20.67</v>
      </c>
      <c r="D77">
        <v>0</v>
      </c>
      <c r="E77">
        <v>943.21</v>
      </c>
      <c r="F77">
        <v>7365329</v>
      </c>
      <c r="G77">
        <v>101915940</v>
      </c>
    </row>
    <row r="78" spans="1:7">
      <c r="A78">
        <v>132</v>
      </c>
      <c r="B78">
        <v>5947366140</v>
      </c>
      <c r="C78">
        <v>23.79</v>
      </c>
      <c r="D78">
        <v>0</v>
      </c>
      <c r="E78">
        <v>943.21</v>
      </c>
      <c r="F78">
        <v>7491124</v>
      </c>
      <c r="G78">
        <v>103803348</v>
      </c>
    </row>
    <row r="79" spans="1:7">
      <c r="A79">
        <v>134</v>
      </c>
      <c r="B79">
        <v>4849543720</v>
      </c>
      <c r="C79">
        <v>19.399999999999999</v>
      </c>
      <c r="D79">
        <v>0</v>
      </c>
      <c r="E79">
        <v>943.21</v>
      </c>
      <c r="F79">
        <v>7617383</v>
      </c>
      <c r="G79">
        <v>105690669</v>
      </c>
    </row>
    <row r="80" spans="1:7">
      <c r="A80">
        <v>136</v>
      </c>
      <c r="B80">
        <v>6165081080</v>
      </c>
      <c r="C80">
        <v>24.66</v>
      </c>
      <c r="D80">
        <v>0</v>
      </c>
      <c r="E80">
        <v>943.21</v>
      </c>
      <c r="F80">
        <v>7743514</v>
      </c>
      <c r="G80">
        <v>107579026</v>
      </c>
    </row>
    <row r="81" spans="1:7">
      <c r="A81">
        <v>138</v>
      </c>
      <c r="B81">
        <v>4891158460</v>
      </c>
      <c r="C81">
        <v>19.559999999999999</v>
      </c>
      <c r="D81">
        <v>0</v>
      </c>
      <c r="E81">
        <v>943.21</v>
      </c>
      <c r="F81">
        <v>7869626</v>
      </c>
      <c r="G81">
        <v>109467347</v>
      </c>
    </row>
    <row r="82" spans="1:7">
      <c r="A82">
        <v>140</v>
      </c>
      <c r="B82">
        <v>6006394140</v>
      </c>
      <c r="C82">
        <v>24.03</v>
      </c>
      <c r="D82">
        <v>0</v>
      </c>
      <c r="E82">
        <v>943.21</v>
      </c>
      <c r="F82">
        <v>7995829</v>
      </c>
      <c r="G82">
        <v>111354009</v>
      </c>
    </row>
    <row r="83" spans="1:7">
      <c r="A83">
        <v>142</v>
      </c>
      <c r="B83">
        <v>4936019740</v>
      </c>
      <c r="C83">
        <v>19.739999999999998</v>
      </c>
      <c r="D83">
        <v>0</v>
      </c>
      <c r="E83">
        <v>943.21</v>
      </c>
      <c r="F83">
        <v>8121620</v>
      </c>
      <c r="G83">
        <v>113240505</v>
      </c>
    </row>
    <row r="84" spans="1:7">
      <c r="A84">
        <v>144</v>
      </c>
      <c r="B84">
        <v>6217320860</v>
      </c>
      <c r="C84">
        <v>24.87</v>
      </c>
      <c r="D84">
        <v>0</v>
      </c>
      <c r="E84">
        <v>943.21</v>
      </c>
      <c r="F84">
        <v>8247494</v>
      </c>
      <c r="G84">
        <v>115129193</v>
      </c>
    </row>
    <row r="85" spans="1:7">
      <c r="A85">
        <v>146</v>
      </c>
      <c r="B85">
        <v>4975273360</v>
      </c>
      <c r="C85">
        <v>19.899999999999999</v>
      </c>
      <c r="D85">
        <v>0</v>
      </c>
      <c r="E85">
        <v>943.21</v>
      </c>
      <c r="F85">
        <v>8373721</v>
      </c>
      <c r="G85">
        <v>117017956</v>
      </c>
    </row>
    <row r="86" spans="1:7">
      <c r="A86">
        <v>148</v>
      </c>
      <c r="B86">
        <v>5938020040</v>
      </c>
      <c r="C86">
        <v>23.75</v>
      </c>
      <c r="D86">
        <v>0</v>
      </c>
      <c r="E86">
        <v>943.21</v>
      </c>
      <c r="F86">
        <v>8499591</v>
      </c>
      <c r="G86">
        <v>118905561</v>
      </c>
    </row>
    <row r="87" spans="1:7">
      <c r="A87">
        <v>150</v>
      </c>
      <c r="B87">
        <v>4987767620</v>
      </c>
      <c r="C87">
        <v>19.95</v>
      </c>
      <c r="D87">
        <v>0</v>
      </c>
      <c r="E87">
        <v>943.21</v>
      </c>
      <c r="F87">
        <v>8625980</v>
      </c>
      <c r="G87">
        <v>120793593</v>
      </c>
    </row>
    <row r="88" spans="1:7">
      <c r="A88">
        <v>152</v>
      </c>
      <c r="B88">
        <v>6025676620</v>
      </c>
      <c r="C88">
        <v>24.1</v>
      </c>
      <c r="D88">
        <v>0</v>
      </c>
      <c r="E88">
        <v>943.21</v>
      </c>
      <c r="F88">
        <v>8752192</v>
      </c>
      <c r="G88">
        <v>122681623</v>
      </c>
    </row>
    <row r="89" spans="1:7">
      <c r="A89">
        <v>154</v>
      </c>
      <c r="B89">
        <v>5180100520</v>
      </c>
      <c r="C89">
        <v>20.72</v>
      </c>
      <c r="D89">
        <v>0</v>
      </c>
      <c r="E89">
        <v>943.21</v>
      </c>
      <c r="F89">
        <v>8878194</v>
      </c>
      <c r="G89">
        <v>124570169</v>
      </c>
    </row>
    <row r="90" spans="1:7">
      <c r="A90">
        <v>156</v>
      </c>
      <c r="B90">
        <v>5928673940</v>
      </c>
      <c r="C90">
        <v>23.72</v>
      </c>
      <c r="D90">
        <v>0</v>
      </c>
      <c r="E90">
        <v>943.21</v>
      </c>
      <c r="F90">
        <v>9004159</v>
      </c>
      <c r="G90">
        <v>126457389</v>
      </c>
    </row>
    <row r="91" spans="1:7">
      <c r="A91">
        <v>158</v>
      </c>
      <c r="B91">
        <v>4848264780</v>
      </c>
      <c r="C91">
        <v>19.39</v>
      </c>
      <c r="D91">
        <v>0</v>
      </c>
      <c r="E91">
        <v>943.21</v>
      </c>
      <c r="F91">
        <v>9130020</v>
      </c>
      <c r="G91">
        <v>128344678</v>
      </c>
    </row>
    <row r="92" spans="1:7">
      <c r="A92">
        <v>160</v>
      </c>
      <c r="B92">
        <v>6181018640</v>
      </c>
      <c r="C92">
        <v>24.73</v>
      </c>
      <c r="D92">
        <v>0</v>
      </c>
      <c r="E92">
        <v>943.21</v>
      </c>
      <c r="F92">
        <v>9255994</v>
      </c>
      <c r="G92">
        <v>130232204</v>
      </c>
    </row>
    <row r="93" spans="1:7">
      <c r="A93">
        <v>162</v>
      </c>
      <c r="B93">
        <v>4845215000</v>
      </c>
      <c r="C93">
        <v>19.38</v>
      </c>
      <c r="D93">
        <v>0</v>
      </c>
      <c r="E93">
        <v>943.21</v>
      </c>
      <c r="F93">
        <v>9381878</v>
      </c>
      <c r="G93">
        <v>132119979</v>
      </c>
    </row>
    <row r="94" spans="1:7">
      <c r="A94">
        <v>164</v>
      </c>
      <c r="B94">
        <v>6038957920</v>
      </c>
      <c r="C94">
        <v>24.16</v>
      </c>
      <c r="D94">
        <v>0</v>
      </c>
      <c r="E94">
        <v>943.21</v>
      </c>
      <c r="F94">
        <v>9507405</v>
      </c>
      <c r="G94">
        <v>134008599</v>
      </c>
    </row>
    <row r="95" spans="1:7">
      <c r="A95">
        <v>166</v>
      </c>
      <c r="B95">
        <v>5018265420</v>
      </c>
      <c r="C95">
        <v>20.07</v>
      </c>
      <c r="D95">
        <v>0</v>
      </c>
      <c r="E95">
        <v>943.21</v>
      </c>
      <c r="F95">
        <v>9633584</v>
      </c>
      <c r="G95">
        <v>135895783</v>
      </c>
    </row>
    <row r="96" spans="1:7">
      <c r="A96">
        <v>168</v>
      </c>
      <c r="B96">
        <v>5865612360</v>
      </c>
      <c r="C96">
        <v>23.46</v>
      </c>
      <c r="D96">
        <v>0</v>
      </c>
      <c r="E96">
        <v>943.21</v>
      </c>
      <c r="F96">
        <v>9759875</v>
      </c>
      <c r="G96">
        <v>137782927</v>
      </c>
    </row>
    <row r="97" spans="1:7">
      <c r="A97">
        <v>170</v>
      </c>
      <c r="B97">
        <v>5164162960</v>
      </c>
      <c r="C97">
        <v>20.66</v>
      </c>
      <c r="D97">
        <v>0</v>
      </c>
      <c r="E97">
        <v>943.21</v>
      </c>
      <c r="F97">
        <v>9885909</v>
      </c>
      <c r="G97">
        <v>139670193</v>
      </c>
    </row>
    <row r="98" spans="1:7">
      <c r="A98">
        <v>172</v>
      </c>
      <c r="B98">
        <v>6100642180</v>
      </c>
      <c r="C98">
        <v>24.4</v>
      </c>
      <c r="D98">
        <v>0</v>
      </c>
      <c r="E98">
        <v>943.21</v>
      </c>
      <c r="F98">
        <v>10012231</v>
      </c>
      <c r="G98">
        <v>141557594</v>
      </c>
    </row>
    <row r="99" spans="1:7">
      <c r="A99">
        <v>174</v>
      </c>
      <c r="B99">
        <v>4916540500</v>
      </c>
      <c r="C99">
        <v>19.670000000000002</v>
      </c>
      <c r="D99">
        <v>0</v>
      </c>
      <c r="E99">
        <v>943.21</v>
      </c>
      <c r="F99">
        <v>10138574</v>
      </c>
      <c r="G99">
        <v>143445419</v>
      </c>
    </row>
    <row r="100" spans="1:7">
      <c r="A100">
        <v>176</v>
      </c>
      <c r="B100">
        <v>6066209180</v>
      </c>
      <c r="C100">
        <v>24.27</v>
      </c>
      <c r="D100">
        <v>0</v>
      </c>
      <c r="E100">
        <v>943.21</v>
      </c>
      <c r="F100">
        <v>10264849</v>
      </c>
      <c r="G100">
        <v>145332754</v>
      </c>
    </row>
    <row r="101" spans="1:7">
      <c r="A101">
        <v>178</v>
      </c>
      <c r="B101">
        <v>4947038300</v>
      </c>
      <c r="C101">
        <v>19.79</v>
      </c>
      <c r="D101">
        <v>0</v>
      </c>
      <c r="E101">
        <v>943.21</v>
      </c>
      <c r="F101">
        <v>10391155</v>
      </c>
      <c r="G101">
        <v>147220358</v>
      </c>
    </row>
    <row r="102" spans="1:7">
      <c r="A102">
        <v>180</v>
      </c>
      <c r="B102">
        <v>5995572340</v>
      </c>
      <c r="C102">
        <v>23.98</v>
      </c>
      <c r="D102">
        <v>0</v>
      </c>
      <c r="E102">
        <v>943.21</v>
      </c>
      <c r="F102">
        <v>10517228</v>
      </c>
      <c r="G102">
        <v>149108386</v>
      </c>
    </row>
    <row r="103" spans="1:7">
      <c r="A103">
        <v>182</v>
      </c>
      <c r="B103">
        <v>4957368200</v>
      </c>
      <c r="C103">
        <v>19.829999999999998</v>
      </c>
      <c r="D103">
        <v>0</v>
      </c>
      <c r="E103">
        <v>943.21</v>
      </c>
      <c r="F103">
        <v>10643618</v>
      </c>
      <c r="G103">
        <v>150996763</v>
      </c>
    </row>
    <row r="104" spans="1:7">
      <c r="A104">
        <v>184</v>
      </c>
      <c r="B104">
        <v>6143634240</v>
      </c>
      <c r="C104">
        <v>24.57</v>
      </c>
      <c r="D104">
        <v>0</v>
      </c>
      <c r="E104">
        <v>943.21</v>
      </c>
      <c r="F104">
        <v>10769879</v>
      </c>
      <c r="G104">
        <v>152884952</v>
      </c>
    </row>
    <row r="105" spans="1:7">
      <c r="A105">
        <v>186</v>
      </c>
      <c r="B105">
        <v>4814028540</v>
      </c>
      <c r="C105">
        <v>19.260000000000002</v>
      </c>
      <c r="D105">
        <v>0</v>
      </c>
      <c r="E105">
        <v>943.21</v>
      </c>
      <c r="F105">
        <v>10896182</v>
      </c>
      <c r="G105">
        <v>154772927</v>
      </c>
    </row>
    <row r="106" spans="1:7">
      <c r="A106">
        <v>188</v>
      </c>
      <c r="B106">
        <v>5924837120</v>
      </c>
      <c r="C106">
        <v>23.7</v>
      </c>
      <c r="D106">
        <v>0</v>
      </c>
      <c r="E106">
        <v>943.21</v>
      </c>
      <c r="F106">
        <v>11021633</v>
      </c>
      <c r="G106">
        <v>156660258</v>
      </c>
    </row>
    <row r="107" spans="1:7">
      <c r="A107">
        <v>190</v>
      </c>
      <c r="B107">
        <v>5377745940</v>
      </c>
      <c r="C107">
        <v>21.51</v>
      </c>
      <c r="D107">
        <v>0</v>
      </c>
      <c r="E107">
        <v>943.21</v>
      </c>
      <c r="F107">
        <v>11148149</v>
      </c>
      <c r="G107">
        <v>158547984</v>
      </c>
    </row>
    <row r="108" spans="1:7">
      <c r="A108">
        <v>192</v>
      </c>
      <c r="B108">
        <v>5882041820</v>
      </c>
      <c r="C108">
        <v>23.53</v>
      </c>
      <c r="D108">
        <v>0</v>
      </c>
      <c r="E108">
        <v>943.21</v>
      </c>
      <c r="F108">
        <v>11274751</v>
      </c>
      <c r="G108">
        <v>160435406</v>
      </c>
    </row>
    <row r="109" spans="1:7">
      <c r="A109">
        <v>194</v>
      </c>
      <c r="B109">
        <v>4843247400</v>
      </c>
      <c r="C109">
        <v>19.37</v>
      </c>
      <c r="D109">
        <v>0</v>
      </c>
      <c r="E109">
        <v>943.21</v>
      </c>
      <c r="F109">
        <v>11401170</v>
      </c>
      <c r="G109">
        <v>162322627</v>
      </c>
    </row>
    <row r="110" spans="1:7">
      <c r="A110">
        <v>196</v>
      </c>
      <c r="B110">
        <v>6189380940</v>
      </c>
      <c r="C110">
        <v>24.76</v>
      </c>
      <c r="D110">
        <v>0</v>
      </c>
      <c r="E110">
        <v>943.21</v>
      </c>
      <c r="F110">
        <v>11527462</v>
      </c>
      <c r="G110">
        <v>164209347</v>
      </c>
    </row>
    <row r="111" spans="1:7">
      <c r="A111">
        <v>198</v>
      </c>
      <c r="B111">
        <v>4907981440</v>
      </c>
      <c r="C111">
        <v>19.63</v>
      </c>
      <c r="D111">
        <v>0</v>
      </c>
      <c r="E111">
        <v>943.21</v>
      </c>
      <c r="F111">
        <v>11653898</v>
      </c>
      <c r="G111">
        <v>166096214</v>
      </c>
    </row>
    <row r="112" spans="1:7">
      <c r="A112">
        <v>200</v>
      </c>
      <c r="B112">
        <v>5949432120</v>
      </c>
      <c r="C112">
        <v>23.8</v>
      </c>
      <c r="D112">
        <v>0</v>
      </c>
      <c r="E112">
        <v>943.21</v>
      </c>
      <c r="F112">
        <v>11780194</v>
      </c>
      <c r="G112">
        <v>167982746</v>
      </c>
    </row>
    <row r="113" spans="1:7">
      <c r="A113">
        <v>202</v>
      </c>
      <c r="B113">
        <v>5007443620</v>
      </c>
      <c r="C113">
        <v>20.03</v>
      </c>
      <c r="D113">
        <v>0</v>
      </c>
      <c r="E113">
        <v>943.21</v>
      </c>
      <c r="F113">
        <v>11906820</v>
      </c>
      <c r="G113">
        <v>169868604</v>
      </c>
    </row>
    <row r="114" spans="1:7">
      <c r="A114">
        <v>204</v>
      </c>
      <c r="B114">
        <v>5990358200</v>
      </c>
      <c r="C114">
        <v>23.96</v>
      </c>
      <c r="D114">
        <v>0</v>
      </c>
      <c r="E114">
        <v>943.21</v>
      </c>
      <c r="F114">
        <v>12033105</v>
      </c>
      <c r="G114">
        <v>171756517</v>
      </c>
    </row>
    <row r="115" spans="1:7">
      <c r="A115">
        <v>206</v>
      </c>
      <c r="B115">
        <v>5111136140</v>
      </c>
      <c r="C115">
        <v>20.440000000000001</v>
      </c>
      <c r="D115">
        <v>0</v>
      </c>
      <c r="E115">
        <v>943.21</v>
      </c>
      <c r="F115">
        <v>12159749</v>
      </c>
      <c r="G115">
        <v>173644701</v>
      </c>
    </row>
    <row r="116" spans="1:7">
      <c r="A116">
        <v>208</v>
      </c>
      <c r="B116">
        <v>5903980560</v>
      </c>
      <c r="C116">
        <v>23.62</v>
      </c>
      <c r="D116">
        <v>0</v>
      </c>
      <c r="E116">
        <v>943.21</v>
      </c>
      <c r="F116">
        <v>12286091</v>
      </c>
      <c r="G116">
        <v>175532343</v>
      </c>
    </row>
    <row r="117" spans="1:7">
      <c r="A117">
        <v>210</v>
      </c>
      <c r="B117">
        <v>5004393840</v>
      </c>
      <c r="C117">
        <v>20.02</v>
      </c>
      <c r="D117">
        <v>0</v>
      </c>
      <c r="E117">
        <v>943.21</v>
      </c>
      <c r="F117">
        <v>12412405</v>
      </c>
      <c r="G117">
        <v>177419750</v>
      </c>
    </row>
    <row r="118" spans="1:7">
      <c r="A118">
        <v>212</v>
      </c>
      <c r="B118">
        <v>6140879600</v>
      </c>
      <c r="C118">
        <v>24.56</v>
      </c>
      <c r="D118">
        <v>0</v>
      </c>
      <c r="E118">
        <v>943.21</v>
      </c>
      <c r="F118">
        <v>12538496</v>
      </c>
      <c r="G118">
        <v>179307099</v>
      </c>
    </row>
    <row r="119" spans="1:7">
      <c r="A119">
        <v>214</v>
      </c>
      <c r="B119">
        <v>5004885740</v>
      </c>
      <c r="C119">
        <v>20.02</v>
      </c>
      <c r="D119">
        <v>0</v>
      </c>
      <c r="E119">
        <v>943.21</v>
      </c>
      <c r="F119">
        <v>12664511</v>
      </c>
      <c r="G119">
        <v>181194883</v>
      </c>
    </row>
    <row r="120" spans="1:7">
      <c r="A120">
        <v>216</v>
      </c>
      <c r="B120">
        <v>5855774360</v>
      </c>
      <c r="C120">
        <v>23.43</v>
      </c>
      <c r="D120">
        <v>0</v>
      </c>
      <c r="E120">
        <v>943.21</v>
      </c>
      <c r="F120">
        <v>12790923</v>
      </c>
      <c r="G120">
        <v>183083328</v>
      </c>
    </row>
    <row r="121" spans="1:7">
      <c r="A121">
        <v>218</v>
      </c>
      <c r="B121">
        <v>5024660120</v>
      </c>
      <c r="C121">
        <v>20.100000000000001</v>
      </c>
      <c r="D121">
        <v>0</v>
      </c>
      <c r="E121">
        <v>943.21</v>
      </c>
      <c r="F121">
        <v>12917279</v>
      </c>
      <c r="G121">
        <v>184969782</v>
      </c>
    </row>
    <row r="122" spans="1:7">
      <c r="A122">
        <v>220</v>
      </c>
      <c r="B122">
        <v>6128680480</v>
      </c>
      <c r="C122">
        <v>24.52</v>
      </c>
      <c r="D122">
        <v>0</v>
      </c>
      <c r="E122">
        <v>943.21</v>
      </c>
      <c r="F122">
        <v>13043341</v>
      </c>
      <c r="G122">
        <v>186855612</v>
      </c>
    </row>
    <row r="123" spans="1:7">
      <c r="A123">
        <v>222</v>
      </c>
      <c r="B123">
        <v>4963172620</v>
      </c>
      <c r="C123">
        <v>19.850000000000001</v>
      </c>
      <c r="D123">
        <v>0</v>
      </c>
      <c r="E123">
        <v>943.21</v>
      </c>
      <c r="F123">
        <v>13169643</v>
      </c>
      <c r="G123">
        <v>188741550</v>
      </c>
    </row>
    <row r="124" spans="1:7">
      <c r="A124">
        <v>224</v>
      </c>
      <c r="B124">
        <v>5770774040</v>
      </c>
      <c r="C124">
        <v>23.08</v>
      </c>
      <c r="D124">
        <v>0</v>
      </c>
      <c r="E124">
        <v>943.21</v>
      </c>
      <c r="F124">
        <v>13296208</v>
      </c>
      <c r="G124">
        <v>190627560</v>
      </c>
    </row>
    <row r="125" spans="1:7">
      <c r="A125">
        <v>226</v>
      </c>
      <c r="B125">
        <v>5335344160</v>
      </c>
      <c r="C125">
        <v>21.34</v>
      </c>
      <c r="D125">
        <v>0</v>
      </c>
      <c r="E125">
        <v>943.21</v>
      </c>
      <c r="F125">
        <v>13422250</v>
      </c>
      <c r="G125">
        <v>192513389</v>
      </c>
    </row>
    <row r="126" spans="1:7">
      <c r="A126">
        <v>228</v>
      </c>
      <c r="B126">
        <v>5795959320</v>
      </c>
      <c r="C126">
        <v>23.18</v>
      </c>
      <c r="D126">
        <v>0</v>
      </c>
      <c r="E126">
        <v>943.21</v>
      </c>
      <c r="F126">
        <v>13548680</v>
      </c>
      <c r="G126">
        <v>194400060</v>
      </c>
    </row>
    <row r="127" spans="1:7">
      <c r="A127">
        <v>230</v>
      </c>
      <c r="B127">
        <v>5356791000</v>
      </c>
      <c r="C127">
        <v>21.43</v>
      </c>
      <c r="D127">
        <v>0</v>
      </c>
      <c r="E127">
        <v>943.21</v>
      </c>
      <c r="F127">
        <v>13675099</v>
      </c>
      <c r="G127">
        <v>196287810</v>
      </c>
    </row>
    <row r="128" spans="1:7">
      <c r="A128">
        <v>232</v>
      </c>
      <c r="B128">
        <v>5722272700</v>
      </c>
      <c r="C128">
        <v>22.89</v>
      </c>
      <c r="D128">
        <v>0</v>
      </c>
      <c r="E128">
        <v>943.21</v>
      </c>
      <c r="F128">
        <v>13801434</v>
      </c>
      <c r="G128">
        <v>198174965</v>
      </c>
    </row>
    <row r="129" spans="1:7">
      <c r="A129">
        <v>234</v>
      </c>
      <c r="B129">
        <v>4943103100</v>
      </c>
      <c r="C129">
        <v>19.77</v>
      </c>
      <c r="D129">
        <v>0</v>
      </c>
      <c r="E129">
        <v>943.21</v>
      </c>
      <c r="F129">
        <v>13928054</v>
      </c>
      <c r="G129">
        <v>200061677</v>
      </c>
    </row>
    <row r="130" spans="1:7">
      <c r="A130">
        <v>236</v>
      </c>
      <c r="B130">
        <v>6093853960</v>
      </c>
      <c r="C130">
        <v>24.38</v>
      </c>
      <c r="D130">
        <v>0</v>
      </c>
      <c r="E130">
        <v>943.21</v>
      </c>
      <c r="F130">
        <v>14054436</v>
      </c>
      <c r="G130">
        <v>201949348</v>
      </c>
    </row>
    <row r="131" spans="1:7">
      <c r="A131">
        <v>238</v>
      </c>
      <c r="B131">
        <v>5021216820</v>
      </c>
      <c r="C131">
        <v>20.079999999999998</v>
      </c>
      <c r="D131">
        <v>0</v>
      </c>
      <c r="E131">
        <v>943.21</v>
      </c>
      <c r="F131">
        <v>14180727</v>
      </c>
      <c r="G131">
        <v>203836671</v>
      </c>
    </row>
    <row r="132" spans="1:7">
      <c r="A132">
        <v>240</v>
      </c>
      <c r="B132">
        <v>5879582320</v>
      </c>
      <c r="C132">
        <v>23.52</v>
      </c>
      <c r="D132">
        <v>0</v>
      </c>
      <c r="E132">
        <v>943.21</v>
      </c>
      <c r="F132">
        <v>14307171</v>
      </c>
      <c r="G132">
        <v>205724487</v>
      </c>
    </row>
    <row r="133" spans="1:7">
      <c r="A133">
        <v>242</v>
      </c>
      <c r="B133">
        <v>5047484280</v>
      </c>
      <c r="C133">
        <v>20.190000000000001</v>
      </c>
      <c r="D133">
        <v>0</v>
      </c>
      <c r="E133">
        <v>943.21</v>
      </c>
      <c r="F133">
        <v>14433558</v>
      </c>
      <c r="G133">
        <v>207612506</v>
      </c>
    </row>
    <row r="134" spans="1:7">
      <c r="A134">
        <v>244</v>
      </c>
      <c r="B134">
        <v>6097494020</v>
      </c>
      <c r="C134">
        <v>24.39</v>
      </c>
      <c r="D134">
        <v>0</v>
      </c>
      <c r="E134">
        <v>943.21</v>
      </c>
      <c r="F134">
        <v>14559777</v>
      </c>
      <c r="G134">
        <v>209500765</v>
      </c>
    </row>
    <row r="135" spans="1:7">
      <c r="A135">
        <v>246</v>
      </c>
      <c r="B135">
        <v>4992391480</v>
      </c>
      <c r="C135">
        <v>19.97</v>
      </c>
      <c r="D135">
        <v>0</v>
      </c>
      <c r="E135">
        <v>943.21</v>
      </c>
      <c r="F135">
        <v>14686019</v>
      </c>
      <c r="G135">
        <v>211388871</v>
      </c>
    </row>
    <row r="136" spans="1:7">
      <c r="A136">
        <v>248</v>
      </c>
      <c r="B136">
        <v>6051648940</v>
      </c>
      <c r="C136">
        <v>24.21</v>
      </c>
      <c r="D136">
        <v>0</v>
      </c>
      <c r="E136">
        <v>943.21</v>
      </c>
      <c r="F136">
        <v>14812499</v>
      </c>
      <c r="G136">
        <v>213273864</v>
      </c>
    </row>
    <row r="137" spans="1:7">
      <c r="A137">
        <v>250</v>
      </c>
      <c r="B137">
        <v>4901881880</v>
      </c>
      <c r="C137">
        <v>19.61</v>
      </c>
      <c r="D137">
        <v>0</v>
      </c>
      <c r="E137">
        <v>943.21</v>
      </c>
      <c r="F137">
        <v>14939019</v>
      </c>
      <c r="G137">
        <v>215159870</v>
      </c>
    </row>
    <row r="138" spans="1:7">
      <c r="A138">
        <v>252</v>
      </c>
      <c r="B138">
        <v>6103101680</v>
      </c>
      <c r="C138">
        <v>24.41</v>
      </c>
      <c r="D138">
        <v>0</v>
      </c>
      <c r="E138">
        <v>943.21</v>
      </c>
      <c r="F138">
        <v>15065411</v>
      </c>
      <c r="G138">
        <v>217046551</v>
      </c>
    </row>
    <row r="139" spans="1:7">
      <c r="A139">
        <v>254</v>
      </c>
      <c r="B139">
        <v>4859184960</v>
      </c>
      <c r="C139">
        <v>19.440000000000001</v>
      </c>
      <c r="D139">
        <v>0</v>
      </c>
      <c r="E139">
        <v>943.21</v>
      </c>
      <c r="F139">
        <v>15192191</v>
      </c>
      <c r="G139">
        <v>218933733</v>
      </c>
    </row>
    <row r="140" spans="1:7">
      <c r="A140">
        <v>256</v>
      </c>
      <c r="B140">
        <v>5997736700</v>
      </c>
      <c r="C140">
        <v>23.99</v>
      </c>
      <c r="D140">
        <v>0</v>
      </c>
      <c r="E140">
        <v>943.21</v>
      </c>
      <c r="F140">
        <v>15318489</v>
      </c>
      <c r="G140">
        <v>220819412</v>
      </c>
    </row>
    <row r="141" spans="1:7">
      <c r="A141">
        <v>258</v>
      </c>
      <c r="B141">
        <v>4978913420</v>
      </c>
      <c r="C141">
        <v>19.920000000000002</v>
      </c>
      <c r="D141">
        <v>0</v>
      </c>
      <c r="E141">
        <v>943.21</v>
      </c>
      <c r="F141">
        <v>15444819</v>
      </c>
      <c r="G141">
        <v>222704209</v>
      </c>
    </row>
    <row r="142" spans="1:7">
      <c r="A142">
        <v>260</v>
      </c>
      <c r="B142">
        <v>6181412160</v>
      </c>
      <c r="C142">
        <v>24.73</v>
      </c>
      <c r="D142">
        <v>0</v>
      </c>
      <c r="E142">
        <v>943.21</v>
      </c>
      <c r="F142">
        <v>15571091</v>
      </c>
      <c r="G142">
        <v>224587996</v>
      </c>
    </row>
    <row r="143" spans="1:7">
      <c r="A143">
        <v>262</v>
      </c>
      <c r="B143">
        <v>5064405640</v>
      </c>
      <c r="C143">
        <v>20.260000000000002</v>
      </c>
      <c r="D143">
        <v>0</v>
      </c>
      <c r="E143">
        <v>943.21</v>
      </c>
      <c r="F143">
        <v>15697905</v>
      </c>
      <c r="G143">
        <v>226473138</v>
      </c>
    </row>
    <row r="144" spans="1:7">
      <c r="A144">
        <v>264</v>
      </c>
      <c r="B144">
        <v>5449464960</v>
      </c>
      <c r="C144">
        <v>21.8</v>
      </c>
      <c r="D144">
        <v>0</v>
      </c>
      <c r="E144">
        <v>943.21</v>
      </c>
      <c r="F144">
        <v>15824356</v>
      </c>
      <c r="G144">
        <v>228359714</v>
      </c>
    </row>
    <row r="145" spans="1:7">
      <c r="A145">
        <v>266</v>
      </c>
      <c r="B145">
        <v>5936249200</v>
      </c>
      <c r="C145">
        <v>23.75</v>
      </c>
      <c r="D145">
        <v>0</v>
      </c>
      <c r="E145">
        <v>943.21</v>
      </c>
      <c r="F145">
        <v>15950717</v>
      </c>
      <c r="G145">
        <v>230246558</v>
      </c>
    </row>
    <row r="146" spans="1:7">
      <c r="A146">
        <v>268</v>
      </c>
      <c r="B146">
        <v>4896962880</v>
      </c>
      <c r="C146">
        <v>19.59</v>
      </c>
      <c r="D146">
        <v>0</v>
      </c>
      <c r="E146">
        <v>943.21</v>
      </c>
      <c r="F146">
        <v>16077129</v>
      </c>
      <c r="G146">
        <v>232132796</v>
      </c>
    </row>
    <row r="147" spans="1:7">
      <c r="A147">
        <v>270</v>
      </c>
      <c r="B147">
        <v>6153472240</v>
      </c>
      <c r="C147">
        <v>24.61</v>
      </c>
      <c r="D147">
        <v>0</v>
      </c>
      <c r="E147">
        <v>943.21</v>
      </c>
      <c r="F147">
        <v>16203457</v>
      </c>
      <c r="G147">
        <v>234019752</v>
      </c>
    </row>
    <row r="148" spans="1:7">
      <c r="A148">
        <v>272</v>
      </c>
      <c r="B148">
        <v>4853282160</v>
      </c>
      <c r="C148">
        <v>19.41</v>
      </c>
      <c r="D148">
        <v>0</v>
      </c>
      <c r="E148">
        <v>943.21</v>
      </c>
      <c r="F148">
        <v>16329838</v>
      </c>
      <c r="G148">
        <v>235906995</v>
      </c>
    </row>
    <row r="149" spans="1:7">
      <c r="A149">
        <v>274</v>
      </c>
      <c r="B149">
        <v>6040433620</v>
      </c>
      <c r="C149">
        <v>24.16</v>
      </c>
      <c r="D149">
        <v>0</v>
      </c>
      <c r="E149">
        <v>943.21</v>
      </c>
      <c r="F149">
        <v>16456461</v>
      </c>
      <c r="G149">
        <v>237792801</v>
      </c>
    </row>
    <row r="150" spans="1:7">
      <c r="A150">
        <v>276</v>
      </c>
      <c r="B150">
        <v>5039318740</v>
      </c>
      <c r="C150">
        <v>20.16</v>
      </c>
      <c r="D150">
        <v>0</v>
      </c>
      <c r="E150">
        <v>943.21</v>
      </c>
      <c r="F150">
        <v>16582658</v>
      </c>
      <c r="G150">
        <v>239679585</v>
      </c>
    </row>
    <row r="151" spans="1:7">
      <c r="A151">
        <v>278</v>
      </c>
      <c r="B151">
        <v>5833737240</v>
      </c>
      <c r="C151">
        <v>23.34</v>
      </c>
      <c r="D151">
        <v>0</v>
      </c>
      <c r="E151">
        <v>943.21</v>
      </c>
      <c r="F151">
        <v>16708802</v>
      </c>
      <c r="G151">
        <v>241564654</v>
      </c>
    </row>
    <row r="152" spans="1:7">
      <c r="A152">
        <v>280</v>
      </c>
      <c r="B152">
        <v>5249655180</v>
      </c>
      <c r="C152">
        <v>21</v>
      </c>
      <c r="D152">
        <v>0</v>
      </c>
      <c r="E152">
        <v>943.21</v>
      </c>
      <c r="F152">
        <v>16835117</v>
      </c>
      <c r="G152">
        <v>243450263</v>
      </c>
    </row>
    <row r="153" spans="1:7">
      <c r="A153">
        <v>282</v>
      </c>
      <c r="B153">
        <v>5881353160</v>
      </c>
      <c r="C153">
        <v>23.53</v>
      </c>
      <c r="D153">
        <v>0</v>
      </c>
      <c r="E153">
        <v>943.21</v>
      </c>
      <c r="F153">
        <v>16961528</v>
      </c>
      <c r="G153">
        <v>245336416</v>
      </c>
    </row>
    <row r="154" spans="1:7">
      <c r="A154">
        <v>284</v>
      </c>
      <c r="B154">
        <v>4920180560</v>
      </c>
      <c r="C154">
        <v>19.68</v>
      </c>
      <c r="D154">
        <v>0</v>
      </c>
      <c r="E154">
        <v>943.21</v>
      </c>
      <c r="F154">
        <v>17087899</v>
      </c>
      <c r="G154">
        <v>247222155</v>
      </c>
    </row>
    <row r="155" spans="1:7">
      <c r="A155">
        <v>286</v>
      </c>
      <c r="B155">
        <v>6011608280</v>
      </c>
      <c r="C155">
        <v>24.05</v>
      </c>
      <c r="D155">
        <v>0</v>
      </c>
      <c r="E155">
        <v>943.21</v>
      </c>
      <c r="F155">
        <v>17214271</v>
      </c>
      <c r="G155">
        <v>249107635</v>
      </c>
    </row>
    <row r="156" spans="1:7">
      <c r="A156">
        <v>288</v>
      </c>
      <c r="B156">
        <v>5006853340</v>
      </c>
      <c r="C156">
        <v>20.03</v>
      </c>
      <c r="D156">
        <v>0</v>
      </c>
      <c r="E156">
        <v>943.21</v>
      </c>
      <c r="F156">
        <v>17340605</v>
      </c>
      <c r="G156">
        <v>250993582</v>
      </c>
    </row>
    <row r="157" spans="1:7">
      <c r="A157">
        <v>290</v>
      </c>
      <c r="B157">
        <v>6008755260</v>
      </c>
      <c r="C157">
        <v>24.04</v>
      </c>
      <c r="D157">
        <v>0</v>
      </c>
      <c r="E157">
        <v>943.21</v>
      </c>
      <c r="F157">
        <v>17466744</v>
      </c>
      <c r="G157">
        <v>252880684</v>
      </c>
    </row>
    <row r="158" spans="1:7">
      <c r="A158">
        <v>292</v>
      </c>
      <c r="B158">
        <v>4970747880</v>
      </c>
      <c r="C158">
        <v>19.88</v>
      </c>
      <c r="D158">
        <v>0</v>
      </c>
      <c r="E158">
        <v>943.21</v>
      </c>
      <c r="F158">
        <v>17593249</v>
      </c>
      <c r="G158">
        <v>254766856</v>
      </c>
    </row>
    <row r="159" spans="1:7">
      <c r="A159">
        <v>294</v>
      </c>
      <c r="B159">
        <v>6133009200</v>
      </c>
      <c r="C159">
        <v>24.53</v>
      </c>
      <c r="D159">
        <v>0</v>
      </c>
      <c r="E159">
        <v>943.21</v>
      </c>
      <c r="F159">
        <v>17719612</v>
      </c>
      <c r="G159">
        <v>256653385</v>
      </c>
    </row>
    <row r="160" spans="1:7">
      <c r="A160">
        <v>296</v>
      </c>
      <c r="B160">
        <v>4880828560</v>
      </c>
      <c r="C160">
        <v>19.52</v>
      </c>
      <c r="D160">
        <v>0</v>
      </c>
      <c r="E160">
        <v>943.21</v>
      </c>
      <c r="F160">
        <v>17846029</v>
      </c>
      <c r="G160">
        <v>258539509</v>
      </c>
    </row>
    <row r="161" spans="1:156">
      <c r="A161">
        <v>298</v>
      </c>
      <c r="B161">
        <v>5996162620</v>
      </c>
      <c r="C161">
        <v>23.98</v>
      </c>
      <c r="D161">
        <v>0</v>
      </c>
      <c r="E161">
        <v>943.21</v>
      </c>
      <c r="F161">
        <v>17972218</v>
      </c>
      <c r="G161">
        <v>260426208</v>
      </c>
    </row>
    <row r="162" spans="1:156">
      <c r="A162" t="s">
        <v>107</v>
      </c>
      <c r="B162" t="s">
        <v>45</v>
      </c>
    </row>
    <row r="163" spans="1:156">
      <c r="A163" t="s">
        <v>108</v>
      </c>
      <c r="B163" t="s">
        <v>109</v>
      </c>
      <c r="C163" t="s">
        <v>110</v>
      </c>
      <c r="D163" t="s">
        <v>111</v>
      </c>
      <c r="E163" t="s">
        <v>112</v>
      </c>
      <c r="F163" t="s">
        <v>113</v>
      </c>
      <c r="G163" t="s">
        <v>114</v>
      </c>
      <c r="H163" t="s">
        <v>115</v>
      </c>
      <c r="I163" t="s">
        <v>116</v>
      </c>
      <c r="J163" t="s">
        <v>117</v>
      </c>
      <c r="K163" t="s">
        <v>118</v>
      </c>
      <c r="L163" t="s">
        <v>119</v>
      </c>
      <c r="M163" t="s">
        <v>120</v>
      </c>
      <c r="N163" t="s">
        <v>121</v>
      </c>
      <c r="O163" t="s">
        <v>122</v>
      </c>
      <c r="P163" t="s">
        <v>123</v>
      </c>
      <c r="Q163" t="s">
        <v>124</v>
      </c>
      <c r="R163" t="s">
        <v>118</v>
      </c>
      <c r="S163" t="s">
        <v>125</v>
      </c>
      <c r="T163" t="s">
        <v>126</v>
      </c>
      <c r="U163" t="s">
        <v>127</v>
      </c>
      <c r="V163" t="s">
        <v>128</v>
      </c>
      <c r="W163" t="s">
        <v>129</v>
      </c>
      <c r="X163" t="s">
        <v>130</v>
      </c>
      <c r="Y163" t="s">
        <v>131</v>
      </c>
      <c r="Z163" t="s">
        <v>132</v>
      </c>
      <c r="AA163" t="s">
        <v>133</v>
      </c>
      <c r="AB163" t="s">
        <v>134</v>
      </c>
      <c r="AC163" t="s">
        <v>135</v>
      </c>
      <c r="AD163" t="s">
        <v>105</v>
      </c>
      <c r="AE163" t="s">
        <v>136</v>
      </c>
      <c r="AF163" t="s">
        <v>115</v>
      </c>
      <c r="AG163" t="s">
        <v>137</v>
      </c>
      <c r="AH163" t="s">
        <v>138</v>
      </c>
      <c r="AI163" t="s">
        <v>139</v>
      </c>
      <c r="AJ163" t="s">
        <v>126</v>
      </c>
      <c r="AK163" t="s">
        <v>127</v>
      </c>
      <c r="AL163" t="s">
        <v>128</v>
      </c>
      <c r="AM163" t="s">
        <v>129</v>
      </c>
      <c r="AN163" t="s">
        <v>130</v>
      </c>
      <c r="AO163" t="s">
        <v>131</v>
      </c>
      <c r="AP163" t="s">
        <v>132</v>
      </c>
      <c r="AQ163" t="s">
        <v>133</v>
      </c>
      <c r="AR163" t="s">
        <v>134</v>
      </c>
      <c r="AS163" t="s">
        <v>140</v>
      </c>
      <c r="AT163" t="s">
        <v>105</v>
      </c>
      <c r="AU163" t="s">
        <v>136</v>
      </c>
      <c r="AV163" t="s">
        <v>115</v>
      </c>
      <c r="AW163" t="s">
        <v>137</v>
      </c>
      <c r="AX163" t="s">
        <v>138</v>
      </c>
      <c r="AY163" t="s">
        <v>141</v>
      </c>
      <c r="AZ163" t="s">
        <v>126</v>
      </c>
      <c r="BA163" t="s">
        <v>142</v>
      </c>
      <c r="BB163" t="s">
        <v>143</v>
      </c>
      <c r="BC163" t="s">
        <v>144</v>
      </c>
      <c r="BD163" t="s">
        <v>145</v>
      </c>
      <c r="BE163" t="s">
        <v>146</v>
      </c>
      <c r="BF163" t="s">
        <v>147</v>
      </c>
      <c r="BG163" t="s">
        <v>148</v>
      </c>
      <c r="BH163" t="s">
        <v>149</v>
      </c>
      <c r="BI163" t="s">
        <v>150</v>
      </c>
      <c r="BJ163" t="s">
        <v>141</v>
      </c>
      <c r="BK163" t="s">
        <v>126</v>
      </c>
      <c r="BL163" t="s">
        <v>142</v>
      </c>
      <c r="BM163" t="s">
        <v>143</v>
      </c>
      <c r="BN163" t="s">
        <v>144</v>
      </c>
      <c r="BO163" t="s">
        <v>145</v>
      </c>
      <c r="BP163" t="s">
        <v>146</v>
      </c>
      <c r="BQ163" t="s">
        <v>147</v>
      </c>
      <c r="BR163" t="s">
        <v>148</v>
      </c>
      <c r="BS163" t="s">
        <v>149</v>
      </c>
      <c r="BT163" t="s">
        <v>150</v>
      </c>
    </row>
    <row r="164" spans="1:156">
      <c r="A164">
        <v>98380</v>
      </c>
      <c r="B164">
        <v>0</v>
      </c>
      <c r="C164">
        <v>7916362</v>
      </c>
      <c r="D164">
        <v>0</v>
      </c>
      <c r="E164">
        <v>37.895800000000001</v>
      </c>
      <c r="F164" s="7">
        <v>301997000</v>
      </c>
      <c r="G164">
        <v>20768.599999999999</v>
      </c>
      <c r="H164">
        <v>262518236</v>
      </c>
      <c r="I164">
        <v>0</v>
      </c>
      <c r="J164">
        <v>0</v>
      </c>
      <c r="K164" t="s">
        <v>151</v>
      </c>
      <c r="L164">
        <v>0</v>
      </c>
      <c r="M164">
        <v>7916362</v>
      </c>
      <c r="N164">
        <v>778811693560</v>
      </c>
      <c r="O164">
        <v>37.915900000000001</v>
      </c>
      <c r="P164">
        <v>300156113</v>
      </c>
      <c r="Q164">
        <v>20757.5</v>
      </c>
      <c r="R164" t="s">
        <v>151</v>
      </c>
      <c r="S164" t="s">
        <v>152</v>
      </c>
      <c r="T164" t="s">
        <v>153</v>
      </c>
      <c r="U164" t="s">
        <v>45</v>
      </c>
      <c r="V164">
        <v>0</v>
      </c>
      <c r="W164">
        <v>0</v>
      </c>
      <c r="X164">
        <v>0</v>
      </c>
      <c r="Y164">
        <v>0</v>
      </c>
      <c r="Z164">
        <v>50</v>
      </c>
      <c r="AA164">
        <v>8918</v>
      </c>
      <c r="AB164">
        <v>0</v>
      </c>
      <c r="AC164">
        <v>0</v>
      </c>
      <c r="AD164" t="s">
        <v>154</v>
      </c>
      <c r="AE164" t="s">
        <v>45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155</v>
      </c>
      <c r="AO164" t="s">
        <v>45</v>
      </c>
      <c r="AP164">
        <v>18128719</v>
      </c>
      <c r="AQ164">
        <v>1196495369</v>
      </c>
      <c r="AR164">
        <v>0</v>
      </c>
      <c r="AS164">
        <v>0</v>
      </c>
      <c r="AT164">
        <v>262518237</v>
      </c>
      <c r="AU164">
        <v>2364201665102</v>
      </c>
      <c r="AV164">
        <v>0</v>
      </c>
      <c r="AW164">
        <v>0</v>
      </c>
      <c r="AX164" t="s">
        <v>156</v>
      </c>
      <c r="AY164" t="s">
        <v>45</v>
      </c>
      <c r="AZ164">
        <v>0</v>
      </c>
      <c r="BA164">
        <v>0</v>
      </c>
      <c r="BB164">
        <v>0</v>
      </c>
      <c r="BC164">
        <v>0</v>
      </c>
      <c r="BD164">
        <v>51</v>
      </c>
      <c r="BE164">
        <v>9273</v>
      </c>
      <c r="BF164">
        <v>0</v>
      </c>
      <c r="BG164">
        <v>0</v>
      </c>
      <c r="BH164" t="s">
        <v>157</v>
      </c>
      <c r="BI164" t="s">
        <v>45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 t="s">
        <v>158</v>
      </c>
      <c r="BS164" t="s">
        <v>45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 t="s">
        <v>135</v>
      </c>
      <c r="CC164">
        <v>18128677</v>
      </c>
      <c r="CD164">
        <v>0</v>
      </c>
      <c r="CE164">
        <v>262518236</v>
      </c>
      <c r="CF164">
        <v>0</v>
      </c>
      <c r="CG164">
        <v>0</v>
      </c>
      <c r="CH164" t="s">
        <v>159</v>
      </c>
      <c r="CI164" t="s">
        <v>160</v>
      </c>
      <c r="CJ164" t="s">
        <v>45</v>
      </c>
      <c r="CK164">
        <v>90997</v>
      </c>
      <c r="CL164">
        <v>4195500</v>
      </c>
      <c r="CM164">
        <v>0</v>
      </c>
      <c r="CN164">
        <v>0</v>
      </c>
      <c r="CO164">
        <v>660</v>
      </c>
      <c r="CP164">
        <v>274394</v>
      </c>
      <c r="CQ164">
        <v>0</v>
      </c>
      <c r="CR164">
        <v>0</v>
      </c>
      <c r="CS164" t="s">
        <v>161</v>
      </c>
      <c r="CT164" t="s">
        <v>45</v>
      </c>
      <c r="CU164">
        <v>262610538</v>
      </c>
      <c r="CV164">
        <v>2364207249228</v>
      </c>
      <c r="CW164">
        <v>0</v>
      </c>
      <c r="CX164">
        <v>0</v>
      </c>
      <c r="CY164">
        <v>18130573</v>
      </c>
      <c r="CZ164">
        <v>1196906575</v>
      </c>
      <c r="DA164">
        <v>0</v>
      </c>
      <c r="DB164">
        <v>0</v>
      </c>
      <c r="DC164" t="s">
        <v>158</v>
      </c>
      <c r="DD164" t="s">
        <v>45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 t="s">
        <v>162</v>
      </c>
      <c r="DN164" t="s">
        <v>45</v>
      </c>
      <c r="DO164">
        <v>39300990</v>
      </c>
      <c r="DP164">
        <v>2348919139958</v>
      </c>
      <c r="DQ164">
        <v>0</v>
      </c>
      <c r="DR164">
        <v>0</v>
      </c>
      <c r="DS164">
        <v>18129814</v>
      </c>
      <c r="DT164">
        <v>1196615965</v>
      </c>
      <c r="DU164">
        <v>0</v>
      </c>
      <c r="DV164">
        <v>0</v>
      </c>
      <c r="DW164" t="s">
        <v>163</v>
      </c>
      <c r="DX164" t="s">
        <v>45</v>
      </c>
      <c r="DY164">
        <v>9547</v>
      </c>
      <c r="DZ164">
        <v>954700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 t="s">
        <v>140</v>
      </c>
      <c r="EH164">
        <v>39300446</v>
      </c>
      <c r="EI164">
        <v>9</v>
      </c>
      <c r="EJ164">
        <v>18129439</v>
      </c>
      <c r="EK164">
        <v>44</v>
      </c>
      <c r="EL164">
        <v>44</v>
      </c>
      <c r="EM164" t="s">
        <v>141</v>
      </c>
      <c r="EN164" t="s">
        <v>164</v>
      </c>
      <c r="EO164">
        <v>262610537</v>
      </c>
      <c r="EP164">
        <v>18130574</v>
      </c>
      <c r="EQ164">
        <v>262616891</v>
      </c>
      <c r="ER164">
        <v>18130575</v>
      </c>
      <c r="ES164">
        <v>0</v>
      </c>
      <c r="ET164">
        <v>0</v>
      </c>
      <c r="EU164">
        <v>0</v>
      </c>
      <c r="EV164">
        <v>0</v>
      </c>
      <c r="EW164">
        <v>0</v>
      </c>
      <c r="EX164" t="s">
        <v>141</v>
      </c>
      <c r="EY164" t="s">
        <v>45</v>
      </c>
      <c r="EZ164" t="s">
        <v>118</v>
      </c>
    </row>
    <row r="165" spans="1:156">
      <c r="A165" t="s">
        <v>165</v>
      </c>
      <c r="B165" t="s">
        <v>166</v>
      </c>
      <c r="C165" t="s">
        <v>167</v>
      </c>
      <c r="D165" t="s">
        <v>168</v>
      </c>
      <c r="E165" t="s">
        <v>169</v>
      </c>
      <c r="F165" t="s">
        <v>170</v>
      </c>
      <c r="G165" t="s">
        <v>171</v>
      </c>
      <c r="H165" t="s">
        <v>172</v>
      </c>
    </row>
    <row r="166" spans="1:156">
      <c r="A166" t="s">
        <v>173</v>
      </c>
      <c r="B166">
        <v>0</v>
      </c>
      <c r="C166">
        <v>0</v>
      </c>
      <c r="D166">
        <v>51</v>
      </c>
      <c r="E166">
        <v>47</v>
      </c>
      <c r="F166">
        <v>0</v>
      </c>
      <c r="G166">
        <v>2</v>
      </c>
      <c r="H166">
        <v>15</v>
      </c>
      <c r="I166" t="s">
        <v>45</v>
      </c>
    </row>
    <row r="167" spans="1:156">
      <c r="A167" t="s">
        <v>174</v>
      </c>
      <c r="B167">
        <v>0</v>
      </c>
      <c r="C167">
        <v>0</v>
      </c>
      <c r="D167">
        <v>63</v>
      </c>
      <c r="E167">
        <v>36</v>
      </c>
      <c r="F167">
        <v>0</v>
      </c>
      <c r="G167">
        <v>2</v>
      </c>
      <c r="H167">
        <v>17</v>
      </c>
      <c r="I167" t="s">
        <v>45</v>
      </c>
    </row>
    <row r="168" spans="1:156">
      <c r="A168" t="s">
        <v>175</v>
      </c>
      <c r="B168">
        <v>0</v>
      </c>
      <c r="C168">
        <v>0</v>
      </c>
      <c r="D168">
        <v>58</v>
      </c>
      <c r="E168">
        <v>40</v>
      </c>
      <c r="F168">
        <v>0</v>
      </c>
      <c r="G168">
        <v>2</v>
      </c>
      <c r="H168">
        <v>7</v>
      </c>
      <c r="I168" t="s">
        <v>45</v>
      </c>
    </row>
    <row r="169" spans="1:156">
      <c r="A169" t="s">
        <v>176</v>
      </c>
      <c r="B169">
        <v>0</v>
      </c>
      <c r="C169">
        <v>0</v>
      </c>
      <c r="D169">
        <v>62</v>
      </c>
      <c r="E169">
        <v>36</v>
      </c>
      <c r="F169">
        <v>0</v>
      </c>
      <c r="G169">
        <v>2</v>
      </c>
      <c r="H169">
        <v>17</v>
      </c>
      <c r="I169" t="s">
        <v>45</v>
      </c>
    </row>
    <row r="170" spans="1:156">
      <c r="A170" t="s">
        <v>177</v>
      </c>
      <c r="B170">
        <v>0</v>
      </c>
      <c r="C170">
        <v>0</v>
      </c>
      <c r="D170">
        <v>21</v>
      </c>
      <c r="E170">
        <v>78</v>
      </c>
      <c r="F170">
        <v>0</v>
      </c>
      <c r="G170">
        <v>2</v>
      </c>
      <c r="H170">
        <v>19</v>
      </c>
      <c r="I170" t="s">
        <v>45</v>
      </c>
    </row>
    <row r="171" spans="1:156">
      <c r="A171" t="s">
        <v>178</v>
      </c>
      <c r="B171" t="s">
        <v>166</v>
      </c>
      <c r="C171" t="s">
        <v>167</v>
      </c>
      <c r="D171" t="s">
        <v>168</v>
      </c>
      <c r="E171" t="s">
        <v>169</v>
      </c>
      <c r="F171" t="s">
        <v>170</v>
      </c>
      <c r="G171" t="s">
        <v>171</v>
      </c>
      <c r="H171" t="s">
        <v>172</v>
      </c>
    </row>
    <row r="172" spans="1:156">
      <c r="A172" t="s">
        <v>179</v>
      </c>
      <c r="B172">
        <v>0</v>
      </c>
      <c r="C172">
        <v>0</v>
      </c>
      <c r="D172">
        <v>5</v>
      </c>
      <c r="E172">
        <v>94</v>
      </c>
      <c r="F172">
        <v>0</v>
      </c>
      <c r="G172">
        <v>0</v>
      </c>
      <c r="H172">
        <v>0</v>
      </c>
      <c r="I172" t="s">
        <v>45</v>
      </c>
    </row>
    <row r="173" spans="1:156">
      <c r="A173" t="s">
        <v>180</v>
      </c>
      <c r="B173">
        <v>0</v>
      </c>
      <c r="C173">
        <v>0</v>
      </c>
      <c r="D173">
        <v>0</v>
      </c>
      <c r="E173">
        <v>99</v>
      </c>
      <c r="F173">
        <v>0</v>
      </c>
      <c r="G173">
        <v>0</v>
      </c>
      <c r="H173">
        <v>0</v>
      </c>
      <c r="I173" t="s">
        <v>45</v>
      </c>
    </row>
    <row r="174" spans="1:156">
      <c r="A174" t="s">
        <v>181</v>
      </c>
      <c r="B174">
        <v>0</v>
      </c>
      <c r="C174">
        <v>0</v>
      </c>
      <c r="D174">
        <v>0</v>
      </c>
      <c r="E174">
        <v>99</v>
      </c>
      <c r="F174">
        <v>0</v>
      </c>
      <c r="G174">
        <v>0</v>
      </c>
      <c r="H174">
        <v>0</v>
      </c>
      <c r="I174" t="s">
        <v>45</v>
      </c>
    </row>
    <row r="175" spans="1:156">
      <c r="A175" t="s">
        <v>182</v>
      </c>
      <c r="B175">
        <v>0</v>
      </c>
      <c r="C175">
        <v>0</v>
      </c>
      <c r="D175">
        <v>0</v>
      </c>
      <c r="E175">
        <v>99</v>
      </c>
      <c r="F175">
        <v>0</v>
      </c>
      <c r="G175">
        <v>0</v>
      </c>
      <c r="H175">
        <v>0</v>
      </c>
      <c r="I175" t="s">
        <v>45</v>
      </c>
    </row>
    <row r="176" spans="1:156">
      <c r="A176" t="s">
        <v>183</v>
      </c>
      <c r="B176">
        <v>0</v>
      </c>
      <c r="C176">
        <v>0</v>
      </c>
      <c r="D176">
        <v>0</v>
      </c>
      <c r="E176">
        <v>99</v>
      </c>
      <c r="F176">
        <v>0</v>
      </c>
      <c r="G176">
        <v>0</v>
      </c>
      <c r="H176">
        <v>0</v>
      </c>
      <c r="I176" t="s">
        <v>45</v>
      </c>
    </row>
    <row r="177" spans="1:9">
      <c r="A177" t="s">
        <v>184</v>
      </c>
      <c r="B177">
        <v>0</v>
      </c>
      <c r="C177">
        <v>0</v>
      </c>
      <c r="D177">
        <v>0</v>
      </c>
      <c r="E177">
        <v>99</v>
      </c>
      <c r="F177">
        <v>0</v>
      </c>
      <c r="G177">
        <v>0</v>
      </c>
      <c r="H177">
        <v>0</v>
      </c>
      <c r="I177" t="s">
        <v>45</v>
      </c>
    </row>
    <row r="178" spans="1:9">
      <c r="A178" t="s">
        <v>185</v>
      </c>
      <c r="B178">
        <v>0</v>
      </c>
      <c r="C178">
        <v>0</v>
      </c>
      <c r="D178">
        <v>0</v>
      </c>
      <c r="E178">
        <v>99</v>
      </c>
      <c r="F178">
        <v>0</v>
      </c>
      <c r="G178">
        <v>0</v>
      </c>
      <c r="H178">
        <v>0</v>
      </c>
      <c r="I178" t="s">
        <v>45</v>
      </c>
    </row>
    <row r="179" spans="1:9">
      <c r="A179" t="s">
        <v>186</v>
      </c>
      <c r="B179">
        <v>3</v>
      </c>
      <c r="C179">
        <v>0</v>
      </c>
      <c r="D179">
        <v>92</v>
      </c>
      <c r="E179">
        <v>4</v>
      </c>
      <c r="F179">
        <v>0</v>
      </c>
      <c r="G179">
        <v>0</v>
      </c>
      <c r="H179">
        <v>0</v>
      </c>
      <c r="I179" t="s">
        <v>45</v>
      </c>
    </row>
    <row r="180" spans="1:9">
      <c r="A180" t="s">
        <v>187</v>
      </c>
      <c r="B180">
        <v>3</v>
      </c>
      <c r="C180">
        <v>0</v>
      </c>
      <c r="D180">
        <v>91</v>
      </c>
      <c r="E180">
        <v>4</v>
      </c>
      <c r="F180">
        <v>0</v>
      </c>
      <c r="G180">
        <v>0</v>
      </c>
      <c r="H180">
        <v>0</v>
      </c>
      <c r="I180" t="s">
        <v>45</v>
      </c>
    </row>
    <row r="181" spans="1:9">
      <c r="A181" t="s">
        <v>188</v>
      </c>
      <c r="B181">
        <v>3</v>
      </c>
      <c r="C181">
        <v>0</v>
      </c>
      <c r="D181">
        <v>88</v>
      </c>
      <c r="E181">
        <v>8</v>
      </c>
      <c r="F181">
        <v>0</v>
      </c>
      <c r="G181">
        <v>0</v>
      </c>
      <c r="H181">
        <v>0</v>
      </c>
      <c r="I181" t="s">
        <v>45</v>
      </c>
    </row>
    <row r="182" spans="1:9">
      <c r="A182" t="s">
        <v>189</v>
      </c>
      <c r="B182">
        <v>0</v>
      </c>
      <c r="C182">
        <v>0</v>
      </c>
      <c r="D182">
        <v>0</v>
      </c>
      <c r="E182">
        <v>99</v>
      </c>
      <c r="F182">
        <v>0</v>
      </c>
      <c r="G182">
        <v>0</v>
      </c>
      <c r="H182">
        <v>0</v>
      </c>
      <c r="I182" t="s">
        <v>45</v>
      </c>
    </row>
    <row r="183" spans="1:9">
      <c r="A183" t="s">
        <v>190</v>
      </c>
      <c r="B183">
        <v>0</v>
      </c>
      <c r="C183">
        <v>0</v>
      </c>
      <c r="D183">
        <v>0</v>
      </c>
      <c r="E183">
        <v>99</v>
      </c>
      <c r="F183">
        <v>0</v>
      </c>
      <c r="G183">
        <v>0</v>
      </c>
      <c r="H183">
        <v>0</v>
      </c>
      <c r="I183" t="s">
        <v>45</v>
      </c>
    </row>
    <row r="184" spans="1:9">
      <c r="A184" t="s">
        <v>191</v>
      </c>
      <c r="B184">
        <v>0</v>
      </c>
      <c r="C184">
        <v>0</v>
      </c>
      <c r="D184">
        <v>0</v>
      </c>
      <c r="E184">
        <v>99</v>
      </c>
      <c r="F184">
        <v>0</v>
      </c>
      <c r="G184">
        <v>0</v>
      </c>
      <c r="H184">
        <v>0</v>
      </c>
      <c r="I184" t="s">
        <v>45</v>
      </c>
    </row>
    <row r="185" spans="1:9">
      <c r="A185" t="s">
        <v>192</v>
      </c>
      <c r="B185">
        <v>0</v>
      </c>
      <c r="C185">
        <v>0</v>
      </c>
      <c r="D185">
        <v>0</v>
      </c>
      <c r="E185">
        <v>99</v>
      </c>
      <c r="F185">
        <v>0</v>
      </c>
      <c r="G185">
        <v>0</v>
      </c>
      <c r="H185">
        <v>0</v>
      </c>
      <c r="I185" t="s">
        <v>45</v>
      </c>
    </row>
    <row r="186" spans="1:9">
      <c r="A186" t="s">
        <v>193</v>
      </c>
      <c r="B186">
        <v>0</v>
      </c>
      <c r="C186">
        <v>0</v>
      </c>
      <c r="D186">
        <v>0</v>
      </c>
      <c r="E186">
        <v>99</v>
      </c>
      <c r="F186">
        <v>0</v>
      </c>
      <c r="G186">
        <v>0</v>
      </c>
      <c r="H186">
        <v>0</v>
      </c>
      <c r="I186" t="s">
        <v>45</v>
      </c>
    </row>
    <row r="187" spans="1:9">
      <c r="A187" t="s">
        <v>194</v>
      </c>
      <c r="B187">
        <v>0</v>
      </c>
      <c r="C187">
        <v>0</v>
      </c>
      <c r="D187">
        <v>0</v>
      </c>
      <c r="E187">
        <v>99</v>
      </c>
      <c r="F187">
        <v>0</v>
      </c>
      <c r="G187">
        <v>0</v>
      </c>
      <c r="H187">
        <v>0</v>
      </c>
      <c r="I187" t="s">
        <v>45</v>
      </c>
    </row>
    <row r="188" spans="1:9">
      <c r="A188" t="s">
        <v>195</v>
      </c>
      <c r="B188">
        <v>0</v>
      </c>
      <c r="C188">
        <v>0</v>
      </c>
      <c r="D188">
        <v>0</v>
      </c>
      <c r="E188">
        <v>99</v>
      </c>
      <c r="F188">
        <v>0</v>
      </c>
      <c r="G188">
        <v>0</v>
      </c>
      <c r="H188">
        <v>0</v>
      </c>
      <c r="I188" t="s">
        <v>45</v>
      </c>
    </row>
    <row r="189" spans="1:9">
      <c r="A189" t="s">
        <v>196</v>
      </c>
      <c r="B189">
        <v>0</v>
      </c>
      <c r="C189">
        <v>0</v>
      </c>
      <c r="D189">
        <v>0</v>
      </c>
      <c r="E189">
        <v>99</v>
      </c>
      <c r="F189">
        <v>0</v>
      </c>
      <c r="G189">
        <v>0</v>
      </c>
      <c r="H189">
        <v>0</v>
      </c>
      <c r="I189" t="s">
        <v>45</v>
      </c>
    </row>
    <row r="190" spans="1:9">
      <c r="A190" t="s">
        <v>197</v>
      </c>
      <c r="B190">
        <v>0</v>
      </c>
      <c r="C190">
        <v>0</v>
      </c>
      <c r="D190">
        <v>0</v>
      </c>
      <c r="E190">
        <v>99</v>
      </c>
      <c r="F190">
        <v>0</v>
      </c>
      <c r="G190">
        <v>0</v>
      </c>
      <c r="H190">
        <v>0</v>
      </c>
      <c r="I190" t="s">
        <v>45</v>
      </c>
    </row>
    <row r="191" spans="1:9">
      <c r="A191" t="s">
        <v>198</v>
      </c>
      <c r="B191">
        <v>0</v>
      </c>
      <c r="C191">
        <v>0</v>
      </c>
      <c r="D191">
        <v>0</v>
      </c>
      <c r="E191">
        <v>99</v>
      </c>
      <c r="F191">
        <v>0</v>
      </c>
      <c r="G191">
        <v>0</v>
      </c>
      <c r="H191">
        <v>0</v>
      </c>
      <c r="I191" t="s">
        <v>45</v>
      </c>
    </row>
    <row r="192" spans="1:9">
      <c r="A192" t="s">
        <v>199</v>
      </c>
      <c r="B192">
        <v>0</v>
      </c>
      <c r="C192">
        <v>0</v>
      </c>
      <c r="D192">
        <v>0</v>
      </c>
      <c r="E192">
        <v>99</v>
      </c>
      <c r="F192">
        <v>0</v>
      </c>
      <c r="G192">
        <v>0</v>
      </c>
      <c r="H192">
        <v>0</v>
      </c>
      <c r="I192" t="s">
        <v>45</v>
      </c>
    </row>
    <row r="193" spans="1:9">
      <c r="A193" t="s">
        <v>200</v>
      </c>
      <c r="B193">
        <v>0</v>
      </c>
      <c r="C193">
        <v>0</v>
      </c>
      <c r="D193">
        <v>2</v>
      </c>
      <c r="E193">
        <v>97</v>
      </c>
      <c r="F193">
        <v>0</v>
      </c>
      <c r="G193">
        <v>0</v>
      </c>
      <c r="H193">
        <v>2</v>
      </c>
      <c r="I193" t="s">
        <v>45</v>
      </c>
    </row>
    <row r="194" spans="1:9">
      <c r="A194" t="s">
        <v>201</v>
      </c>
      <c r="B194">
        <v>0</v>
      </c>
      <c r="C194">
        <v>0</v>
      </c>
      <c r="D194">
        <v>0</v>
      </c>
      <c r="E194">
        <v>99</v>
      </c>
      <c r="F194">
        <v>0</v>
      </c>
      <c r="G194">
        <v>0</v>
      </c>
      <c r="H194">
        <v>0</v>
      </c>
      <c r="I194" t="s">
        <v>45</v>
      </c>
    </row>
    <row r="195" spans="1:9">
      <c r="A195" t="s">
        <v>202</v>
      </c>
      <c r="B195">
        <v>0</v>
      </c>
      <c r="C195">
        <v>0</v>
      </c>
      <c r="D195">
        <v>0</v>
      </c>
      <c r="E195">
        <v>99</v>
      </c>
      <c r="F195">
        <v>0</v>
      </c>
      <c r="G195">
        <v>0</v>
      </c>
      <c r="H195">
        <v>0</v>
      </c>
      <c r="I195" t="s">
        <v>45</v>
      </c>
    </row>
    <row r="196" spans="1:9">
      <c r="A196" t="s">
        <v>203</v>
      </c>
      <c r="B196">
        <v>0</v>
      </c>
      <c r="C196">
        <v>0</v>
      </c>
      <c r="D196">
        <v>0</v>
      </c>
      <c r="E196">
        <v>99</v>
      </c>
      <c r="F196">
        <v>0</v>
      </c>
      <c r="G196">
        <v>0</v>
      </c>
      <c r="H196">
        <v>0</v>
      </c>
      <c r="I196" t="s">
        <v>45</v>
      </c>
    </row>
    <row r="197" spans="1:9">
      <c r="A197" t="s">
        <v>204</v>
      </c>
      <c r="B197">
        <v>0</v>
      </c>
      <c r="C197">
        <v>0</v>
      </c>
      <c r="D197">
        <v>0</v>
      </c>
      <c r="E197">
        <v>99</v>
      </c>
      <c r="F197">
        <v>0</v>
      </c>
      <c r="G197">
        <v>0</v>
      </c>
      <c r="H197">
        <v>0</v>
      </c>
      <c r="I197" t="s">
        <v>45</v>
      </c>
    </row>
    <row r="198" spans="1:9">
      <c r="A198" t="s">
        <v>205</v>
      </c>
      <c r="B198">
        <v>0</v>
      </c>
      <c r="C198">
        <v>0</v>
      </c>
      <c r="D198">
        <v>0</v>
      </c>
      <c r="E198">
        <v>99</v>
      </c>
      <c r="F198">
        <v>0</v>
      </c>
      <c r="G198">
        <v>0</v>
      </c>
      <c r="H198">
        <v>0</v>
      </c>
      <c r="I198" t="s">
        <v>45</v>
      </c>
    </row>
    <row r="199" spans="1:9">
      <c r="A199" t="s">
        <v>206</v>
      </c>
      <c r="B199">
        <v>0</v>
      </c>
      <c r="C199">
        <v>0</v>
      </c>
      <c r="D199">
        <v>0</v>
      </c>
      <c r="E199">
        <v>99</v>
      </c>
      <c r="F199">
        <v>0</v>
      </c>
      <c r="G199">
        <v>0</v>
      </c>
      <c r="H199">
        <v>0</v>
      </c>
      <c r="I199" t="s">
        <v>45</v>
      </c>
    </row>
    <row r="200" spans="1:9">
      <c r="A200" t="s">
        <v>207</v>
      </c>
      <c r="B200">
        <v>0</v>
      </c>
      <c r="C200">
        <v>0</v>
      </c>
      <c r="D200">
        <v>0</v>
      </c>
      <c r="E200">
        <v>99</v>
      </c>
      <c r="F200">
        <v>0</v>
      </c>
      <c r="G200">
        <v>0</v>
      </c>
      <c r="H200">
        <v>0</v>
      </c>
      <c r="I200" t="s">
        <v>45</v>
      </c>
    </row>
    <row r="201" spans="1:9">
      <c r="A201" t="s">
        <v>208</v>
      </c>
      <c r="B201">
        <v>0</v>
      </c>
      <c r="C201">
        <v>0</v>
      </c>
      <c r="D201">
        <v>0</v>
      </c>
      <c r="E201">
        <v>99</v>
      </c>
      <c r="F201">
        <v>0</v>
      </c>
      <c r="G201">
        <v>0</v>
      </c>
      <c r="H201">
        <v>0</v>
      </c>
      <c r="I201" t="s">
        <v>45</v>
      </c>
    </row>
    <row r="202" spans="1:9">
      <c r="A202" t="s">
        <v>209</v>
      </c>
      <c r="B202">
        <v>0</v>
      </c>
      <c r="C202">
        <v>0</v>
      </c>
      <c r="D202">
        <v>0</v>
      </c>
      <c r="E202">
        <v>99</v>
      </c>
      <c r="F202">
        <v>0</v>
      </c>
      <c r="G202">
        <v>0</v>
      </c>
      <c r="H202">
        <v>0</v>
      </c>
      <c r="I202" t="s">
        <v>45</v>
      </c>
    </row>
    <row r="203" spans="1:9">
      <c r="A203" t="s">
        <v>210</v>
      </c>
      <c r="B203">
        <v>0</v>
      </c>
      <c r="C203">
        <v>0</v>
      </c>
      <c r="D203">
        <v>0</v>
      </c>
      <c r="E203">
        <v>99</v>
      </c>
      <c r="F203">
        <v>0</v>
      </c>
      <c r="G203">
        <v>0</v>
      </c>
      <c r="H203">
        <v>0</v>
      </c>
      <c r="I203" t="s">
        <v>45</v>
      </c>
    </row>
    <row r="204" spans="1:9">
      <c r="A204" t="s">
        <v>211</v>
      </c>
      <c r="B204">
        <v>0</v>
      </c>
      <c r="C204">
        <v>0</v>
      </c>
      <c r="D204">
        <v>0</v>
      </c>
      <c r="E204">
        <v>99</v>
      </c>
      <c r="F204">
        <v>0</v>
      </c>
      <c r="G204">
        <v>0</v>
      </c>
      <c r="H204">
        <v>0</v>
      </c>
      <c r="I204" t="s">
        <v>45</v>
      </c>
    </row>
    <row r="205" spans="1:9">
      <c r="A205" t="s">
        <v>212</v>
      </c>
      <c r="B205">
        <v>0</v>
      </c>
      <c r="C205">
        <v>0</v>
      </c>
      <c r="D205">
        <v>0</v>
      </c>
      <c r="E205">
        <v>99</v>
      </c>
      <c r="F205">
        <v>0</v>
      </c>
      <c r="G205">
        <v>0</v>
      </c>
      <c r="H205">
        <v>0</v>
      </c>
      <c r="I205" t="s">
        <v>45</v>
      </c>
    </row>
    <row r="206" spans="1:9">
      <c r="A206" t="s">
        <v>213</v>
      </c>
      <c r="B206">
        <v>0</v>
      </c>
      <c r="C206">
        <v>0</v>
      </c>
      <c r="D206">
        <v>0</v>
      </c>
      <c r="E206">
        <v>99</v>
      </c>
      <c r="F206">
        <v>0</v>
      </c>
      <c r="G206">
        <v>0</v>
      </c>
      <c r="H206">
        <v>0</v>
      </c>
      <c r="I206" t="s">
        <v>45</v>
      </c>
    </row>
    <row r="207" spans="1:9">
      <c r="A207" t="s">
        <v>214</v>
      </c>
      <c r="B207">
        <v>0</v>
      </c>
      <c r="C207">
        <v>0</v>
      </c>
      <c r="D207">
        <v>0</v>
      </c>
      <c r="E207">
        <v>99</v>
      </c>
      <c r="F207">
        <v>0</v>
      </c>
      <c r="G207">
        <v>0</v>
      </c>
      <c r="H207">
        <v>0</v>
      </c>
      <c r="I207" t="s">
        <v>45</v>
      </c>
    </row>
    <row r="208" spans="1:9">
      <c r="A208" t="s">
        <v>215</v>
      </c>
      <c r="B208">
        <v>0</v>
      </c>
      <c r="C208">
        <v>0</v>
      </c>
      <c r="D208">
        <v>0</v>
      </c>
      <c r="E208">
        <v>99</v>
      </c>
      <c r="F208">
        <v>0</v>
      </c>
      <c r="G208">
        <v>0</v>
      </c>
      <c r="H208">
        <v>0</v>
      </c>
      <c r="I208" t="s">
        <v>45</v>
      </c>
    </row>
    <row r="209" spans="1:9">
      <c r="A209" t="s">
        <v>216</v>
      </c>
      <c r="B209">
        <v>0</v>
      </c>
      <c r="C209">
        <v>0</v>
      </c>
      <c r="D209">
        <v>0</v>
      </c>
      <c r="E209">
        <v>99</v>
      </c>
      <c r="F209">
        <v>0</v>
      </c>
      <c r="G209">
        <v>0</v>
      </c>
      <c r="H209">
        <v>0</v>
      </c>
      <c r="I209" t="s">
        <v>45</v>
      </c>
    </row>
    <row r="210" spans="1:9">
      <c r="A210" t="s">
        <v>217</v>
      </c>
      <c r="B210">
        <v>0</v>
      </c>
      <c r="C210">
        <v>0</v>
      </c>
      <c r="D210">
        <v>0</v>
      </c>
      <c r="E210">
        <v>99</v>
      </c>
      <c r="F210">
        <v>0</v>
      </c>
      <c r="G210">
        <v>0</v>
      </c>
      <c r="H210">
        <v>0</v>
      </c>
      <c r="I210" t="s">
        <v>45</v>
      </c>
    </row>
    <row r="211" spans="1:9">
      <c r="A211" t="s">
        <v>218</v>
      </c>
      <c r="B211">
        <v>0</v>
      </c>
      <c r="C211">
        <v>0</v>
      </c>
      <c r="D211">
        <v>7</v>
      </c>
      <c r="E211">
        <v>92</v>
      </c>
      <c r="F211">
        <v>0</v>
      </c>
      <c r="G211">
        <v>0</v>
      </c>
      <c r="H211">
        <v>7</v>
      </c>
      <c r="I211" t="s">
        <v>45</v>
      </c>
    </row>
    <row r="212" spans="1:9">
      <c r="A212" t="s">
        <v>219</v>
      </c>
      <c r="B212">
        <v>0</v>
      </c>
      <c r="C212">
        <v>0</v>
      </c>
      <c r="D212">
        <v>0</v>
      </c>
      <c r="E212">
        <v>99</v>
      </c>
      <c r="F212">
        <v>0</v>
      </c>
      <c r="G212">
        <v>0</v>
      </c>
      <c r="H212">
        <v>0</v>
      </c>
      <c r="I212" t="s">
        <v>45</v>
      </c>
    </row>
    <row r="213" spans="1:9">
      <c r="A213" t="s">
        <v>220</v>
      </c>
      <c r="B213">
        <v>0</v>
      </c>
      <c r="C213">
        <v>0</v>
      </c>
      <c r="D213">
        <v>0</v>
      </c>
      <c r="E213">
        <v>99</v>
      </c>
      <c r="F213">
        <v>0</v>
      </c>
      <c r="G213">
        <v>0</v>
      </c>
      <c r="H213">
        <v>0</v>
      </c>
      <c r="I213" t="s">
        <v>45</v>
      </c>
    </row>
    <row r="214" spans="1:9">
      <c r="A214" t="s">
        <v>221</v>
      </c>
      <c r="B214">
        <v>0</v>
      </c>
      <c r="C214">
        <v>0</v>
      </c>
      <c r="D214">
        <v>0</v>
      </c>
      <c r="E214">
        <v>99</v>
      </c>
      <c r="F214">
        <v>0</v>
      </c>
      <c r="G214">
        <v>0</v>
      </c>
      <c r="H214">
        <v>0</v>
      </c>
      <c r="I214" t="s">
        <v>45</v>
      </c>
    </row>
    <row r="215" spans="1:9">
      <c r="A215" t="s">
        <v>222</v>
      </c>
      <c r="B215">
        <v>0</v>
      </c>
      <c r="C215">
        <v>0</v>
      </c>
      <c r="D215">
        <v>0</v>
      </c>
      <c r="E215">
        <v>99</v>
      </c>
      <c r="F215">
        <v>0</v>
      </c>
      <c r="G215">
        <v>0</v>
      </c>
      <c r="H215">
        <v>0</v>
      </c>
      <c r="I215" t="s">
        <v>45</v>
      </c>
    </row>
    <row r="216" spans="1:9">
      <c r="A216" t="s">
        <v>223</v>
      </c>
      <c r="B216">
        <v>0</v>
      </c>
      <c r="C216">
        <v>0</v>
      </c>
      <c r="D216">
        <v>0</v>
      </c>
      <c r="E216">
        <v>99</v>
      </c>
      <c r="F216">
        <v>0</v>
      </c>
      <c r="G216">
        <v>0</v>
      </c>
      <c r="H216">
        <v>0</v>
      </c>
      <c r="I216" t="s">
        <v>45</v>
      </c>
    </row>
    <row r="217" spans="1:9">
      <c r="A217" t="s">
        <v>224</v>
      </c>
      <c r="B217">
        <v>0</v>
      </c>
      <c r="C217">
        <v>0</v>
      </c>
      <c r="D217">
        <v>0</v>
      </c>
      <c r="E217">
        <v>99</v>
      </c>
      <c r="F217">
        <v>0</v>
      </c>
      <c r="G217">
        <v>0</v>
      </c>
      <c r="H217">
        <v>0</v>
      </c>
      <c r="I217" t="s">
        <v>45</v>
      </c>
    </row>
    <row r="218" spans="1:9">
      <c r="A218" t="s">
        <v>225</v>
      </c>
      <c r="B218">
        <v>0</v>
      </c>
      <c r="C218">
        <v>0</v>
      </c>
      <c r="D218">
        <v>0</v>
      </c>
      <c r="E218">
        <v>99</v>
      </c>
      <c r="F218">
        <v>0</v>
      </c>
      <c r="G218">
        <v>0</v>
      </c>
      <c r="H218">
        <v>0</v>
      </c>
      <c r="I218" t="s">
        <v>45</v>
      </c>
    </row>
    <row r="219" spans="1:9">
      <c r="A219" t="s">
        <v>226</v>
      </c>
      <c r="B219">
        <v>0</v>
      </c>
      <c r="C219">
        <v>0</v>
      </c>
      <c r="D219">
        <v>0</v>
      </c>
      <c r="E219">
        <v>99</v>
      </c>
      <c r="F219">
        <v>0</v>
      </c>
      <c r="G219">
        <v>0</v>
      </c>
      <c r="H219">
        <v>0</v>
      </c>
      <c r="I219" t="s">
        <v>45</v>
      </c>
    </row>
    <row r="220" spans="1:9">
      <c r="A220" t="s">
        <v>227</v>
      </c>
      <c r="B220">
        <v>0</v>
      </c>
      <c r="C220">
        <v>0</v>
      </c>
      <c r="D220">
        <v>0</v>
      </c>
      <c r="E220">
        <v>99</v>
      </c>
      <c r="F220">
        <v>0</v>
      </c>
      <c r="G220">
        <v>0</v>
      </c>
      <c r="H220">
        <v>0</v>
      </c>
      <c r="I220" t="s">
        <v>45</v>
      </c>
    </row>
    <row r="221" spans="1:9">
      <c r="A221" t="s">
        <v>228</v>
      </c>
      <c r="B221">
        <v>0</v>
      </c>
      <c r="C221">
        <v>0</v>
      </c>
      <c r="D221">
        <v>0</v>
      </c>
      <c r="E221">
        <v>99</v>
      </c>
      <c r="F221">
        <v>0</v>
      </c>
      <c r="G221">
        <v>0</v>
      </c>
      <c r="H221">
        <v>0</v>
      </c>
      <c r="I221" t="s">
        <v>45</v>
      </c>
    </row>
    <row r="222" spans="1:9">
      <c r="A222" t="s">
        <v>229</v>
      </c>
      <c r="B222">
        <v>0</v>
      </c>
      <c r="C222">
        <v>0</v>
      </c>
      <c r="D222">
        <v>0</v>
      </c>
      <c r="E222">
        <v>99</v>
      </c>
      <c r="F222">
        <v>0</v>
      </c>
      <c r="G222">
        <v>0</v>
      </c>
      <c r="H222">
        <v>0</v>
      </c>
      <c r="I222" t="s">
        <v>45</v>
      </c>
    </row>
    <row r="223" spans="1:9">
      <c r="A223" t="s">
        <v>230</v>
      </c>
      <c r="B223">
        <v>0</v>
      </c>
      <c r="C223">
        <v>0</v>
      </c>
      <c r="D223">
        <v>0</v>
      </c>
      <c r="E223">
        <v>99</v>
      </c>
      <c r="F223">
        <v>0</v>
      </c>
      <c r="G223">
        <v>0</v>
      </c>
      <c r="H223">
        <v>0</v>
      </c>
      <c r="I223" t="s">
        <v>45</v>
      </c>
    </row>
    <row r="224" spans="1:9">
      <c r="A224" t="s">
        <v>231</v>
      </c>
      <c r="B224">
        <v>0</v>
      </c>
      <c r="C224">
        <v>0</v>
      </c>
      <c r="D224">
        <v>0</v>
      </c>
      <c r="E224">
        <v>99</v>
      </c>
      <c r="F224">
        <v>0</v>
      </c>
      <c r="G224">
        <v>0</v>
      </c>
      <c r="H224">
        <v>0</v>
      </c>
      <c r="I224" t="s">
        <v>45</v>
      </c>
    </row>
    <row r="225" spans="1:9">
      <c r="A225" t="s">
        <v>232</v>
      </c>
      <c r="B225">
        <v>0</v>
      </c>
      <c r="C225">
        <v>0</v>
      </c>
      <c r="D225">
        <v>2</v>
      </c>
      <c r="E225">
        <v>97</v>
      </c>
      <c r="F225">
        <v>0</v>
      </c>
      <c r="G225">
        <v>0</v>
      </c>
      <c r="H225">
        <v>2</v>
      </c>
      <c r="I225" t="s">
        <v>45</v>
      </c>
    </row>
    <row r="226" spans="1:9">
      <c r="A226" t="s">
        <v>233</v>
      </c>
      <c r="B226">
        <v>0</v>
      </c>
      <c r="C226">
        <v>0</v>
      </c>
      <c r="D226">
        <v>0</v>
      </c>
      <c r="E226">
        <v>99</v>
      </c>
      <c r="F226">
        <v>0</v>
      </c>
      <c r="G226">
        <v>0</v>
      </c>
      <c r="H226">
        <v>0</v>
      </c>
      <c r="I226" t="s">
        <v>45</v>
      </c>
    </row>
    <row r="227" spans="1:9">
      <c r="A227" t="s">
        <v>234</v>
      </c>
      <c r="B227">
        <v>0</v>
      </c>
      <c r="C227">
        <v>0</v>
      </c>
      <c r="D227">
        <v>0</v>
      </c>
      <c r="E227">
        <v>99</v>
      </c>
      <c r="F227">
        <v>0</v>
      </c>
      <c r="G227">
        <v>0</v>
      </c>
      <c r="H227">
        <v>0</v>
      </c>
      <c r="I227" t="s">
        <v>45</v>
      </c>
    </row>
    <row r="228" spans="1:9">
      <c r="A228" t="s">
        <v>235</v>
      </c>
      <c r="B228">
        <v>0</v>
      </c>
      <c r="C228">
        <v>0</v>
      </c>
      <c r="D228">
        <v>0</v>
      </c>
      <c r="E228">
        <v>100</v>
      </c>
      <c r="F228">
        <v>0</v>
      </c>
      <c r="G228">
        <v>0</v>
      </c>
      <c r="H228">
        <v>0</v>
      </c>
      <c r="I228" t="s">
        <v>45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D16E1-455E-421C-803A-54538ADA32F8}">
  <sheetPr codeName="Sheet8"/>
  <dimension ref="A1:EZ228"/>
  <sheetViews>
    <sheetView workbookViewId="0"/>
  </sheetViews>
  <sheetFormatPr defaultRowHeight="12.5"/>
  <sheetData>
    <row r="1" spans="1:7">
      <c r="A1" t="s">
        <v>84</v>
      </c>
      <c r="B1">
        <v>59</v>
      </c>
      <c r="C1" t="s">
        <v>245</v>
      </c>
      <c r="D1" t="s">
        <v>83</v>
      </c>
      <c r="E1" t="s">
        <v>240</v>
      </c>
    </row>
    <row r="2" spans="1:7">
      <c r="A2" t="s">
        <v>79</v>
      </c>
      <c r="B2" t="s">
        <v>87</v>
      </c>
      <c r="C2">
        <v>2</v>
      </c>
    </row>
    <row r="3" spans="1:7">
      <c r="A3" t="s">
        <v>80</v>
      </c>
    </row>
    <row r="4" spans="1:7">
      <c r="A4" t="s">
        <v>248</v>
      </c>
    </row>
    <row r="5" spans="1:7">
      <c r="A5" t="s">
        <v>81</v>
      </c>
      <c r="B5" t="s">
        <v>237</v>
      </c>
      <c r="C5" t="s">
        <v>58</v>
      </c>
      <c r="D5" t="s">
        <v>249</v>
      </c>
    </row>
    <row r="6" spans="1:7">
      <c r="A6" t="s">
        <v>243</v>
      </c>
    </row>
    <row r="7" spans="1:7">
      <c r="A7" t="s">
        <v>82</v>
      </c>
      <c r="B7" t="s">
        <v>92</v>
      </c>
    </row>
    <row r="8" spans="1:7">
      <c r="A8" t="s">
        <v>93</v>
      </c>
      <c r="B8" t="s">
        <v>94</v>
      </c>
    </row>
    <row r="9" spans="1:7">
      <c r="A9" t="s">
        <v>95</v>
      </c>
      <c r="B9" t="s">
        <v>96</v>
      </c>
      <c r="C9" t="s">
        <v>97</v>
      </c>
    </row>
    <row r="10" spans="1:7">
      <c r="A10" t="s">
        <v>244</v>
      </c>
    </row>
    <row r="11" spans="1:7">
      <c r="A11" t="s">
        <v>99</v>
      </c>
    </row>
    <row r="12" spans="1:7">
      <c r="A12" t="s">
        <v>100</v>
      </c>
      <c r="B12" t="s">
        <v>101</v>
      </c>
      <c r="C12" t="s">
        <v>102</v>
      </c>
      <c r="D12" t="s">
        <v>103</v>
      </c>
      <c r="E12" t="s">
        <v>104</v>
      </c>
      <c r="F12" t="s">
        <v>105</v>
      </c>
      <c r="G12" t="s">
        <v>106</v>
      </c>
    </row>
    <row r="13" spans="1:7">
      <c r="A13">
        <v>2</v>
      </c>
      <c r="B13">
        <v>26759360</v>
      </c>
      <c r="C13">
        <v>0.11</v>
      </c>
      <c r="D13">
        <v>0</v>
      </c>
      <c r="E13">
        <v>6.77</v>
      </c>
      <c r="F13">
        <v>830</v>
      </c>
      <c r="G13">
        <v>3279</v>
      </c>
    </row>
    <row r="14" spans="1:7">
      <c r="A14">
        <v>4</v>
      </c>
      <c r="B14">
        <v>147570000</v>
      </c>
      <c r="C14">
        <v>0.59</v>
      </c>
      <c r="D14">
        <v>0</v>
      </c>
      <c r="E14">
        <v>17.93</v>
      </c>
      <c r="F14">
        <v>5360</v>
      </c>
      <c r="G14">
        <v>29805</v>
      </c>
    </row>
    <row r="15" spans="1:7">
      <c r="A15">
        <v>6</v>
      </c>
      <c r="B15">
        <v>165770300</v>
      </c>
      <c r="C15">
        <v>0.66</v>
      </c>
      <c r="D15">
        <v>0</v>
      </c>
      <c r="E15">
        <v>26.13</v>
      </c>
      <c r="F15">
        <v>11811</v>
      </c>
      <c r="G15">
        <v>68997</v>
      </c>
    </row>
    <row r="16" spans="1:7">
      <c r="A16">
        <v>8</v>
      </c>
      <c r="B16">
        <v>273299640</v>
      </c>
      <c r="C16">
        <v>1.0900000000000001</v>
      </c>
      <c r="D16">
        <v>0</v>
      </c>
      <c r="E16">
        <v>38.11</v>
      </c>
      <c r="F16">
        <v>21338</v>
      </c>
      <c r="G16">
        <v>126311</v>
      </c>
    </row>
    <row r="17" spans="1:7">
      <c r="A17">
        <v>10</v>
      </c>
      <c r="B17">
        <v>402866100</v>
      </c>
      <c r="C17">
        <v>1.61</v>
      </c>
      <c r="D17">
        <v>0</v>
      </c>
      <c r="E17">
        <v>55.94</v>
      </c>
      <c r="F17">
        <v>35754</v>
      </c>
      <c r="G17">
        <v>212036</v>
      </c>
    </row>
    <row r="18" spans="1:7">
      <c r="A18">
        <v>12</v>
      </c>
      <c r="B18">
        <v>603462920</v>
      </c>
      <c r="C18">
        <v>2.41</v>
      </c>
      <c r="D18">
        <v>0</v>
      </c>
      <c r="E18">
        <v>81.55</v>
      </c>
      <c r="F18">
        <v>57102</v>
      </c>
      <c r="G18">
        <v>335790</v>
      </c>
    </row>
    <row r="19" spans="1:7">
      <c r="A19">
        <v>14</v>
      </c>
      <c r="B19">
        <v>890929280</v>
      </c>
      <c r="C19">
        <v>3.56</v>
      </c>
      <c r="D19">
        <v>0</v>
      </c>
      <c r="E19">
        <v>118.91</v>
      </c>
      <c r="F19">
        <v>88471</v>
      </c>
      <c r="G19">
        <v>517042</v>
      </c>
    </row>
    <row r="20" spans="1:7">
      <c r="A20">
        <v>16</v>
      </c>
      <c r="B20">
        <v>1221190940</v>
      </c>
      <c r="C20">
        <v>4.88</v>
      </c>
      <c r="D20">
        <v>0</v>
      </c>
      <c r="E20">
        <v>173.44</v>
      </c>
      <c r="F20">
        <v>132672</v>
      </c>
      <c r="G20">
        <v>782048</v>
      </c>
    </row>
    <row r="21" spans="1:7">
      <c r="A21">
        <v>18</v>
      </c>
      <c r="B21">
        <v>1785006720</v>
      </c>
      <c r="C21">
        <v>7.14</v>
      </c>
      <c r="D21">
        <v>0</v>
      </c>
      <c r="E21">
        <v>254.61</v>
      </c>
      <c r="F21">
        <v>192457</v>
      </c>
      <c r="G21">
        <v>1176527</v>
      </c>
    </row>
    <row r="22" spans="1:7">
      <c r="A22">
        <v>20</v>
      </c>
      <c r="B22">
        <v>2960549340</v>
      </c>
      <c r="C22">
        <v>11.84</v>
      </c>
      <c r="D22">
        <v>0</v>
      </c>
      <c r="E22">
        <v>368.65</v>
      </c>
      <c r="F22">
        <v>276340</v>
      </c>
      <c r="G22">
        <v>1742259</v>
      </c>
    </row>
    <row r="23" spans="1:7">
      <c r="A23">
        <v>22</v>
      </c>
      <c r="B23">
        <v>3682265020</v>
      </c>
      <c r="C23">
        <v>14.73</v>
      </c>
      <c r="D23">
        <v>0</v>
      </c>
      <c r="E23">
        <v>510.76</v>
      </c>
      <c r="F23">
        <v>398461</v>
      </c>
      <c r="G23">
        <v>2544270</v>
      </c>
    </row>
    <row r="24" spans="1:7">
      <c r="A24">
        <v>24</v>
      </c>
      <c r="B24">
        <v>4474814300</v>
      </c>
      <c r="C24">
        <v>17.899999999999999</v>
      </c>
      <c r="D24">
        <v>0</v>
      </c>
      <c r="E24">
        <v>697.11</v>
      </c>
      <c r="F24">
        <v>569653</v>
      </c>
      <c r="G24">
        <v>3633379</v>
      </c>
    </row>
    <row r="25" spans="1:7">
      <c r="A25">
        <v>26</v>
      </c>
      <c r="B25">
        <v>6188889040</v>
      </c>
      <c r="C25">
        <v>24.76</v>
      </c>
      <c r="D25">
        <v>0</v>
      </c>
      <c r="E25">
        <v>905.62</v>
      </c>
      <c r="F25">
        <v>715729</v>
      </c>
      <c r="G25">
        <v>5126829</v>
      </c>
    </row>
    <row r="26" spans="1:7">
      <c r="A26">
        <v>28</v>
      </c>
      <c r="B26">
        <v>6589492400</v>
      </c>
      <c r="C26">
        <v>26.36</v>
      </c>
      <c r="D26">
        <v>0</v>
      </c>
      <c r="E26">
        <v>915.62</v>
      </c>
      <c r="F26">
        <v>835255</v>
      </c>
      <c r="G26">
        <v>6640195</v>
      </c>
    </row>
    <row r="27" spans="1:7">
      <c r="A27">
        <v>30</v>
      </c>
      <c r="B27">
        <v>6894372020</v>
      </c>
      <c r="C27">
        <v>27.58</v>
      </c>
      <c r="D27">
        <v>0</v>
      </c>
      <c r="E27">
        <v>915.62</v>
      </c>
      <c r="F27">
        <v>954027</v>
      </c>
      <c r="G27">
        <v>8137505</v>
      </c>
    </row>
    <row r="28" spans="1:7">
      <c r="A28">
        <v>32</v>
      </c>
      <c r="B28">
        <v>5666884760</v>
      </c>
      <c r="C28">
        <v>22.67</v>
      </c>
      <c r="D28">
        <v>0</v>
      </c>
      <c r="E28">
        <v>915.62</v>
      </c>
      <c r="F28">
        <v>1077535</v>
      </c>
      <c r="G28">
        <v>9677972</v>
      </c>
    </row>
    <row r="29" spans="1:7">
      <c r="A29">
        <v>34</v>
      </c>
      <c r="B29">
        <v>6408571580</v>
      </c>
      <c r="C29">
        <v>25.63</v>
      </c>
      <c r="D29">
        <v>0</v>
      </c>
      <c r="E29">
        <v>915.62</v>
      </c>
      <c r="F29">
        <v>1213937</v>
      </c>
      <c r="G29">
        <v>11292331</v>
      </c>
    </row>
    <row r="30" spans="1:7">
      <c r="A30">
        <v>36</v>
      </c>
      <c r="B30">
        <v>6117858680</v>
      </c>
      <c r="C30">
        <v>24.47</v>
      </c>
      <c r="D30">
        <v>0</v>
      </c>
      <c r="E30">
        <v>915.62</v>
      </c>
      <c r="F30">
        <v>1369234</v>
      </c>
      <c r="G30">
        <v>13023669</v>
      </c>
    </row>
    <row r="31" spans="1:7">
      <c r="A31">
        <v>38</v>
      </c>
      <c r="B31">
        <v>6679018200</v>
      </c>
      <c r="C31">
        <v>26.72</v>
      </c>
      <c r="D31">
        <v>0</v>
      </c>
      <c r="E31">
        <v>915.62</v>
      </c>
      <c r="F31">
        <v>1541561</v>
      </c>
      <c r="G31">
        <v>14901692</v>
      </c>
    </row>
    <row r="32" spans="1:7">
      <c r="A32">
        <v>40</v>
      </c>
      <c r="B32">
        <v>5392109420</v>
      </c>
      <c r="C32">
        <v>21.57</v>
      </c>
      <c r="D32">
        <v>0</v>
      </c>
      <c r="E32">
        <v>915.62</v>
      </c>
      <c r="F32">
        <v>1678900</v>
      </c>
      <c r="G32">
        <v>16902345</v>
      </c>
    </row>
    <row r="33" spans="1:7">
      <c r="A33">
        <v>42</v>
      </c>
      <c r="B33">
        <v>6105364420</v>
      </c>
      <c r="C33">
        <v>24.42</v>
      </c>
      <c r="D33">
        <v>0</v>
      </c>
      <c r="E33">
        <v>915.62</v>
      </c>
      <c r="F33">
        <v>1808141</v>
      </c>
      <c r="G33">
        <v>18827274</v>
      </c>
    </row>
    <row r="34" spans="1:7">
      <c r="A34">
        <v>44</v>
      </c>
      <c r="B34">
        <v>5770872420</v>
      </c>
      <c r="C34">
        <v>23.08</v>
      </c>
      <c r="D34">
        <v>0</v>
      </c>
      <c r="E34">
        <v>915.62</v>
      </c>
      <c r="F34">
        <v>1936271</v>
      </c>
      <c r="G34">
        <v>20730966</v>
      </c>
    </row>
    <row r="35" spans="1:7">
      <c r="A35">
        <v>46</v>
      </c>
      <c r="B35">
        <v>6556141580</v>
      </c>
      <c r="C35">
        <v>26.22</v>
      </c>
      <c r="D35">
        <v>0</v>
      </c>
      <c r="E35">
        <v>915.62</v>
      </c>
      <c r="F35">
        <v>2063639</v>
      </c>
      <c r="G35">
        <v>22625669</v>
      </c>
    </row>
    <row r="36" spans="1:7">
      <c r="A36">
        <v>48</v>
      </c>
      <c r="B36">
        <v>5251229260</v>
      </c>
      <c r="C36">
        <v>21</v>
      </c>
      <c r="D36">
        <v>0</v>
      </c>
      <c r="E36">
        <v>915.62</v>
      </c>
      <c r="F36">
        <v>2190749</v>
      </c>
      <c r="G36">
        <v>24516939</v>
      </c>
    </row>
    <row r="37" spans="1:7">
      <c r="A37">
        <v>50</v>
      </c>
      <c r="B37">
        <v>6304387160</v>
      </c>
      <c r="C37">
        <v>25.22</v>
      </c>
      <c r="D37">
        <v>0</v>
      </c>
      <c r="E37">
        <v>915.62</v>
      </c>
      <c r="F37">
        <v>2316488</v>
      </c>
      <c r="G37">
        <v>26405270</v>
      </c>
    </row>
    <row r="38" spans="1:7">
      <c r="A38">
        <v>52</v>
      </c>
      <c r="B38">
        <v>5996752900</v>
      </c>
      <c r="C38">
        <v>23.99</v>
      </c>
      <c r="D38">
        <v>0</v>
      </c>
      <c r="E38">
        <v>915.62</v>
      </c>
      <c r="F38">
        <v>2442454</v>
      </c>
      <c r="G38">
        <v>28294734</v>
      </c>
    </row>
    <row r="39" spans="1:7">
      <c r="A39">
        <v>54</v>
      </c>
      <c r="B39">
        <v>5369875540</v>
      </c>
      <c r="C39">
        <v>21.48</v>
      </c>
      <c r="D39">
        <v>0</v>
      </c>
      <c r="E39">
        <v>915.62</v>
      </c>
      <c r="F39">
        <v>2569178</v>
      </c>
      <c r="G39">
        <v>30183179</v>
      </c>
    </row>
    <row r="40" spans="1:7">
      <c r="A40">
        <v>56</v>
      </c>
      <c r="B40">
        <v>6055485760</v>
      </c>
      <c r="C40">
        <v>24.22</v>
      </c>
      <c r="D40">
        <v>0</v>
      </c>
      <c r="E40">
        <v>915.62</v>
      </c>
      <c r="F40">
        <v>2695703</v>
      </c>
      <c r="G40">
        <v>32071256</v>
      </c>
    </row>
    <row r="41" spans="1:7">
      <c r="A41">
        <v>58</v>
      </c>
      <c r="B41">
        <v>5696989040</v>
      </c>
      <c r="C41">
        <v>22.79</v>
      </c>
      <c r="D41">
        <v>0</v>
      </c>
      <c r="E41">
        <v>915.62</v>
      </c>
      <c r="F41">
        <v>2822293</v>
      </c>
      <c r="G41">
        <v>33958668</v>
      </c>
    </row>
    <row r="42" spans="1:7">
      <c r="A42">
        <v>60</v>
      </c>
      <c r="B42">
        <v>6246539720</v>
      </c>
      <c r="C42">
        <v>24.99</v>
      </c>
      <c r="D42">
        <v>0</v>
      </c>
      <c r="E42">
        <v>915.62</v>
      </c>
      <c r="F42">
        <v>2948712</v>
      </c>
      <c r="G42">
        <v>35847352</v>
      </c>
    </row>
    <row r="43" spans="1:7">
      <c r="A43">
        <v>62</v>
      </c>
      <c r="B43">
        <v>5459598100</v>
      </c>
      <c r="C43">
        <v>21.84</v>
      </c>
      <c r="D43">
        <v>0</v>
      </c>
      <c r="E43">
        <v>915.62</v>
      </c>
      <c r="F43">
        <v>3075019</v>
      </c>
      <c r="G43">
        <v>37735694</v>
      </c>
    </row>
    <row r="44" spans="1:7">
      <c r="A44">
        <v>64</v>
      </c>
      <c r="B44">
        <v>6298779500</v>
      </c>
      <c r="C44">
        <v>25.2</v>
      </c>
      <c r="D44">
        <v>0</v>
      </c>
      <c r="E44">
        <v>915.62</v>
      </c>
      <c r="F44">
        <v>3201254</v>
      </c>
      <c r="G44">
        <v>39623944</v>
      </c>
    </row>
    <row r="45" spans="1:7">
      <c r="A45">
        <v>66</v>
      </c>
      <c r="B45">
        <v>5378237840</v>
      </c>
      <c r="C45">
        <v>21.51</v>
      </c>
      <c r="D45">
        <v>0</v>
      </c>
      <c r="E45">
        <v>915.62</v>
      </c>
      <c r="F45">
        <v>3328123</v>
      </c>
      <c r="G45">
        <v>41511117</v>
      </c>
    </row>
    <row r="46" spans="1:7">
      <c r="A46">
        <v>68</v>
      </c>
      <c r="B46">
        <v>6432379540</v>
      </c>
      <c r="C46">
        <v>25.73</v>
      </c>
      <c r="D46">
        <v>0</v>
      </c>
      <c r="E46">
        <v>915.62</v>
      </c>
      <c r="F46">
        <v>3454417</v>
      </c>
      <c r="G46">
        <v>43396889</v>
      </c>
    </row>
    <row r="47" spans="1:7">
      <c r="A47">
        <v>70</v>
      </c>
      <c r="B47">
        <v>5338787460</v>
      </c>
      <c r="C47">
        <v>21.36</v>
      </c>
      <c r="D47">
        <v>0</v>
      </c>
      <c r="E47">
        <v>915.62</v>
      </c>
      <c r="F47">
        <v>3580747</v>
      </c>
      <c r="G47">
        <v>45283342</v>
      </c>
    </row>
    <row r="48" spans="1:7">
      <c r="A48">
        <v>72</v>
      </c>
      <c r="B48">
        <v>6198727040</v>
      </c>
      <c r="C48">
        <v>24.79</v>
      </c>
      <c r="D48">
        <v>0</v>
      </c>
      <c r="E48">
        <v>915.62</v>
      </c>
      <c r="F48">
        <v>3707329</v>
      </c>
      <c r="G48">
        <v>47170054</v>
      </c>
    </row>
    <row r="49" spans="1:7">
      <c r="A49">
        <v>74</v>
      </c>
      <c r="B49">
        <v>5478388680</v>
      </c>
      <c r="C49">
        <v>21.91</v>
      </c>
      <c r="D49">
        <v>0</v>
      </c>
      <c r="E49">
        <v>915.62</v>
      </c>
      <c r="F49">
        <v>3834177</v>
      </c>
      <c r="G49">
        <v>49056580</v>
      </c>
    </row>
    <row r="50" spans="1:7">
      <c r="A50">
        <v>76</v>
      </c>
      <c r="B50">
        <v>6400504420</v>
      </c>
      <c r="C50">
        <v>25.6</v>
      </c>
      <c r="D50">
        <v>0</v>
      </c>
      <c r="E50">
        <v>915.62</v>
      </c>
      <c r="F50">
        <v>3960600</v>
      </c>
      <c r="G50">
        <v>50943443</v>
      </c>
    </row>
    <row r="51" spans="1:7">
      <c r="A51">
        <v>78</v>
      </c>
      <c r="B51">
        <v>5344296740</v>
      </c>
      <c r="C51">
        <v>21.38</v>
      </c>
      <c r="D51">
        <v>0</v>
      </c>
      <c r="E51">
        <v>915.62</v>
      </c>
      <c r="F51">
        <v>4087343</v>
      </c>
      <c r="G51">
        <v>52829823</v>
      </c>
    </row>
    <row r="52" spans="1:7">
      <c r="A52">
        <v>80</v>
      </c>
      <c r="B52">
        <v>6124745280</v>
      </c>
      <c r="C52">
        <v>24.5</v>
      </c>
      <c r="D52">
        <v>0</v>
      </c>
      <c r="E52">
        <v>915.62</v>
      </c>
      <c r="F52">
        <v>4213686</v>
      </c>
      <c r="G52">
        <v>54716817</v>
      </c>
    </row>
    <row r="53" spans="1:7">
      <c r="A53">
        <v>82</v>
      </c>
      <c r="B53">
        <v>5939298980</v>
      </c>
      <c r="C53">
        <v>23.76</v>
      </c>
      <c r="D53">
        <v>0</v>
      </c>
      <c r="E53">
        <v>915.62</v>
      </c>
      <c r="F53">
        <v>4340076</v>
      </c>
      <c r="G53">
        <v>56603641</v>
      </c>
    </row>
    <row r="54" spans="1:7">
      <c r="A54">
        <v>84</v>
      </c>
      <c r="B54">
        <v>5560437600</v>
      </c>
      <c r="C54">
        <v>22.24</v>
      </c>
      <c r="D54">
        <v>0</v>
      </c>
      <c r="E54">
        <v>915.62</v>
      </c>
      <c r="F54">
        <v>4466408</v>
      </c>
      <c r="G54">
        <v>58492016</v>
      </c>
    </row>
    <row r="55" spans="1:7">
      <c r="A55">
        <v>86</v>
      </c>
      <c r="B55">
        <v>6499966600</v>
      </c>
      <c r="C55">
        <v>26</v>
      </c>
      <c r="D55">
        <v>0</v>
      </c>
      <c r="E55">
        <v>915.62</v>
      </c>
      <c r="F55">
        <v>4592543</v>
      </c>
      <c r="G55">
        <v>60380047</v>
      </c>
    </row>
    <row r="56" spans="1:7">
      <c r="A56">
        <v>88</v>
      </c>
      <c r="B56">
        <v>5221124980</v>
      </c>
      <c r="C56">
        <v>20.88</v>
      </c>
      <c r="D56">
        <v>0</v>
      </c>
      <c r="E56">
        <v>915.62</v>
      </c>
      <c r="F56">
        <v>4718718</v>
      </c>
      <c r="G56">
        <v>62268520</v>
      </c>
    </row>
    <row r="57" spans="1:7">
      <c r="A57">
        <v>90</v>
      </c>
      <c r="B57">
        <v>6221256060</v>
      </c>
      <c r="C57">
        <v>24.89</v>
      </c>
      <c r="D57">
        <v>0</v>
      </c>
      <c r="E57">
        <v>915.62</v>
      </c>
      <c r="F57">
        <v>4844749</v>
      </c>
      <c r="G57">
        <v>64156538</v>
      </c>
    </row>
    <row r="58" spans="1:7">
      <c r="A58">
        <v>92</v>
      </c>
      <c r="B58">
        <v>5505148040</v>
      </c>
      <c r="C58">
        <v>22.02</v>
      </c>
      <c r="D58">
        <v>0</v>
      </c>
      <c r="E58">
        <v>915.62</v>
      </c>
      <c r="F58">
        <v>4970919</v>
      </c>
      <c r="G58">
        <v>66043710</v>
      </c>
    </row>
    <row r="59" spans="1:7">
      <c r="A59">
        <v>94</v>
      </c>
      <c r="B59">
        <v>6535678540</v>
      </c>
      <c r="C59">
        <v>26.14</v>
      </c>
      <c r="D59">
        <v>0</v>
      </c>
      <c r="E59">
        <v>915.62</v>
      </c>
      <c r="F59">
        <v>5096828</v>
      </c>
      <c r="G59">
        <v>67932347</v>
      </c>
    </row>
    <row r="60" spans="1:7">
      <c r="A60">
        <v>96</v>
      </c>
      <c r="B60">
        <v>5189840140</v>
      </c>
      <c r="C60">
        <v>20.76</v>
      </c>
      <c r="D60">
        <v>0</v>
      </c>
      <c r="E60">
        <v>915.62</v>
      </c>
      <c r="F60">
        <v>5222982</v>
      </c>
      <c r="G60">
        <v>69819236</v>
      </c>
    </row>
    <row r="61" spans="1:7">
      <c r="A61">
        <v>98</v>
      </c>
      <c r="B61">
        <v>6032464840</v>
      </c>
      <c r="C61">
        <v>24.13</v>
      </c>
      <c r="D61">
        <v>0</v>
      </c>
      <c r="E61">
        <v>915.62</v>
      </c>
      <c r="F61">
        <v>5347823</v>
      </c>
      <c r="G61">
        <v>71705371</v>
      </c>
    </row>
    <row r="62" spans="1:7">
      <c r="A62">
        <v>100</v>
      </c>
      <c r="B62">
        <v>5711844420</v>
      </c>
      <c r="C62">
        <v>22.85</v>
      </c>
      <c r="D62">
        <v>0</v>
      </c>
      <c r="E62">
        <v>915.62</v>
      </c>
      <c r="F62">
        <v>5473580</v>
      </c>
      <c r="G62">
        <v>73595080</v>
      </c>
    </row>
    <row r="63" spans="1:7">
      <c r="A63">
        <v>102</v>
      </c>
      <c r="B63">
        <v>6537941280</v>
      </c>
      <c r="C63">
        <v>26.15</v>
      </c>
      <c r="D63">
        <v>0</v>
      </c>
      <c r="E63">
        <v>915.62</v>
      </c>
      <c r="F63">
        <v>5600241</v>
      </c>
      <c r="G63">
        <v>75485267</v>
      </c>
    </row>
    <row r="64" spans="1:7">
      <c r="A64">
        <v>104</v>
      </c>
      <c r="B64">
        <v>5301206300</v>
      </c>
      <c r="C64">
        <v>21.2</v>
      </c>
      <c r="D64">
        <v>0</v>
      </c>
      <c r="E64">
        <v>915.62</v>
      </c>
      <c r="F64">
        <v>5726858</v>
      </c>
      <c r="G64">
        <v>77374535</v>
      </c>
    </row>
    <row r="65" spans="1:7">
      <c r="A65">
        <v>106</v>
      </c>
      <c r="B65">
        <v>6114513760</v>
      </c>
      <c r="C65">
        <v>24.46</v>
      </c>
      <c r="D65">
        <v>0</v>
      </c>
      <c r="E65">
        <v>915.62</v>
      </c>
      <c r="F65">
        <v>5853035</v>
      </c>
      <c r="G65">
        <v>79263231</v>
      </c>
    </row>
    <row r="66" spans="1:7">
      <c r="A66">
        <v>108</v>
      </c>
      <c r="B66">
        <v>5502491780</v>
      </c>
      <c r="C66">
        <v>22.01</v>
      </c>
      <c r="D66">
        <v>0</v>
      </c>
      <c r="E66">
        <v>915.62</v>
      </c>
      <c r="F66">
        <v>5979293</v>
      </c>
      <c r="G66">
        <v>81151444</v>
      </c>
    </row>
    <row r="67" spans="1:7">
      <c r="A67">
        <v>110</v>
      </c>
      <c r="B67">
        <v>6485504740</v>
      </c>
      <c r="C67">
        <v>25.94</v>
      </c>
      <c r="D67">
        <v>0</v>
      </c>
      <c r="E67">
        <v>915.62</v>
      </c>
      <c r="F67">
        <v>6105179</v>
      </c>
      <c r="G67">
        <v>83039583</v>
      </c>
    </row>
    <row r="68" spans="1:7">
      <c r="A68">
        <v>112</v>
      </c>
      <c r="B68">
        <v>5281530300</v>
      </c>
      <c r="C68">
        <v>21.13</v>
      </c>
      <c r="D68">
        <v>0</v>
      </c>
      <c r="E68">
        <v>915.62</v>
      </c>
      <c r="F68">
        <v>6231281</v>
      </c>
      <c r="G68">
        <v>84927604</v>
      </c>
    </row>
    <row r="69" spans="1:7">
      <c r="A69">
        <v>114</v>
      </c>
      <c r="B69">
        <v>6336065520</v>
      </c>
      <c r="C69">
        <v>25.34</v>
      </c>
      <c r="D69">
        <v>0</v>
      </c>
      <c r="E69">
        <v>915.62</v>
      </c>
      <c r="F69">
        <v>6357463</v>
      </c>
      <c r="G69">
        <v>86815673</v>
      </c>
    </row>
    <row r="70" spans="1:7">
      <c r="A70">
        <v>116</v>
      </c>
      <c r="B70">
        <v>5355708820</v>
      </c>
      <c r="C70">
        <v>21.42</v>
      </c>
      <c r="D70">
        <v>0</v>
      </c>
      <c r="E70">
        <v>915.62</v>
      </c>
      <c r="F70">
        <v>6483199</v>
      </c>
      <c r="G70">
        <v>88702945</v>
      </c>
    </row>
    <row r="71" spans="1:7">
      <c r="A71">
        <v>118</v>
      </c>
      <c r="B71">
        <v>6494457320</v>
      </c>
      <c r="C71">
        <v>25.98</v>
      </c>
      <c r="D71">
        <v>0</v>
      </c>
      <c r="E71">
        <v>915.62</v>
      </c>
      <c r="F71">
        <v>6609570</v>
      </c>
      <c r="G71">
        <v>90590312</v>
      </c>
    </row>
    <row r="72" spans="1:7">
      <c r="A72">
        <v>120</v>
      </c>
      <c r="B72">
        <v>5261362400</v>
      </c>
      <c r="C72">
        <v>21.05</v>
      </c>
      <c r="D72">
        <v>0</v>
      </c>
      <c r="E72">
        <v>915.62</v>
      </c>
      <c r="F72">
        <v>6735474</v>
      </c>
      <c r="G72">
        <v>92478077</v>
      </c>
    </row>
    <row r="73" spans="1:7">
      <c r="A73">
        <v>122</v>
      </c>
      <c r="B73">
        <v>6474978080</v>
      </c>
      <c r="C73">
        <v>25.9</v>
      </c>
      <c r="D73">
        <v>0</v>
      </c>
      <c r="E73">
        <v>915.62</v>
      </c>
      <c r="F73">
        <v>6861396</v>
      </c>
      <c r="G73">
        <v>94365588</v>
      </c>
    </row>
    <row r="74" spans="1:7">
      <c r="A74">
        <v>124</v>
      </c>
      <c r="B74">
        <v>5273955040</v>
      </c>
      <c r="C74">
        <v>21.1</v>
      </c>
      <c r="D74">
        <v>0</v>
      </c>
      <c r="E74">
        <v>915.62</v>
      </c>
      <c r="F74">
        <v>6987572</v>
      </c>
      <c r="G74">
        <v>96253859</v>
      </c>
    </row>
    <row r="75" spans="1:7">
      <c r="A75">
        <v>126</v>
      </c>
      <c r="B75">
        <v>6333015740</v>
      </c>
      <c r="C75">
        <v>25.33</v>
      </c>
      <c r="D75">
        <v>0</v>
      </c>
      <c r="E75">
        <v>915.62</v>
      </c>
      <c r="F75">
        <v>7113214</v>
      </c>
      <c r="G75">
        <v>98142733</v>
      </c>
    </row>
    <row r="76" spans="1:7">
      <c r="A76">
        <v>128</v>
      </c>
      <c r="B76">
        <v>5865513980</v>
      </c>
      <c r="C76">
        <v>23.46</v>
      </c>
      <c r="D76">
        <v>0</v>
      </c>
      <c r="E76">
        <v>915.62</v>
      </c>
      <c r="F76">
        <v>7239589</v>
      </c>
      <c r="G76">
        <v>100028553</v>
      </c>
    </row>
    <row r="77" spans="1:7">
      <c r="A77">
        <v>130</v>
      </c>
      <c r="B77">
        <v>5430576000</v>
      </c>
      <c r="C77">
        <v>21.72</v>
      </c>
      <c r="D77">
        <v>0</v>
      </c>
      <c r="E77">
        <v>915.62</v>
      </c>
      <c r="F77">
        <v>7365342</v>
      </c>
      <c r="G77">
        <v>101916066</v>
      </c>
    </row>
    <row r="78" spans="1:7">
      <c r="A78">
        <v>132</v>
      </c>
      <c r="B78">
        <v>6150225700</v>
      </c>
      <c r="C78">
        <v>24.6</v>
      </c>
      <c r="D78">
        <v>0</v>
      </c>
      <c r="E78">
        <v>915.62</v>
      </c>
      <c r="F78">
        <v>7491119</v>
      </c>
      <c r="G78">
        <v>103803299</v>
      </c>
    </row>
    <row r="79" spans="1:7">
      <c r="A79">
        <v>134</v>
      </c>
      <c r="B79">
        <v>5544795180</v>
      </c>
      <c r="C79">
        <v>22.18</v>
      </c>
      <c r="D79">
        <v>0</v>
      </c>
      <c r="E79">
        <v>915.62</v>
      </c>
      <c r="F79">
        <v>7617380</v>
      </c>
      <c r="G79">
        <v>105690599</v>
      </c>
    </row>
    <row r="80" spans="1:7">
      <c r="A80">
        <v>136</v>
      </c>
      <c r="B80">
        <v>6401291460</v>
      </c>
      <c r="C80">
        <v>25.61</v>
      </c>
      <c r="D80">
        <v>0</v>
      </c>
      <c r="E80">
        <v>915.62</v>
      </c>
      <c r="F80">
        <v>7743511</v>
      </c>
      <c r="G80">
        <v>107578914</v>
      </c>
    </row>
    <row r="81" spans="1:7">
      <c r="A81">
        <v>138</v>
      </c>
      <c r="B81">
        <v>5311044300</v>
      </c>
      <c r="C81">
        <v>21.24</v>
      </c>
      <c r="D81">
        <v>0</v>
      </c>
      <c r="E81">
        <v>915.62</v>
      </c>
      <c r="F81">
        <v>7869619</v>
      </c>
      <c r="G81">
        <v>109467241</v>
      </c>
    </row>
    <row r="82" spans="1:7">
      <c r="A82">
        <v>140</v>
      </c>
      <c r="B82">
        <v>6394109720</v>
      </c>
      <c r="C82">
        <v>25.58</v>
      </c>
      <c r="D82">
        <v>0</v>
      </c>
      <c r="E82">
        <v>915.62</v>
      </c>
      <c r="F82">
        <v>7995821</v>
      </c>
      <c r="G82">
        <v>111353918</v>
      </c>
    </row>
    <row r="83" spans="1:7">
      <c r="A83">
        <v>142</v>
      </c>
      <c r="B83">
        <v>5404800440</v>
      </c>
      <c r="C83">
        <v>21.62</v>
      </c>
      <c r="D83">
        <v>0</v>
      </c>
      <c r="E83">
        <v>915.62</v>
      </c>
      <c r="F83">
        <v>8121629</v>
      </c>
      <c r="G83">
        <v>113240618</v>
      </c>
    </row>
    <row r="84" spans="1:7">
      <c r="A84">
        <v>144</v>
      </c>
      <c r="B84">
        <v>6139207140</v>
      </c>
      <c r="C84">
        <v>24.56</v>
      </c>
      <c r="D84">
        <v>0</v>
      </c>
      <c r="E84">
        <v>915.62</v>
      </c>
      <c r="F84">
        <v>8247481</v>
      </c>
      <c r="G84">
        <v>115129004</v>
      </c>
    </row>
    <row r="85" spans="1:7">
      <c r="A85">
        <v>146</v>
      </c>
      <c r="B85">
        <v>5532989580</v>
      </c>
      <c r="C85">
        <v>22.13</v>
      </c>
      <c r="D85">
        <v>0</v>
      </c>
      <c r="E85">
        <v>915.62</v>
      </c>
      <c r="F85">
        <v>8373707</v>
      </c>
      <c r="G85">
        <v>117017732</v>
      </c>
    </row>
    <row r="86" spans="1:7">
      <c r="A86">
        <v>148</v>
      </c>
      <c r="B86">
        <v>6508033760</v>
      </c>
      <c r="C86">
        <v>26.03</v>
      </c>
      <c r="D86">
        <v>0</v>
      </c>
      <c r="E86">
        <v>915.62</v>
      </c>
      <c r="F86">
        <v>8499587</v>
      </c>
      <c r="G86">
        <v>118905470</v>
      </c>
    </row>
    <row r="87" spans="1:7">
      <c r="A87">
        <v>150</v>
      </c>
      <c r="B87">
        <v>5403324740</v>
      </c>
      <c r="C87">
        <v>21.61</v>
      </c>
      <c r="D87">
        <v>0</v>
      </c>
      <c r="E87">
        <v>915.62</v>
      </c>
      <c r="F87">
        <v>8625972</v>
      </c>
      <c r="G87">
        <v>120793467</v>
      </c>
    </row>
    <row r="88" spans="1:7">
      <c r="A88">
        <v>152</v>
      </c>
      <c r="B88">
        <v>5949235360</v>
      </c>
      <c r="C88">
        <v>23.8</v>
      </c>
      <c r="D88">
        <v>0</v>
      </c>
      <c r="E88">
        <v>915.62</v>
      </c>
      <c r="F88">
        <v>8752188</v>
      </c>
      <c r="G88">
        <v>122681597</v>
      </c>
    </row>
    <row r="89" spans="1:7">
      <c r="A89">
        <v>154</v>
      </c>
      <c r="B89">
        <v>5751294800</v>
      </c>
      <c r="C89">
        <v>23</v>
      </c>
      <c r="D89">
        <v>0</v>
      </c>
      <c r="E89">
        <v>915.62</v>
      </c>
      <c r="F89">
        <v>8878151</v>
      </c>
      <c r="G89">
        <v>124569595</v>
      </c>
    </row>
    <row r="90" spans="1:7">
      <c r="A90">
        <v>156</v>
      </c>
      <c r="B90">
        <v>6346297040</v>
      </c>
      <c r="C90">
        <v>25.39</v>
      </c>
      <c r="D90">
        <v>0</v>
      </c>
      <c r="E90">
        <v>915.62</v>
      </c>
      <c r="F90">
        <v>9004147</v>
      </c>
      <c r="G90">
        <v>126457270</v>
      </c>
    </row>
    <row r="91" spans="1:7">
      <c r="A91">
        <v>158</v>
      </c>
      <c r="B91">
        <v>5255853120</v>
      </c>
      <c r="C91">
        <v>21.02</v>
      </c>
      <c r="D91">
        <v>0</v>
      </c>
      <c r="E91">
        <v>915.62</v>
      </c>
      <c r="F91">
        <v>9130005</v>
      </c>
      <c r="G91">
        <v>128344433</v>
      </c>
    </row>
    <row r="92" spans="1:7">
      <c r="A92">
        <v>160</v>
      </c>
      <c r="B92">
        <v>6328195120</v>
      </c>
      <c r="C92">
        <v>25.31</v>
      </c>
      <c r="D92">
        <v>0</v>
      </c>
      <c r="E92">
        <v>915.62</v>
      </c>
      <c r="F92">
        <v>9255989</v>
      </c>
      <c r="G92">
        <v>130232092</v>
      </c>
    </row>
    <row r="93" spans="1:7">
      <c r="A93">
        <v>162</v>
      </c>
      <c r="B93">
        <v>5425558620</v>
      </c>
      <c r="C93">
        <v>21.7</v>
      </c>
      <c r="D93">
        <v>0</v>
      </c>
      <c r="E93">
        <v>915.62</v>
      </c>
      <c r="F93">
        <v>9381858</v>
      </c>
      <c r="G93">
        <v>132119636</v>
      </c>
    </row>
    <row r="94" spans="1:7">
      <c r="A94">
        <v>164</v>
      </c>
      <c r="B94">
        <v>6419983660</v>
      </c>
      <c r="C94">
        <v>25.68</v>
      </c>
      <c r="D94">
        <v>0</v>
      </c>
      <c r="E94">
        <v>915.62</v>
      </c>
      <c r="F94">
        <v>9507414</v>
      </c>
      <c r="G94">
        <v>134008732</v>
      </c>
    </row>
    <row r="95" spans="1:7">
      <c r="A95">
        <v>166</v>
      </c>
      <c r="B95">
        <v>5333376560</v>
      </c>
      <c r="C95">
        <v>21.33</v>
      </c>
      <c r="D95">
        <v>0</v>
      </c>
      <c r="E95">
        <v>915.62</v>
      </c>
      <c r="F95">
        <v>9633590</v>
      </c>
      <c r="G95">
        <v>135895897</v>
      </c>
    </row>
    <row r="96" spans="1:7">
      <c r="A96">
        <v>168</v>
      </c>
      <c r="B96">
        <v>6280972720</v>
      </c>
      <c r="C96">
        <v>25.12</v>
      </c>
      <c r="D96">
        <v>0</v>
      </c>
      <c r="E96">
        <v>915.62</v>
      </c>
      <c r="F96">
        <v>9759885</v>
      </c>
      <c r="G96">
        <v>137783067</v>
      </c>
    </row>
    <row r="97" spans="1:7">
      <c r="A97">
        <v>170</v>
      </c>
      <c r="B97">
        <v>5420246100</v>
      </c>
      <c r="C97">
        <v>21.68</v>
      </c>
      <c r="D97">
        <v>0</v>
      </c>
      <c r="E97">
        <v>915.62</v>
      </c>
      <c r="F97">
        <v>9885916</v>
      </c>
      <c r="G97">
        <v>139670347</v>
      </c>
    </row>
    <row r="98" spans="1:7">
      <c r="A98">
        <v>172</v>
      </c>
      <c r="B98">
        <v>6466320640</v>
      </c>
      <c r="C98">
        <v>25.87</v>
      </c>
      <c r="D98">
        <v>0</v>
      </c>
      <c r="E98">
        <v>915.62</v>
      </c>
      <c r="F98">
        <v>10012225</v>
      </c>
      <c r="G98">
        <v>141557461</v>
      </c>
    </row>
    <row r="99" spans="1:7">
      <c r="A99">
        <v>174</v>
      </c>
      <c r="B99">
        <v>5284481700</v>
      </c>
      <c r="C99">
        <v>21.14</v>
      </c>
      <c r="D99">
        <v>0</v>
      </c>
      <c r="E99">
        <v>915.62</v>
      </c>
      <c r="F99">
        <v>10138578</v>
      </c>
      <c r="G99">
        <v>143445489</v>
      </c>
    </row>
    <row r="100" spans="1:7">
      <c r="A100">
        <v>176</v>
      </c>
      <c r="B100">
        <v>6408374820</v>
      </c>
      <c r="C100">
        <v>25.63</v>
      </c>
      <c r="D100">
        <v>0</v>
      </c>
      <c r="E100">
        <v>915.62</v>
      </c>
      <c r="F100">
        <v>10264839</v>
      </c>
      <c r="G100">
        <v>145332656</v>
      </c>
    </row>
    <row r="101" spans="1:7">
      <c r="A101">
        <v>178</v>
      </c>
      <c r="B101">
        <v>5315766540</v>
      </c>
      <c r="C101">
        <v>21.26</v>
      </c>
      <c r="D101">
        <v>0</v>
      </c>
      <c r="E101">
        <v>915.62</v>
      </c>
      <c r="F101">
        <v>10391142</v>
      </c>
      <c r="G101">
        <v>147220204</v>
      </c>
    </row>
    <row r="102" spans="1:7">
      <c r="A102">
        <v>180</v>
      </c>
      <c r="B102">
        <v>6472518580</v>
      </c>
      <c r="C102">
        <v>25.89</v>
      </c>
      <c r="D102">
        <v>0</v>
      </c>
      <c r="E102">
        <v>915.62</v>
      </c>
      <c r="F102">
        <v>10517221</v>
      </c>
      <c r="G102">
        <v>149108316</v>
      </c>
    </row>
    <row r="103" spans="1:7">
      <c r="A103">
        <v>182</v>
      </c>
      <c r="B103">
        <v>5278480520</v>
      </c>
      <c r="C103">
        <v>21.11</v>
      </c>
      <c r="D103">
        <v>0</v>
      </c>
      <c r="E103">
        <v>915.62</v>
      </c>
      <c r="F103">
        <v>10643579</v>
      </c>
      <c r="G103">
        <v>150996251</v>
      </c>
    </row>
    <row r="104" spans="1:7">
      <c r="A104">
        <v>184</v>
      </c>
      <c r="B104">
        <v>6438282340</v>
      </c>
      <c r="C104">
        <v>25.75</v>
      </c>
      <c r="D104">
        <v>0</v>
      </c>
      <c r="E104">
        <v>915.62</v>
      </c>
      <c r="F104">
        <v>10769875</v>
      </c>
      <c r="G104">
        <v>152884896</v>
      </c>
    </row>
    <row r="105" spans="1:7">
      <c r="A105">
        <v>186</v>
      </c>
      <c r="B105">
        <v>5278874040</v>
      </c>
      <c r="C105">
        <v>21.12</v>
      </c>
      <c r="D105">
        <v>0</v>
      </c>
      <c r="E105">
        <v>915.62</v>
      </c>
      <c r="F105">
        <v>10896175</v>
      </c>
      <c r="G105">
        <v>154772822</v>
      </c>
    </row>
    <row r="106" spans="1:7">
      <c r="A106">
        <v>188</v>
      </c>
      <c r="B106">
        <v>6255098780</v>
      </c>
      <c r="C106">
        <v>25.02</v>
      </c>
      <c r="D106">
        <v>0</v>
      </c>
      <c r="E106">
        <v>915.62</v>
      </c>
      <c r="F106">
        <v>11021627</v>
      </c>
      <c r="G106">
        <v>156660118</v>
      </c>
    </row>
    <row r="107" spans="1:7">
      <c r="A107">
        <v>190</v>
      </c>
      <c r="B107">
        <v>5546172500</v>
      </c>
      <c r="C107">
        <v>22.18</v>
      </c>
      <c r="D107">
        <v>0</v>
      </c>
      <c r="E107">
        <v>915.62</v>
      </c>
      <c r="F107">
        <v>11148141</v>
      </c>
      <c r="G107">
        <v>158547879</v>
      </c>
    </row>
    <row r="108" spans="1:7">
      <c r="A108">
        <v>192</v>
      </c>
      <c r="B108">
        <v>6453924760</v>
      </c>
      <c r="C108">
        <v>25.82</v>
      </c>
      <c r="D108">
        <v>0</v>
      </c>
      <c r="E108">
        <v>915.62</v>
      </c>
      <c r="F108">
        <v>11274740</v>
      </c>
      <c r="G108">
        <v>160435154</v>
      </c>
    </row>
    <row r="109" spans="1:7">
      <c r="A109">
        <v>194</v>
      </c>
      <c r="B109">
        <v>5271003640</v>
      </c>
      <c r="C109">
        <v>21.08</v>
      </c>
      <c r="D109">
        <v>0</v>
      </c>
      <c r="E109">
        <v>915.62</v>
      </c>
      <c r="F109">
        <v>11401166</v>
      </c>
      <c r="G109">
        <v>162322549</v>
      </c>
    </row>
    <row r="110" spans="1:7">
      <c r="A110">
        <v>196</v>
      </c>
      <c r="B110">
        <v>6315504100</v>
      </c>
      <c r="C110">
        <v>25.26</v>
      </c>
      <c r="D110">
        <v>0</v>
      </c>
      <c r="E110">
        <v>915.62</v>
      </c>
      <c r="F110">
        <v>11527444</v>
      </c>
      <c r="G110">
        <v>164209102</v>
      </c>
    </row>
    <row r="111" spans="1:7">
      <c r="A111">
        <v>198</v>
      </c>
      <c r="B111">
        <v>5356791000</v>
      </c>
      <c r="C111">
        <v>21.43</v>
      </c>
      <c r="D111">
        <v>0</v>
      </c>
      <c r="E111">
        <v>915.62</v>
      </c>
      <c r="F111">
        <v>11653866</v>
      </c>
      <c r="G111">
        <v>166095793</v>
      </c>
    </row>
    <row r="112" spans="1:7">
      <c r="A112">
        <v>200</v>
      </c>
      <c r="B112">
        <v>6545418160</v>
      </c>
      <c r="C112">
        <v>26.18</v>
      </c>
      <c r="D112">
        <v>0</v>
      </c>
      <c r="E112">
        <v>915.62</v>
      </c>
      <c r="F112">
        <v>11780194</v>
      </c>
      <c r="G112">
        <v>167982753</v>
      </c>
    </row>
    <row r="113" spans="1:7">
      <c r="A113">
        <v>202</v>
      </c>
      <c r="B113">
        <v>5242178300</v>
      </c>
      <c r="C113">
        <v>20.97</v>
      </c>
      <c r="D113">
        <v>0</v>
      </c>
      <c r="E113">
        <v>915.62</v>
      </c>
      <c r="F113">
        <v>11906806</v>
      </c>
      <c r="G113">
        <v>169868455</v>
      </c>
    </row>
    <row r="114" spans="1:7">
      <c r="A114">
        <v>204</v>
      </c>
      <c r="B114">
        <v>6260411300</v>
      </c>
      <c r="C114">
        <v>25.04</v>
      </c>
      <c r="D114">
        <v>0</v>
      </c>
      <c r="E114">
        <v>915.62</v>
      </c>
      <c r="F114">
        <v>12033098</v>
      </c>
      <c r="G114">
        <v>171756356</v>
      </c>
    </row>
    <row r="115" spans="1:7">
      <c r="A115">
        <v>206</v>
      </c>
      <c r="B115">
        <v>5419557440</v>
      </c>
      <c r="C115">
        <v>21.68</v>
      </c>
      <c r="D115">
        <v>0</v>
      </c>
      <c r="E115">
        <v>915.62</v>
      </c>
      <c r="F115">
        <v>12159746</v>
      </c>
      <c r="G115">
        <v>173644638</v>
      </c>
    </row>
    <row r="116" spans="1:7">
      <c r="A116">
        <v>208</v>
      </c>
      <c r="B116">
        <v>6531251440</v>
      </c>
      <c r="C116">
        <v>26.13</v>
      </c>
      <c r="D116">
        <v>0</v>
      </c>
      <c r="E116">
        <v>915.62</v>
      </c>
      <c r="F116">
        <v>12286086</v>
      </c>
      <c r="G116">
        <v>175532252</v>
      </c>
    </row>
    <row r="117" spans="1:7">
      <c r="A117">
        <v>210</v>
      </c>
      <c r="B117">
        <v>5237652820</v>
      </c>
      <c r="C117">
        <v>20.95</v>
      </c>
      <c r="D117">
        <v>0</v>
      </c>
      <c r="E117">
        <v>915.62</v>
      </c>
      <c r="F117">
        <v>12412389</v>
      </c>
      <c r="G117">
        <v>177419533</v>
      </c>
    </row>
    <row r="118" spans="1:7">
      <c r="A118">
        <v>212</v>
      </c>
      <c r="B118">
        <v>6314815440</v>
      </c>
      <c r="C118">
        <v>25.26</v>
      </c>
      <c r="D118">
        <v>0</v>
      </c>
      <c r="E118">
        <v>915.62</v>
      </c>
      <c r="F118">
        <v>12538494</v>
      </c>
      <c r="G118">
        <v>179307050</v>
      </c>
    </row>
    <row r="119" spans="1:7">
      <c r="A119">
        <v>214</v>
      </c>
      <c r="B119">
        <v>5452711500</v>
      </c>
      <c r="C119">
        <v>21.81</v>
      </c>
      <c r="D119">
        <v>0</v>
      </c>
      <c r="E119">
        <v>915.62</v>
      </c>
      <c r="F119">
        <v>12664480</v>
      </c>
      <c r="G119">
        <v>181194371</v>
      </c>
    </row>
    <row r="120" spans="1:7">
      <c r="A120">
        <v>216</v>
      </c>
      <c r="B120">
        <v>6478913280</v>
      </c>
      <c r="C120">
        <v>25.92</v>
      </c>
      <c r="D120">
        <v>0</v>
      </c>
      <c r="E120">
        <v>915.62</v>
      </c>
      <c r="F120">
        <v>12790913</v>
      </c>
      <c r="G120">
        <v>183083167</v>
      </c>
    </row>
    <row r="121" spans="1:7">
      <c r="A121">
        <v>218</v>
      </c>
      <c r="B121">
        <v>5230864600</v>
      </c>
      <c r="C121">
        <v>20.92</v>
      </c>
      <c r="D121">
        <v>0</v>
      </c>
      <c r="E121">
        <v>915.62</v>
      </c>
      <c r="F121">
        <v>12917261</v>
      </c>
      <c r="G121">
        <v>184969579</v>
      </c>
    </row>
    <row r="122" spans="1:7">
      <c r="A122">
        <v>220</v>
      </c>
      <c r="B122">
        <v>6006197380</v>
      </c>
      <c r="C122">
        <v>24.02</v>
      </c>
      <c r="D122">
        <v>0</v>
      </c>
      <c r="E122">
        <v>915.62</v>
      </c>
      <c r="F122">
        <v>13043338</v>
      </c>
      <c r="G122">
        <v>186855570</v>
      </c>
    </row>
    <row r="123" spans="1:7">
      <c r="A123">
        <v>222</v>
      </c>
      <c r="B123">
        <v>5690004060</v>
      </c>
      <c r="C123">
        <v>22.76</v>
      </c>
      <c r="D123">
        <v>0</v>
      </c>
      <c r="E123">
        <v>915.62</v>
      </c>
      <c r="F123">
        <v>13169636</v>
      </c>
      <c r="G123">
        <v>188741452</v>
      </c>
    </row>
    <row r="124" spans="1:7">
      <c r="A124">
        <v>224</v>
      </c>
      <c r="B124">
        <v>6172853100</v>
      </c>
      <c r="C124">
        <v>24.69</v>
      </c>
      <c r="D124">
        <v>0</v>
      </c>
      <c r="E124">
        <v>915.62</v>
      </c>
      <c r="F124">
        <v>13296195</v>
      </c>
      <c r="G124">
        <v>190627385</v>
      </c>
    </row>
    <row r="125" spans="1:7">
      <c r="A125">
        <v>226</v>
      </c>
      <c r="B125">
        <v>5560535980</v>
      </c>
      <c r="C125">
        <v>22.24</v>
      </c>
      <c r="D125">
        <v>0</v>
      </c>
      <c r="E125">
        <v>915.62</v>
      </c>
      <c r="F125">
        <v>13422263</v>
      </c>
      <c r="G125">
        <v>192513634</v>
      </c>
    </row>
    <row r="126" spans="1:7">
      <c r="A126">
        <v>228</v>
      </c>
      <c r="B126">
        <v>6190758260</v>
      </c>
      <c r="C126">
        <v>24.76</v>
      </c>
      <c r="D126">
        <v>0</v>
      </c>
      <c r="E126">
        <v>915.62</v>
      </c>
      <c r="F126">
        <v>13548692</v>
      </c>
      <c r="G126">
        <v>194400193</v>
      </c>
    </row>
    <row r="127" spans="1:7">
      <c r="A127">
        <v>230</v>
      </c>
      <c r="B127">
        <v>5649865020</v>
      </c>
      <c r="C127">
        <v>22.6</v>
      </c>
      <c r="D127">
        <v>0</v>
      </c>
      <c r="E127">
        <v>915.62</v>
      </c>
      <c r="F127">
        <v>13675087</v>
      </c>
      <c r="G127">
        <v>196287649</v>
      </c>
    </row>
    <row r="128" spans="1:7">
      <c r="A128">
        <v>232</v>
      </c>
      <c r="B128">
        <v>6223912320</v>
      </c>
      <c r="C128">
        <v>24.9</v>
      </c>
      <c r="D128">
        <v>0</v>
      </c>
      <c r="E128">
        <v>915.62</v>
      </c>
      <c r="F128">
        <v>13801429</v>
      </c>
      <c r="G128">
        <v>198174902</v>
      </c>
    </row>
    <row r="129" spans="1:7">
      <c r="A129">
        <v>234</v>
      </c>
      <c r="B129">
        <v>5422115320</v>
      </c>
      <c r="C129">
        <v>21.69</v>
      </c>
      <c r="D129">
        <v>0</v>
      </c>
      <c r="E129">
        <v>915.62</v>
      </c>
      <c r="F129">
        <v>13928033</v>
      </c>
      <c r="G129">
        <v>200061355</v>
      </c>
    </row>
    <row r="130" spans="1:7">
      <c r="A130">
        <v>236</v>
      </c>
      <c r="B130">
        <v>6252836040</v>
      </c>
      <c r="C130">
        <v>25.01</v>
      </c>
      <c r="D130">
        <v>0</v>
      </c>
      <c r="E130">
        <v>915.62</v>
      </c>
      <c r="F130">
        <v>14054430</v>
      </c>
      <c r="G130">
        <v>201949222</v>
      </c>
    </row>
    <row r="131" spans="1:7">
      <c r="A131">
        <v>238</v>
      </c>
      <c r="B131">
        <v>5438544780</v>
      </c>
      <c r="C131">
        <v>21.75</v>
      </c>
      <c r="D131">
        <v>0</v>
      </c>
      <c r="E131">
        <v>915.62</v>
      </c>
      <c r="F131">
        <v>14180698</v>
      </c>
      <c r="G131">
        <v>203836236</v>
      </c>
    </row>
    <row r="132" spans="1:7">
      <c r="A132">
        <v>240</v>
      </c>
      <c r="B132">
        <v>6453137720</v>
      </c>
      <c r="C132">
        <v>25.81</v>
      </c>
      <c r="D132">
        <v>0</v>
      </c>
      <c r="E132">
        <v>915.62</v>
      </c>
      <c r="F132">
        <v>14307165</v>
      </c>
      <c r="G132">
        <v>205724375</v>
      </c>
    </row>
    <row r="133" spans="1:7">
      <c r="A133">
        <v>242</v>
      </c>
      <c r="B133">
        <v>5307994520</v>
      </c>
      <c r="C133">
        <v>21.23</v>
      </c>
      <c r="D133">
        <v>0</v>
      </c>
      <c r="E133">
        <v>915.62</v>
      </c>
      <c r="F133">
        <v>14433556</v>
      </c>
      <c r="G133">
        <v>207612436</v>
      </c>
    </row>
    <row r="134" spans="1:7">
      <c r="A134">
        <v>244</v>
      </c>
      <c r="B134">
        <v>6333310880</v>
      </c>
      <c r="C134">
        <v>25.33</v>
      </c>
      <c r="D134">
        <v>0</v>
      </c>
      <c r="E134">
        <v>915.62</v>
      </c>
      <c r="F134">
        <v>14559774</v>
      </c>
      <c r="G134">
        <v>209500688</v>
      </c>
    </row>
    <row r="135" spans="1:7">
      <c r="A135">
        <v>246</v>
      </c>
      <c r="B135">
        <v>5397126800</v>
      </c>
      <c r="C135">
        <v>21.59</v>
      </c>
      <c r="D135">
        <v>0</v>
      </c>
      <c r="E135">
        <v>915.62</v>
      </c>
      <c r="F135">
        <v>14685973</v>
      </c>
      <c r="G135">
        <v>211388226</v>
      </c>
    </row>
    <row r="136" spans="1:7">
      <c r="A136">
        <v>248</v>
      </c>
      <c r="B136">
        <v>6478224620</v>
      </c>
      <c r="C136">
        <v>25.91</v>
      </c>
      <c r="D136">
        <v>0</v>
      </c>
      <c r="E136">
        <v>915.62</v>
      </c>
      <c r="F136">
        <v>14812490</v>
      </c>
      <c r="G136">
        <v>213273752</v>
      </c>
    </row>
    <row r="137" spans="1:7">
      <c r="A137">
        <v>250</v>
      </c>
      <c r="B137">
        <v>5267953860</v>
      </c>
      <c r="C137">
        <v>21.07</v>
      </c>
      <c r="D137">
        <v>0</v>
      </c>
      <c r="E137">
        <v>915.62</v>
      </c>
      <c r="F137">
        <v>14938994</v>
      </c>
      <c r="G137">
        <v>215159589</v>
      </c>
    </row>
    <row r="138" spans="1:7">
      <c r="A138">
        <v>252</v>
      </c>
      <c r="B138">
        <v>6419786900</v>
      </c>
      <c r="C138">
        <v>25.68</v>
      </c>
      <c r="D138">
        <v>0</v>
      </c>
      <c r="E138">
        <v>915.62</v>
      </c>
      <c r="F138">
        <v>15065418</v>
      </c>
      <c r="G138">
        <v>217046696</v>
      </c>
    </row>
    <row r="139" spans="1:7">
      <c r="A139">
        <v>254</v>
      </c>
      <c r="B139">
        <v>5263231620</v>
      </c>
      <c r="C139">
        <v>21.05</v>
      </c>
      <c r="D139">
        <v>0</v>
      </c>
      <c r="E139">
        <v>915.62</v>
      </c>
      <c r="F139">
        <v>15192187</v>
      </c>
      <c r="G139">
        <v>218933614</v>
      </c>
    </row>
    <row r="140" spans="1:7">
      <c r="A140">
        <v>256</v>
      </c>
      <c r="B140">
        <v>6417032260</v>
      </c>
      <c r="C140">
        <v>25.67</v>
      </c>
      <c r="D140">
        <v>0</v>
      </c>
      <c r="E140">
        <v>915.62</v>
      </c>
      <c r="F140">
        <v>15318480</v>
      </c>
      <c r="G140">
        <v>220819363</v>
      </c>
    </row>
    <row r="141" spans="1:7">
      <c r="A141">
        <v>258</v>
      </c>
      <c r="B141">
        <v>5323538560</v>
      </c>
      <c r="C141">
        <v>21.29</v>
      </c>
      <c r="D141">
        <v>0</v>
      </c>
      <c r="E141">
        <v>915.62</v>
      </c>
      <c r="F141">
        <v>15444801</v>
      </c>
      <c r="G141">
        <v>222704026</v>
      </c>
    </row>
    <row r="142" spans="1:7">
      <c r="A142">
        <v>260</v>
      </c>
      <c r="B142">
        <v>6352986880</v>
      </c>
      <c r="C142">
        <v>25.41</v>
      </c>
      <c r="D142">
        <v>0</v>
      </c>
      <c r="E142">
        <v>915.62</v>
      </c>
      <c r="F142">
        <v>15571096</v>
      </c>
      <c r="G142">
        <v>224588122</v>
      </c>
    </row>
    <row r="143" spans="1:7">
      <c r="A143">
        <v>262</v>
      </c>
      <c r="B143">
        <v>5427132700</v>
      </c>
      <c r="C143">
        <v>21.71</v>
      </c>
      <c r="D143">
        <v>0</v>
      </c>
      <c r="E143">
        <v>915.62</v>
      </c>
      <c r="F143">
        <v>15697896</v>
      </c>
      <c r="G143">
        <v>226473051</v>
      </c>
    </row>
    <row r="144" spans="1:7">
      <c r="A144">
        <v>264</v>
      </c>
      <c r="B144">
        <v>6002754080</v>
      </c>
      <c r="C144">
        <v>24.01</v>
      </c>
      <c r="D144">
        <v>0</v>
      </c>
      <c r="E144">
        <v>915.62</v>
      </c>
      <c r="F144">
        <v>15824369</v>
      </c>
      <c r="G144">
        <v>228359826</v>
      </c>
    </row>
    <row r="145" spans="1:7">
      <c r="A145">
        <v>266</v>
      </c>
      <c r="B145">
        <v>6090017140</v>
      </c>
      <c r="C145">
        <v>24.36</v>
      </c>
      <c r="D145">
        <v>0</v>
      </c>
      <c r="E145">
        <v>915.62</v>
      </c>
      <c r="F145">
        <v>15950714</v>
      </c>
      <c r="G145">
        <v>230246495</v>
      </c>
    </row>
    <row r="146" spans="1:7">
      <c r="A146">
        <v>268</v>
      </c>
      <c r="B146">
        <v>5457335360</v>
      </c>
      <c r="C146">
        <v>21.83</v>
      </c>
      <c r="D146">
        <v>0</v>
      </c>
      <c r="E146">
        <v>915.62</v>
      </c>
      <c r="F146">
        <v>16077117</v>
      </c>
      <c r="G146">
        <v>232132670</v>
      </c>
    </row>
    <row r="147" spans="1:7">
      <c r="A147">
        <v>270</v>
      </c>
      <c r="B147">
        <v>6374335340</v>
      </c>
      <c r="C147">
        <v>25.5</v>
      </c>
      <c r="D147">
        <v>0</v>
      </c>
      <c r="E147">
        <v>915.62</v>
      </c>
      <c r="F147">
        <v>16203463</v>
      </c>
      <c r="G147">
        <v>234019857</v>
      </c>
    </row>
    <row r="148" spans="1:7">
      <c r="A148">
        <v>272</v>
      </c>
      <c r="B148">
        <v>5322849900</v>
      </c>
      <c r="C148">
        <v>21.29</v>
      </c>
      <c r="D148">
        <v>0</v>
      </c>
      <c r="E148">
        <v>915.62</v>
      </c>
      <c r="F148">
        <v>16329822</v>
      </c>
      <c r="G148">
        <v>235906771</v>
      </c>
    </row>
    <row r="149" spans="1:7">
      <c r="A149">
        <v>274</v>
      </c>
      <c r="B149">
        <v>6414572760</v>
      </c>
      <c r="C149">
        <v>25.66</v>
      </c>
      <c r="D149">
        <v>0</v>
      </c>
      <c r="E149">
        <v>915.62</v>
      </c>
      <c r="F149">
        <v>16456459</v>
      </c>
      <c r="G149">
        <v>237792766</v>
      </c>
    </row>
    <row r="150" spans="1:7">
      <c r="A150">
        <v>276</v>
      </c>
      <c r="B150">
        <v>5403816640</v>
      </c>
      <c r="C150">
        <v>21.62</v>
      </c>
      <c r="D150">
        <v>0</v>
      </c>
      <c r="E150">
        <v>915.62</v>
      </c>
      <c r="F150">
        <v>16582651</v>
      </c>
      <c r="G150">
        <v>239679487</v>
      </c>
    </row>
    <row r="151" spans="1:7">
      <c r="A151">
        <v>278</v>
      </c>
      <c r="B151">
        <v>6054600340</v>
      </c>
      <c r="C151">
        <v>24.22</v>
      </c>
      <c r="D151">
        <v>0</v>
      </c>
      <c r="E151">
        <v>915.62</v>
      </c>
      <c r="F151">
        <v>16708817</v>
      </c>
      <c r="G151">
        <v>241564794</v>
      </c>
    </row>
    <row r="152" spans="1:7">
      <c r="A152">
        <v>280</v>
      </c>
      <c r="B152">
        <v>5600183120</v>
      </c>
      <c r="C152">
        <v>22.4</v>
      </c>
      <c r="D152">
        <v>0</v>
      </c>
      <c r="E152">
        <v>915.62</v>
      </c>
      <c r="F152">
        <v>16835121</v>
      </c>
      <c r="G152">
        <v>243450326</v>
      </c>
    </row>
    <row r="153" spans="1:7">
      <c r="A153">
        <v>282</v>
      </c>
      <c r="B153">
        <v>6452744200</v>
      </c>
      <c r="C153">
        <v>25.81</v>
      </c>
      <c r="D153">
        <v>0</v>
      </c>
      <c r="E153">
        <v>915.62</v>
      </c>
      <c r="F153">
        <v>16961529</v>
      </c>
      <c r="G153">
        <v>245336479</v>
      </c>
    </row>
    <row r="154" spans="1:7">
      <c r="A154">
        <v>284</v>
      </c>
      <c r="B154">
        <v>5257525580</v>
      </c>
      <c r="C154">
        <v>21.03</v>
      </c>
      <c r="D154">
        <v>0</v>
      </c>
      <c r="E154">
        <v>915.62</v>
      </c>
      <c r="F154">
        <v>17087882</v>
      </c>
      <c r="G154">
        <v>247221944</v>
      </c>
    </row>
    <row r="155" spans="1:7">
      <c r="A155">
        <v>286</v>
      </c>
      <c r="B155">
        <v>6354856100</v>
      </c>
      <c r="C155">
        <v>25.42</v>
      </c>
      <c r="D155">
        <v>0</v>
      </c>
      <c r="E155">
        <v>915.62</v>
      </c>
      <c r="F155">
        <v>17214266</v>
      </c>
      <c r="G155">
        <v>249107544</v>
      </c>
    </row>
    <row r="156" spans="1:7">
      <c r="A156">
        <v>288</v>
      </c>
      <c r="B156">
        <v>5374007500</v>
      </c>
      <c r="C156">
        <v>21.5</v>
      </c>
      <c r="D156">
        <v>0</v>
      </c>
      <c r="E156">
        <v>915.62</v>
      </c>
      <c r="F156">
        <v>17340613</v>
      </c>
      <c r="G156">
        <v>250993645</v>
      </c>
    </row>
    <row r="157" spans="1:7">
      <c r="A157">
        <v>290</v>
      </c>
      <c r="B157">
        <v>6498392520</v>
      </c>
      <c r="C157">
        <v>25.99</v>
      </c>
      <c r="D157">
        <v>0</v>
      </c>
      <c r="E157">
        <v>915.62</v>
      </c>
      <c r="F157">
        <v>17466741</v>
      </c>
      <c r="G157">
        <v>252880607</v>
      </c>
    </row>
    <row r="158" spans="1:7">
      <c r="A158">
        <v>292</v>
      </c>
      <c r="B158">
        <v>5210303180</v>
      </c>
      <c r="C158">
        <v>20.84</v>
      </c>
      <c r="D158">
        <v>0</v>
      </c>
      <c r="E158">
        <v>915.62</v>
      </c>
      <c r="F158">
        <v>17593218</v>
      </c>
      <c r="G158">
        <v>254766408</v>
      </c>
    </row>
    <row r="159" spans="1:7">
      <c r="A159">
        <v>294</v>
      </c>
      <c r="B159">
        <v>6381517080</v>
      </c>
      <c r="C159">
        <v>25.53</v>
      </c>
      <c r="D159">
        <v>0</v>
      </c>
      <c r="E159">
        <v>915.62</v>
      </c>
      <c r="F159">
        <v>17719603</v>
      </c>
      <c r="G159">
        <v>256653287</v>
      </c>
    </row>
    <row r="160" spans="1:7">
      <c r="A160">
        <v>296</v>
      </c>
      <c r="B160">
        <v>5394273780</v>
      </c>
      <c r="C160">
        <v>21.58</v>
      </c>
      <c r="D160">
        <v>0</v>
      </c>
      <c r="E160">
        <v>915.62</v>
      </c>
      <c r="F160">
        <v>17846024</v>
      </c>
      <c r="G160">
        <v>258539404</v>
      </c>
    </row>
    <row r="161" spans="1:156">
      <c r="A161">
        <v>298</v>
      </c>
      <c r="B161">
        <v>6445660840</v>
      </c>
      <c r="C161">
        <v>25.78</v>
      </c>
      <c r="D161">
        <v>0</v>
      </c>
      <c r="E161">
        <v>915.62</v>
      </c>
      <c r="F161">
        <v>17972215</v>
      </c>
      <c r="G161">
        <v>260426138</v>
      </c>
    </row>
    <row r="162" spans="1:156">
      <c r="A162" t="s">
        <v>107</v>
      </c>
      <c r="B162" t="s">
        <v>45</v>
      </c>
    </row>
    <row r="163" spans="1:156">
      <c r="A163" t="s">
        <v>108</v>
      </c>
      <c r="B163" t="s">
        <v>109</v>
      </c>
      <c r="C163" t="s">
        <v>110</v>
      </c>
      <c r="D163" t="s">
        <v>111</v>
      </c>
      <c r="E163" t="s">
        <v>112</v>
      </c>
      <c r="F163" t="s">
        <v>113</v>
      </c>
      <c r="G163" t="s">
        <v>114</v>
      </c>
      <c r="H163" t="s">
        <v>115</v>
      </c>
      <c r="I163" t="s">
        <v>116</v>
      </c>
      <c r="J163" t="s">
        <v>117</v>
      </c>
      <c r="K163" t="s">
        <v>118</v>
      </c>
      <c r="L163" t="s">
        <v>119</v>
      </c>
      <c r="M163" t="s">
        <v>120</v>
      </c>
      <c r="N163" t="s">
        <v>121</v>
      </c>
      <c r="O163" t="s">
        <v>122</v>
      </c>
      <c r="P163" t="s">
        <v>123</v>
      </c>
      <c r="Q163" t="s">
        <v>124</v>
      </c>
      <c r="R163" t="s">
        <v>118</v>
      </c>
      <c r="S163" t="s">
        <v>125</v>
      </c>
      <c r="T163" t="s">
        <v>126</v>
      </c>
      <c r="U163" t="s">
        <v>127</v>
      </c>
      <c r="V163" t="s">
        <v>128</v>
      </c>
      <c r="W163" t="s">
        <v>129</v>
      </c>
      <c r="X163" t="s">
        <v>130</v>
      </c>
      <c r="Y163" t="s">
        <v>131</v>
      </c>
      <c r="Z163" t="s">
        <v>132</v>
      </c>
      <c r="AA163" t="s">
        <v>133</v>
      </c>
      <c r="AB163" t="s">
        <v>134</v>
      </c>
      <c r="AC163" t="s">
        <v>135</v>
      </c>
      <c r="AD163" t="s">
        <v>105</v>
      </c>
      <c r="AE163" t="s">
        <v>136</v>
      </c>
      <c r="AF163" t="s">
        <v>115</v>
      </c>
      <c r="AG163" t="s">
        <v>137</v>
      </c>
      <c r="AH163" t="s">
        <v>138</v>
      </c>
      <c r="AI163" t="s">
        <v>139</v>
      </c>
      <c r="AJ163" t="s">
        <v>126</v>
      </c>
      <c r="AK163" t="s">
        <v>127</v>
      </c>
      <c r="AL163" t="s">
        <v>128</v>
      </c>
      <c r="AM163" t="s">
        <v>129</v>
      </c>
      <c r="AN163" t="s">
        <v>130</v>
      </c>
      <c r="AO163" t="s">
        <v>131</v>
      </c>
      <c r="AP163" t="s">
        <v>132</v>
      </c>
      <c r="AQ163" t="s">
        <v>133</v>
      </c>
      <c r="AR163" t="s">
        <v>134</v>
      </c>
      <c r="AS163" t="s">
        <v>140</v>
      </c>
      <c r="AT163" t="s">
        <v>105</v>
      </c>
      <c r="AU163" t="s">
        <v>136</v>
      </c>
      <c r="AV163" t="s">
        <v>115</v>
      </c>
      <c r="AW163" t="s">
        <v>137</v>
      </c>
      <c r="AX163" t="s">
        <v>138</v>
      </c>
      <c r="AY163" t="s">
        <v>141</v>
      </c>
      <c r="AZ163" t="s">
        <v>126</v>
      </c>
      <c r="BA163" t="s">
        <v>142</v>
      </c>
      <c r="BB163" t="s">
        <v>143</v>
      </c>
      <c r="BC163" t="s">
        <v>144</v>
      </c>
      <c r="BD163" t="s">
        <v>145</v>
      </c>
      <c r="BE163" t="s">
        <v>146</v>
      </c>
      <c r="BF163" t="s">
        <v>147</v>
      </c>
      <c r="BG163" t="s">
        <v>148</v>
      </c>
      <c r="BH163" t="s">
        <v>149</v>
      </c>
      <c r="BI163" t="s">
        <v>150</v>
      </c>
      <c r="BJ163" t="s">
        <v>141</v>
      </c>
      <c r="BK163" t="s">
        <v>126</v>
      </c>
      <c r="BL163" t="s">
        <v>142</v>
      </c>
      <c r="BM163" t="s">
        <v>143</v>
      </c>
      <c r="BN163" t="s">
        <v>144</v>
      </c>
      <c r="BO163" t="s">
        <v>145</v>
      </c>
      <c r="BP163" t="s">
        <v>146</v>
      </c>
      <c r="BQ163" t="s">
        <v>147</v>
      </c>
      <c r="BR163" t="s">
        <v>148</v>
      </c>
      <c r="BS163" t="s">
        <v>149</v>
      </c>
      <c r="BT163" t="s">
        <v>150</v>
      </c>
    </row>
    <row r="164" spans="1:156">
      <c r="A164">
        <v>98380</v>
      </c>
      <c r="B164">
        <v>0</v>
      </c>
      <c r="C164">
        <v>8430907</v>
      </c>
      <c r="D164">
        <v>0</v>
      </c>
      <c r="E164">
        <v>35.583199999999998</v>
      </c>
      <c r="F164" s="7">
        <v>301999000</v>
      </c>
      <c r="G164">
        <v>22118.3</v>
      </c>
      <c r="H164">
        <v>262518235</v>
      </c>
      <c r="I164">
        <v>0</v>
      </c>
      <c r="J164">
        <v>0</v>
      </c>
      <c r="K164" t="s">
        <v>151</v>
      </c>
      <c r="L164">
        <v>0</v>
      </c>
      <c r="M164">
        <v>8430907</v>
      </c>
      <c r="N164">
        <v>829432630660</v>
      </c>
      <c r="O164">
        <v>35.593499999999999</v>
      </c>
      <c r="P164">
        <v>300085881</v>
      </c>
      <c r="Q164">
        <v>22111.9</v>
      </c>
      <c r="R164" t="s">
        <v>151</v>
      </c>
      <c r="S164" t="s">
        <v>152</v>
      </c>
      <c r="T164" t="s">
        <v>153</v>
      </c>
      <c r="U164" t="s">
        <v>45</v>
      </c>
      <c r="V164">
        <v>0</v>
      </c>
      <c r="W164">
        <v>0</v>
      </c>
      <c r="X164">
        <v>0</v>
      </c>
      <c r="Y164">
        <v>0</v>
      </c>
      <c r="Z164">
        <v>50</v>
      </c>
      <c r="AA164">
        <v>8918</v>
      </c>
      <c r="AB164">
        <v>0</v>
      </c>
      <c r="AC164">
        <v>0</v>
      </c>
      <c r="AD164" t="s">
        <v>154</v>
      </c>
      <c r="AE164" t="s">
        <v>45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155</v>
      </c>
      <c r="AO164" t="s">
        <v>45</v>
      </c>
      <c r="AP164">
        <v>18128719</v>
      </c>
      <c r="AQ164">
        <v>1196495369</v>
      </c>
      <c r="AR164">
        <v>0</v>
      </c>
      <c r="AS164">
        <v>0</v>
      </c>
      <c r="AT164">
        <v>262518237</v>
      </c>
      <c r="AU164">
        <v>2364201665102</v>
      </c>
      <c r="AV164">
        <v>0</v>
      </c>
      <c r="AW164">
        <v>0</v>
      </c>
      <c r="AX164" t="s">
        <v>156</v>
      </c>
      <c r="AY164" t="s">
        <v>45</v>
      </c>
      <c r="AZ164">
        <v>0</v>
      </c>
      <c r="BA164">
        <v>0</v>
      </c>
      <c r="BB164">
        <v>0</v>
      </c>
      <c r="BC164">
        <v>0</v>
      </c>
      <c r="BD164">
        <v>51</v>
      </c>
      <c r="BE164">
        <v>9273</v>
      </c>
      <c r="BF164">
        <v>0</v>
      </c>
      <c r="BG164">
        <v>0</v>
      </c>
      <c r="BH164" t="s">
        <v>157</v>
      </c>
      <c r="BI164" t="s">
        <v>45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 t="s">
        <v>158</v>
      </c>
      <c r="BS164" t="s">
        <v>45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 t="s">
        <v>135</v>
      </c>
      <c r="CC164">
        <v>18128677</v>
      </c>
      <c r="CD164">
        <v>0</v>
      </c>
      <c r="CE164">
        <v>262518235</v>
      </c>
      <c r="CF164">
        <v>0</v>
      </c>
      <c r="CG164">
        <v>0</v>
      </c>
      <c r="CH164" t="s">
        <v>159</v>
      </c>
      <c r="CI164" t="s">
        <v>160</v>
      </c>
      <c r="CJ164" t="s">
        <v>45</v>
      </c>
      <c r="CK164">
        <v>90997</v>
      </c>
      <c r="CL164">
        <v>4195500</v>
      </c>
      <c r="CM164">
        <v>0</v>
      </c>
      <c r="CN164">
        <v>0</v>
      </c>
      <c r="CO164">
        <v>660</v>
      </c>
      <c r="CP164">
        <v>274394</v>
      </c>
      <c r="CQ164">
        <v>0</v>
      </c>
      <c r="CR164">
        <v>0</v>
      </c>
      <c r="CS164" t="s">
        <v>161</v>
      </c>
      <c r="CT164" t="s">
        <v>45</v>
      </c>
      <c r="CU164">
        <v>262610540</v>
      </c>
      <c r="CV164">
        <v>2364207249360</v>
      </c>
      <c r="CW164">
        <v>0</v>
      </c>
      <c r="CX164">
        <v>0</v>
      </c>
      <c r="CY164">
        <v>18130573</v>
      </c>
      <c r="CZ164">
        <v>1196906575</v>
      </c>
      <c r="DA164">
        <v>0</v>
      </c>
      <c r="DB164">
        <v>0</v>
      </c>
      <c r="DC164" t="s">
        <v>158</v>
      </c>
      <c r="DD164" t="s">
        <v>45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 t="s">
        <v>162</v>
      </c>
      <c r="DN164" t="s">
        <v>45</v>
      </c>
      <c r="DO164">
        <v>39300992</v>
      </c>
      <c r="DP164">
        <v>2348919140062</v>
      </c>
      <c r="DQ164">
        <v>0</v>
      </c>
      <c r="DR164">
        <v>0</v>
      </c>
      <c r="DS164">
        <v>18129814</v>
      </c>
      <c r="DT164">
        <v>1196615965</v>
      </c>
      <c r="DU164">
        <v>0</v>
      </c>
      <c r="DV164">
        <v>0</v>
      </c>
      <c r="DW164" t="s">
        <v>163</v>
      </c>
      <c r="DX164" t="s">
        <v>45</v>
      </c>
      <c r="DY164">
        <v>9547</v>
      </c>
      <c r="DZ164">
        <v>954700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 t="s">
        <v>140</v>
      </c>
      <c r="EH164">
        <v>39300448</v>
      </c>
      <c r="EI164">
        <v>9</v>
      </c>
      <c r="EJ164">
        <v>18129439</v>
      </c>
      <c r="EK164">
        <v>44</v>
      </c>
      <c r="EL164">
        <v>44</v>
      </c>
      <c r="EM164" t="s">
        <v>141</v>
      </c>
      <c r="EN164" t="s">
        <v>164</v>
      </c>
      <c r="EO164">
        <v>262610538</v>
      </c>
      <c r="EP164">
        <v>18130573</v>
      </c>
      <c r="EQ164">
        <v>262616892</v>
      </c>
      <c r="ER164">
        <v>18130573</v>
      </c>
      <c r="ES164">
        <v>0</v>
      </c>
      <c r="ET164">
        <v>0</v>
      </c>
      <c r="EU164">
        <v>0</v>
      </c>
      <c r="EV164">
        <v>0</v>
      </c>
      <c r="EW164">
        <v>0</v>
      </c>
      <c r="EX164" t="s">
        <v>141</v>
      </c>
      <c r="EY164" t="s">
        <v>45</v>
      </c>
      <c r="EZ164" t="s">
        <v>118</v>
      </c>
    </row>
    <row r="165" spans="1:156">
      <c r="A165" t="s">
        <v>165</v>
      </c>
      <c r="B165" t="s">
        <v>166</v>
      </c>
      <c r="C165" t="s">
        <v>167</v>
      </c>
      <c r="D165" t="s">
        <v>168</v>
      </c>
      <c r="E165" t="s">
        <v>169</v>
      </c>
      <c r="F165" t="s">
        <v>170</v>
      </c>
      <c r="G165" t="s">
        <v>171</v>
      </c>
      <c r="H165" t="s">
        <v>172</v>
      </c>
    </row>
    <row r="166" spans="1:156">
      <c r="A166" t="s">
        <v>173</v>
      </c>
      <c r="B166">
        <v>0</v>
      </c>
      <c r="C166">
        <v>0</v>
      </c>
      <c r="D166">
        <v>51</v>
      </c>
      <c r="E166">
        <v>47</v>
      </c>
      <c r="F166">
        <v>0</v>
      </c>
      <c r="G166">
        <v>2</v>
      </c>
      <c r="H166">
        <v>15</v>
      </c>
      <c r="I166" t="s">
        <v>45</v>
      </c>
    </row>
    <row r="167" spans="1:156">
      <c r="A167" t="s">
        <v>174</v>
      </c>
      <c r="B167">
        <v>0</v>
      </c>
      <c r="C167">
        <v>0</v>
      </c>
      <c r="D167">
        <v>63</v>
      </c>
      <c r="E167">
        <v>36</v>
      </c>
      <c r="F167">
        <v>0</v>
      </c>
      <c r="G167">
        <v>2</v>
      </c>
      <c r="H167">
        <v>17</v>
      </c>
      <c r="I167" t="s">
        <v>45</v>
      </c>
    </row>
    <row r="168" spans="1:156">
      <c r="A168" t="s">
        <v>175</v>
      </c>
      <c r="B168">
        <v>0</v>
      </c>
      <c r="C168">
        <v>0</v>
      </c>
      <c r="D168">
        <v>58</v>
      </c>
      <c r="E168">
        <v>40</v>
      </c>
      <c r="F168">
        <v>0</v>
      </c>
      <c r="G168">
        <v>2</v>
      </c>
      <c r="H168">
        <v>7</v>
      </c>
      <c r="I168" t="s">
        <v>45</v>
      </c>
    </row>
    <row r="169" spans="1:156">
      <c r="A169" t="s">
        <v>176</v>
      </c>
      <c r="B169">
        <v>0</v>
      </c>
      <c r="C169">
        <v>0</v>
      </c>
      <c r="D169">
        <v>62</v>
      </c>
      <c r="E169">
        <v>36</v>
      </c>
      <c r="F169">
        <v>0</v>
      </c>
      <c r="G169">
        <v>2</v>
      </c>
      <c r="H169">
        <v>17</v>
      </c>
      <c r="I169" t="s">
        <v>45</v>
      </c>
    </row>
    <row r="170" spans="1:156">
      <c r="A170" t="s">
        <v>177</v>
      </c>
      <c r="B170">
        <v>0</v>
      </c>
      <c r="C170">
        <v>0</v>
      </c>
      <c r="D170">
        <v>21</v>
      </c>
      <c r="E170">
        <v>78</v>
      </c>
      <c r="F170">
        <v>0</v>
      </c>
      <c r="G170">
        <v>2</v>
      </c>
      <c r="H170">
        <v>19</v>
      </c>
      <c r="I170" t="s">
        <v>45</v>
      </c>
    </row>
    <row r="171" spans="1:156">
      <c r="A171" t="s">
        <v>178</v>
      </c>
      <c r="B171" t="s">
        <v>166</v>
      </c>
      <c r="C171" t="s">
        <v>167</v>
      </c>
      <c r="D171" t="s">
        <v>168</v>
      </c>
      <c r="E171" t="s">
        <v>169</v>
      </c>
      <c r="F171" t="s">
        <v>170</v>
      </c>
      <c r="G171" t="s">
        <v>171</v>
      </c>
      <c r="H171" t="s">
        <v>172</v>
      </c>
    </row>
    <row r="172" spans="1:156">
      <c r="A172" t="s">
        <v>179</v>
      </c>
      <c r="B172">
        <v>0</v>
      </c>
      <c r="C172">
        <v>0</v>
      </c>
      <c r="D172">
        <v>5</v>
      </c>
      <c r="E172">
        <v>94</v>
      </c>
      <c r="F172">
        <v>0</v>
      </c>
      <c r="G172">
        <v>0</v>
      </c>
      <c r="H172">
        <v>0</v>
      </c>
      <c r="I172" t="s">
        <v>45</v>
      </c>
    </row>
    <row r="173" spans="1:156">
      <c r="A173" t="s">
        <v>180</v>
      </c>
      <c r="B173">
        <v>0</v>
      </c>
      <c r="C173">
        <v>0</v>
      </c>
      <c r="D173">
        <v>0</v>
      </c>
      <c r="E173">
        <v>99</v>
      </c>
      <c r="F173">
        <v>0</v>
      </c>
      <c r="G173">
        <v>0</v>
      </c>
      <c r="H173">
        <v>0</v>
      </c>
      <c r="I173" t="s">
        <v>45</v>
      </c>
    </row>
    <row r="174" spans="1:156">
      <c r="A174" t="s">
        <v>181</v>
      </c>
      <c r="B174">
        <v>0</v>
      </c>
      <c r="C174">
        <v>0</v>
      </c>
      <c r="D174">
        <v>0</v>
      </c>
      <c r="E174">
        <v>99</v>
      </c>
      <c r="F174">
        <v>0</v>
      </c>
      <c r="G174">
        <v>0</v>
      </c>
      <c r="H174">
        <v>0</v>
      </c>
      <c r="I174" t="s">
        <v>45</v>
      </c>
    </row>
    <row r="175" spans="1:156">
      <c r="A175" t="s">
        <v>182</v>
      </c>
      <c r="B175">
        <v>0</v>
      </c>
      <c r="C175">
        <v>0</v>
      </c>
      <c r="D175">
        <v>0</v>
      </c>
      <c r="E175">
        <v>99</v>
      </c>
      <c r="F175">
        <v>0</v>
      </c>
      <c r="G175">
        <v>0</v>
      </c>
      <c r="H175">
        <v>0</v>
      </c>
      <c r="I175" t="s">
        <v>45</v>
      </c>
    </row>
    <row r="176" spans="1:156">
      <c r="A176" t="s">
        <v>183</v>
      </c>
      <c r="B176">
        <v>0</v>
      </c>
      <c r="C176">
        <v>0</v>
      </c>
      <c r="D176">
        <v>0</v>
      </c>
      <c r="E176">
        <v>99</v>
      </c>
      <c r="F176">
        <v>0</v>
      </c>
      <c r="G176">
        <v>0</v>
      </c>
      <c r="H176">
        <v>0</v>
      </c>
      <c r="I176" t="s">
        <v>45</v>
      </c>
    </row>
    <row r="177" spans="1:9">
      <c r="A177" t="s">
        <v>184</v>
      </c>
      <c r="B177">
        <v>0</v>
      </c>
      <c r="C177">
        <v>0</v>
      </c>
      <c r="D177">
        <v>0</v>
      </c>
      <c r="E177">
        <v>99</v>
      </c>
      <c r="F177">
        <v>0</v>
      </c>
      <c r="G177">
        <v>0</v>
      </c>
      <c r="H177">
        <v>0</v>
      </c>
      <c r="I177" t="s">
        <v>45</v>
      </c>
    </row>
    <row r="178" spans="1:9">
      <c r="A178" t="s">
        <v>185</v>
      </c>
      <c r="B178">
        <v>0</v>
      </c>
      <c r="C178">
        <v>0</v>
      </c>
      <c r="D178">
        <v>0</v>
      </c>
      <c r="E178">
        <v>99</v>
      </c>
      <c r="F178">
        <v>0</v>
      </c>
      <c r="G178">
        <v>0</v>
      </c>
      <c r="H178">
        <v>0</v>
      </c>
      <c r="I178" t="s">
        <v>45</v>
      </c>
    </row>
    <row r="179" spans="1:9">
      <c r="A179" t="s">
        <v>186</v>
      </c>
      <c r="B179">
        <v>3</v>
      </c>
      <c r="C179">
        <v>0</v>
      </c>
      <c r="D179">
        <v>92</v>
      </c>
      <c r="E179">
        <v>4</v>
      </c>
      <c r="F179">
        <v>0</v>
      </c>
      <c r="G179">
        <v>0</v>
      </c>
      <c r="H179">
        <v>0</v>
      </c>
      <c r="I179" t="s">
        <v>45</v>
      </c>
    </row>
    <row r="180" spans="1:9">
      <c r="A180" t="s">
        <v>187</v>
      </c>
      <c r="B180">
        <v>3</v>
      </c>
      <c r="C180">
        <v>0</v>
      </c>
      <c r="D180">
        <v>91</v>
      </c>
      <c r="E180">
        <v>4</v>
      </c>
      <c r="F180">
        <v>0</v>
      </c>
      <c r="G180">
        <v>0</v>
      </c>
      <c r="H180">
        <v>0</v>
      </c>
      <c r="I180" t="s">
        <v>45</v>
      </c>
    </row>
    <row r="181" spans="1:9">
      <c r="A181" t="s">
        <v>188</v>
      </c>
      <c r="B181">
        <v>3</v>
      </c>
      <c r="C181">
        <v>0</v>
      </c>
      <c r="D181">
        <v>88</v>
      </c>
      <c r="E181">
        <v>8</v>
      </c>
      <c r="F181">
        <v>0</v>
      </c>
      <c r="G181">
        <v>0</v>
      </c>
      <c r="H181">
        <v>0</v>
      </c>
      <c r="I181" t="s">
        <v>45</v>
      </c>
    </row>
    <row r="182" spans="1:9">
      <c r="A182" t="s">
        <v>189</v>
      </c>
      <c r="B182">
        <v>0</v>
      </c>
      <c r="C182">
        <v>0</v>
      </c>
      <c r="D182">
        <v>0</v>
      </c>
      <c r="E182">
        <v>99</v>
      </c>
      <c r="F182">
        <v>0</v>
      </c>
      <c r="G182">
        <v>0</v>
      </c>
      <c r="H182">
        <v>0</v>
      </c>
      <c r="I182" t="s">
        <v>45</v>
      </c>
    </row>
    <row r="183" spans="1:9">
      <c r="A183" t="s">
        <v>190</v>
      </c>
      <c r="B183">
        <v>0</v>
      </c>
      <c r="C183">
        <v>0</v>
      </c>
      <c r="D183">
        <v>0</v>
      </c>
      <c r="E183">
        <v>99</v>
      </c>
      <c r="F183">
        <v>0</v>
      </c>
      <c r="G183">
        <v>0</v>
      </c>
      <c r="H183">
        <v>0</v>
      </c>
      <c r="I183" t="s">
        <v>45</v>
      </c>
    </row>
    <row r="184" spans="1:9">
      <c r="A184" t="s">
        <v>191</v>
      </c>
      <c r="B184">
        <v>0</v>
      </c>
      <c r="C184">
        <v>0</v>
      </c>
      <c r="D184">
        <v>0</v>
      </c>
      <c r="E184">
        <v>99</v>
      </c>
      <c r="F184">
        <v>0</v>
      </c>
      <c r="G184">
        <v>0</v>
      </c>
      <c r="H184">
        <v>0</v>
      </c>
      <c r="I184" t="s">
        <v>45</v>
      </c>
    </row>
    <row r="185" spans="1:9">
      <c r="A185" t="s">
        <v>192</v>
      </c>
      <c r="B185">
        <v>0</v>
      </c>
      <c r="C185">
        <v>0</v>
      </c>
      <c r="D185">
        <v>0</v>
      </c>
      <c r="E185">
        <v>99</v>
      </c>
      <c r="F185">
        <v>0</v>
      </c>
      <c r="G185">
        <v>0</v>
      </c>
      <c r="H185">
        <v>0</v>
      </c>
      <c r="I185" t="s">
        <v>45</v>
      </c>
    </row>
    <row r="186" spans="1:9">
      <c r="A186" t="s">
        <v>193</v>
      </c>
      <c r="B186">
        <v>0</v>
      </c>
      <c r="C186">
        <v>0</v>
      </c>
      <c r="D186">
        <v>0</v>
      </c>
      <c r="E186">
        <v>99</v>
      </c>
      <c r="F186">
        <v>0</v>
      </c>
      <c r="G186">
        <v>0</v>
      </c>
      <c r="H186">
        <v>0</v>
      </c>
      <c r="I186" t="s">
        <v>45</v>
      </c>
    </row>
    <row r="187" spans="1:9">
      <c r="A187" t="s">
        <v>194</v>
      </c>
      <c r="B187">
        <v>0</v>
      </c>
      <c r="C187">
        <v>0</v>
      </c>
      <c r="D187">
        <v>0</v>
      </c>
      <c r="E187">
        <v>99</v>
      </c>
      <c r="F187">
        <v>0</v>
      </c>
      <c r="G187">
        <v>0</v>
      </c>
      <c r="H187">
        <v>0</v>
      </c>
      <c r="I187" t="s">
        <v>45</v>
      </c>
    </row>
    <row r="188" spans="1:9">
      <c r="A188" t="s">
        <v>195</v>
      </c>
      <c r="B188">
        <v>0</v>
      </c>
      <c r="C188">
        <v>0</v>
      </c>
      <c r="D188">
        <v>0</v>
      </c>
      <c r="E188">
        <v>99</v>
      </c>
      <c r="F188">
        <v>0</v>
      </c>
      <c r="G188">
        <v>0</v>
      </c>
      <c r="H188">
        <v>0</v>
      </c>
      <c r="I188" t="s">
        <v>45</v>
      </c>
    </row>
    <row r="189" spans="1:9">
      <c r="A189" t="s">
        <v>196</v>
      </c>
      <c r="B189">
        <v>0</v>
      </c>
      <c r="C189">
        <v>0</v>
      </c>
      <c r="D189">
        <v>0</v>
      </c>
      <c r="E189">
        <v>99</v>
      </c>
      <c r="F189">
        <v>0</v>
      </c>
      <c r="G189">
        <v>0</v>
      </c>
      <c r="H189">
        <v>0</v>
      </c>
      <c r="I189" t="s">
        <v>45</v>
      </c>
    </row>
    <row r="190" spans="1:9">
      <c r="A190" t="s">
        <v>197</v>
      </c>
      <c r="B190">
        <v>0</v>
      </c>
      <c r="C190">
        <v>0</v>
      </c>
      <c r="D190">
        <v>0</v>
      </c>
      <c r="E190">
        <v>99</v>
      </c>
      <c r="F190">
        <v>0</v>
      </c>
      <c r="G190">
        <v>0</v>
      </c>
      <c r="H190">
        <v>0</v>
      </c>
      <c r="I190" t="s">
        <v>45</v>
      </c>
    </row>
    <row r="191" spans="1:9">
      <c r="A191" t="s">
        <v>198</v>
      </c>
      <c r="B191">
        <v>0</v>
      </c>
      <c r="C191">
        <v>0</v>
      </c>
      <c r="D191">
        <v>0</v>
      </c>
      <c r="E191">
        <v>99</v>
      </c>
      <c r="F191">
        <v>0</v>
      </c>
      <c r="G191">
        <v>0</v>
      </c>
      <c r="H191">
        <v>0</v>
      </c>
      <c r="I191" t="s">
        <v>45</v>
      </c>
    </row>
    <row r="192" spans="1:9">
      <c r="A192" t="s">
        <v>199</v>
      </c>
      <c r="B192">
        <v>0</v>
      </c>
      <c r="C192">
        <v>0</v>
      </c>
      <c r="D192">
        <v>0</v>
      </c>
      <c r="E192">
        <v>99</v>
      </c>
      <c r="F192">
        <v>0</v>
      </c>
      <c r="G192">
        <v>0</v>
      </c>
      <c r="H192">
        <v>0</v>
      </c>
      <c r="I192" t="s">
        <v>45</v>
      </c>
    </row>
    <row r="193" spans="1:9">
      <c r="A193" t="s">
        <v>200</v>
      </c>
      <c r="B193">
        <v>0</v>
      </c>
      <c r="C193">
        <v>0</v>
      </c>
      <c r="D193">
        <v>2</v>
      </c>
      <c r="E193">
        <v>97</v>
      </c>
      <c r="F193">
        <v>0</v>
      </c>
      <c r="G193">
        <v>0</v>
      </c>
      <c r="H193">
        <v>2</v>
      </c>
      <c r="I193" t="s">
        <v>45</v>
      </c>
    </row>
    <row r="194" spans="1:9">
      <c r="A194" t="s">
        <v>201</v>
      </c>
      <c r="B194">
        <v>0</v>
      </c>
      <c r="C194">
        <v>0</v>
      </c>
      <c r="D194">
        <v>0</v>
      </c>
      <c r="E194">
        <v>99</v>
      </c>
      <c r="F194">
        <v>0</v>
      </c>
      <c r="G194">
        <v>0</v>
      </c>
      <c r="H194">
        <v>0</v>
      </c>
      <c r="I194" t="s">
        <v>45</v>
      </c>
    </row>
    <row r="195" spans="1:9">
      <c r="A195" t="s">
        <v>202</v>
      </c>
      <c r="B195">
        <v>0</v>
      </c>
      <c r="C195">
        <v>0</v>
      </c>
      <c r="D195">
        <v>0</v>
      </c>
      <c r="E195">
        <v>99</v>
      </c>
      <c r="F195">
        <v>0</v>
      </c>
      <c r="G195">
        <v>0</v>
      </c>
      <c r="H195">
        <v>0</v>
      </c>
      <c r="I195" t="s">
        <v>45</v>
      </c>
    </row>
    <row r="196" spans="1:9">
      <c r="A196" t="s">
        <v>203</v>
      </c>
      <c r="B196">
        <v>0</v>
      </c>
      <c r="C196">
        <v>0</v>
      </c>
      <c r="D196">
        <v>0</v>
      </c>
      <c r="E196">
        <v>99</v>
      </c>
      <c r="F196">
        <v>0</v>
      </c>
      <c r="G196">
        <v>0</v>
      </c>
      <c r="H196">
        <v>0</v>
      </c>
      <c r="I196" t="s">
        <v>45</v>
      </c>
    </row>
    <row r="197" spans="1:9">
      <c r="A197" t="s">
        <v>204</v>
      </c>
      <c r="B197">
        <v>0</v>
      </c>
      <c r="C197">
        <v>0</v>
      </c>
      <c r="D197">
        <v>0</v>
      </c>
      <c r="E197">
        <v>99</v>
      </c>
      <c r="F197">
        <v>0</v>
      </c>
      <c r="G197">
        <v>0</v>
      </c>
      <c r="H197">
        <v>0</v>
      </c>
      <c r="I197" t="s">
        <v>45</v>
      </c>
    </row>
    <row r="198" spans="1:9">
      <c r="A198" t="s">
        <v>205</v>
      </c>
      <c r="B198">
        <v>0</v>
      </c>
      <c r="C198">
        <v>0</v>
      </c>
      <c r="D198">
        <v>0</v>
      </c>
      <c r="E198">
        <v>99</v>
      </c>
      <c r="F198">
        <v>0</v>
      </c>
      <c r="G198">
        <v>0</v>
      </c>
      <c r="H198">
        <v>0</v>
      </c>
      <c r="I198" t="s">
        <v>45</v>
      </c>
    </row>
    <row r="199" spans="1:9">
      <c r="A199" t="s">
        <v>206</v>
      </c>
      <c r="B199">
        <v>0</v>
      </c>
      <c r="C199">
        <v>0</v>
      </c>
      <c r="D199">
        <v>0</v>
      </c>
      <c r="E199">
        <v>99</v>
      </c>
      <c r="F199">
        <v>0</v>
      </c>
      <c r="G199">
        <v>0</v>
      </c>
      <c r="H199">
        <v>0</v>
      </c>
      <c r="I199" t="s">
        <v>45</v>
      </c>
    </row>
    <row r="200" spans="1:9">
      <c r="A200" t="s">
        <v>207</v>
      </c>
      <c r="B200">
        <v>0</v>
      </c>
      <c r="C200">
        <v>0</v>
      </c>
      <c r="D200">
        <v>0</v>
      </c>
      <c r="E200">
        <v>99</v>
      </c>
      <c r="F200">
        <v>0</v>
      </c>
      <c r="G200">
        <v>0</v>
      </c>
      <c r="H200">
        <v>0</v>
      </c>
      <c r="I200" t="s">
        <v>45</v>
      </c>
    </row>
    <row r="201" spans="1:9">
      <c r="A201" t="s">
        <v>208</v>
      </c>
      <c r="B201">
        <v>0</v>
      </c>
      <c r="C201">
        <v>0</v>
      </c>
      <c r="D201">
        <v>0</v>
      </c>
      <c r="E201">
        <v>99</v>
      </c>
      <c r="F201">
        <v>0</v>
      </c>
      <c r="G201">
        <v>0</v>
      </c>
      <c r="H201">
        <v>0</v>
      </c>
      <c r="I201" t="s">
        <v>45</v>
      </c>
    </row>
    <row r="202" spans="1:9">
      <c r="A202" t="s">
        <v>209</v>
      </c>
      <c r="B202">
        <v>0</v>
      </c>
      <c r="C202">
        <v>0</v>
      </c>
      <c r="D202">
        <v>0</v>
      </c>
      <c r="E202">
        <v>99</v>
      </c>
      <c r="F202">
        <v>0</v>
      </c>
      <c r="G202">
        <v>0</v>
      </c>
      <c r="H202">
        <v>0</v>
      </c>
      <c r="I202" t="s">
        <v>45</v>
      </c>
    </row>
    <row r="203" spans="1:9">
      <c r="A203" t="s">
        <v>210</v>
      </c>
      <c r="B203">
        <v>0</v>
      </c>
      <c r="C203">
        <v>0</v>
      </c>
      <c r="D203">
        <v>0</v>
      </c>
      <c r="E203">
        <v>99</v>
      </c>
      <c r="F203">
        <v>0</v>
      </c>
      <c r="G203">
        <v>0</v>
      </c>
      <c r="H203">
        <v>0</v>
      </c>
      <c r="I203" t="s">
        <v>45</v>
      </c>
    </row>
    <row r="204" spans="1:9">
      <c r="A204" t="s">
        <v>211</v>
      </c>
      <c r="B204">
        <v>0</v>
      </c>
      <c r="C204">
        <v>0</v>
      </c>
      <c r="D204">
        <v>0</v>
      </c>
      <c r="E204">
        <v>99</v>
      </c>
      <c r="F204">
        <v>0</v>
      </c>
      <c r="G204">
        <v>0</v>
      </c>
      <c r="H204">
        <v>0</v>
      </c>
      <c r="I204" t="s">
        <v>45</v>
      </c>
    </row>
    <row r="205" spans="1:9">
      <c r="A205" t="s">
        <v>212</v>
      </c>
      <c r="B205">
        <v>0</v>
      </c>
      <c r="C205">
        <v>0</v>
      </c>
      <c r="D205">
        <v>0</v>
      </c>
      <c r="E205">
        <v>99</v>
      </c>
      <c r="F205">
        <v>0</v>
      </c>
      <c r="G205">
        <v>0</v>
      </c>
      <c r="H205">
        <v>0</v>
      </c>
      <c r="I205" t="s">
        <v>45</v>
      </c>
    </row>
    <row r="206" spans="1:9">
      <c r="A206" t="s">
        <v>213</v>
      </c>
      <c r="B206">
        <v>0</v>
      </c>
      <c r="C206">
        <v>0</v>
      </c>
      <c r="D206">
        <v>0</v>
      </c>
      <c r="E206">
        <v>99</v>
      </c>
      <c r="F206">
        <v>0</v>
      </c>
      <c r="G206">
        <v>0</v>
      </c>
      <c r="H206">
        <v>0</v>
      </c>
      <c r="I206" t="s">
        <v>45</v>
      </c>
    </row>
    <row r="207" spans="1:9">
      <c r="A207" t="s">
        <v>214</v>
      </c>
      <c r="B207">
        <v>0</v>
      </c>
      <c r="C207">
        <v>0</v>
      </c>
      <c r="D207">
        <v>0</v>
      </c>
      <c r="E207">
        <v>99</v>
      </c>
      <c r="F207">
        <v>0</v>
      </c>
      <c r="G207">
        <v>0</v>
      </c>
      <c r="H207">
        <v>0</v>
      </c>
      <c r="I207" t="s">
        <v>45</v>
      </c>
    </row>
    <row r="208" spans="1:9">
      <c r="A208" t="s">
        <v>215</v>
      </c>
      <c r="B208">
        <v>0</v>
      </c>
      <c r="C208">
        <v>0</v>
      </c>
      <c r="D208">
        <v>0</v>
      </c>
      <c r="E208">
        <v>99</v>
      </c>
      <c r="F208">
        <v>0</v>
      </c>
      <c r="G208">
        <v>0</v>
      </c>
      <c r="H208">
        <v>0</v>
      </c>
      <c r="I208" t="s">
        <v>45</v>
      </c>
    </row>
    <row r="209" spans="1:9">
      <c r="A209" t="s">
        <v>216</v>
      </c>
      <c r="B209">
        <v>0</v>
      </c>
      <c r="C209">
        <v>0</v>
      </c>
      <c r="D209">
        <v>0</v>
      </c>
      <c r="E209">
        <v>99</v>
      </c>
      <c r="F209">
        <v>0</v>
      </c>
      <c r="G209">
        <v>0</v>
      </c>
      <c r="H209">
        <v>0</v>
      </c>
      <c r="I209" t="s">
        <v>45</v>
      </c>
    </row>
    <row r="210" spans="1:9">
      <c r="A210" t="s">
        <v>217</v>
      </c>
      <c r="B210">
        <v>0</v>
      </c>
      <c r="C210">
        <v>0</v>
      </c>
      <c r="D210">
        <v>0</v>
      </c>
      <c r="E210">
        <v>99</v>
      </c>
      <c r="F210">
        <v>0</v>
      </c>
      <c r="G210">
        <v>0</v>
      </c>
      <c r="H210">
        <v>0</v>
      </c>
      <c r="I210" t="s">
        <v>45</v>
      </c>
    </row>
    <row r="211" spans="1:9">
      <c r="A211" t="s">
        <v>218</v>
      </c>
      <c r="B211">
        <v>0</v>
      </c>
      <c r="C211">
        <v>0</v>
      </c>
      <c r="D211">
        <v>7</v>
      </c>
      <c r="E211">
        <v>92</v>
      </c>
      <c r="F211">
        <v>0</v>
      </c>
      <c r="G211">
        <v>0</v>
      </c>
      <c r="H211">
        <v>7</v>
      </c>
      <c r="I211" t="s">
        <v>45</v>
      </c>
    </row>
    <row r="212" spans="1:9">
      <c r="A212" t="s">
        <v>219</v>
      </c>
      <c r="B212">
        <v>0</v>
      </c>
      <c r="C212">
        <v>0</v>
      </c>
      <c r="D212">
        <v>0</v>
      </c>
      <c r="E212">
        <v>99</v>
      </c>
      <c r="F212">
        <v>0</v>
      </c>
      <c r="G212">
        <v>0</v>
      </c>
      <c r="H212">
        <v>0</v>
      </c>
      <c r="I212" t="s">
        <v>45</v>
      </c>
    </row>
    <row r="213" spans="1:9">
      <c r="A213" t="s">
        <v>220</v>
      </c>
      <c r="B213">
        <v>0</v>
      </c>
      <c r="C213">
        <v>0</v>
      </c>
      <c r="D213">
        <v>0</v>
      </c>
      <c r="E213">
        <v>99</v>
      </c>
      <c r="F213">
        <v>0</v>
      </c>
      <c r="G213">
        <v>0</v>
      </c>
      <c r="H213">
        <v>0</v>
      </c>
      <c r="I213" t="s">
        <v>45</v>
      </c>
    </row>
    <row r="214" spans="1:9">
      <c r="A214" t="s">
        <v>221</v>
      </c>
      <c r="B214">
        <v>0</v>
      </c>
      <c r="C214">
        <v>0</v>
      </c>
      <c r="D214">
        <v>0</v>
      </c>
      <c r="E214">
        <v>99</v>
      </c>
      <c r="F214">
        <v>0</v>
      </c>
      <c r="G214">
        <v>0</v>
      </c>
      <c r="H214">
        <v>0</v>
      </c>
      <c r="I214" t="s">
        <v>45</v>
      </c>
    </row>
    <row r="215" spans="1:9">
      <c r="A215" t="s">
        <v>222</v>
      </c>
      <c r="B215">
        <v>0</v>
      </c>
      <c r="C215">
        <v>0</v>
      </c>
      <c r="D215">
        <v>0</v>
      </c>
      <c r="E215">
        <v>99</v>
      </c>
      <c r="F215">
        <v>0</v>
      </c>
      <c r="G215">
        <v>0</v>
      </c>
      <c r="H215">
        <v>0</v>
      </c>
      <c r="I215" t="s">
        <v>45</v>
      </c>
    </row>
    <row r="216" spans="1:9">
      <c r="A216" t="s">
        <v>223</v>
      </c>
      <c r="B216">
        <v>0</v>
      </c>
      <c r="C216">
        <v>0</v>
      </c>
      <c r="D216">
        <v>0</v>
      </c>
      <c r="E216">
        <v>99</v>
      </c>
      <c r="F216">
        <v>0</v>
      </c>
      <c r="G216">
        <v>0</v>
      </c>
      <c r="H216">
        <v>0</v>
      </c>
      <c r="I216" t="s">
        <v>45</v>
      </c>
    </row>
    <row r="217" spans="1:9">
      <c r="A217" t="s">
        <v>224</v>
      </c>
      <c r="B217">
        <v>0</v>
      </c>
      <c r="C217">
        <v>0</v>
      </c>
      <c r="D217">
        <v>0</v>
      </c>
      <c r="E217">
        <v>99</v>
      </c>
      <c r="F217">
        <v>0</v>
      </c>
      <c r="G217">
        <v>0</v>
      </c>
      <c r="H217">
        <v>0</v>
      </c>
      <c r="I217" t="s">
        <v>45</v>
      </c>
    </row>
    <row r="218" spans="1:9">
      <c r="A218" t="s">
        <v>225</v>
      </c>
      <c r="B218">
        <v>0</v>
      </c>
      <c r="C218">
        <v>0</v>
      </c>
      <c r="D218">
        <v>0</v>
      </c>
      <c r="E218">
        <v>99</v>
      </c>
      <c r="F218">
        <v>0</v>
      </c>
      <c r="G218">
        <v>0</v>
      </c>
      <c r="H218">
        <v>0</v>
      </c>
      <c r="I218" t="s">
        <v>45</v>
      </c>
    </row>
    <row r="219" spans="1:9">
      <c r="A219" t="s">
        <v>226</v>
      </c>
      <c r="B219">
        <v>0</v>
      </c>
      <c r="C219">
        <v>0</v>
      </c>
      <c r="D219">
        <v>0</v>
      </c>
      <c r="E219">
        <v>99</v>
      </c>
      <c r="F219">
        <v>0</v>
      </c>
      <c r="G219">
        <v>0</v>
      </c>
      <c r="H219">
        <v>0</v>
      </c>
      <c r="I219" t="s">
        <v>45</v>
      </c>
    </row>
    <row r="220" spans="1:9">
      <c r="A220" t="s">
        <v>227</v>
      </c>
      <c r="B220">
        <v>0</v>
      </c>
      <c r="C220">
        <v>0</v>
      </c>
      <c r="D220">
        <v>0</v>
      </c>
      <c r="E220">
        <v>99</v>
      </c>
      <c r="F220">
        <v>0</v>
      </c>
      <c r="G220">
        <v>0</v>
      </c>
      <c r="H220">
        <v>0</v>
      </c>
      <c r="I220" t="s">
        <v>45</v>
      </c>
    </row>
    <row r="221" spans="1:9">
      <c r="A221" t="s">
        <v>228</v>
      </c>
      <c r="B221">
        <v>0</v>
      </c>
      <c r="C221">
        <v>0</v>
      </c>
      <c r="D221">
        <v>0</v>
      </c>
      <c r="E221">
        <v>99</v>
      </c>
      <c r="F221">
        <v>0</v>
      </c>
      <c r="G221">
        <v>0</v>
      </c>
      <c r="H221">
        <v>0</v>
      </c>
      <c r="I221" t="s">
        <v>45</v>
      </c>
    </row>
    <row r="222" spans="1:9">
      <c r="A222" t="s">
        <v>229</v>
      </c>
      <c r="B222">
        <v>0</v>
      </c>
      <c r="C222">
        <v>0</v>
      </c>
      <c r="D222">
        <v>0</v>
      </c>
      <c r="E222">
        <v>99</v>
      </c>
      <c r="F222">
        <v>0</v>
      </c>
      <c r="G222">
        <v>0</v>
      </c>
      <c r="H222">
        <v>0</v>
      </c>
      <c r="I222" t="s">
        <v>45</v>
      </c>
    </row>
    <row r="223" spans="1:9">
      <c r="A223" t="s">
        <v>230</v>
      </c>
      <c r="B223">
        <v>0</v>
      </c>
      <c r="C223">
        <v>0</v>
      </c>
      <c r="D223">
        <v>0</v>
      </c>
      <c r="E223">
        <v>99</v>
      </c>
      <c r="F223">
        <v>0</v>
      </c>
      <c r="G223">
        <v>0</v>
      </c>
      <c r="H223">
        <v>0</v>
      </c>
      <c r="I223" t="s">
        <v>45</v>
      </c>
    </row>
    <row r="224" spans="1:9">
      <c r="A224" t="s">
        <v>231</v>
      </c>
      <c r="B224">
        <v>0</v>
      </c>
      <c r="C224">
        <v>0</v>
      </c>
      <c r="D224">
        <v>0</v>
      </c>
      <c r="E224">
        <v>99</v>
      </c>
      <c r="F224">
        <v>0</v>
      </c>
      <c r="G224">
        <v>0</v>
      </c>
      <c r="H224">
        <v>0</v>
      </c>
      <c r="I224" t="s">
        <v>45</v>
      </c>
    </row>
    <row r="225" spans="1:9">
      <c r="A225" t="s">
        <v>232</v>
      </c>
      <c r="B225">
        <v>0</v>
      </c>
      <c r="C225">
        <v>0</v>
      </c>
      <c r="D225">
        <v>2</v>
      </c>
      <c r="E225">
        <v>97</v>
      </c>
      <c r="F225">
        <v>0</v>
      </c>
      <c r="G225">
        <v>0</v>
      </c>
      <c r="H225">
        <v>2</v>
      </c>
      <c r="I225" t="s">
        <v>45</v>
      </c>
    </row>
    <row r="226" spans="1:9">
      <c r="A226" t="s">
        <v>233</v>
      </c>
      <c r="B226">
        <v>0</v>
      </c>
      <c r="C226">
        <v>0</v>
      </c>
      <c r="D226">
        <v>0</v>
      </c>
      <c r="E226">
        <v>99</v>
      </c>
      <c r="F226">
        <v>0</v>
      </c>
      <c r="G226">
        <v>0</v>
      </c>
      <c r="H226">
        <v>0</v>
      </c>
      <c r="I226" t="s">
        <v>45</v>
      </c>
    </row>
    <row r="227" spans="1:9">
      <c r="A227" t="s">
        <v>234</v>
      </c>
      <c r="B227">
        <v>0</v>
      </c>
      <c r="C227">
        <v>0</v>
      </c>
      <c r="D227">
        <v>0</v>
      </c>
      <c r="E227">
        <v>99</v>
      </c>
      <c r="F227">
        <v>0</v>
      </c>
      <c r="G227">
        <v>0</v>
      </c>
      <c r="H227">
        <v>0</v>
      </c>
      <c r="I227" t="s">
        <v>45</v>
      </c>
    </row>
    <row r="228" spans="1:9">
      <c r="A228" t="s">
        <v>235</v>
      </c>
      <c r="B228">
        <v>0</v>
      </c>
      <c r="C228">
        <v>0</v>
      </c>
      <c r="D228">
        <v>0</v>
      </c>
      <c r="E228">
        <v>100</v>
      </c>
      <c r="F228">
        <v>0</v>
      </c>
      <c r="G228">
        <v>0</v>
      </c>
      <c r="H228">
        <v>0</v>
      </c>
      <c r="I228" t="s">
        <v>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1E54C-F958-4E84-8214-384897E68C40}">
  <sheetPr codeName="Sheet9"/>
  <dimension ref="A1:EZ228"/>
  <sheetViews>
    <sheetView workbookViewId="0"/>
  </sheetViews>
  <sheetFormatPr defaultRowHeight="12.5"/>
  <sheetData>
    <row r="1" spans="1:7">
      <c r="A1" t="s">
        <v>84</v>
      </c>
      <c r="B1">
        <v>59</v>
      </c>
      <c r="C1" t="s">
        <v>245</v>
      </c>
      <c r="D1" t="s">
        <v>83</v>
      </c>
      <c r="E1" t="s">
        <v>250</v>
      </c>
    </row>
    <row r="2" spans="1:7">
      <c r="A2" t="s">
        <v>79</v>
      </c>
      <c r="B2" t="s">
        <v>87</v>
      </c>
      <c r="C2">
        <v>4</v>
      </c>
    </row>
    <row r="3" spans="1:7">
      <c r="A3" t="s">
        <v>80</v>
      </c>
    </row>
    <row r="4" spans="1:7">
      <c r="A4" t="s">
        <v>251</v>
      </c>
    </row>
    <row r="5" spans="1:7">
      <c r="A5" t="s">
        <v>81</v>
      </c>
      <c r="B5" t="s">
        <v>89</v>
      </c>
      <c r="C5" t="s">
        <v>58</v>
      </c>
      <c r="D5" t="s">
        <v>252</v>
      </c>
    </row>
    <row r="6" spans="1:7">
      <c r="A6" t="s">
        <v>253</v>
      </c>
    </row>
    <row r="7" spans="1:7">
      <c r="A7" t="s">
        <v>82</v>
      </c>
      <c r="B7" t="s">
        <v>92</v>
      </c>
    </row>
    <row r="8" spans="1:7">
      <c r="A8" t="s">
        <v>93</v>
      </c>
      <c r="B8" t="s">
        <v>94</v>
      </c>
    </row>
    <row r="9" spans="1:7">
      <c r="A9" t="s">
        <v>95</v>
      </c>
      <c r="B9" t="s">
        <v>96</v>
      </c>
      <c r="C9" t="s">
        <v>97</v>
      </c>
    </row>
    <row r="10" spans="1:7">
      <c r="A10" t="s">
        <v>254</v>
      </c>
    </row>
    <row r="11" spans="1:7">
      <c r="A11" t="s">
        <v>99</v>
      </c>
    </row>
    <row r="12" spans="1:7">
      <c r="A12" t="s">
        <v>100</v>
      </c>
      <c r="B12" t="s">
        <v>101</v>
      </c>
      <c r="C12" t="s">
        <v>102</v>
      </c>
      <c r="D12" t="s">
        <v>103</v>
      </c>
      <c r="E12" t="s">
        <v>104</v>
      </c>
      <c r="F12" t="s">
        <v>105</v>
      </c>
      <c r="G12" t="s">
        <v>106</v>
      </c>
    </row>
    <row r="13" spans="1:7">
      <c r="A13">
        <v>2</v>
      </c>
      <c r="B13">
        <v>3049780</v>
      </c>
      <c r="C13">
        <v>0.01</v>
      </c>
      <c r="D13">
        <v>0</v>
      </c>
      <c r="E13">
        <v>0.47</v>
      </c>
      <c r="F13">
        <v>830</v>
      </c>
      <c r="G13">
        <v>3279</v>
      </c>
    </row>
    <row r="14" spans="1:7">
      <c r="A14">
        <v>4</v>
      </c>
      <c r="B14">
        <v>5017380</v>
      </c>
      <c r="C14">
        <v>0.02</v>
      </c>
      <c r="D14">
        <v>0</v>
      </c>
      <c r="E14">
        <v>0.68</v>
      </c>
      <c r="F14">
        <v>5359</v>
      </c>
      <c r="G14">
        <v>29798</v>
      </c>
    </row>
    <row r="15" spans="1:7">
      <c r="A15">
        <v>6</v>
      </c>
      <c r="B15">
        <v>6689840</v>
      </c>
      <c r="C15">
        <v>0.03</v>
      </c>
      <c r="D15">
        <v>0</v>
      </c>
      <c r="E15">
        <v>0.98</v>
      </c>
      <c r="F15">
        <v>11810</v>
      </c>
      <c r="G15">
        <v>68990</v>
      </c>
    </row>
    <row r="16" spans="1:7">
      <c r="A16">
        <v>8</v>
      </c>
      <c r="B16">
        <v>12199120</v>
      </c>
      <c r="C16">
        <v>0.05</v>
      </c>
      <c r="D16">
        <v>0</v>
      </c>
      <c r="E16">
        <v>1.6</v>
      </c>
      <c r="F16">
        <v>21338</v>
      </c>
      <c r="G16">
        <v>126311</v>
      </c>
    </row>
    <row r="17" spans="1:7">
      <c r="A17">
        <v>10</v>
      </c>
      <c r="B17">
        <v>19676000</v>
      </c>
      <c r="C17">
        <v>0.08</v>
      </c>
      <c r="D17">
        <v>0</v>
      </c>
      <c r="E17">
        <v>2.97</v>
      </c>
      <c r="F17">
        <v>35750</v>
      </c>
      <c r="G17">
        <v>212015</v>
      </c>
    </row>
    <row r="18" spans="1:7">
      <c r="A18">
        <v>12</v>
      </c>
      <c r="B18">
        <v>36892500</v>
      </c>
      <c r="C18">
        <v>0.15</v>
      </c>
      <c r="D18">
        <v>0</v>
      </c>
      <c r="E18">
        <v>5.1100000000000003</v>
      </c>
      <c r="F18">
        <v>57101</v>
      </c>
      <c r="G18">
        <v>335776</v>
      </c>
    </row>
    <row r="19" spans="1:7">
      <c r="A19">
        <v>14</v>
      </c>
      <c r="B19">
        <v>60208560</v>
      </c>
      <c r="C19">
        <v>0.24</v>
      </c>
      <c r="D19">
        <v>0</v>
      </c>
      <c r="E19">
        <v>8.2100000000000009</v>
      </c>
      <c r="F19">
        <v>88463</v>
      </c>
      <c r="G19">
        <v>516993</v>
      </c>
    </row>
    <row r="20" spans="1:7">
      <c r="A20">
        <v>16</v>
      </c>
      <c r="B20">
        <v>92969100</v>
      </c>
      <c r="C20">
        <v>0.37</v>
      </c>
      <c r="D20">
        <v>0</v>
      </c>
      <c r="E20">
        <v>12.41</v>
      </c>
      <c r="F20">
        <v>132668</v>
      </c>
      <c r="G20">
        <v>782035</v>
      </c>
    </row>
    <row r="21" spans="1:7">
      <c r="A21">
        <v>18</v>
      </c>
      <c r="B21">
        <v>136256300</v>
      </c>
      <c r="C21">
        <v>0.55000000000000004</v>
      </c>
      <c r="D21">
        <v>0</v>
      </c>
      <c r="E21">
        <v>18.12</v>
      </c>
      <c r="F21">
        <v>192450</v>
      </c>
      <c r="G21">
        <v>1176478</v>
      </c>
    </row>
    <row r="22" spans="1:7">
      <c r="A22">
        <v>20</v>
      </c>
      <c r="B22">
        <v>197153520</v>
      </c>
      <c r="C22">
        <v>0.79</v>
      </c>
      <c r="D22">
        <v>0</v>
      </c>
      <c r="E22">
        <v>26.45</v>
      </c>
      <c r="F22">
        <v>276333</v>
      </c>
      <c r="G22">
        <v>1742210</v>
      </c>
    </row>
    <row r="23" spans="1:7">
      <c r="A23">
        <v>22</v>
      </c>
      <c r="B23">
        <v>281760320</v>
      </c>
      <c r="C23">
        <v>1.1299999999999999</v>
      </c>
      <c r="D23">
        <v>0</v>
      </c>
      <c r="E23">
        <v>38.69</v>
      </c>
      <c r="F23">
        <v>398455</v>
      </c>
      <c r="G23">
        <v>2544205</v>
      </c>
    </row>
    <row r="24" spans="1:7">
      <c r="A24">
        <v>24</v>
      </c>
      <c r="B24">
        <v>365678460</v>
      </c>
      <c r="C24">
        <v>1.46</v>
      </c>
      <c r="D24">
        <v>0</v>
      </c>
      <c r="E24">
        <v>56.45</v>
      </c>
      <c r="F24">
        <v>569641</v>
      </c>
      <c r="G24">
        <v>3633288</v>
      </c>
    </row>
    <row r="25" spans="1:7">
      <c r="A25">
        <v>26</v>
      </c>
      <c r="B25">
        <v>596379560</v>
      </c>
      <c r="C25">
        <v>2.39</v>
      </c>
      <c r="D25">
        <v>0</v>
      </c>
      <c r="E25">
        <v>82.38</v>
      </c>
      <c r="F25">
        <v>715729</v>
      </c>
      <c r="G25">
        <v>5126724</v>
      </c>
    </row>
    <row r="26" spans="1:7">
      <c r="A26">
        <v>28</v>
      </c>
      <c r="B26">
        <v>885026480</v>
      </c>
      <c r="C26">
        <v>3.54</v>
      </c>
      <c r="D26">
        <v>0</v>
      </c>
      <c r="E26">
        <v>120.33</v>
      </c>
      <c r="F26">
        <v>835250</v>
      </c>
      <c r="G26">
        <v>6640104</v>
      </c>
    </row>
    <row r="27" spans="1:7">
      <c r="A27">
        <v>30</v>
      </c>
      <c r="B27">
        <v>1336295540</v>
      </c>
      <c r="C27">
        <v>5.35</v>
      </c>
      <c r="D27">
        <v>0</v>
      </c>
      <c r="E27">
        <v>175.78</v>
      </c>
      <c r="F27">
        <v>954024</v>
      </c>
      <c r="G27">
        <v>8137365</v>
      </c>
    </row>
    <row r="28" spans="1:7">
      <c r="A28">
        <v>32</v>
      </c>
      <c r="B28">
        <v>1809601720</v>
      </c>
      <c r="C28">
        <v>7.24</v>
      </c>
      <c r="D28">
        <v>0</v>
      </c>
      <c r="E28">
        <v>256.93</v>
      </c>
      <c r="F28">
        <v>1077518</v>
      </c>
      <c r="G28">
        <v>9677741</v>
      </c>
    </row>
    <row r="29" spans="1:7">
      <c r="A29">
        <v>34</v>
      </c>
      <c r="B29">
        <v>2606479720</v>
      </c>
      <c r="C29">
        <v>10.43</v>
      </c>
      <c r="D29">
        <v>0</v>
      </c>
      <c r="E29">
        <v>374.9</v>
      </c>
      <c r="F29">
        <v>1213939</v>
      </c>
      <c r="G29">
        <v>11292352</v>
      </c>
    </row>
    <row r="30" spans="1:7">
      <c r="A30">
        <v>36</v>
      </c>
      <c r="B30">
        <v>4140519060</v>
      </c>
      <c r="C30">
        <v>16.559999999999999</v>
      </c>
      <c r="D30">
        <v>0</v>
      </c>
      <c r="E30">
        <v>540.39</v>
      </c>
      <c r="F30">
        <v>1369226</v>
      </c>
      <c r="G30">
        <v>13023634</v>
      </c>
    </row>
    <row r="31" spans="1:7">
      <c r="A31">
        <v>38</v>
      </c>
      <c r="B31">
        <v>5139174440</v>
      </c>
      <c r="C31">
        <v>20.56</v>
      </c>
      <c r="D31">
        <v>0</v>
      </c>
      <c r="E31">
        <v>759.56</v>
      </c>
      <c r="F31">
        <v>1541548</v>
      </c>
      <c r="G31">
        <v>14901566</v>
      </c>
    </row>
    <row r="32" spans="1:7">
      <c r="A32">
        <v>40</v>
      </c>
      <c r="B32">
        <v>5718435880</v>
      </c>
      <c r="C32">
        <v>22.87</v>
      </c>
      <c r="D32">
        <v>0</v>
      </c>
      <c r="E32">
        <v>950.92</v>
      </c>
      <c r="F32">
        <v>1678893</v>
      </c>
      <c r="G32">
        <v>16902226</v>
      </c>
    </row>
    <row r="33" spans="1:7">
      <c r="A33">
        <v>42</v>
      </c>
      <c r="B33">
        <v>6221157680</v>
      </c>
      <c r="C33">
        <v>24.88</v>
      </c>
      <c r="D33">
        <v>0</v>
      </c>
      <c r="E33">
        <v>950.92</v>
      </c>
      <c r="F33">
        <v>1808138</v>
      </c>
      <c r="G33">
        <v>18827211</v>
      </c>
    </row>
    <row r="34" spans="1:7">
      <c r="A34">
        <v>44</v>
      </c>
      <c r="B34">
        <v>5035580300</v>
      </c>
      <c r="C34">
        <v>20.14</v>
      </c>
      <c r="D34">
        <v>0</v>
      </c>
      <c r="E34">
        <v>950.92</v>
      </c>
      <c r="F34">
        <v>1936308</v>
      </c>
      <c r="G34">
        <v>20731456</v>
      </c>
    </row>
    <row r="35" spans="1:7">
      <c r="A35">
        <v>46</v>
      </c>
      <c r="B35">
        <v>6056961460</v>
      </c>
      <c r="C35">
        <v>24.23</v>
      </c>
      <c r="D35">
        <v>0</v>
      </c>
      <c r="E35">
        <v>950.92</v>
      </c>
      <c r="F35">
        <v>2063630</v>
      </c>
      <c r="G35">
        <v>22625522</v>
      </c>
    </row>
    <row r="36" spans="1:7">
      <c r="A36">
        <v>48</v>
      </c>
      <c r="B36">
        <v>4888305440</v>
      </c>
      <c r="C36">
        <v>19.55</v>
      </c>
      <c r="D36">
        <v>0</v>
      </c>
      <c r="E36">
        <v>950.92</v>
      </c>
      <c r="F36">
        <v>2190751</v>
      </c>
      <c r="G36">
        <v>24516967</v>
      </c>
    </row>
    <row r="37" spans="1:7">
      <c r="A37">
        <v>50</v>
      </c>
      <c r="B37">
        <v>6004721680</v>
      </c>
      <c r="C37">
        <v>24.02</v>
      </c>
      <c r="D37">
        <v>0</v>
      </c>
      <c r="E37">
        <v>950.92</v>
      </c>
      <c r="F37">
        <v>2316506</v>
      </c>
      <c r="G37">
        <v>26405522</v>
      </c>
    </row>
    <row r="38" spans="1:7">
      <c r="A38">
        <v>52</v>
      </c>
      <c r="B38">
        <v>5345378920</v>
      </c>
      <c r="C38">
        <v>21.38</v>
      </c>
      <c r="D38">
        <v>0</v>
      </c>
      <c r="E38">
        <v>950.92</v>
      </c>
      <c r="F38">
        <v>2442450</v>
      </c>
      <c r="G38">
        <v>28294636</v>
      </c>
    </row>
    <row r="39" spans="1:7">
      <c r="A39">
        <v>54</v>
      </c>
      <c r="B39">
        <v>5299041940</v>
      </c>
      <c r="C39">
        <v>21.2</v>
      </c>
      <c r="D39">
        <v>0</v>
      </c>
      <c r="E39">
        <v>950.92</v>
      </c>
      <c r="F39">
        <v>2569169</v>
      </c>
      <c r="G39">
        <v>30183067</v>
      </c>
    </row>
    <row r="40" spans="1:7">
      <c r="A40">
        <v>56</v>
      </c>
      <c r="B40">
        <v>5726503040</v>
      </c>
      <c r="C40">
        <v>22.91</v>
      </c>
      <c r="D40">
        <v>0</v>
      </c>
      <c r="E40">
        <v>950.92</v>
      </c>
      <c r="F40">
        <v>2695701</v>
      </c>
      <c r="G40">
        <v>32071221</v>
      </c>
    </row>
    <row r="41" spans="1:7">
      <c r="A41">
        <v>58</v>
      </c>
      <c r="B41">
        <v>5342230760</v>
      </c>
      <c r="C41">
        <v>21.37</v>
      </c>
      <c r="D41">
        <v>0</v>
      </c>
      <c r="E41">
        <v>950.92</v>
      </c>
      <c r="F41">
        <v>2822318</v>
      </c>
      <c r="G41">
        <v>33958917</v>
      </c>
    </row>
    <row r="42" spans="1:7">
      <c r="A42">
        <v>60</v>
      </c>
      <c r="B42">
        <v>5900438880</v>
      </c>
      <c r="C42">
        <v>23.61</v>
      </c>
      <c r="D42">
        <v>0</v>
      </c>
      <c r="E42">
        <v>950.92</v>
      </c>
      <c r="F42">
        <v>2948706</v>
      </c>
      <c r="G42">
        <v>35847268</v>
      </c>
    </row>
    <row r="43" spans="1:7">
      <c r="A43">
        <v>62</v>
      </c>
      <c r="B43">
        <v>4878369060</v>
      </c>
      <c r="C43">
        <v>19.510000000000002</v>
      </c>
      <c r="D43">
        <v>0</v>
      </c>
      <c r="E43">
        <v>950.92</v>
      </c>
      <c r="F43">
        <v>3075037</v>
      </c>
      <c r="G43">
        <v>37735974</v>
      </c>
    </row>
    <row r="44" spans="1:7">
      <c r="A44">
        <v>64</v>
      </c>
      <c r="B44">
        <v>6074571480</v>
      </c>
      <c r="C44">
        <v>24.3</v>
      </c>
      <c r="D44">
        <v>0</v>
      </c>
      <c r="E44">
        <v>950.92</v>
      </c>
      <c r="F44">
        <v>3201274</v>
      </c>
      <c r="G44">
        <v>39624203</v>
      </c>
    </row>
    <row r="45" spans="1:7">
      <c r="A45">
        <v>66</v>
      </c>
      <c r="B45">
        <v>4934937560</v>
      </c>
      <c r="C45">
        <v>19.739999999999998</v>
      </c>
      <c r="D45">
        <v>0</v>
      </c>
      <c r="E45">
        <v>950.92</v>
      </c>
      <c r="F45">
        <v>3328123</v>
      </c>
      <c r="G45">
        <v>41511110</v>
      </c>
    </row>
    <row r="46" spans="1:7">
      <c r="A46">
        <v>68</v>
      </c>
      <c r="B46">
        <v>6150028940</v>
      </c>
      <c r="C46">
        <v>24.6</v>
      </c>
      <c r="D46">
        <v>0</v>
      </c>
      <c r="E46">
        <v>950.92</v>
      </c>
      <c r="F46">
        <v>3454409</v>
      </c>
      <c r="G46">
        <v>43396763</v>
      </c>
    </row>
    <row r="47" spans="1:7">
      <c r="A47">
        <v>70</v>
      </c>
      <c r="B47">
        <v>4890371420</v>
      </c>
      <c r="C47">
        <v>19.559999999999999</v>
      </c>
      <c r="D47">
        <v>0</v>
      </c>
      <c r="E47">
        <v>950.92</v>
      </c>
      <c r="F47">
        <v>3580739</v>
      </c>
      <c r="G47">
        <v>45283258</v>
      </c>
    </row>
    <row r="48" spans="1:7">
      <c r="A48">
        <v>72</v>
      </c>
      <c r="B48">
        <v>5838557860</v>
      </c>
      <c r="C48">
        <v>23.35</v>
      </c>
      <c r="D48">
        <v>0</v>
      </c>
      <c r="E48">
        <v>950.92</v>
      </c>
      <c r="F48">
        <v>3707346</v>
      </c>
      <c r="G48">
        <v>47170249</v>
      </c>
    </row>
    <row r="49" spans="1:7">
      <c r="A49">
        <v>74</v>
      </c>
      <c r="B49">
        <v>5109070160</v>
      </c>
      <c r="C49">
        <v>20.440000000000001</v>
      </c>
      <c r="D49">
        <v>0</v>
      </c>
      <c r="E49">
        <v>950.92</v>
      </c>
      <c r="F49">
        <v>3834175</v>
      </c>
      <c r="G49">
        <v>49056538</v>
      </c>
    </row>
    <row r="50" spans="1:7">
      <c r="A50">
        <v>76</v>
      </c>
      <c r="B50">
        <v>6083917580</v>
      </c>
      <c r="C50">
        <v>24.34</v>
      </c>
      <c r="D50">
        <v>0</v>
      </c>
      <c r="E50">
        <v>950.92</v>
      </c>
      <c r="F50">
        <v>3960588</v>
      </c>
      <c r="G50">
        <v>50943345</v>
      </c>
    </row>
    <row r="51" spans="1:7">
      <c r="A51">
        <v>78</v>
      </c>
      <c r="B51">
        <v>4953924900</v>
      </c>
      <c r="C51">
        <v>19.82</v>
      </c>
      <c r="D51">
        <v>0</v>
      </c>
      <c r="E51">
        <v>950.92</v>
      </c>
      <c r="F51">
        <v>4087332</v>
      </c>
      <c r="G51">
        <v>52829690</v>
      </c>
    </row>
    <row r="52" spans="1:7">
      <c r="A52">
        <v>80</v>
      </c>
      <c r="B52">
        <v>5804813520</v>
      </c>
      <c r="C52">
        <v>23.22</v>
      </c>
      <c r="D52">
        <v>0</v>
      </c>
      <c r="E52">
        <v>950.92</v>
      </c>
      <c r="F52">
        <v>4213680</v>
      </c>
      <c r="G52">
        <v>54716788</v>
      </c>
    </row>
    <row r="53" spans="1:7">
      <c r="A53">
        <v>82</v>
      </c>
      <c r="B53">
        <v>5643568700</v>
      </c>
      <c r="C53">
        <v>22.57</v>
      </c>
      <c r="D53">
        <v>0</v>
      </c>
      <c r="E53">
        <v>950.92</v>
      </c>
      <c r="F53">
        <v>4340069</v>
      </c>
      <c r="G53">
        <v>56603550</v>
      </c>
    </row>
    <row r="54" spans="1:7">
      <c r="A54">
        <v>84</v>
      </c>
      <c r="B54">
        <v>5090869860</v>
      </c>
      <c r="C54">
        <v>20.36</v>
      </c>
      <c r="D54">
        <v>0</v>
      </c>
      <c r="E54">
        <v>950.92</v>
      </c>
      <c r="F54">
        <v>4466419</v>
      </c>
      <c r="G54">
        <v>58492170</v>
      </c>
    </row>
    <row r="55" spans="1:7">
      <c r="A55">
        <v>86</v>
      </c>
      <c r="B55">
        <v>6050074860</v>
      </c>
      <c r="C55">
        <v>24.2</v>
      </c>
      <c r="D55">
        <v>0</v>
      </c>
      <c r="E55">
        <v>950.92</v>
      </c>
      <c r="F55">
        <v>4592534</v>
      </c>
      <c r="G55">
        <v>60379858</v>
      </c>
    </row>
    <row r="56" spans="1:7">
      <c r="A56">
        <v>88</v>
      </c>
      <c r="B56">
        <v>4869022960</v>
      </c>
      <c r="C56">
        <v>19.48</v>
      </c>
      <c r="D56">
        <v>0</v>
      </c>
      <c r="E56">
        <v>950.92</v>
      </c>
      <c r="F56">
        <v>4718704</v>
      </c>
      <c r="G56">
        <v>62268429</v>
      </c>
    </row>
    <row r="57" spans="1:7">
      <c r="A57">
        <v>90</v>
      </c>
      <c r="B57">
        <v>5960155540</v>
      </c>
      <c r="C57">
        <v>23.84</v>
      </c>
      <c r="D57">
        <v>0</v>
      </c>
      <c r="E57">
        <v>950.92</v>
      </c>
      <c r="F57">
        <v>4844740</v>
      </c>
      <c r="G57">
        <v>64156440</v>
      </c>
    </row>
    <row r="58" spans="1:7">
      <c r="A58">
        <v>92</v>
      </c>
      <c r="B58">
        <v>5042663660</v>
      </c>
      <c r="C58">
        <v>20.170000000000002</v>
      </c>
      <c r="D58">
        <v>0</v>
      </c>
      <c r="E58">
        <v>950.92</v>
      </c>
      <c r="F58">
        <v>4970937</v>
      </c>
      <c r="G58">
        <v>66044018</v>
      </c>
    </row>
    <row r="59" spans="1:7">
      <c r="A59">
        <v>94</v>
      </c>
      <c r="B59">
        <v>6091787980</v>
      </c>
      <c r="C59">
        <v>24.37</v>
      </c>
      <c r="D59">
        <v>0</v>
      </c>
      <c r="E59">
        <v>950.92</v>
      </c>
      <c r="F59">
        <v>5096821</v>
      </c>
      <c r="G59">
        <v>67932249</v>
      </c>
    </row>
    <row r="60" spans="1:7">
      <c r="A60">
        <v>96</v>
      </c>
      <c r="B60">
        <v>4916442120</v>
      </c>
      <c r="C60">
        <v>19.670000000000002</v>
      </c>
      <c r="D60">
        <v>0</v>
      </c>
      <c r="E60">
        <v>950.92</v>
      </c>
      <c r="F60">
        <v>5223016</v>
      </c>
      <c r="G60">
        <v>69819635</v>
      </c>
    </row>
    <row r="61" spans="1:7">
      <c r="A61">
        <v>98</v>
      </c>
      <c r="B61">
        <v>6121793880</v>
      </c>
      <c r="C61">
        <v>24.49</v>
      </c>
      <c r="D61">
        <v>0</v>
      </c>
      <c r="E61">
        <v>950.92</v>
      </c>
      <c r="F61">
        <v>5347821</v>
      </c>
      <c r="G61">
        <v>71705329</v>
      </c>
    </row>
    <row r="62" spans="1:7">
      <c r="A62">
        <v>100</v>
      </c>
      <c r="B62">
        <v>4855053000</v>
      </c>
      <c r="C62">
        <v>19.420000000000002</v>
      </c>
      <c r="D62">
        <v>0</v>
      </c>
      <c r="E62">
        <v>950.92</v>
      </c>
      <c r="F62">
        <v>5473607</v>
      </c>
      <c r="G62">
        <v>73595460</v>
      </c>
    </row>
    <row r="63" spans="1:7">
      <c r="A63">
        <v>102</v>
      </c>
      <c r="B63">
        <v>6063651300</v>
      </c>
      <c r="C63">
        <v>24.25</v>
      </c>
      <c r="D63">
        <v>0</v>
      </c>
      <c r="E63">
        <v>950.92</v>
      </c>
      <c r="F63">
        <v>5600239</v>
      </c>
      <c r="G63">
        <v>75485253</v>
      </c>
    </row>
    <row r="64" spans="1:7">
      <c r="A64">
        <v>104</v>
      </c>
      <c r="B64">
        <v>5092050420</v>
      </c>
      <c r="C64">
        <v>20.37</v>
      </c>
      <c r="D64">
        <v>0</v>
      </c>
      <c r="E64">
        <v>950.92</v>
      </c>
      <c r="F64">
        <v>5726843</v>
      </c>
      <c r="G64">
        <v>77374304</v>
      </c>
    </row>
    <row r="65" spans="1:7">
      <c r="A65">
        <v>106</v>
      </c>
      <c r="B65">
        <v>5845542840</v>
      </c>
      <c r="C65">
        <v>23.38</v>
      </c>
      <c r="D65">
        <v>0</v>
      </c>
      <c r="E65">
        <v>950.92</v>
      </c>
      <c r="F65">
        <v>5853059</v>
      </c>
      <c r="G65">
        <v>79263630</v>
      </c>
    </row>
    <row r="66" spans="1:7">
      <c r="A66">
        <v>108</v>
      </c>
      <c r="B66">
        <v>5238341480</v>
      </c>
      <c r="C66">
        <v>20.95</v>
      </c>
      <c r="D66">
        <v>0</v>
      </c>
      <c r="E66">
        <v>950.92</v>
      </c>
      <c r="F66">
        <v>5979307</v>
      </c>
      <c r="G66">
        <v>81151641</v>
      </c>
    </row>
    <row r="67" spans="1:7">
      <c r="A67">
        <v>110</v>
      </c>
      <c r="B67">
        <v>5866891300</v>
      </c>
      <c r="C67">
        <v>23.47</v>
      </c>
      <c r="D67">
        <v>0</v>
      </c>
      <c r="E67">
        <v>950.92</v>
      </c>
      <c r="F67">
        <v>6105169</v>
      </c>
      <c r="G67">
        <v>83039436</v>
      </c>
    </row>
    <row r="68" spans="1:7">
      <c r="A68">
        <v>112</v>
      </c>
      <c r="B68">
        <v>4940348460</v>
      </c>
      <c r="C68">
        <v>19.760000000000002</v>
      </c>
      <c r="D68">
        <v>0</v>
      </c>
      <c r="E68">
        <v>950.92</v>
      </c>
      <c r="F68">
        <v>6231279</v>
      </c>
      <c r="G68">
        <v>84927555</v>
      </c>
    </row>
    <row r="69" spans="1:7">
      <c r="A69">
        <v>114</v>
      </c>
      <c r="B69">
        <v>6057846880</v>
      </c>
      <c r="C69">
        <v>24.23</v>
      </c>
      <c r="D69">
        <v>0</v>
      </c>
      <c r="E69">
        <v>950.92</v>
      </c>
      <c r="F69">
        <v>6357458</v>
      </c>
      <c r="G69">
        <v>86815617</v>
      </c>
    </row>
    <row r="70" spans="1:7">
      <c r="A70">
        <v>116</v>
      </c>
      <c r="B70">
        <v>4966025640</v>
      </c>
      <c r="C70">
        <v>19.86</v>
      </c>
      <c r="D70">
        <v>0</v>
      </c>
      <c r="E70">
        <v>950.92</v>
      </c>
      <c r="F70">
        <v>6483199</v>
      </c>
      <c r="G70">
        <v>88702945</v>
      </c>
    </row>
    <row r="71" spans="1:7">
      <c r="A71">
        <v>118</v>
      </c>
      <c r="B71">
        <v>6161539400</v>
      </c>
      <c r="C71">
        <v>24.65</v>
      </c>
      <c r="D71">
        <v>0</v>
      </c>
      <c r="E71">
        <v>950.92</v>
      </c>
      <c r="F71">
        <v>6609556</v>
      </c>
      <c r="G71">
        <v>90590130</v>
      </c>
    </row>
    <row r="72" spans="1:7">
      <c r="A72">
        <v>120</v>
      </c>
      <c r="B72">
        <v>4824161680</v>
      </c>
      <c r="C72">
        <v>19.3</v>
      </c>
      <c r="D72">
        <v>0</v>
      </c>
      <c r="E72">
        <v>950.92</v>
      </c>
      <c r="F72">
        <v>6735473</v>
      </c>
      <c r="G72">
        <v>92478035</v>
      </c>
    </row>
    <row r="73" spans="1:7">
      <c r="A73">
        <v>122</v>
      </c>
      <c r="B73">
        <v>6190167980</v>
      </c>
      <c r="C73">
        <v>24.76</v>
      </c>
      <c r="D73">
        <v>0</v>
      </c>
      <c r="E73">
        <v>950.92</v>
      </c>
      <c r="F73">
        <v>6861391</v>
      </c>
      <c r="G73">
        <v>94365532</v>
      </c>
    </row>
    <row r="74" spans="1:7">
      <c r="A74">
        <v>124</v>
      </c>
      <c r="B74">
        <v>4848166400</v>
      </c>
      <c r="C74">
        <v>19.39</v>
      </c>
      <c r="D74">
        <v>0</v>
      </c>
      <c r="E74">
        <v>950.92</v>
      </c>
      <c r="F74">
        <v>6987562</v>
      </c>
      <c r="G74">
        <v>96253754</v>
      </c>
    </row>
    <row r="75" spans="1:7">
      <c r="A75">
        <v>126</v>
      </c>
      <c r="B75">
        <v>5981012100</v>
      </c>
      <c r="C75">
        <v>23.92</v>
      </c>
      <c r="D75">
        <v>0</v>
      </c>
      <c r="E75">
        <v>950.92</v>
      </c>
      <c r="F75">
        <v>7113205</v>
      </c>
      <c r="G75">
        <v>98142586</v>
      </c>
    </row>
    <row r="76" spans="1:7">
      <c r="A76">
        <v>128</v>
      </c>
      <c r="B76">
        <v>5321374200</v>
      </c>
      <c r="C76">
        <v>21.29</v>
      </c>
      <c r="D76">
        <v>0</v>
      </c>
      <c r="E76">
        <v>950.92</v>
      </c>
      <c r="F76">
        <v>7239585</v>
      </c>
      <c r="G76">
        <v>100028483</v>
      </c>
    </row>
    <row r="77" spans="1:7">
      <c r="A77">
        <v>130</v>
      </c>
      <c r="B77">
        <v>5299730600</v>
      </c>
      <c r="C77">
        <v>21.2</v>
      </c>
      <c r="D77">
        <v>0</v>
      </c>
      <c r="E77">
        <v>950.92</v>
      </c>
      <c r="F77">
        <v>7365358</v>
      </c>
      <c r="G77">
        <v>101916304</v>
      </c>
    </row>
    <row r="78" spans="1:7">
      <c r="A78">
        <v>132</v>
      </c>
      <c r="B78">
        <v>6054895480</v>
      </c>
      <c r="C78">
        <v>24.22</v>
      </c>
      <c r="D78">
        <v>0</v>
      </c>
      <c r="E78">
        <v>950.92</v>
      </c>
      <c r="F78">
        <v>7491110</v>
      </c>
      <c r="G78">
        <v>103803187</v>
      </c>
    </row>
    <row r="79" spans="1:7">
      <c r="A79">
        <v>134</v>
      </c>
      <c r="B79">
        <v>4844821480</v>
      </c>
      <c r="C79">
        <v>19.38</v>
      </c>
      <c r="D79">
        <v>0</v>
      </c>
      <c r="E79">
        <v>950.92</v>
      </c>
      <c r="F79">
        <v>7617377</v>
      </c>
      <c r="G79">
        <v>105690522</v>
      </c>
    </row>
    <row r="80" spans="1:7">
      <c r="A80">
        <v>136</v>
      </c>
      <c r="B80">
        <v>6086573840</v>
      </c>
      <c r="C80">
        <v>24.35</v>
      </c>
      <c r="D80">
        <v>0</v>
      </c>
      <c r="E80">
        <v>950.92</v>
      </c>
      <c r="F80">
        <v>7743501</v>
      </c>
      <c r="G80">
        <v>107578816</v>
      </c>
    </row>
    <row r="81" spans="1:7">
      <c r="A81">
        <v>138</v>
      </c>
      <c r="B81">
        <v>4888600580</v>
      </c>
      <c r="C81">
        <v>19.55</v>
      </c>
      <c r="D81">
        <v>0</v>
      </c>
      <c r="E81">
        <v>950.92</v>
      </c>
      <c r="F81">
        <v>7869613</v>
      </c>
      <c r="G81">
        <v>109467108</v>
      </c>
    </row>
    <row r="82" spans="1:7">
      <c r="A82">
        <v>140</v>
      </c>
      <c r="B82">
        <v>6154357660</v>
      </c>
      <c r="C82">
        <v>24.62</v>
      </c>
      <c r="D82">
        <v>0</v>
      </c>
      <c r="E82">
        <v>950.92</v>
      </c>
      <c r="F82">
        <v>7995815</v>
      </c>
      <c r="G82">
        <v>111353855</v>
      </c>
    </row>
    <row r="83" spans="1:7">
      <c r="A83">
        <v>142</v>
      </c>
      <c r="B83">
        <v>4878270680</v>
      </c>
      <c r="C83">
        <v>19.510000000000002</v>
      </c>
      <c r="D83">
        <v>0</v>
      </c>
      <c r="E83">
        <v>950.92</v>
      </c>
      <c r="F83">
        <v>8121613</v>
      </c>
      <c r="G83">
        <v>113240379</v>
      </c>
    </row>
    <row r="84" spans="1:7">
      <c r="A84">
        <v>144</v>
      </c>
      <c r="B84">
        <v>6017314320</v>
      </c>
      <c r="C84">
        <v>24.07</v>
      </c>
      <c r="D84">
        <v>0</v>
      </c>
      <c r="E84">
        <v>950.92</v>
      </c>
      <c r="F84">
        <v>8247503</v>
      </c>
      <c r="G84">
        <v>115129360</v>
      </c>
    </row>
    <row r="85" spans="1:7">
      <c r="A85">
        <v>146</v>
      </c>
      <c r="B85">
        <v>5012461000</v>
      </c>
      <c r="C85">
        <v>20.05</v>
      </c>
      <c r="D85">
        <v>0</v>
      </c>
      <c r="E85">
        <v>950.92</v>
      </c>
      <c r="F85">
        <v>8373703</v>
      </c>
      <c r="G85">
        <v>117017676</v>
      </c>
    </row>
    <row r="86" spans="1:7">
      <c r="A86">
        <v>148</v>
      </c>
      <c r="B86">
        <v>6132615680</v>
      </c>
      <c r="C86">
        <v>24.53</v>
      </c>
      <c r="D86">
        <v>0</v>
      </c>
      <c r="E86">
        <v>950.92</v>
      </c>
      <c r="F86">
        <v>8499580</v>
      </c>
      <c r="G86">
        <v>118905428</v>
      </c>
    </row>
    <row r="87" spans="1:7">
      <c r="A87">
        <v>150</v>
      </c>
      <c r="B87">
        <v>4817176700</v>
      </c>
      <c r="C87">
        <v>19.27</v>
      </c>
      <c r="D87">
        <v>0</v>
      </c>
      <c r="E87">
        <v>950.92</v>
      </c>
      <c r="F87">
        <v>8625970</v>
      </c>
      <c r="G87">
        <v>120793432</v>
      </c>
    </row>
    <row r="88" spans="1:7">
      <c r="A88">
        <v>152</v>
      </c>
      <c r="B88">
        <v>6092968540</v>
      </c>
      <c r="C88">
        <v>24.37</v>
      </c>
      <c r="D88">
        <v>0</v>
      </c>
      <c r="E88">
        <v>950.92</v>
      </c>
      <c r="F88">
        <v>8752177</v>
      </c>
      <c r="G88">
        <v>122681415</v>
      </c>
    </row>
    <row r="89" spans="1:7">
      <c r="A89">
        <v>154</v>
      </c>
      <c r="B89">
        <v>5091361760</v>
      </c>
      <c r="C89">
        <v>20.37</v>
      </c>
      <c r="D89">
        <v>0</v>
      </c>
      <c r="E89">
        <v>950.92</v>
      </c>
      <c r="F89">
        <v>8878170</v>
      </c>
      <c r="G89">
        <v>124569861</v>
      </c>
    </row>
    <row r="90" spans="1:7">
      <c r="A90">
        <v>156</v>
      </c>
      <c r="B90">
        <v>5941660100</v>
      </c>
      <c r="C90">
        <v>23.77</v>
      </c>
      <c r="D90">
        <v>0</v>
      </c>
      <c r="E90">
        <v>950.92</v>
      </c>
      <c r="F90">
        <v>9004144</v>
      </c>
      <c r="G90">
        <v>126457228</v>
      </c>
    </row>
    <row r="91" spans="1:7">
      <c r="A91">
        <v>158</v>
      </c>
      <c r="B91">
        <v>4872663020</v>
      </c>
      <c r="C91">
        <v>19.489999999999998</v>
      </c>
      <c r="D91">
        <v>0</v>
      </c>
      <c r="E91">
        <v>950.92</v>
      </c>
      <c r="F91">
        <v>9130002</v>
      </c>
      <c r="G91">
        <v>128344398</v>
      </c>
    </row>
    <row r="92" spans="1:7">
      <c r="A92">
        <v>160</v>
      </c>
      <c r="B92">
        <v>6135173560</v>
      </c>
      <c r="C92">
        <v>24.54</v>
      </c>
      <c r="D92">
        <v>0</v>
      </c>
      <c r="E92">
        <v>950.92</v>
      </c>
      <c r="F92">
        <v>9255972</v>
      </c>
      <c r="G92">
        <v>130231903</v>
      </c>
    </row>
    <row r="93" spans="1:7">
      <c r="A93">
        <v>162</v>
      </c>
      <c r="B93">
        <v>4856331940</v>
      </c>
      <c r="C93">
        <v>19.420000000000002</v>
      </c>
      <c r="D93">
        <v>0</v>
      </c>
      <c r="E93">
        <v>950.92</v>
      </c>
      <c r="F93">
        <v>9381890</v>
      </c>
      <c r="G93">
        <v>132120140</v>
      </c>
    </row>
    <row r="94" spans="1:7">
      <c r="A94">
        <v>164</v>
      </c>
      <c r="B94">
        <v>6109102860</v>
      </c>
      <c r="C94">
        <v>24.44</v>
      </c>
      <c r="D94">
        <v>0</v>
      </c>
      <c r="E94">
        <v>950.92</v>
      </c>
      <c r="F94">
        <v>9507421</v>
      </c>
      <c r="G94">
        <v>134008836</v>
      </c>
    </row>
    <row r="95" spans="1:7">
      <c r="A95">
        <v>166</v>
      </c>
      <c r="B95">
        <v>4909358760</v>
      </c>
      <c r="C95">
        <v>19.64</v>
      </c>
      <c r="D95">
        <v>0</v>
      </c>
      <c r="E95">
        <v>950.92</v>
      </c>
      <c r="F95">
        <v>9633584</v>
      </c>
      <c r="G95">
        <v>135895762</v>
      </c>
    </row>
    <row r="96" spans="1:7">
      <c r="A96">
        <v>168</v>
      </c>
      <c r="B96">
        <v>6058633920</v>
      </c>
      <c r="C96">
        <v>24.23</v>
      </c>
      <c r="D96">
        <v>0</v>
      </c>
      <c r="E96">
        <v>950.92</v>
      </c>
      <c r="F96">
        <v>9759868</v>
      </c>
      <c r="G96">
        <v>137782794</v>
      </c>
    </row>
    <row r="97" spans="1:7">
      <c r="A97">
        <v>170</v>
      </c>
      <c r="B97">
        <v>4997212100</v>
      </c>
      <c r="C97">
        <v>19.989999999999998</v>
      </c>
      <c r="D97">
        <v>0</v>
      </c>
      <c r="E97">
        <v>950.92</v>
      </c>
      <c r="F97">
        <v>9885916</v>
      </c>
      <c r="G97">
        <v>139670326</v>
      </c>
    </row>
    <row r="98" spans="1:7">
      <c r="A98">
        <v>172</v>
      </c>
      <c r="B98">
        <v>6124155000</v>
      </c>
      <c r="C98">
        <v>24.5</v>
      </c>
      <c r="D98">
        <v>0</v>
      </c>
      <c r="E98">
        <v>950.92</v>
      </c>
      <c r="F98">
        <v>10012218</v>
      </c>
      <c r="G98">
        <v>141557377</v>
      </c>
    </row>
    <row r="99" spans="1:7">
      <c r="A99">
        <v>174</v>
      </c>
      <c r="B99">
        <v>4821603800</v>
      </c>
      <c r="C99">
        <v>19.29</v>
      </c>
      <c r="D99">
        <v>0</v>
      </c>
      <c r="E99">
        <v>950.92</v>
      </c>
      <c r="F99">
        <v>10138560</v>
      </c>
      <c r="G99">
        <v>143445216</v>
      </c>
    </row>
    <row r="100" spans="1:7">
      <c r="A100">
        <v>176</v>
      </c>
      <c r="B100">
        <v>6105364420</v>
      </c>
      <c r="C100">
        <v>24.42</v>
      </c>
      <c r="D100">
        <v>0</v>
      </c>
      <c r="E100">
        <v>950.92</v>
      </c>
      <c r="F100">
        <v>10264826</v>
      </c>
      <c r="G100">
        <v>145332446</v>
      </c>
    </row>
    <row r="101" spans="1:7">
      <c r="A101">
        <v>178</v>
      </c>
      <c r="B101">
        <v>4899422380</v>
      </c>
      <c r="C101">
        <v>19.600000000000001</v>
      </c>
      <c r="D101">
        <v>0</v>
      </c>
      <c r="E101">
        <v>950.92</v>
      </c>
      <c r="F101">
        <v>10391139</v>
      </c>
      <c r="G101">
        <v>147220148</v>
      </c>
    </row>
    <row r="102" spans="1:7">
      <c r="A102">
        <v>180</v>
      </c>
      <c r="B102">
        <v>6164884320</v>
      </c>
      <c r="C102">
        <v>24.66</v>
      </c>
      <c r="D102">
        <v>0</v>
      </c>
      <c r="E102">
        <v>950.92</v>
      </c>
      <c r="F102">
        <v>10517207</v>
      </c>
      <c r="G102">
        <v>149108113</v>
      </c>
    </row>
    <row r="103" spans="1:7">
      <c r="A103">
        <v>182</v>
      </c>
      <c r="B103">
        <v>4815110720</v>
      </c>
      <c r="C103">
        <v>19.260000000000002</v>
      </c>
      <c r="D103">
        <v>0</v>
      </c>
      <c r="E103">
        <v>950.92</v>
      </c>
      <c r="F103">
        <v>10643605</v>
      </c>
      <c r="G103">
        <v>150996588</v>
      </c>
    </row>
    <row r="104" spans="1:7">
      <c r="A104">
        <v>184</v>
      </c>
      <c r="B104">
        <v>6125237180</v>
      </c>
      <c r="C104">
        <v>24.5</v>
      </c>
      <c r="D104">
        <v>0</v>
      </c>
      <c r="E104">
        <v>950.92</v>
      </c>
      <c r="F104">
        <v>10769861</v>
      </c>
      <c r="G104">
        <v>152884721</v>
      </c>
    </row>
    <row r="105" spans="1:7">
      <c r="A105">
        <v>186</v>
      </c>
      <c r="B105">
        <v>4932281300</v>
      </c>
      <c r="C105">
        <v>19.73</v>
      </c>
      <c r="D105">
        <v>0</v>
      </c>
      <c r="E105">
        <v>950.92</v>
      </c>
      <c r="F105">
        <v>10896173</v>
      </c>
      <c r="G105">
        <v>154772808</v>
      </c>
    </row>
    <row r="106" spans="1:7">
      <c r="A106">
        <v>188</v>
      </c>
      <c r="B106">
        <v>5956318720</v>
      </c>
      <c r="C106">
        <v>23.82</v>
      </c>
      <c r="D106">
        <v>0</v>
      </c>
      <c r="E106">
        <v>950.92</v>
      </c>
      <c r="F106">
        <v>11021623</v>
      </c>
      <c r="G106">
        <v>156660020</v>
      </c>
    </row>
    <row r="107" spans="1:7">
      <c r="A107">
        <v>190</v>
      </c>
      <c r="B107">
        <v>5048271320</v>
      </c>
      <c r="C107">
        <v>20.190000000000001</v>
      </c>
      <c r="D107">
        <v>0</v>
      </c>
      <c r="E107">
        <v>950.92</v>
      </c>
      <c r="F107">
        <v>11148143</v>
      </c>
      <c r="G107">
        <v>158547893</v>
      </c>
    </row>
    <row r="108" spans="1:7">
      <c r="A108">
        <v>192</v>
      </c>
      <c r="B108">
        <v>6051550560</v>
      </c>
      <c r="C108">
        <v>24.21</v>
      </c>
      <c r="D108">
        <v>0</v>
      </c>
      <c r="E108">
        <v>950.92</v>
      </c>
      <c r="F108">
        <v>11274748</v>
      </c>
      <c r="G108">
        <v>160435308</v>
      </c>
    </row>
    <row r="109" spans="1:7">
      <c r="A109">
        <v>194</v>
      </c>
      <c r="B109">
        <v>4945759360</v>
      </c>
      <c r="C109">
        <v>19.78</v>
      </c>
      <c r="D109">
        <v>0</v>
      </c>
      <c r="E109">
        <v>950.92</v>
      </c>
      <c r="F109">
        <v>11401160</v>
      </c>
      <c r="G109">
        <v>162322458</v>
      </c>
    </row>
    <row r="110" spans="1:7">
      <c r="A110">
        <v>196</v>
      </c>
      <c r="B110">
        <v>6024692820</v>
      </c>
      <c r="C110">
        <v>24.1</v>
      </c>
      <c r="D110">
        <v>0</v>
      </c>
      <c r="E110">
        <v>950.92</v>
      </c>
      <c r="F110">
        <v>11527459</v>
      </c>
      <c r="G110">
        <v>164209305</v>
      </c>
    </row>
    <row r="111" spans="1:7">
      <c r="A111">
        <v>198</v>
      </c>
      <c r="B111">
        <v>4967698100</v>
      </c>
      <c r="C111">
        <v>19.87</v>
      </c>
      <c r="D111">
        <v>0</v>
      </c>
      <c r="E111">
        <v>950.92</v>
      </c>
      <c r="F111">
        <v>11653909</v>
      </c>
      <c r="G111">
        <v>166096340</v>
      </c>
    </row>
    <row r="112" spans="1:7">
      <c r="A112">
        <v>200</v>
      </c>
      <c r="B112">
        <v>6153177100</v>
      </c>
      <c r="C112">
        <v>24.62</v>
      </c>
      <c r="D112">
        <v>0</v>
      </c>
      <c r="E112">
        <v>950.92</v>
      </c>
      <c r="F112">
        <v>11780188</v>
      </c>
      <c r="G112">
        <v>167982697</v>
      </c>
    </row>
    <row r="113" spans="1:7">
      <c r="A113">
        <v>202</v>
      </c>
      <c r="B113">
        <v>4831540180</v>
      </c>
      <c r="C113">
        <v>19.329999999999998</v>
      </c>
      <c r="D113">
        <v>0</v>
      </c>
      <c r="E113">
        <v>950.92</v>
      </c>
      <c r="F113">
        <v>11906803</v>
      </c>
      <c r="G113">
        <v>169868385</v>
      </c>
    </row>
    <row r="114" spans="1:7">
      <c r="A114">
        <v>204</v>
      </c>
      <c r="B114">
        <v>5971370860</v>
      </c>
      <c r="C114">
        <v>23.89</v>
      </c>
      <c r="D114">
        <v>0</v>
      </c>
      <c r="E114">
        <v>950.92</v>
      </c>
      <c r="F114">
        <v>12033114</v>
      </c>
      <c r="G114">
        <v>171756662</v>
      </c>
    </row>
    <row r="115" spans="1:7">
      <c r="A115">
        <v>206</v>
      </c>
      <c r="B115">
        <v>5046500480</v>
      </c>
      <c r="C115">
        <v>20.190000000000001</v>
      </c>
      <c r="D115">
        <v>0</v>
      </c>
      <c r="E115">
        <v>950.92</v>
      </c>
      <c r="F115">
        <v>12159749</v>
      </c>
      <c r="G115">
        <v>173644715</v>
      </c>
    </row>
    <row r="116" spans="1:7">
      <c r="A116">
        <v>208</v>
      </c>
      <c r="B116">
        <v>6117563540</v>
      </c>
      <c r="C116">
        <v>24.47</v>
      </c>
      <c r="D116">
        <v>0</v>
      </c>
      <c r="E116">
        <v>950.92</v>
      </c>
      <c r="F116">
        <v>12286078</v>
      </c>
      <c r="G116">
        <v>175532112</v>
      </c>
    </row>
    <row r="117" spans="1:7">
      <c r="A117">
        <v>210</v>
      </c>
      <c r="B117">
        <v>4844919860</v>
      </c>
      <c r="C117">
        <v>19.38</v>
      </c>
      <c r="D117">
        <v>0</v>
      </c>
      <c r="E117">
        <v>950.92</v>
      </c>
      <c r="F117">
        <v>12412411</v>
      </c>
      <c r="G117">
        <v>177419885</v>
      </c>
    </row>
    <row r="118" spans="1:7">
      <c r="A118">
        <v>212</v>
      </c>
      <c r="B118">
        <v>6080277520</v>
      </c>
      <c r="C118">
        <v>24.32</v>
      </c>
      <c r="D118">
        <v>0</v>
      </c>
      <c r="E118">
        <v>950.92</v>
      </c>
      <c r="F118">
        <v>12538482</v>
      </c>
      <c r="G118">
        <v>179306924</v>
      </c>
    </row>
    <row r="119" spans="1:7">
      <c r="A119">
        <v>214</v>
      </c>
      <c r="B119">
        <v>4982750240</v>
      </c>
      <c r="C119">
        <v>19.93</v>
      </c>
      <c r="D119">
        <v>0</v>
      </c>
      <c r="E119">
        <v>950.92</v>
      </c>
      <c r="F119">
        <v>12664503</v>
      </c>
      <c r="G119">
        <v>181194736</v>
      </c>
    </row>
    <row r="120" spans="1:7">
      <c r="A120">
        <v>216</v>
      </c>
      <c r="B120">
        <v>6092378260</v>
      </c>
      <c r="C120">
        <v>24.37</v>
      </c>
      <c r="D120">
        <v>0</v>
      </c>
      <c r="E120">
        <v>950.92</v>
      </c>
      <c r="F120">
        <v>12790910</v>
      </c>
      <c r="G120">
        <v>183083139</v>
      </c>
    </row>
    <row r="121" spans="1:7">
      <c r="A121">
        <v>218</v>
      </c>
      <c r="B121">
        <v>4823866540</v>
      </c>
      <c r="C121">
        <v>19.3</v>
      </c>
      <c r="D121">
        <v>0</v>
      </c>
      <c r="E121">
        <v>950.92</v>
      </c>
      <c r="F121">
        <v>12917258</v>
      </c>
      <c r="G121">
        <v>184969516</v>
      </c>
    </row>
    <row r="122" spans="1:7">
      <c r="A122">
        <v>220</v>
      </c>
      <c r="B122">
        <v>6159866940</v>
      </c>
      <c r="C122">
        <v>24.64</v>
      </c>
      <c r="D122">
        <v>0</v>
      </c>
      <c r="E122">
        <v>950.92</v>
      </c>
      <c r="F122">
        <v>13043335</v>
      </c>
      <c r="G122">
        <v>186855514</v>
      </c>
    </row>
    <row r="123" spans="1:7">
      <c r="A123">
        <v>222</v>
      </c>
      <c r="B123">
        <v>4898733720</v>
      </c>
      <c r="C123">
        <v>19.59</v>
      </c>
      <c r="D123">
        <v>0</v>
      </c>
      <c r="E123">
        <v>950.92</v>
      </c>
      <c r="F123">
        <v>13169628</v>
      </c>
      <c r="G123">
        <v>188741340</v>
      </c>
    </row>
    <row r="124" spans="1:7">
      <c r="A124">
        <v>224</v>
      </c>
      <c r="B124">
        <v>5833737240</v>
      </c>
      <c r="C124">
        <v>23.33</v>
      </c>
      <c r="D124">
        <v>0</v>
      </c>
      <c r="E124">
        <v>950.92</v>
      </c>
      <c r="F124">
        <v>13296224</v>
      </c>
      <c r="G124">
        <v>190627763</v>
      </c>
    </row>
    <row r="125" spans="1:7">
      <c r="A125">
        <v>226</v>
      </c>
      <c r="B125">
        <v>5175870180</v>
      </c>
      <c r="C125">
        <v>20.7</v>
      </c>
      <c r="D125">
        <v>0</v>
      </c>
      <c r="E125">
        <v>950.92</v>
      </c>
      <c r="F125">
        <v>13422254</v>
      </c>
      <c r="G125">
        <v>192513473</v>
      </c>
    </row>
    <row r="126" spans="1:7">
      <c r="A126">
        <v>228</v>
      </c>
      <c r="B126">
        <v>5841017360</v>
      </c>
      <c r="C126">
        <v>23.36</v>
      </c>
      <c r="D126">
        <v>0</v>
      </c>
      <c r="E126">
        <v>950.92</v>
      </c>
      <c r="F126">
        <v>13548700</v>
      </c>
      <c r="G126">
        <v>194400355</v>
      </c>
    </row>
    <row r="127" spans="1:7">
      <c r="A127">
        <v>230</v>
      </c>
      <c r="B127">
        <v>5317340620</v>
      </c>
      <c r="C127">
        <v>21.27</v>
      </c>
      <c r="D127">
        <v>0</v>
      </c>
      <c r="E127">
        <v>950.92</v>
      </c>
      <c r="F127">
        <v>13675090</v>
      </c>
      <c r="G127">
        <v>196287705</v>
      </c>
    </row>
    <row r="128" spans="1:7">
      <c r="A128">
        <v>232</v>
      </c>
      <c r="B128">
        <v>5898963180</v>
      </c>
      <c r="C128">
        <v>23.6</v>
      </c>
      <c r="D128">
        <v>0</v>
      </c>
      <c r="E128">
        <v>950.92</v>
      </c>
      <c r="F128">
        <v>13801423</v>
      </c>
      <c r="G128">
        <v>198174811</v>
      </c>
    </row>
    <row r="129" spans="1:7">
      <c r="A129">
        <v>234</v>
      </c>
      <c r="B129">
        <v>4874040340</v>
      </c>
      <c r="C129">
        <v>19.5</v>
      </c>
      <c r="D129">
        <v>0</v>
      </c>
      <c r="E129">
        <v>950.92</v>
      </c>
      <c r="F129">
        <v>13928040</v>
      </c>
      <c r="G129">
        <v>200061446</v>
      </c>
    </row>
    <row r="130" spans="1:7">
      <c r="A130">
        <v>236</v>
      </c>
      <c r="B130">
        <v>6025479860</v>
      </c>
      <c r="C130">
        <v>24.1</v>
      </c>
      <c r="D130">
        <v>0</v>
      </c>
      <c r="E130">
        <v>950.92</v>
      </c>
      <c r="F130">
        <v>14054423</v>
      </c>
      <c r="G130">
        <v>201949117</v>
      </c>
    </row>
    <row r="131" spans="1:7">
      <c r="A131">
        <v>238</v>
      </c>
      <c r="B131">
        <v>5016494580</v>
      </c>
      <c r="C131">
        <v>20.07</v>
      </c>
      <c r="D131">
        <v>0</v>
      </c>
      <c r="E131">
        <v>950.92</v>
      </c>
      <c r="F131">
        <v>14180736</v>
      </c>
      <c r="G131">
        <v>203836839</v>
      </c>
    </row>
    <row r="132" spans="1:7">
      <c r="A132">
        <v>240</v>
      </c>
      <c r="B132">
        <v>6090804180</v>
      </c>
      <c r="C132">
        <v>24.36</v>
      </c>
      <c r="D132">
        <v>0</v>
      </c>
      <c r="E132">
        <v>950.92</v>
      </c>
      <c r="F132">
        <v>14307164</v>
      </c>
      <c r="G132">
        <v>205724347</v>
      </c>
    </row>
    <row r="133" spans="1:7">
      <c r="A133">
        <v>242</v>
      </c>
      <c r="B133">
        <v>4885649180</v>
      </c>
      <c r="C133">
        <v>19.54</v>
      </c>
      <c r="D133">
        <v>0</v>
      </c>
      <c r="E133">
        <v>950.92</v>
      </c>
      <c r="F133">
        <v>14433551</v>
      </c>
      <c r="G133">
        <v>207612338</v>
      </c>
    </row>
    <row r="134" spans="1:7">
      <c r="A134">
        <v>244</v>
      </c>
      <c r="B134">
        <v>5999310780</v>
      </c>
      <c r="C134">
        <v>24</v>
      </c>
      <c r="D134">
        <v>0</v>
      </c>
      <c r="E134">
        <v>950.92</v>
      </c>
      <c r="F134">
        <v>14559760</v>
      </c>
      <c r="G134">
        <v>209500534</v>
      </c>
    </row>
    <row r="135" spans="1:7">
      <c r="A135">
        <v>246</v>
      </c>
      <c r="B135">
        <v>5003114900</v>
      </c>
      <c r="C135">
        <v>20.010000000000002</v>
      </c>
      <c r="D135">
        <v>0</v>
      </c>
      <c r="E135">
        <v>950.92</v>
      </c>
      <c r="F135">
        <v>14685996</v>
      </c>
      <c r="G135">
        <v>211388528</v>
      </c>
    </row>
    <row r="136" spans="1:7">
      <c r="A136">
        <v>248</v>
      </c>
      <c r="B136">
        <v>6172164440</v>
      </c>
      <c r="C136">
        <v>24.69</v>
      </c>
      <c r="D136">
        <v>0</v>
      </c>
      <c r="E136">
        <v>950.92</v>
      </c>
      <c r="F136">
        <v>14812483</v>
      </c>
      <c r="G136">
        <v>213273577</v>
      </c>
    </row>
    <row r="137" spans="1:7">
      <c r="A137">
        <v>250</v>
      </c>
      <c r="B137">
        <v>4805075960</v>
      </c>
      <c r="C137">
        <v>19.22</v>
      </c>
      <c r="D137">
        <v>0</v>
      </c>
      <c r="E137">
        <v>950.92</v>
      </c>
      <c r="F137">
        <v>14939024</v>
      </c>
      <c r="G137">
        <v>215159954</v>
      </c>
    </row>
    <row r="138" spans="1:7">
      <c r="A138">
        <v>252</v>
      </c>
      <c r="B138">
        <v>6085098140</v>
      </c>
      <c r="C138">
        <v>24.34</v>
      </c>
      <c r="D138">
        <v>0</v>
      </c>
      <c r="E138">
        <v>950.92</v>
      </c>
      <c r="F138">
        <v>15065418</v>
      </c>
      <c r="G138">
        <v>217046684</v>
      </c>
    </row>
    <row r="139" spans="1:7">
      <c r="A139">
        <v>254</v>
      </c>
      <c r="B139">
        <v>4939266280</v>
      </c>
      <c r="C139">
        <v>19.760000000000002</v>
      </c>
      <c r="D139">
        <v>0</v>
      </c>
      <c r="E139">
        <v>950.92</v>
      </c>
      <c r="F139">
        <v>15192188</v>
      </c>
      <c r="G139">
        <v>218933656</v>
      </c>
    </row>
    <row r="140" spans="1:7">
      <c r="A140">
        <v>256</v>
      </c>
      <c r="B140">
        <v>6116678120</v>
      </c>
      <c r="C140">
        <v>24.47</v>
      </c>
      <c r="D140">
        <v>0</v>
      </c>
      <c r="E140">
        <v>950.92</v>
      </c>
      <c r="F140">
        <v>15318473</v>
      </c>
      <c r="G140">
        <v>220819279</v>
      </c>
    </row>
    <row r="141" spans="1:7">
      <c r="A141">
        <v>258</v>
      </c>
      <c r="B141">
        <v>4870301900</v>
      </c>
      <c r="C141">
        <v>19.48</v>
      </c>
      <c r="D141">
        <v>0</v>
      </c>
      <c r="E141">
        <v>950.92</v>
      </c>
      <c r="F141">
        <v>15444795</v>
      </c>
      <c r="G141">
        <v>222703956</v>
      </c>
    </row>
    <row r="142" spans="1:7">
      <c r="A142">
        <v>260</v>
      </c>
      <c r="B142">
        <v>6109299620</v>
      </c>
      <c r="C142">
        <v>24.44</v>
      </c>
      <c r="D142">
        <v>0</v>
      </c>
      <c r="E142">
        <v>950.92</v>
      </c>
      <c r="F142">
        <v>15571077</v>
      </c>
      <c r="G142">
        <v>224587828</v>
      </c>
    </row>
    <row r="143" spans="1:7">
      <c r="A143">
        <v>262</v>
      </c>
      <c r="B143">
        <v>4929133140</v>
      </c>
      <c r="C143">
        <v>19.72</v>
      </c>
      <c r="D143">
        <v>0</v>
      </c>
      <c r="E143">
        <v>950.92</v>
      </c>
      <c r="F143">
        <v>15697889</v>
      </c>
      <c r="G143">
        <v>226472946</v>
      </c>
    </row>
    <row r="144" spans="1:7">
      <c r="A144">
        <v>264</v>
      </c>
      <c r="B144">
        <v>5703186980</v>
      </c>
      <c r="C144">
        <v>22.81</v>
      </c>
      <c r="D144">
        <v>0</v>
      </c>
      <c r="E144">
        <v>950.92</v>
      </c>
      <c r="F144">
        <v>15824344</v>
      </c>
      <c r="G144">
        <v>228359539</v>
      </c>
    </row>
    <row r="145" spans="1:7">
      <c r="A145">
        <v>266</v>
      </c>
      <c r="B145">
        <v>5739784340</v>
      </c>
      <c r="C145">
        <v>22.96</v>
      </c>
      <c r="D145">
        <v>0</v>
      </c>
      <c r="E145">
        <v>950.92</v>
      </c>
      <c r="F145">
        <v>15950701</v>
      </c>
      <c r="G145">
        <v>230246348</v>
      </c>
    </row>
    <row r="146" spans="1:7">
      <c r="A146">
        <v>268</v>
      </c>
      <c r="B146">
        <v>5007738760</v>
      </c>
      <c r="C146">
        <v>20.03</v>
      </c>
      <c r="D146">
        <v>0</v>
      </c>
      <c r="E146">
        <v>950.92</v>
      </c>
      <c r="F146">
        <v>16077114</v>
      </c>
      <c r="G146">
        <v>232132642</v>
      </c>
    </row>
    <row r="147" spans="1:7">
      <c r="A147">
        <v>270</v>
      </c>
      <c r="B147">
        <v>6091099320</v>
      </c>
      <c r="C147">
        <v>24.36</v>
      </c>
      <c r="D147">
        <v>0</v>
      </c>
      <c r="E147">
        <v>950.92</v>
      </c>
      <c r="F147">
        <v>16203443</v>
      </c>
      <c r="G147">
        <v>234019605</v>
      </c>
    </row>
    <row r="148" spans="1:7">
      <c r="A148">
        <v>272</v>
      </c>
      <c r="B148">
        <v>4879648000</v>
      </c>
      <c r="C148">
        <v>19.52</v>
      </c>
      <c r="D148">
        <v>0</v>
      </c>
      <c r="E148">
        <v>950.92</v>
      </c>
      <c r="F148">
        <v>16329821</v>
      </c>
      <c r="G148">
        <v>235906771</v>
      </c>
    </row>
    <row r="149" spans="1:7">
      <c r="A149">
        <v>274</v>
      </c>
      <c r="B149">
        <v>6150225700</v>
      </c>
      <c r="C149">
        <v>24.6</v>
      </c>
      <c r="D149">
        <v>0</v>
      </c>
      <c r="E149">
        <v>950.92</v>
      </c>
      <c r="F149">
        <v>16456450</v>
      </c>
      <c r="G149">
        <v>237792612</v>
      </c>
    </row>
    <row r="150" spans="1:7">
      <c r="A150">
        <v>276</v>
      </c>
      <c r="B150">
        <v>4881812360</v>
      </c>
      <c r="C150">
        <v>19.53</v>
      </c>
      <c r="D150">
        <v>0</v>
      </c>
      <c r="E150">
        <v>950.92</v>
      </c>
      <c r="F150">
        <v>16582641</v>
      </c>
      <c r="G150">
        <v>239679340</v>
      </c>
    </row>
    <row r="151" spans="1:7">
      <c r="A151">
        <v>278</v>
      </c>
      <c r="B151">
        <v>5833540480</v>
      </c>
      <c r="C151">
        <v>23.33</v>
      </c>
      <c r="D151">
        <v>0</v>
      </c>
      <c r="E151">
        <v>950.92</v>
      </c>
      <c r="F151">
        <v>16708802</v>
      </c>
      <c r="G151">
        <v>241564654</v>
      </c>
    </row>
    <row r="152" spans="1:7">
      <c r="A152">
        <v>280</v>
      </c>
      <c r="B152">
        <v>5204105240</v>
      </c>
      <c r="C152">
        <v>20.82</v>
      </c>
      <c r="D152">
        <v>0</v>
      </c>
      <c r="E152">
        <v>950.92</v>
      </c>
      <c r="F152">
        <v>16835117</v>
      </c>
      <c r="G152">
        <v>243450270</v>
      </c>
    </row>
    <row r="153" spans="1:7">
      <c r="A153">
        <v>282</v>
      </c>
      <c r="B153">
        <v>6109496380</v>
      </c>
      <c r="C153">
        <v>24.44</v>
      </c>
      <c r="D153">
        <v>0</v>
      </c>
      <c r="E153">
        <v>950.92</v>
      </c>
      <c r="F153">
        <v>16961521</v>
      </c>
      <c r="G153">
        <v>245336318</v>
      </c>
    </row>
    <row r="154" spans="1:7">
      <c r="A154">
        <v>284</v>
      </c>
      <c r="B154">
        <v>4805075960</v>
      </c>
      <c r="C154">
        <v>19.22</v>
      </c>
      <c r="D154">
        <v>0</v>
      </c>
      <c r="E154">
        <v>950.92</v>
      </c>
      <c r="F154">
        <v>17087872</v>
      </c>
      <c r="G154">
        <v>247221839</v>
      </c>
    </row>
    <row r="155" spans="1:7">
      <c r="A155">
        <v>286</v>
      </c>
      <c r="B155">
        <v>6102314640</v>
      </c>
      <c r="C155">
        <v>24.41</v>
      </c>
      <c r="D155">
        <v>0</v>
      </c>
      <c r="E155">
        <v>950.92</v>
      </c>
      <c r="F155">
        <v>17214260</v>
      </c>
      <c r="G155">
        <v>249107432</v>
      </c>
    </row>
    <row r="156" spans="1:7">
      <c r="A156">
        <v>288</v>
      </c>
      <c r="B156">
        <v>4894306620</v>
      </c>
      <c r="C156">
        <v>19.579999999999998</v>
      </c>
      <c r="D156">
        <v>0</v>
      </c>
      <c r="E156">
        <v>950.92</v>
      </c>
      <c r="F156">
        <v>17340604</v>
      </c>
      <c r="G156">
        <v>250993533</v>
      </c>
    </row>
    <row r="157" spans="1:7">
      <c r="A157">
        <v>290</v>
      </c>
      <c r="B157">
        <v>6149930560</v>
      </c>
      <c r="C157">
        <v>24.6</v>
      </c>
      <c r="D157">
        <v>0</v>
      </c>
      <c r="E157">
        <v>950.92</v>
      </c>
      <c r="F157">
        <v>17466732</v>
      </c>
      <c r="G157">
        <v>252880439</v>
      </c>
    </row>
    <row r="158" spans="1:7">
      <c r="A158">
        <v>292</v>
      </c>
      <c r="B158">
        <v>4862333120</v>
      </c>
      <c r="C158">
        <v>19.45</v>
      </c>
      <c r="D158">
        <v>0</v>
      </c>
      <c r="E158">
        <v>950.92</v>
      </c>
      <c r="F158">
        <v>17593243</v>
      </c>
      <c r="G158">
        <v>254766786</v>
      </c>
    </row>
    <row r="159" spans="1:7">
      <c r="A159">
        <v>294</v>
      </c>
      <c r="B159">
        <v>6066110800</v>
      </c>
      <c r="C159">
        <v>24.26</v>
      </c>
      <c r="D159">
        <v>0</v>
      </c>
      <c r="E159">
        <v>950.92</v>
      </c>
      <c r="F159">
        <v>17719596</v>
      </c>
      <c r="G159">
        <v>256653210</v>
      </c>
    </row>
    <row r="160" spans="1:7">
      <c r="A160">
        <v>296</v>
      </c>
      <c r="B160">
        <v>4894503380</v>
      </c>
      <c r="C160">
        <v>19.579999999999998</v>
      </c>
      <c r="D160">
        <v>0</v>
      </c>
      <c r="E160">
        <v>950.92</v>
      </c>
      <c r="F160">
        <v>17846022</v>
      </c>
      <c r="G160">
        <v>258539390</v>
      </c>
    </row>
    <row r="161" spans="1:156">
      <c r="A161">
        <v>298</v>
      </c>
      <c r="B161">
        <v>6132418920</v>
      </c>
      <c r="C161">
        <v>24.53</v>
      </c>
      <c r="D161">
        <v>0</v>
      </c>
      <c r="E161">
        <v>950.92</v>
      </c>
      <c r="F161">
        <v>17972210</v>
      </c>
      <c r="G161">
        <v>260426068</v>
      </c>
    </row>
    <row r="162" spans="1:156">
      <c r="A162" t="s">
        <v>107</v>
      </c>
      <c r="B162" t="s">
        <v>45</v>
      </c>
    </row>
    <row r="163" spans="1:156">
      <c r="A163" t="s">
        <v>108</v>
      </c>
      <c r="B163" t="s">
        <v>109</v>
      </c>
      <c r="C163" t="s">
        <v>110</v>
      </c>
      <c r="D163" t="s">
        <v>111</v>
      </c>
      <c r="E163" t="s">
        <v>112</v>
      </c>
      <c r="F163" t="s">
        <v>113</v>
      </c>
      <c r="G163" t="s">
        <v>114</v>
      </c>
      <c r="H163" t="s">
        <v>115</v>
      </c>
      <c r="I163" t="s">
        <v>116</v>
      </c>
      <c r="J163" t="s">
        <v>117</v>
      </c>
      <c r="K163" t="s">
        <v>118</v>
      </c>
      <c r="L163" t="s">
        <v>119</v>
      </c>
      <c r="M163" t="s">
        <v>120</v>
      </c>
      <c r="N163" t="s">
        <v>121</v>
      </c>
      <c r="O163" t="s">
        <v>122</v>
      </c>
      <c r="P163" t="s">
        <v>123</v>
      </c>
      <c r="Q163" t="s">
        <v>124</v>
      </c>
      <c r="R163" t="s">
        <v>118</v>
      </c>
      <c r="S163" t="s">
        <v>125</v>
      </c>
      <c r="T163" t="s">
        <v>126</v>
      </c>
      <c r="U163" t="s">
        <v>127</v>
      </c>
      <c r="V163" t="s">
        <v>128</v>
      </c>
      <c r="W163" t="s">
        <v>129</v>
      </c>
      <c r="X163" t="s">
        <v>130</v>
      </c>
      <c r="Y163" t="s">
        <v>131</v>
      </c>
      <c r="Z163" t="s">
        <v>132</v>
      </c>
      <c r="AA163" t="s">
        <v>133</v>
      </c>
      <c r="AB163" t="s">
        <v>134</v>
      </c>
      <c r="AC163" t="s">
        <v>135</v>
      </c>
      <c r="AD163" t="s">
        <v>105</v>
      </c>
      <c r="AE163" t="s">
        <v>136</v>
      </c>
      <c r="AF163" t="s">
        <v>115</v>
      </c>
      <c r="AG163" t="s">
        <v>137</v>
      </c>
      <c r="AH163" t="s">
        <v>138</v>
      </c>
      <c r="AI163" t="s">
        <v>139</v>
      </c>
      <c r="AJ163" t="s">
        <v>126</v>
      </c>
      <c r="AK163" t="s">
        <v>127</v>
      </c>
      <c r="AL163" t="s">
        <v>128</v>
      </c>
      <c r="AM163" t="s">
        <v>129</v>
      </c>
      <c r="AN163" t="s">
        <v>130</v>
      </c>
      <c r="AO163" t="s">
        <v>131</v>
      </c>
      <c r="AP163" t="s">
        <v>132</v>
      </c>
      <c r="AQ163" t="s">
        <v>133</v>
      </c>
      <c r="AR163" t="s">
        <v>134</v>
      </c>
      <c r="AS163" t="s">
        <v>140</v>
      </c>
      <c r="AT163" t="s">
        <v>105</v>
      </c>
      <c r="AU163" t="s">
        <v>136</v>
      </c>
      <c r="AV163" t="s">
        <v>115</v>
      </c>
      <c r="AW163" t="s">
        <v>137</v>
      </c>
      <c r="AX163" t="s">
        <v>138</v>
      </c>
      <c r="AY163" t="s">
        <v>141</v>
      </c>
      <c r="AZ163" t="s">
        <v>126</v>
      </c>
      <c r="BA163" t="s">
        <v>142</v>
      </c>
      <c r="BB163" t="s">
        <v>143</v>
      </c>
      <c r="BC163" t="s">
        <v>144</v>
      </c>
      <c r="BD163" t="s">
        <v>145</v>
      </c>
      <c r="BE163" t="s">
        <v>146</v>
      </c>
      <c r="BF163" t="s">
        <v>147</v>
      </c>
      <c r="BG163" t="s">
        <v>148</v>
      </c>
      <c r="BH163" t="s">
        <v>149</v>
      </c>
      <c r="BI163" t="s">
        <v>150</v>
      </c>
      <c r="BJ163" t="s">
        <v>141</v>
      </c>
      <c r="BK163" t="s">
        <v>126</v>
      </c>
      <c r="BL163" t="s">
        <v>142</v>
      </c>
      <c r="BM163" t="s">
        <v>143</v>
      </c>
      <c r="BN163" t="s">
        <v>144</v>
      </c>
      <c r="BO163" t="s">
        <v>145</v>
      </c>
      <c r="BP163" t="s">
        <v>146</v>
      </c>
      <c r="BQ163" t="s">
        <v>147</v>
      </c>
      <c r="BR163" t="s">
        <v>148</v>
      </c>
      <c r="BS163" t="s">
        <v>149</v>
      </c>
      <c r="BT163" t="s">
        <v>150</v>
      </c>
    </row>
    <row r="164" spans="1:156">
      <c r="A164">
        <v>98380</v>
      </c>
      <c r="B164">
        <v>0</v>
      </c>
      <c r="C164">
        <v>7507940</v>
      </c>
      <c r="D164">
        <v>0</v>
      </c>
      <c r="E164">
        <v>39.957799999999999</v>
      </c>
      <c r="F164" s="7">
        <v>302001000</v>
      </c>
      <c r="G164">
        <v>19696.8</v>
      </c>
      <c r="H164">
        <v>262518237</v>
      </c>
      <c r="I164">
        <v>0</v>
      </c>
      <c r="J164">
        <v>0</v>
      </c>
      <c r="K164" t="s">
        <v>151</v>
      </c>
      <c r="L164">
        <v>0</v>
      </c>
      <c r="M164">
        <v>7507940</v>
      </c>
      <c r="N164">
        <v>738631137200</v>
      </c>
      <c r="O164">
        <v>39.978700000000003</v>
      </c>
      <c r="P164">
        <v>300157851</v>
      </c>
      <c r="Q164">
        <v>19686.5</v>
      </c>
      <c r="R164" t="s">
        <v>151</v>
      </c>
      <c r="S164" t="s">
        <v>152</v>
      </c>
      <c r="T164" t="s">
        <v>153</v>
      </c>
      <c r="U164" t="s">
        <v>45</v>
      </c>
      <c r="V164">
        <v>0</v>
      </c>
      <c r="W164">
        <v>0</v>
      </c>
      <c r="X164">
        <v>0</v>
      </c>
      <c r="Y164">
        <v>0</v>
      </c>
      <c r="Z164">
        <v>50</v>
      </c>
      <c r="AA164">
        <v>8918</v>
      </c>
      <c r="AB164">
        <v>0</v>
      </c>
      <c r="AC164">
        <v>0</v>
      </c>
      <c r="AD164" t="s">
        <v>154</v>
      </c>
      <c r="AE164" t="s">
        <v>45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155</v>
      </c>
      <c r="AO164" t="s">
        <v>45</v>
      </c>
      <c r="AP164">
        <v>18128719</v>
      </c>
      <c r="AQ164">
        <v>1196495369</v>
      </c>
      <c r="AR164">
        <v>0</v>
      </c>
      <c r="AS164">
        <v>0</v>
      </c>
      <c r="AT164">
        <v>262518237</v>
      </c>
      <c r="AU164">
        <v>2364201665102</v>
      </c>
      <c r="AV164">
        <v>0</v>
      </c>
      <c r="AW164">
        <v>0</v>
      </c>
      <c r="AX164" t="s">
        <v>156</v>
      </c>
      <c r="AY164" t="s">
        <v>45</v>
      </c>
      <c r="AZ164">
        <v>0</v>
      </c>
      <c r="BA164">
        <v>0</v>
      </c>
      <c r="BB164">
        <v>0</v>
      </c>
      <c r="BC164">
        <v>0</v>
      </c>
      <c r="BD164">
        <v>51</v>
      </c>
      <c r="BE164">
        <v>9273</v>
      </c>
      <c r="BF164">
        <v>0</v>
      </c>
      <c r="BG164">
        <v>0</v>
      </c>
      <c r="BH164" t="s">
        <v>157</v>
      </c>
      <c r="BI164" t="s">
        <v>45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 t="s">
        <v>158</v>
      </c>
      <c r="BS164" t="s">
        <v>45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 t="s">
        <v>135</v>
      </c>
      <c r="CC164">
        <v>18128677</v>
      </c>
      <c r="CD164">
        <v>0</v>
      </c>
      <c r="CE164">
        <v>262518237</v>
      </c>
      <c r="CF164">
        <v>0</v>
      </c>
      <c r="CG164">
        <v>0</v>
      </c>
      <c r="CH164" t="s">
        <v>159</v>
      </c>
      <c r="CI164" t="s">
        <v>160</v>
      </c>
      <c r="CJ164" t="s">
        <v>45</v>
      </c>
      <c r="CK164">
        <v>90997</v>
      </c>
      <c r="CL164">
        <v>4195500</v>
      </c>
      <c r="CM164">
        <v>0</v>
      </c>
      <c r="CN164">
        <v>0</v>
      </c>
      <c r="CO164">
        <v>660</v>
      </c>
      <c r="CP164">
        <v>274394</v>
      </c>
      <c r="CQ164">
        <v>0</v>
      </c>
      <c r="CR164">
        <v>0</v>
      </c>
      <c r="CS164" t="s">
        <v>161</v>
      </c>
      <c r="CT164" t="s">
        <v>45</v>
      </c>
      <c r="CU164">
        <v>262610539</v>
      </c>
      <c r="CV164">
        <v>2364207249294</v>
      </c>
      <c r="CW164">
        <v>0</v>
      </c>
      <c r="CX164">
        <v>0</v>
      </c>
      <c r="CY164">
        <v>18130573</v>
      </c>
      <c r="CZ164">
        <v>1196906575</v>
      </c>
      <c r="DA164">
        <v>0</v>
      </c>
      <c r="DB164">
        <v>0</v>
      </c>
      <c r="DC164" t="s">
        <v>158</v>
      </c>
      <c r="DD164" t="s">
        <v>45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 t="s">
        <v>162</v>
      </c>
      <c r="DN164" t="s">
        <v>45</v>
      </c>
      <c r="DO164">
        <v>39300991</v>
      </c>
      <c r="DP164">
        <v>2348919140010</v>
      </c>
      <c r="DQ164">
        <v>0</v>
      </c>
      <c r="DR164">
        <v>0</v>
      </c>
      <c r="DS164">
        <v>18129814</v>
      </c>
      <c r="DT164">
        <v>1196615965</v>
      </c>
      <c r="DU164">
        <v>0</v>
      </c>
      <c r="DV164">
        <v>0</v>
      </c>
      <c r="DW164" t="s">
        <v>163</v>
      </c>
      <c r="DX164" t="s">
        <v>45</v>
      </c>
      <c r="DY164">
        <v>9547</v>
      </c>
      <c r="DZ164">
        <v>954700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 t="s">
        <v>140</v>
      </c>
      <c r="EH164">
        <v>39300447</v>
      </c>
      <c r="EI164">
        <v>9</v>
      </c>
      <c r="EJ164">
        <v>18129439</v>
      </c>
      <c r="EK164">
        <v>44</v>
      </c>
      <c r="EL164">
        <v>44</v>
      </c>
      <c r="EM164" t="s">
        <v>141</v>
      </c>
      <c r="EN164" t="s">
        <v>164</v>
      </c>
      <c r="EO164">
        <v>262610538</v>
      </c>
      <c r="EP164">
        <v>18130574</v>
      </c>
      <c r="EQ164">
        <v>262616892</v>
      </c>
      <c r="ER164">
        <v>18130574</v>
      </c>
      <c r="ES164">
        <v>0</v>
      </c>
      <c r="ET164">
        <v>0</v>
      </c>
      <c r="EU164">
        <v>0</v>
      </c>
      <c r="EV164">
        <v>0</v>
      </c>
      <c r="EW164">
        <v>0</v>
      </c>
      <c r="EX164" t="s">
        <v>141</v>
      </c>
      <c r="EY164" t="s">
        <v>45</v>
      </c>
      <c r="EZ164" t="s">
        <v>118</v>
      </c>
    </row>
    <row r="165" spans="1:156">
      <c r="A165" t="s">
        <v>165</v>
      </c>
      <c r="B165" t="s">
        <v>166</v>
      </c>
      <c r="C165" t="s">
        <v>167</v>
      </c>
      <c r="D165" t="s">
        <v>168</v>
      </c>
      <c r="E165" t="s">
        <v>169</v>
      </c>
      <c r="F165" t="s">
        <v>170</v>
      </c>
      <c r="G165" t="s">
        <v>171</v>
      </c>
      <c r="H165" t="s">
        <v>172</v>
      </c>
    </row>
    <row r="166" spans="1:156">
      <c r="A166" t="s">
        <v>173</v>
      </c>
      <c r="B166">
        <v>0</v>
      </c>
      <c r="C166">
        <v>0</v>
      </c>
      <c r="D166">
        <v>51</v>
      </c>
      <c r="E166">
        <v>47</v>
      </c>
      <c r="F166">
        <v>0</v>
      </c>
      <c r="G166">
        <v>2</v>
      </c>
      <c r="H166">
        <v>15</v>
      </c>
      <c r="I166" t="s">
        <v>45</v>
      </c>
    </row>
    <row r="167" spans="1:156">
      <c r="A167" t="s">
        <v>174</v>
      </c>
      <c r="B167">
        <v>0</v>
      </c>
      <c r="C167">
        <v>0</v>
      </c>
      <c r="D167">
        <v>63</v>
      </c>
      <c r="E167">
        <v>36</v>
      </c>
      <c r="F167">
        <v>0</v>
      </c>
      <c r="G167">
        <v>2</v>
      </c>
      <c r="H167">
        <v>17</v>
      </c>
      <c r="I167" t="s">
        <v>45</v>
      </c>
    </row>
    <row r="168" spans="1:156">
      <c r="A168" t="s">
        <v>175</v>
      </c>
      <c r="B168">
        <v>0</v>
      </c>
      <c r="C168">
        <v>0</v>
      </c>
      <c r="D168">
        <v>58</v>
      </c>
      <c r="E168">
        <v>40</v>
      </c>
      <c r="F168">
        <v>0</v>
      </c>
      <c r="G168">
        <v>2</v>
      </c>
      <c r="H168">
        <v>7</v>
      </c>
      <c r="I168" t="s">
        <v>45</v>
      </c>
    </row>
    <row r="169" spans="1:156">
      <c r="A169" t="s">
        <v>176</v>
      </c>
      <c r="B169">
        <v>0</v>
      </c>
      <c r="C169">
        <v>0</v>
      </c>
      <c r="D169">
        <v>62</v>
      </c>
      <c r="E169">
        <v>36</v>
      </c>
      <c r="F169">
        <v>0</v>
      </c>
      <c r="G169">
        <v>2</v>
      </c>
      <c r="H169">
        <v>17</v>
      </c>
      <c r="I169" t="s">
        <v>45</v>
      </c>
    </row>
    <row r="170" spans="1:156">
      <c r="A170" t="s">
        <v>177</v>
      </c>
      <c r="B170">
        <v>0</v>
      </c>
      <c r="C170">
        <v>0</v>
      </c>
      <c r="D170">
        <v>21</v>
      </c>
      <c r="E170">
        <v>78</v>
      </c>
      <c r="F170">
        <v>0</v>
      </c>
      <c r="G170">
        <v>2</v>
      </c>
      <c r="H170">
        <v>19</v>
      </c>
      <c r="I170" t="s">
        <v>45</v>
      </c>
    </row>
    <row r="171" spans="1:156">
      <c r="A171" t="s">
        <v>178</v>
      </c>
      <c r="B171" t="s">
        <v>166</v>
      </c>
      <c r="C171" t="s">
        <v>167</v>
      </c>
      <c r="D171" t="s">
        <v>168</v>
      </c>
      <c r="E171" t="s">
        <v>169</v>
      </c>
      <c r="F171" t="s">
        <v>170</v>
      </c>
      <c r="G171" t="s">
        <v>171</v>
      </c>
      <c r="H171" t="s">
        <v>172</v>
      </c>
    </row>
    <row r="172" spans="1:156">
      <c r="A172" t="s">
        <v>179</v>
      </c>
      <c r="B172">
        <v>0</v>
      </c>
      <c r="C172">
        <v>0</v>
      </c>
      <c r="D172">
        <v>5</v>
      </c>
      <c r="E172">
        <v>94</v>
      </c>
      <c r="F172">
        <v>0</v>
      </c>
      <c r="G172">
        <v>0</v>
      </c>
      <c r="H172">
        <v>0</v>
      </c>
      <c r="I172" t="s">
        <v>45</v>
      </c>
    </row>
    <row r="173" spans="1:156">
      <c r="A173" t="s">
        <v>180</v>
      </c>
      <c r="B173">
        <v>0</v>
      </c>
      <c r="C173">
        <v>0</v>
      </c>
      <c r="D173">
        <v>0</v>
      </c>
      <c r="E173">
        <v>99</v>
      </c>
      <c r="F173">
        <v>0</v>
      </c>
      <c r="G173">
        <v>0</v>
      </c>
      <c r="H173">
        <v>0</v>
      </c>
      <c r="I173" t="s">
        <v>45</v>
      </c>
    </row>
    <row r="174" spans="1:156">
      <c r="A174" t="s">
        <v>181</v>
      </c>
      <c r="B174">
        <v>0</v>
      </c>
      <c r="C174">
        <v>0</v>
      </c>
      <c r="D174">
        <v>0</v>
      </c>
      <c r="E174">
        <v>99</v>
      </c>
      <c r="F174">
        <v>0</v>
      </c>
      <c r="G174">
        <v>0</v>
      </c>
      <c r="H174">
        <v>0</v>
      </c>
      <c r="I174" t="s">
        <v>45</v>
      </c>
    </row>
    <row r="175" spans="1:156">
      <c r="A175" t="s">
        <v>182</v>
      </c>
      <c r="B175">
        <v>0</v>
      </c>
      <c r="C175">
        <v>0</v>
      </c>
      <c r="D175">
        <v>0</v>
      </c>
      <c r="E175">
        <v>99</v>
      </c>
      <c r="F175">
        <v>0</v>
      </c>
      <c r="G175">
        <v>0</v>
      </c>
      <c r="H175">
        <v>0</v>
      </c>
      <c r="I175" t="s">
        <v>45</v>
      </c>
    </row>
    <row r="176" spans="1:156">
      <c r="A176" t="s">
        <v>183</v>
      </c>
      <c r="B176">
        <v>0</v>
      </c>
      <c r="C176">
        <v>0</v>
      </c>
      <c r="D176">
        <v>0</v>
      </c>
      <c r="E176">
        <v>99</v>
      </c>
      <c r="F176">
        <v>0</v>
      </c>
      <c r="G176">
        <v>0</v>
      </c>
      <c r="H176">
        <v>0</v>
      </c>
      <c r="I176" t="s">
        <v>45</v>
      </c>
    </row>
    <row r="177" spans="1:9">
      <c r="A177" t="s">
        <v>184</v>
      </c>
      <c r="B177">
        <v>0</v>
      </c>
      <c r="C177">
        <v>0</v>
      </c>
      <c r="D177">
        <v>0</v>
      </c>
      <c r="E177">
        <v>99</v>
      </c>
      <c r="F177">
        <v>0</v>
      </c>
      <c r="G177">
        <v>0</v>
      </c>
      <c r="H177">
        <v>0</v>
      </c>
      <c r="I177" t="s">
        <v>45</v>
      </c>
    </row>
    <row r="178" spans="1:9">
      <c r="A178" t="s">
        <v>185</v>
      </c>
      <c r="B178">
        <v>0</v>
      </c>
      <c r="C178">
        <v>0</v>
      </c>
      <c r="D178">
        <v>0</v>
      </c>
      <c r="E178">
        <v>99</v>
      </c>
      <c r="F178">
        <v>0</v>
      </c>
      <c r="G178">
        <v>0</v>
      </c>
      <c r="H178">
        <v>0</v>
      </c>
      <c r="I178" t="s">
        <v>45</v>
      </c>
    </row>
    <row r="179" spans="1:9">
      <c r="A179" t="s">
        <v>186</v>
      </c>
      <c r="B179">
        <v>3</v>
      </c>
      <c r="C179">
        <v>0</v>
      </c>
      <c r="D179">
        <v>92</v>
      </c>
      <c r="E179">
        <v>4</v>
      </c>
      <c r="F179">
        <v>0</v>
      </c>
      <c r="G179">
        <v>0</v>
      </c>
      <c r="H179">
        <v>0</v>
      </c>
      <c r="I179" t="s">
        <v>45</v>
      </c>
    </row>
    <row r="180" spans="1:9">
      <c r="A180" t="s">
        <v>187</v>
      </c>
      <c r="B180">
        <v>3</v>
      </c>
      <c r="C180">
        <v>0</v>
      </c>
      <c r="D180">
        <v>91</v>
      </c>
      <c r="E180">
        <v>4</v>
      </c>
      <c r="F180">
        <v>0</v>
      </c>
      <c r="G180">
        <v>0</v>
      </c>
      <c r="H180">
        <v>0</v>
      </c>
      <c r="I180" t="s">
        <v>45</v>
      </c>
    </row>
    <row r="181" spans="1:9">
      <c r="A181" t="s">
        <v>188</v>
      </c>
      <c r="B181">
        <v>3</v>
      </c>
      <c r="C181">
        <v>0</v>
      </c>
      <c r="D181">
        <v>88</v>
      </c>
      <c r="E181">
        <v>8</v>
      </c>
      <c r="F181">
        <v>0</v>
      </c>
      <c r="G181">
        <v>0</v>
      </c>
      <c r="H181">
        <v>0</v>
      </c>
      <c r="I181" t="s">
        <v>45</v>
      </c>
    </row>
    <row r="182" spans="1:9">
      <c r="A182" t="s">
        <v>189</v>
      </c>
      <c r="B182">
        <v>0</v>
      </c>
      <c r="C182">
        <v>0</v>
      </c>
      <c r="D182">
        <v>0</v>
      </c>
      <c r="E182">
        <v>99</v>
      </c>
      <c r="F182">
        <v>0</v>
      </c>
      <c r="G182">
        <v>0</v>
      </c>
      <c r="H182">
        <v>0</v>
      </c>
      <c r="I182" t="s">
        <v>45</v>
      </c>
    </row>
    <row r="183" spans="1:9">
      <c r="A183" t="s">
        <v>190</v>
      </c>
      <c r="B183">
        <v>0</v>
      </c>
      <c r="C183">
        <v>0</v>
      </c>
      <c r="D183">
        <v>0</v>
      </c>
      <c r="E183">
        <v>99</v>
      </c>
      <c r="F183">
        <v>0</v>
      </c>
      <c r="G183">
        <v>0</v>
      </c>
      <c r="H183">
        <v>0</v>
      </c>
      <c r="I183" t="s">
        <v>45</v>
      </c>
    </row>
    <row r="184" spans="1:9">
      <c r="A184" t="s">
        <v>191</v>
      </c>
      <c r="B184">
        <v>0</v>
      </c>
      <c r="C184">
        <v>0</v>
      </c>
      <c r="D184">
        <v>0</v>
      </c>
      <c r="E184">
        <v>99</v>
      </c>
      <c r="F184">
        <v>0</v>
      </c>
      <c r="G184">
        <v>0</v>
      </c>
      <c r="H184">
        <v>0</v>
      </c>
      <c r="I184" t="s">
        <v>45</v>
      </c>
    </row>
    <row r="185" spans="1:9">
      <c r="A185" t="s">
        <v>192</v>
      </c>
      <c r="B185">
        <v>0</v>
      </c>
      <c r="C185">
        <v>0</v>
      </c>
      <c r="D185">
        <v>0</v>
      </c>
      <c r="E185">
        <v>99</v>
      </c>
      <c r="F185">
        <v>0</v>
      </c>
      <c r="G185">
        <v>0</v>
      </c>
      <c r="H185">
        <v>0</v>
      </c>
      <c r="I185" t="s">
        <v>45</v>
      </c>
    </row>
    <row r="186" spans="1:9">
      <c r="A186" t="s">
        <v>193</v>
      </c>
      <c r="B186">
        <v>0</v>
      </c>
      <c r="C186">
        <v>0</v>
      </c>
      <c r="D186">
        <v>0</v>
      </c>
      <c r="E186">
        <v>99</v>
      </c>
      <c r="F186">
        <v>0</v>
      </c>
      <c r="G186">
        <v>0</v>
      </c>
      <c r="H186">
        <v>0</v>
      </c>
      <c r="I186" t="s">
        <v>45</v>
      </c>
    </row>
    <row r="187" spans="1:9">
      <c r="A187" t="s">
        <v>194</v>
      </c>
      <c r="B187">
        <v>0</v>
      </c>
      <c r="C187">
        <v>0</v>
      </c>
      <c r="D187">
        <v>0</v>
      </c>
      <c r="E187">
        <v>99</v>
      </c>
      <c r="F187">
        <v>0</v>
      </c>
      <c r="G187">
        <v>0</v>
      </c>
      <c r="H187">
        <v>0</v>
      </c>
      <c r="I187" t="s">
        <v>45</v>
      </c>
    </row>
    <row r="188" spans="1:9">
      <c r="A188" t="s">
        <v>195</v>
      </c>
      <c r="B188">
        <v>0</v>
      </c>
      <c r="C188">
        <v>0</v>
      </c>
      <c r="D188">
        <v>0</v>
      </c>
      <c r="E188">
        <v>99</v>
      </c>
      <c r="F188">
        <v>0</v>
      </c>
      <c r="G188">
        <v>0</v>
      </c>
      <c r="H188">
        <v>0</v>
      </c>
      <c r="I188" t="s">
        <v>45</v>
      </c>
    </row>
    <row r="189" spans="1:9">
      <c r="A189" t="s">
        <v>196</v>
      </c>
      <c r="B189">
        <v>0</v>
      </c>
      <c r="C189">
        <v>0</v>
      </c>
      <c r="D189">
        <v>0</v>
      </c>
      <c r="E189">
        <v>99</v>
      </c>
      <c r="F189">
        <v>0</v>
      </c>
      <c r="G189">
        <v>0</v>
      </c>
      <c r="H189">
        <v>0</v>
      </c>
      <c r="I189" t="s">
        <v>45</v>
      </c>
    </row>
    <row r="190" spans="1:9">
      <c r="A190" t="s">
        <v>197</v>
      </c>
      <c r="B190">
        <v>0</v>
      </c>
      <c r="C190">
        <v>0</v>
      </c>
      <c r="D190">
        <v>0</v>
      </c>
      <c r="E190">
        <v>99</v>
      </c>
      <c r="F190">
        <v>0</v>
      </c>
      <c r="G190">
        <v>0</v>
      </c>
      <c r="H190">
        <v>0</v>
      </c>
      <c r="I190" t="s">
        <v>45</v>
      </c>
    </row>
    <row r="191" spans="1:9">
      <c r="A191" t="s">
        <v>198</v>
      </c>
      <c r="B191">
        <v>0</v>
      </c>
      <c r="C191">
        <v>0</v>
      </c>
      <c r="D191">
        <v>0</v>
      </c>
      <c r="E191">
        <v>99</v>
      </c>
      <c r="F191">
        <v>0</v>
      </c>
      <c r="G191">
        <v>0</v>
      </c>
      <c r="H191">
        <v>0</v>
      </c>
      <c r="I191" t="s">
        <v>45</v>
      </c>
    </row>
    <row r="192" spans="1:9">
      <c r="A192" t="s">
        <v>199</v>
      </c>
      <c r="B192">
        <v>0</v>
      </c>
      <c r="C192">
        <v>0</v>
      </c>
      <c r="D192">
        <v>0</v>
      </c>
      <c r="E192">
        <v>99</v>
      </c>
      <c r="F192">
        <v>0</v>
      </c>
      <c r="G192">
        <v>0</v>
      </c>
      <c r="H192">
        <v>0</v>
      </c>
      <c r="I192" t="s">
        <v>45</v>
      </c>
    </row>
    <row r="193" spans="1:9">
      <c r="A193" t="s">
        <v>200</v>
      </c>
      <c r="B193">
        <v>0</v>
      </c>
      <c r="C193">
        <v>0</v>
      </c>
      <c r="D193">
        <v>2</v>
      </c>
      <c r="E193">
        <v>97</v>
      </c>
      <c r="F193">
        <v>0</v>
      </c>
      <c r="G193">
        <v>0</v>
      </c>
      <c r="H193">
        <v>2</v>
      </c>
      <c r="I193" t="s">
        <v>45</v>
      </c>
    </row>
    <row r="194" spans="1:9">
      <c r="A194" t="s">
        <v>201</v>
      </c>
      <c r="B194">
        <v>0</v>
      </c>
      <c r="C194">
        <v>0</v>
      </c>
      <c r="D194">
        <v>0</v>
      </c>
      <c r="E194">
        <v>99</v>
      </c>
      <c r="F194">
        <v>0</v>
      </c>
      <c r="G194">
        <v>0</v>
      </c>
      <c r="H194">
        <v>0</v>
      </c>
      <c r="I194" t="s">
        <v>45</v>
      </c>
    </row>
    <row r="195" spans="1:9">
      <c r="A195" t="s">
        <v>202</v>
      </c>
      <c r="B195">
        <v>0</v>
      </c>
      <c r="C195">
        <v>0</v>
      </c>
      <c r="D195">
        <v>0</v>
      </c>
      <c r="E195">
        <v>99</v>
      </c>
      <c r="F195">
        <v>0</v>
      </c>
      <c r="G195">
        <v>0</v>
      </c>
      <c r="H195">
        <v>0</v>
      </c>
      <c r="I195" t="s">
        <v>45</v>
      </c>
    </row>
    <row r="196" spans="1:9">
      <c r="A196" t="s">
        <v>203</v>
      </c>
      <c r="B196">
        <v>0</v>
      </c>
      <c r="C196">
        <v>0</v>
      </c>
      <c r="D196">
        <v>0</v>
      </c>
      <c r="E196">
        <v>99</v>
      </c>
      <c r="F196">
        <v>0</v>
      </c>
      <c r="G196">
        <v>0</v>
      </c>
      <c r="H196">
        <v>0</v>
      </c>
      <c r="I196" t="s">
        <v>45</v>
      </c>
    </row>
    <row r="197" spans="1:9">
      <c r="A197" t="s">
        <v>204</v>
      </c>
      <c r="B197">
        <v>0</v>
      </c>
      <c r="C197">
        <v>0</v>
      </c>
      <c r="D197">
        <v>0</v>
      </c>
      <c r="E197">
        <v>99</v>
      </c>
      <c r="F197">
        <v>0</v>
      </c>
      <c r="G197">
        <v>0</v>
      </c>
      <c r="H197">
        <v>0</v>
      </c>
      <c r="I197" t="s">
        <v>45</v>
      </c>
    </row>
    <row r="198" spans="1:9">
      <c r="A198" t="s">
        <v>205</v>
      </c>
      <c r="B198">
        <v>0</v>
      </c>
      <c r="C198">
        <v>0</v>
      </c>
      <c r="D198">
        <v>0</v>
      </c>
      <c r="E198">
        <v>99</v>
      </c>
      <c r="F198">
        <v>0</v>
      </c>
      <c r="G198">
        <v>0</v>
      </c>
      <c r="H198">
        <v>0</v>
      </c>
      <c r="I198" t="s">
        <v>45</v>
      </c>
    </row>
    <row r="199" spans="1:9">
      <c r="A199" t="s">
        <v>206</v>
      </c>
      <c r="B199">
        <v>0</v>
      </c>
      <c r="C199">
        <v>0</v>
      </c>
      <c r="D199">
        <v>0</v>
      </c>
      <c r="E199">
        <v>99</v>
      </c>
      <c r="F199">
        <v>0</v>
      </c>
      <c r="G199">
        <v>0</v>
      </c>
      <c r="H199">
        <v>0</v>
      </c>
      <c r="I199" t="s">
        <v>45</v>
      </c>
    </row>
    <row r="200" spans="1:9">
      <c r="A200" t="s">
        <v>207</v>
      </c>
      <c r="B200">
        <v>0</v>
      </c>
      <c r="C200">
        <v>0</v>
      </c>
      <c r="D200">
        <v>0</v>
      </c>
      <c r="E200">
        <v>99</v>
      </c>
      <c r="F200">
        <v>0</v>
      </c>
      <c r="G200">
        <v>0</v>
      </c>
      <c r="H200">
        <v>0</v>
      </c>
      <c r="I200" t="s">
        <v>45</v>
      </c>
    </row>
    <row r="201" spans="1:9">
      <c r="A201" t="s">
        <v>208</v>
      </c>
      <c r="B201">
        <v>0</v>
      </c>
      <c r="C201">
        <v>0</v>
      </c>
      <c r="D201">
        <v>0</v>
      </c>
      <c r="E201">
        <v>99</v>
      </c>
      <c r="F201">
        <v>0</v>
      </c>
      <c r="G201">
        <v>0</v>
      </c>
      <c r="H201">
        <v>0</v>
      </c>
      <c r="I201" t="s">
        <v>45</v>
      </c>
    </row>
    <row r="202" spans="1:9">
      <c r="A202" t="s">
        <v>209</v>
      </c>
      <c r="B202">
        <v>0</v>
      </c>
      <c r="C202">
        <v>0</v>
      </c>
      <c r="D202">
        <v>0</v>
      </c>
      <c r="E202">
        <v>99</v>
      </c>
      <c r="F202">
        <v>0</v>
      </c>
      <c r="G202">
        <v>0</v>
      </c>
      <c r="H202">
        <v>0</v>
      </c>
      <c r="I202" t="s">
        <v>45</v>
      </c>
    </row>
    <row r="203" spans="1:9">
      <c r="A203" t="s">
        <v>210</v>
      </c>
      <c r="B203">
        <v>0</v>
      </c>
      <c r="C203">
        <v>0</v>
      </c>
      <c r="D203">
        <v>0</v>
      </c>
      <c r="E203">
        <v>99</v>
      </c>
      <c r="F203">
        <v>0</v>
      </c>
      <c r="G203">
        <v>0</v>
      </c>
      <c r="H203">
        <v>0</v>
      </c>
      <c r="I203" t="s">
        <v>45</v>
      </c>
    </row>
    <row r="204" spans="1:9">
      <c r="A204" t="s">
        <v>211</v>
      </c>
      <c r="B204">
        <v>0</v>
      </c>
      <c r="C204">
        <v>0</v>
      </c>
      <c r="D204">
        <v>0</v>
      </c>
      <c r="E204">
        <v>99</v>
      </c>
      <c r="F204">
        <v>0</v>
      </c>
      <c r="G204">
        <v>0</v>
      </c>
      <c r="H204">
        <v>0</v>
      </c>
      <c r="I204" t="s">
        <v>45</v>
      </c>
    </row>
    <row r="205" spans="1:9">
      <c r="A205" t="s">
        <v>212</v>
      </c>
      <c r="B205">
        <v>0</v>
      </c>
      <c r="C205">
        <v>0</v>
      </c>
      <c r="D205">
        <v>0</v>
      </c>
      <c r="E205">
        <v>99</v>
      </c>
      <c r="F205">
        <v>0</v>
      </c>
      <c r="G205">
        <v>0</v>
      </c>
      <c r="H205">
        <v>0</v>
      </c>
      <c r="I205" t="s">
        <v>45</v>
      </c>
    </row>
    <row r="206" spans="1:9">
      <c r="A206" t="s">
        <v>213</v>
      </c>
      <c r="B206">
        <v>0</v>
      </c>
      <c r="C206">
        <v>0</v>
      </c>
      <c r="D206">
        <v>0</v>
      </c>
      <c r="E206">
        <v>99</v>
      </c>
      <c r="F206">
        <v>0</v>
      </c>
      <c r="G206">
        <v>0</v>
      </c>
      <c r="H206">
        <v>0</v>
      </c>
      <c r="I206" t="s">
        <v>45</v>
      </c>
    </row>
    <row r="207" spans="1:9">
      <c r="A207" t="s">
        <v>214</v>
      </c>
      <c r="B207">
        <v>0</v>
      </c>
      <c r="C207">
        <v>0</v>
      </c>
      <c r="D207">
        <v>0</v>
      </c>
      <c r="E207">
        <v>99</v>
      </c>
      <c r="F207">
        <v>0</v>
      </c>
      <c r="G207">
        <v>0</v>
      </c>
      <c r="H207">
        <v>0</v>
      </c>
      <c r="I207" t="s">
        <v>45</v>
      </c>
    </row>
    <row r="208" spans="1:9">
      <c r="A208" t="s">
        <v>215</v>
      </c>
      <c r="B208">
        <v>0</v>
      </c>
      <c r="C208">
        <v>0</v>
      </c>
      <c r="D208">
        <v>0</v>
      </c>
      <c r="E208">
        <v>99</v>
      </c>
      <c r="F208">
        <v>0</v>
      </c>
      <c r="G208">
        <v>0</v>
      </c>
      <c r="H208">
        <v>0</v>
      </c>
      <c r="I208" t="s">
        <v>45</v>
      </c>
    </row>
    <row r="209" spans="1:9">
      <c r="A209" t="s">
        <v>216</v>
      </c>
      <c r="B209">
        <v>0</v>
      </c>
      <c r="C209">
        <v>0</v>
      </c>
      <c r="D209">
        <v>0</v>
      </c>
      <c r="E209">
        <v>99</v>
      </c>
      <c r="F209">
        <v>0</v>
      </c>
      <c r="G209">
        <v>0</v>
      </c>
      <c r="H209">
        <v>0</v>
      </c>
      <c r="I209" t="s">
        <v>45</v>
      </c>
    </row>
    <row r="210" spans="1:9">
      <c r="A210" t="s">
        <v>217</v>
      </c>
      <c r="B210">
        <v>0</v>
      </c>
      <c r="C210">
        <v>0</v>
      </c>
      <c r="D210">
        <v>0</v>
      </c>
      <c r="E210">
        <v>99</v>
      </c>
      <c r="F210">
        <v>0</v>
      </c>
      <c r="G210">
        <v>0</v>
      </c>
      <c r="H210">
        <v>0</v>
      </c>
      <c r="I210" t="s">
        <v>45</v>
      </c>
    </row>
    <row r="211" spans="1:9">
      <c r="A211" t="s">
        <v>218</v>
      </c>
      <c r="B211">
        <v>0</v>
      </c>
      <c r="C211">
        <v>0</v>
      </c>
      <c r="D211">
        <v>7</v>
      </c>
      <c r="E211">
        <v>92</v>
      </c>
      <c r="F211">
        <v>0</v>
      </c>
      <c r="G211">
        <v>0</v>
      </c>
      <c r="H211">
        <v>7</v>
      </c>
      <c r="I211" t="s">
        <v>45</v>
      </c>
    </row>
    <row r="212" spans="1:9">
      <c r="A212" t="s">
        <v>219</v>
      </c>
      <c r="B212">
        <v>0</v>
      </c>
      <c r="C212">
        <v>0</v>
      </c>
      <c r="D212">
        <v>0</v>
      </c>
      <c r="E212">
        <v>99</v>
      </c>
      <c r="F212">
        <v>0</v>
      </c>
      <c r="G212">
        <v>0</v>
      </c>
      <c r="H212">
        <v>0</v>
      </c>
      <c r="I212" t="s">
        <v>45</v>
      </c>
    </row>
    <row r="213" spans="1:9">
      <c r="A213" t="s">
        <v>220</v>
      </c>
      <c r="B213">
        <v>0</v>
      </c>
      <c r="C213">
        <v>0</v>
      </c>
      <c r="D213">
        <v>0</v>
      </c>
      <c r="E213">
        <v>99</v>
      </c>
      <c r="F213">
        <v>0</v>
      </c>
      <c r="G213">
        <v>0</v>
      </c>
      <c r="H213">
        <v>0</v>
      </c>
      <c r="I213" t="s">
        <v>45</v>
      </c>
    </row>
    <row r="214" spans="1:9">
      <c r="A214" t="s">
        <v>221</v>
      </c>
      <c r="B214">
        <v>0</v>
      </c>
      <c r="C214">
        <v>0</v>
      </c>
      <c r="D214">
        <v>0</v>
      </c>
      <c r="E214">
        <v>99</v>
      </c>
      <c r="F214">
        <v>0</v>
      </c>
      <c r="G214">
        <v>0</v>
      </c>
      <c r="H214">
        <v>0</v>
      </c>
      <c r="I214" t="s">
        <v>45</v>
      </c>
    </row>
    <row r="215" spans="1:9">
      <c r="A215" t="s">
        <v>222</v>
      </c>
      <c r="B215">
        <v>0</v>
      </c>
      <c r="C215">
        <v>0</v>
      </c>
      <c r="D215">
        <v>0</v>
      </c>
      <c r="E215">
        <v>99</v>
      </c>
      <c r="F215">
        <v>0</v>
      </c>
      <c r="G215">
        <v>0</v>
      </c>
      <c r="H215">
        <v>0</v>
      </c>
      <c r="I215" t="s">
        <v>45</v>
      </c>
    </row>
    <row r="216" spans="1:9">
      <c r="A216" t="s">
        <v>223</v>
      </c>
      <c r="B216">
        <v>0</v>
      </c>
      <c r="C216">
        <v>0</v>
      </c>
      <c r="D216">
        <v>0</v>
      </c>
      <c r="E216">
        <v>99</v>
      </c>
      <c r="F216">
        <v>0</v>
      </c>
      <c r="G216">
        <v>0</v>
      </c>
      <c r="H216">
        <v>0</v>
      </c>
      <c r="I216" t="s">
        <v>45</v>
      </c>
    </row>
    <row r="217" spans="1:9">
      <c r="A217" t="s">
        <v>224</v>
      </c>
      <c r="B217">
        <v>0</v>
      </c>
      <c r="C217">
        <v>0</v>
      </c>
      <c r="D217">
        <v>0</v>
      </c>
      <c r="E217">
        <v>99</v>
      </c>
      <c r="F217">
        <v>0</v>
      </c>
      <c r="G217">
        <v>0</v>
      </c>
      <c r="H217">
        <v>0</v>
      </c>
      <c r="I217" t="s">
        <v>45</v>
      </c>
    </row>
    <row r="218" spans="1:9">
      <c r="A218" t="s">
        <v>225</v>
      </c>
      <c r="B218">
        <v>0</v>
      </c>
      <c r="C218">
        <v>0</v>
      </c>
      <c r="D218">
        <v>0</v>
      </c>
      <c r="E218">
        <v>99</v>
      </c>
      <c r="F218">
        <v>0</v>
      </c>
      <c r="G218">
        <v>0</v>
      </c>
      <c r="H218">
        <v>0</v>
      </c>
      <c r="I218" t="s">
        <v>45</v>
      </c>
    </row>
    <row r="219" spans="1:9">
      <c r="A219" t="s">
        <v>226</v>
      </c>
      <c r="B219">
        <v>0</v>
      </c>
      <c r="C219">
        <v>0</v>
      </c>
      <c r="D219">
        <v>0</v>
      </c>
      <c r="E219">
        <v>99</v>
      </c>
      <c r="F219">
        <v>0</v>
      </c>
      <c r="G219">
        <v>0</v>
      </c>
      <c r="H219">
        <v>0</v>
      </c>
      <c r="I219" t="s">
        <v>45</v>
      </c>
    </row>
    <row r="220" spans="1:9">
      <c r="A220" t="s">
        <v>227</v>
      </c>
      <c r="B220">
        <v>0</v>
      </c>
      <c r="C220">
        <v>0</v>
      </c>
      <c r="D220">
        <v>0</v>
      </c>
      <c r="E220">
        <v>99</v>
      </c>
      <c r="F220">
        <v>0</v>
      </c>
      <c r="G220">
        <v>0</v>
      </c>
      <c r="H220">
        <v>0</v>
      </c>
      <c r="I220" t="s">
        <v>45</v>
      </c>
    </row>
    <row r="221" spans="1:9">
      <c r="A221" t="s">
        <v>228</v>
      </c>
      <c r="B221">
        <v>0</v>
      </c>
      <c r="C221">
        <v>0</v>
      </c>
      <c r="D221">
        <v>0</v>
      </c>
      <c r="E221">
        <v>99</v>
      </c>
      <c r="F221">
        <v>0</v>
      </c>
      <c r="G221">
        <v>0</v>
      </c>
      <c r="H221">
        <v>0</v>
      </c>
      <c r="I221" t="s">
        <v>45</v>
      </c>
    </row>
    <row r="222" spans="1:9">
      <c r="A222" t="s">
        <v>229</v>
      </c>
      <c r="B222">
        <v>0</v>
      </c>
      <c r="C222">
        <v>0</v>
      </c>
      <c r="D222">
        <v>0</v>
      </c>
      <c r="E222">
        <v>99</v>
      </c>
      <c r="F222">
        <v>0</v>
      </c>
      <c r="G222">
        <v>0</v>
      </c>
      <c r="H222">
        <v>0</v>
      </c>
      <c r="I222" t="s">
        <v>45</v>
      </c>
    </row>
    <row r="223" spans="1:9">
      <c r="A223" t="s">
        <v>230</v>
      </c>
      <c r="B223">
        <v>0</v>
      </c>
      <c r="C223">
        <v>0</v>
      </c>
      <c r="D223">
        <v>0</v>
      </c>
      <c r="E223">
        <v>99</v>
      </c>
      <c r="F223">
        <v>0</v>
      </c>
      <c r="G223">
        <v>0</v>
      </c>
      <c r="H223">
        <v>0</v>
      </c>
      <c r="I223" t="s">
        <v>45</v>
      </c>
    </row>
    <row r="224" spans="1:9">
      <c r="A224" t="s">
        <v>231</v>
      </c>
      <c r="B224">
        <v>0</v>
      </c>
      <c r="C224">
        <v>0</v>
      </c>
      <c r="D224">
        <v>0</v>
      </c>
      <c r="E224">
        <v>99</v>
      </c>
      <c r="F224">
        <v>0</v>
      </c>
      <c r="G224">
        <v>0</v>
      </c>
      <c r="H224">
        <v>0</v>
      </c>
      <c r="I224" t="s">
        <v>45</v>
      </c>
    </row>
    <row r="225" spans="1:9">
      <c r="A225" t="s">
        <v>232</v>
      </c>
      <c r="B225">
        <v>0</v>
      </c>
      <c r="C225">
        <v>0</v>
      </c>
      <c r="D225">
        <v>2</v>
      </c>
      <c r="E225">
        <v>97</v>
      </c>
      <c r="F225">
        <v>0</v>
      </c>
      <c r="G225">
        <v>0</v>
      </c>
      <c r="H225">
        <v>2</v>
      </c>
      <c r="I225" t="s">
        <v>45</v>
      </c>
    </row>
    <row r="226" spans="1:9">
      <c r="A226" t="s">
        <v>233</v>
      </c>
      <c r="B226">
        <v>0</v>
      </c>
      <c r="C226">
        <v>0</v>
      </c>
      <c r="D226">
        <v>0</v>
      </c>
      <c r="E226">
        <v>99</v>
      </c>
      <c r="F226">
        <v>0</v>
      </c>
      <c r="G226">
        <v>0</v>
      </c>
      <c r="H226">
        <v>0</v>
      </c>
      <c r="I226" t="s">
        <v>45</v>
      </c>
    </row>
    <row r="227" spans="1:9">
      <c r="A227" t="s">
        <v>234</v>
      </c>
      <c r="B227">
        <v>0</v>
      </c>
      <c r="C227">
        <v>0</v>
      </c>
      <c r="D227">
        <v>0</v>
      </c>
      <c r="E227">
        <v>99</v>
      </c>
      <c r="F227">
        <v>0</v>
      </c>
      <c r="G227">
        <v>0</v>
      </c>
      <c r="H227">
        <v>0</v>
      </c>
      <c r="I227" t="s">
        <v>45</v>
      </c>
    </row>
    <row r="228" spans="1:9">
      <c r="A228" t="s">
        <v>235</v>
      </c>
      <c r="B228">
        <v>0</v>
      </c>
      <c r="C228">
        <v>0</v>
      </c>
      <c r="D228">
        <v>0</v>
      </c>
      <c r="E228">
        <v>100</v>
      </c>
      <c r="F228">
        <v>0</v>
      </c>
      <c r="G228">
        <v>0</v>
      </c>
      <c r="H228">
        <v>0</v>
      </c>
      <c r="I228" t="s">
        <v>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9F3DE-D6C4-4910-AF93-0FF76DFA079C}">
  <sheetPr codeName="Sheet10"/>
  <dimension ref="A1:EZ228"/>
  <sheetViews>
    <sheetView topLeftCell="A4" workbookViewId="0"/>
  </sheetViews>
  <sheetFormatPr defaultRowHeight="12.5"/>
  <cols>
    <col min="1" max="1" width="17.6328125" customWidth="1"/>
  </cols>
  <sheetData>
    <row r="1" spans="1:7">
      <c r="A1" t="s">
        <v>255</v>
      </c>
      <c r="B1">
        <v>24</v>
      </c>
      <c r="C1" t="s">
        <v>245</v>
      </c>
      <c r="D1" t="s">
        <v>83</v>
      </c>
      <c r="E1" t="s">
        <v>86</v>
      </c>
    </row>
    <row r="2" spans="1:7">
      <c r="A2" t="s">
        <v>79</v>
      </c>
      <c r="B2" t="s">
        <v>87</v>
      </c>
      <c r="C2">
        <v>1</v>
      </c>
    </row>
    <row r="3" spans="1:7">
      <c r="A3" t="s">
        <v>80</v>
      </c>
    </row>
    <row r="4" spans="1:7">
      <c r="A4" t="s">
        <v>256</v>
      </c>
    </row>
    <row r="5" spans="1:7">
      <c r="A5" t="s">
        <v>81</v>
      </c>
      <c r="B5" t="s">
        <v>237</v>
      </c>
      <c r="C5" t="s">
        <v>58</v>
      </c>
      <c r="D5" t="s">
        <v>257</v>
      </c>
    </row>
    <row r="6" spans="1:7">
      <c r="A6" t="s">
        <v>258</v>
      </c>
    </row>
    <row r="7" spans="1:7">
      <c r="A7" t="s">
        <v>82</v>
      </c>
      <c r="B7" t="s">
        <v>92</v>
      </c>
    </row>
    <row r="8" spans="1:7">
      <c r="A8" t="s">
        <v>93</v>
      </c>
      <c r="B8" t="s">
        <v>94</v>
      </c>
    </row>
    <row r="9" spans="1:7">
      <c r="A9" t="s">
        <v>95</v>
      </c>
      <c r="B9" t="s">
        <v>96</v>
      </c>
      <c r="C9" t="s">
        <v>97</v>
      </c>
    </row>
    <row r="10" spans="1:7">
      <c r="A10" t="s">
        <v>98</v>
      </c>
    </row>
    <row r="11" spans="1:7">
      <c r="A11" t="s">
        <v>99</v>
      </c>
    </row>
    <row r="12" spans="1:7">
      <c r="A12" t="s">
        <v>100</v>
      </c>
      <c r="B12" t="s">
        <v>101</v>
      </c>
      <c r="C12" t="s">
        <v>102</v>
      </c>
      <c r="D12" t="s">
        <v>103</v>
      </c>
      <c r="E12" t="s">
        <v>104</v>
      </c>
      <c r="F12" t="s">
        <v>105</v>
      </c>
      <c r="G12" t="s">
        <v>106</v>
      </c>
    </row>
    <row r="13" spans="1:7">
      <c r="A13">
        <v>2</v>
      </c>
      <c r="B13">
        <v>3738440</v>
      </c>
      <c r="C13">
        <v>0.01</v>
      </c>
      <c r="D13">
        <v>0</v>
      </c>
      <c r="E13">
        <v>0.49</v>
      </c>
      <c r="F13">
        <v>812</v>
      </c>
      <c r="G13">
        <v>3045</v>
      </c>
    </row>
    <row r="14" spans="1:7">
      <c r="A14">
        <v>4</v>
      </c>
      <c r="B14">
        <v>4722240</v>
      </c>
      <c r="C14">
        <v>0.02</v>
      </c>
      <c r="D14">
        <v>0</v>
      </c>
      <c r="E14">
        <v>0.71</v>
      </c>
      <c r="F14">
        <v>6508</v>
      </c>
      <c r="G14">
        <v>38030</v>
      </c>
    </row>
    <row r="15" spans="1:7">
      <c r="A15">
        <v>6</v>
      </c>
      <c r="B15">
        <v>6984980</v>
      </c>
      <c r="C15">
        <v>0.03</v>
      </c>
      <c r="D15">
        <v>0</v>
      </c>
      <c r="E15">
        <v>1.03</v>
      </c>
      <c r="F15">
        <v>15127</v>
      </c>
      <c r="G15">
        <v>91648</v>
      </c>
    </row>
    <row r="16" spans="1:7">
      <c r="A16">
        <v>8</v>
      </c>
      <c r="B16">
        <v>12494260</v>
      </c>
      <c r="C16">
        <v>0.05</v>
      </c>
      <c r="D16">
        <v>0</v>
      </c>
      <c r="E16">
        <v>1.62</v>
      </c>
      <c r="F16">
        <v>27918</v>
      </c>
      <c r="G16">
        <v>169914</v>
      </c>
    </row>
    <row r="17" spans="1:7">
      <c r="A17">
        <v>10</v>
      </c>
      <c r="B17">
        <v>19971140</v>
      </c>
      <c r="C17">
        <v>0.08</v>
      </c>
      <c r="D17">
        <v>0</v>
      </c>
      <c r="E17">
        <v>2.99</v>
      </c>
      <c r="F17">
        <v>47608</v>
      </c>
      <c r="G17">
        <v>287525</v>
      </c>
    </row>
    <row r="18" spans="1:7">
      <c r="A18">
        <v>12</v>
      </c>
      <c r="B18">
        <v>36695740</v>
      </c>
      <c r="C18">
        <v>0.15</v>
      </c>
      <c r="D18">
        <v>0</v>
      </c>
      <c r="E18">
        <v>5.14</v>
      </c>
      <c r="F18">
        <v>77452</v>
      </c>
      <c r="G18">
        <v>457633</v>
      </c>
    </row>
    <row r="19" spans="1:7">
      <c r="A19">
        <v>14</v>
      </c>
      <c r="B19">
        <v>60602080</v>
      </c>
      <c r="C19">
        <v>0.24</v>
      </c>
      <c r="D19">
        <v>0</v>
      </c>
      <c r="E19">
        <v>8.2200000000000006</v>
      </c>
      <c r="F19">
        <v>120329</v>
      </c>
      <c r="G19">
        <v>707045</v>
      </c>
    </row>
    <row r="20" spans="1:7">
      <c r="A20">
        <v>16</v>
      </c>
      <c r="B20">
        <v>93165860</v>
      </c>
      <c r="C20">
        <v>0.37</v>
      </c>
      <c r="D20">
        <v>0</v>
      </c>
      <c r="E20">
        <v>12.43</v>
      </c>
      <c r="F20">
        <v>177815</v>
      </c>
      <c r="G20">
        <v>1071723</v>
      </c>
    </row>
    <row r="21" spans="1:7">
      <c r="A21">
        <v>18</v>
      </c>
      <c r="B21">
        <v>135961160</v>
      </c>
      <c r="C21">
        <v>0.54</v>
      </c>
      <c r="D21">
        <v>0</v>
      </c>
      <c r="E21">
        <v>18.16</v>
      </c>
      <c r="F21">
        <v>259151</v>
      </c>
      <c r="G21">
        <v>1612423</v>
      </c>
    </row>
    <row r="22" spans="1:7">
      <c r="A22">
        <v>20</v>
      </c>
      <c r="B22">
        <v>197153520</v>
      </c>
      <c r="C22">
        <v>0.79</v>
      </c>
      <c r="D22">
        <v>0</v>
      </c>
      <c r="E22">
        <v>26.5</v>
      </c>
      <c r="F22">
        <v>378095</v>
      </c>
      <c r="G22">
        <v>2390572</v>
      </c>
    </row>
    <row r="23" spans="1:7">
      <c r="A23">
        <v>22</v>
      </c>
      <c r="B23">
        <v>287859880</v>
      </c>
      <c r="C23">
        <v>1.1499999999999999</v>
      </c>
      <c r="D23">
        <v>0</v>
      </c>
      <c r="E23">
        <v>38.69</v>
      </c>
      <c r="F23">
        <v>548658</v>
      </c>
      <c r="G23">
        <v>3471169</v>
      </c>
    </row>
    <row r="24" spans="1:7">
      <c r="A24">
        <v>24</v>
      </c>
      <c r="B24">
        <v>384075520</v>
      </c>
      <c r="C24">
        <v>1.54</v>
      </c>
      <c r="D24">
        <v>0</v>
      </c>
      <c r="E24">
        <v>56.52</v>
      </c>
      <c r="F24">
        <v>692532</v>
      </c>
      <c r="G24">
        <v>4892890</v>
      </c>
    </row>
    <row r="25" spans="1:7">
      <c r="A25">
        <v>26</v>
      </c>
      <c r="B25">
        <v>564209300</v>
      </c>
      <c r="C25">
        <v>2.2599999999999998</v>
      </c>
      <c r="D25">
        <v>0</v>
      </c>
      <c r="E25">
        <v>82.55</v>
      </c>
      <c r="F25">
        <v>818334</v>
      </c>
      <c r="G25">
        <v>6461034</v>
      </c>
    </row>
    <row r="26" spans="1:7">
      <c r="A26">
        <v>28</v>
      </c>
      <c r="B26">
        <v>888174640</v>
      </c>
      <c r="C26">
        <v>3.55</v>
      </c>
      <c r="D26">
        <v>0</v>
      </c>
      <c r="E26">
        <v>120.63</v>
      </c>
      <c r="F26">
        <v>952433</v>
      </c>
      <c r="G26">
        <v>8008241</v>
      </c>
    </row>
    <row r="27" spans="1:7">
      <c r="A27">
        <v>30</v>
      </c>
      <c r="B27">
        <v>1311602160</v>
      </c>
      <c r="C27">
        <v>5.25</v>
      </c>
      <c r="D27">
        <v>0</v>
      </c>
      <c r="E27">
        <v>175.87</v>
      </c>
      <c r="F27">
        <v>1095135</v>
      </c>
      <c r="G27">
        <v>9617620</v>
      </c>
    </row>
    <row r="28" spans="1:7">
      <c r="A28">
        <v>32</v>
      </c>
      <c r="B28">
        <v>1940742260</v>
      </c>
      <c r="C28">
        <v>7.76</v>
      </c>
      <c r="D28">
        <v>0</v>
      </c>
      <c r="E28">
        <v>255.59</v>
      </c>
      <c r="F28">
        <v>1248510</v>
      </c>
      <c r="G28">
        <v>11338285</v>
      </c>
    </row>
    <row r="29" spans="1:7">
      <c r="A29">
        <v>34</v>
      </c>
      <c r="B29">
        <v>2588279420</v>
      </c>
      <c r="C29">
        <v>10.35</v>
      </c>
      <c r="D29">
        <v>0</v>
      </c>
      <c r="E29">
        <v>365.2</v>
      </c>
      <c r="F29">
        <v>1428884</v>
      </c>
      <c r="G29">
        <v>13218730</v>
      </c>
    </row>
    <row r="30" spans="1:7">
      <c r="A30">
        <v>36</v>
      </c>
      <c r="B30">
        <v>3412408680</v>
      </c>
      <c r="C30">
        <v>13.65</v>
      </c>
      <c r="D30">
        <v>0</v>
      </c>
      <c r="E30">
        <v>506.16</v>
      </c>
      <c r="F30">
        <v>1650648</v>
      </c>
      <c r="G30">
        <v>15312230</v>
      </c>
    </row>
    <row r="31" spans="1:7">
      <c r="A31">
        <v>38</v>
      </c>
      <c r="B31">
        <v>5004000320</v>
      </c>
      <c r="C31">
        <v>20.02</v>
      </c>
      <c r="D31">
        <v>0</v>
      </c>
      <c r="E31">
        <v>668.36</v>
      </c>
      <c r="F31">
        <v>1913027</v>
      </c>
      <c r="G31">
        <v>17670240</v>
      </c>
    </row>
    <row r="32" spans="1:7">
      <c r="A32">
        <v>40</v>
      </c>
      <c r="B32">
        <v>5456056420</v>
      </c>
      <c r="C32">
        <v>21.82</v>
      </c>
      <c r="D32">
        <v>0</v>
      </c>
      <c r="E32">
        <v>887.08</v>
      </c>
      <c r="F32">
        <v>2209335</v>
      </c>
      <c r="G32">
        <v>20262789</v>
      </c>
    </row>
    <row r="33" spans="1:7">
      <c r="A33">
        <v>42</v>
      </c>
      <c r="B33">
        <v>7175443680</v>
      </c>
      <c r="C33">
        <v>28.7</v>
      </c>
      <c r="D33">
        <v>0</v>
      </c>
      <c r="E33">
        <v>999.89</v>
      </c>
      <c r="F33">
        <v>2515262</v>
      </c>
      <c r="G33">
        <v>22880847</v>
      </c>
    </row>
    <row r="34" spans="1:7">
      <c r="A34">
        <v>44</v>
      </c>
      <c r="B34">
        <v>4887026500</v>
      </c>
      <c r="C34">
        <v>19.55</v>
      </c>
      <c r="D34">
        <v>36</v>
      </c>
      <c r="E34">
        <v>732.34</v>
      </c>
      <c r="F34">
        <v>2810933</v>
      </c>
      <c r="G34">
        <v>24836436</v>
      </c>
    </row>
    <row r="35" spans="1:7">
      <c r="A35">
        <v>46</v>
      </c>
      <c r="B35">
        <v>6297598940</v>
      </c>
      <c r="C35">
        <v>25.19</v>
      </c>
      <c r="D35">
        <v>0</v>
      </c>
      <c r="E35">
        <v>770.4</v>
      </c>
      <c r="F35">
        <v>3174179</v>
      </c>
      <c r="G35">
        <v>27197886</v>
      </c>
    </row>
    <row r="36" spans="1:7">
      <c r="A36">
        <v>48</v>
      </c>
      <c r="B36">
        <v>5757591120</v>
      </c>
      <c r="C36">
        <v>23.03</v>
      </c>
      <c r="D36">
        <v>0</v>
      </c>
      <c r="E36">
        <v>804.66</v>
      </c>
      <c r="F36">
        <v>3548445</v>
      </c>
      <c r="G36">
        <v>29656132</v>
      </c>
    </row>
    <row r="37" spans="1:7">
      <c r="A37">
        <v>50</v>
      </c>
      <c r="B37">
        <v>6582704180</v>
      </c>
      <c r="C37">
        <v>26.33</v>
      </c>
      <c r="D37">
        <v>0</v>
      </c>
      <c r="E37">
        <v>834.04</v>
      </c>
      <c r="F37">
        <v>3927158</v>
      </c>
      <c r="G37">
        <v>32210558</v>
      </c>
    </row>
    <row r="38" spans="1:7">
      <c r="A38">
        <v>52</v>
      </c>
      <c r="B38">
        <v>5986029480</v>
      </c>
      <c r="C38">
        <v>23.94</v>
      </c>
      <c r="D38">
        <v>0</v>
      </c>
      <c r="E38">
        <v>862.18</v>
      </c>
      <c r="F38">
        <v>4295059</v>
      </c>
      <c r="G38">
        <v>34788882</v>
      </c>
    </row>
    <row r="39" spans="1:7">
      <c r="A39">
        <v>54</v>
      </c>
      <c r="B39">
        <v>6947202080</v>
      </c>
      <c r="C39">
        <v>27.79</v>
      </c>
      <c r="D39">
        <v>0</v>
      </c>
      <c r="E39">
        <v>887.71</v>
      </c>
      <c r="F39">
        <v>4665736</v>
      </c>
      <c r="G39">
        <v>37383278</v>
      </c>
    </row>
    <row r="40" spans="1:7">
      <c r="A40">
        <v>56</v>
      </c>
      <c r="B40">
        <v>6226765340</v>
      </c>
      <c r="C40">
        <v>24.91</v>
      </c>
      <c r="D40">
        <v>0</v>
      </c>
      <c r="E40">
        <v>909.75</v>
      </c>
      <c r="F40">
        <v>5030545</v>
      </c>
      <c r="G40">
        <v>39979410</v>
      </c>
    </row>
    <row r="41" spans="1:7">
      <c r="A41">
        <v>58</v>
      </c>
      <c r="B41">
        <v>7137764140</v>
      </c>
      <c r="C41">
        <v>28.55</v>
      </c>
      <c r="D41">
        <v>0</v>
      </c>
      <c r="E41">
        <v>929.13</v>
      </c>
      <c r="F41">
        <v>5396545</v>
      </c>
      <c r="G41">
        <v>42579287</v>
      </c>
    </row>
    <row r="42" spans="1:7">
      <c r="A42">
        <v>60</v>
      </c>
      <c r="B42">
        <v>7071751160</v>
      </c>
      <c r="C42">
        <v>28.29</v>
      </c>
      <c r="D42">
        <v>0</v>
      </c>
      <c r="E42">
        <v>945.8</v>
      </c>
      <c r="F42">
        <v>5757804</v>
      </c>
      <c r="G42">
        <v>45182678</v>
      </c>
    </row>
    <row r="43" spans="1:7">
      <c r="A43">
        <v>62</v>
      </c>
      <c r="B43">
        <v>6571587240</v>
      </c>
      <c r="C43">
        <v>26.29</v>
      </c>
      <c r="D43">
        <v>0</v>
      </c>
      <c r="E43">
        <v>959.91</v>
      </c>
      <c r="F43">
        <v>6120075</v>
      </c>
      <c r="G43">
        <v>47790836</v>
      </c>
    </row>
    <row r="44" spans="1:7">
      <c r="A44">
        <v>64</v>
      </c>
      <c r="B44">
        <v>6000294580</v>
      </c>
      <c r="C44">
        <v>24</v>
      </c>
      <c r="D44">
        <v>218</v>
      </c>
      <c r="E44">
        <v>678.64</v>
      </c>
      <c r="F44">
        <v>6449395</v>
      </c>
      <c r="G44">
        <v>49979111</v>
      </c>
    </row>
    <row r="45" spans="1:7">
      <c r="A45">
        <v>66</v>
      </c>
      <c r="B45">
        <v>5551681780</v>
      </c>
      <c r="C45">
        <v>22.21</v>
      </c>
      <c r="D45">
        <v>0</v>
      </c>
      <c r="E45">
        <v>700.64</v>
      </c>
      <c r="F45">
        <v>6755032</v>
      </c>
      <c r="G45">
        <v>52033912</v>
      </c>
    </row>
    <row r="46" spans="1:7">
      <c r="A46">
        <v>68</v>
      </c>
      <c r="B46">
        <v>5341542100</v>
      </c>
      <c r="C46">
        <v>21.37</v>
      </c>
      <c r="D46">
        <v>0</v>
      </c>
      <c r="E46">
        <v>722.18</v>
      </c>
      <c r="F46">
        <v>7104004</v>
      </c>
      <c r="G46">
        <v>54209113</v>
      </c>
    </row>
    <row r="47" spans="1:7">
      <c r="A47">
        <v>70</v>
      </c>
      <c r="B47">
        <v>5785727800</v>
      </c>
      <c r="C47">
        <v>23.14</v>
      </c>
      <c r="D47">
        <v>0</v>
      </c>
      <c r="E47">
        <v>740.93</v>
      </c>
      <c r="F47">
        <v>7452129</v>
      </c>
      <c r="G47">
        <v>56419272</v>
      </c>
    </row>
    <row r="48" spans="1:7">
      <c r="A48">
        <v>72</v>
      </c>
      <c r="B48">
        <v>5384927680</v>
      </c>
      <c r="C48">
        <v>21.54</v>
      </c>
      <c r="D48">
        <v>0</v>
      </c>
      <c r="E48">
        <v>757.21</v>
      </c>
      <c r="F48">
        <v>7798485</v>
      </c>
      <c r="G48">
        <v>58684913</v>
      </c>
    </row>
    <row r="49" spans="1:7">
      <c r="A49">
        <v>74</v>
      </c>
      <c r="B49">
        <v>6033940540</v>
      </c>
      <c r="C49">
        <v>24.14</v>
      </c>
      <c r="D49">
        <v>0</v>
      </c>
      <c r="E49">
        <v>771.16</v>
      </c>
      <c r="F49">
        <v>8144482</v>
      </c>
      <c r="G49">
        <v>61003670</v>
      </c>
    </row>
    <row r="50" spans="1:7">
      <c r="A50">
        <v>76</v>
      </c>
      <c r="B50">
        <v>6384960380</v>
      </c>
      <c r="C50">
        <v>25.54</v>
      </c>
      <c r="D50">
        <v>0</v>
      </c>
      <c r="E50">
        <v>783.03</v>
      </c>
      <c r="F50">
        <v>8497750</v>
      </c>
      <c r="G50">
        <v>63371406</v>
      </c>
    </row>
    <row r="51" spans="1:7">
      <c r="A51">
        <v>78</v>
      </c>
      <c r="B51">
        <v>5786613220</v>
      </c>
      <c r="C51">
        <v>23.15</v>
      </c>
      <c r="D51">
        <v>0</v>
      </c>
      <c r="E51">
        <v>793.02</v>
      </c>
      <c r="F51">
        <v>8850585</v>
      </c>
      <c r="G51">
        <v>65756838</v>
      </c>
    </row>
    <row r="52" spans="1:7">
      <c r="A52">
        <v>80</v>
      </c>
      <c r="B52">
        <v>6275955340</v>
      </c>
      <c r="C52">
        <v>25.1</v>
      </c>
      <c r="D52">
        <v>0</v>
      </c>
      <c r="E52">
        <v>801.21</v>
      </c>
      <c r="F52">
        <v>9204068</v>
      </c>
      <c r="G52">
        <v>68169528</v>
      </c>
    </row>
    <row r="53" spans="1:7">
      <c r="A53">
        <v>82</v>
      </c>
      <c r="B53">
        <v>6430411940</v>
      </c>
      <c r="C53">
        <v>25.72</v>
      </c>
      <c r="D53">
        <v>0</v>
      </c>
      <c r="E53">
        <v>807.81</v>
      </c>
      <c r="F53">
        <v>9562140</v>
      </c>
      <c r="G53">
        <v>70609623</v>
      </c>
    </row>
    <row r="54" spans="1:7">
      <c r="A54">
        <v>84</v>
      </c>
      <c r="B54">
        <v>6451957160</v>
      </c>
      <c r="C54">
        <v>25.81</v>
      </c>
      <c r="D54">
        <v>0</v>
      </c>
      <c r="E54">
        <v>812.98</v>
      </c>
      <c r="F54">
        <v>9923027</v>
      </c>
      <c r="G54">
        <v>73063669</v>
      </c>
    </row>
    <row r="55" spans="1:7">
      <c r="A55">
        <v>86</v>
      </c>
      <c r="B55">
        <v>5622712140</v>
      </c>
      <c r="C55">
        <v>22.49</v>
      </c>
      <c r="D55">
        <v>0</v>
      </c>
      <c r="E55">
        <v>816.9</v>
      </c>
      <c r="F55">
        <v>10283928</v>
      </c>
      <c r="G55">
        <v>75521089</v>
      </c>
    </row>
    <row r="56" spans="1:7">
      <c r="A56">
        <v>88</v>
      </c>
      <c r="B56">
        <v>6355643140</v>
      </c>
      <c r="C56">
        <v>25.42</v>
      </c>
      <c r="D56">
        <v>0</v>
      </c>
      <c r="E56">
        <v>819.76</v>
      </c>
      <c r="F56">
        <v>10652160</v>
      </c>
      <c r="G56">
        <v>77985131</v>
      </c>
    </row>
    <row r="57" spans="1:7">
      <c r="A57">
        <v>90</v>
      </c>
      <c r="B57">
        <v>6356823700</v>
      </c>
      <c r="C57">
        <v>25.43</v>
      </c>
      <c r="D57">
        <v>0</v>
      </c>
      <c r="E57">
        <v>821.72</v>
      </c>
      <c r="F57">
        <v>11026933</v>
      </c>
      <c r="G57">
        <v>80464860</v>
      </c>
    </row>
    <row r="58" spans="1:7">
      <c r="A58">
        <v>92</v>
      </c>
      <c r="B58">
        <v>6191545300</v>
      </c>
      <c r="C58">
        <v>24.77</v>
      </c>
      <c r="D58">
        <v>0</v>
      </c>
      <c r="E58">
        <v>822.94</v>
      </c>
      <c r="F58">
        <v>11400131</v>
      </c>
      <c r="G58">
        <v>82947123</v>
      </c>
    </row>
    <row r="59" spans="1:7">
      <c r="A59">
        <v>94</v>
      </c>
      <c r="B59">
        <v>7051681640</v>
      </c>
      <c r="C59">
        <v>28.21</v>
      </c>
      <c r="D59">
        <v>0</v>
      </c>
      <c r="E59">
        <v>823.61</v>
      </c>
      <c r="F59">
        <v>11772726</v>
      </c>
      <c r="G59">
        <v>85433026</v>
      </c>
    </row>
    <row r="60" spans="1:7">
      <c r="A60">
        <v>96</v>
      </c>
      <c r="B60">
        <v>6020560860</v>
      </c>
      <c r="C60">
        <v>24.08</v>
      </c>
      <c r="D60">
        <v>0</v>
      </c>
      <c r="E60">
        <v>823.88</v>
      </c>
      <c r="F60">
        <v>12146456</v>
      </c>
      <c r="G60">
        <v>87911761</v>
      </c>
    </row>
    <row r="61" spans="1:7">
      <c r="A61">
        <v>98</v>
      </c>
      <c r="B61">
        <v>6446546260</v>
      </c>
      <c r="C61">
        <v>25.79</v>
      </c>
      <c r="D61">
        <v>0</v>
      </c>
      <c r="E61">
        <v>823.93</v>
      </c>
      <c r="F61">
        <v>12524389</v>
      </c>
      <c r="G61">
        <v>90398882</v>
      </c>
    </row>
    <row r="62" spans="1:7">
      <c r="A62">
        <v>100</v>
      </c>
      <c r="B62">
        <v>6105266040</v>
      </c>
      <c r="C62">
        <v>24.42</v>
      </c>
      <c r="D62">
        <v>0</v>
      </c>
      <c r="E62">
        <v>823.95</v>
      </c>
      <c r="F62">
        <v>12898252</v>
      </c>
      <c r="G62">
        <v>92886136</v>
      </c>
    </row>
    <row r="63" spans="1:7">
      <c r="A63">
        <v>102</v>
      </c>
      <c r="B63">
        <v>6582704180</v>
      </c>
      <c r="C63">
        <v>26.33</v>
      </c>
      <c r="D63">
        <v>0</v>
      </c>
      <c r="E63">
        <v>824.08</v>
      </c>
      <c r="F63">
        <v>13271715</v>
      </c>
      <c r="G63">
        <v>95376589</v>
      </c>
    </row>
    <row r="64" spans="1:7">
      <c r="A64">
        <v>104</v>
      </c>
      <c r="B64">
        <v>6629139540</v>
      </c>
      <c r="C64">
        <v>26.52</v>
      </c>
      <c r="D64">
        <v>0</v>
      </c>
      <c r="E64">
        <v>824.52</v>
      </c>
      <c r="F64">
        <v>13640536</v>
      </c>
      <c r="G64">
        <v>97865852</v>
      </c>
    </row>
    <row r="65" spans="1:7">
      <c r="A65">
        <v>106</v>
      </c>
      <c r="B65">
        <v>6008263360</v>
      </c>
      <c r="C65">
        <v>24.03</v>
      </c>
      <c r="D65">
        <v>0</v>
      </c>
      <c r="E65">
        <v>825.44</v>
      </c>
      <c r="F65">
        <v>14007953</v>
      </c>
      <c r="G65">
        <v>100361667</v>
      </c>
    </row>
    <row r="66" spans="1:7">
      <c r="A66">
        <v>108</v>
      </c>
      <c r="B66">
        <v>6370498520</v>
      </c>
      <c r="C66">
        <v>25.48</v>
      </c>
      <c r="D66">
        <v>0</v>
      </c>
      <c r="E66">
        <v>826.99</v>
      </c>
      <c r="F66">
        <v>14377520</v>
      </c>
      <c r="G66">
        <v>102862354</v>
      </c>
    </row>
    <row r="67" spans="1:7">
      <c r="A67">
        <v>110</v>
      </c>
      <c r="B67">
        <v>6442807820</v>
      </c>
      <c r="C67">
        <v>25.77</v>
      </c>
      <c r="D67">
        <v>0</v>
      </c>
      <c r="E67">
        <v>829.37</v>
      </c>
      <c r="F67">
        <v>14747081</v>
      </c>
      <c r="G67">
        <v>105371812</v>
      </c>
    </row>
    <row r="68" spans="1:7">
      <c r="A68">
        <v>112</v>
      </c>
      <c r="B68">
        <v>6202170340</v>
      </c>
      <c r="C68">
        <v>24.81</v>
      </c>
      <c r="D68">
        <v>0</v>
      </c>
      <c r="E68">
        <v>832.74</v>
      </c>
      <c r="F68">
        <v>15115653</v>
      </c>
      <c r="G68">
        <v>107892358</v>
      </c>
    </row>
    <row r="69" spans="1:7">
      <c r="A69">
        <v>114</v>
      </c>
      <c r="B69">
        <v>6939036540</v>
      </c>
      <c r="C69">
        <v>27.76</v>
      </c>
      <c r="D69">
        <v>0</v>
      </c>
      <c r="E69">
        <v>837.14</v>
      </c>
      <c r="F69">
        <v>15485867</v>
      </c>
      <c r="G69">
        <v>110427016</v>
      </c>
    </row>
    <row r="70" spans="1:7">
      <c r="A70">
        <v>116</v>
      </c>
      <c r="B70">
        <v>6596182240</v>
      </c>
      <c r="C70">
        <v>26.38</v>
      </c>
      <c r="D70">
        <v>0</v>
      </c>
      <c r="E70">
        <v>843.11</v>
      </c>
      <c r="F70">
        <v>15861117</v>
      </c>
      <c r="G70">
        <v>112976325</v>
      </c>
    </row>
    <row r="71" spans="1:7">
      <c r="A71">
        <v>118</v>
      </c>
      <c r="B71">
        <v>5654784020</v>
      </c>
      <c r="C71">
        <v>22.62</v>
      </c>
      <c r="D71">
        <v>0</v>
      </c>
      <c r="E71">
        <v>850.1</v>
      </c>
      <c r="F71">
        <v>16239637</v>
      </c>
      <c r="G71">
        <v>115540362</v>
      </c>
    </row>
    <row r="72" spans="1:7">
      <c r="A72">
        <v>120</v>
      </c>
      <c r="B72">
        <v>6829834740</v>
      </c>
      <c r="C72">
        <v>27.32</v>
      </c>
      <c r="D72">
        <v>0</v>
      </c>
      <c r="E72">
        <v>859.49</v>
      </c>
      <c r="F72">
        <v>16613994</v>
      </c>
      <c r="G72">
        <v>118119064</v>
      </c>
    </row>
    <row r="73" spans="1:7">
      <c r="A73">
        <v>122</v>
      </c>
      <c r="B73">
        <v>6934117540</v>
      </c>
      <c r="C73">
        <v>27.74</v>
      </c>
      <c r="D73">
        <v>0</v>
      </c>
      <c r="E73">
        <v>870.32</v>
      </c>
      <c r="F73">
        <v>16986609</v>
      </c>
      <c r="G73">
        <v>120704465</v>
      </c>
    </row>
    <row r="74" spans="1:7">
      <c r="A74">
        <v>124</v>
      </c>
      <c r="B74">
        <v>6556239960</v>
      </c>
      <c r="C74">
        <v>26.23</v>
      </c>
      <c r="D74">
        <v>0</v>
      </c>
      <c r="E74">
        <v>882.49</v>
      </c>
      <c r="F74">
        <v>17354769</v>
      </c>
      <c r="G74">
        <v>123293702</v>
      </c>
    </row>
    <row r="75" spans="1:7">
      <c r="A75">
        <v>126</v>
      </c>
      <c r="B75">
        <v>6341771560</v>
      </c>
      <c r="C75">
        <v>25.37</v>
      </c>
      <c r="D75">
        <v>0</v>
      </c>
      <c r="E75">
        <v>898.32</v>
      </c>
      <c r="F75">
        <v>17717413</v>
      </c>
      <c r="G75">
        <v>125887307</v>
      </c>
    </row>
    <row r="76" spans="1:7">
      <c r="A76">
        <v>128</v>
      </c>
      <c r="B76">
        <v>6802288340</v>
      </c>
      <c r="C76">
        <v>27.21</v>
      </c>
      <c r="D76">
        <v>0</v>
      </c>
      <c r="E76">
        <v>915.43</v>
      </c>
      <c r="F76">
        <v>18070028</v>
      </c>
      <c r="G76">
        <v>128496095</v>
      </c>
    </row>
    <row r="77" spans="1:7">
      <c r="A77">
        <v>130</v>
      </c>
      <c r="B77">
        <v>6783005860</v>
      </c>
      <c r="C77">
        <v>27.13</v>
      </c>
      <c r="D77">
        <v>0</v>
      </c>
      <c r="E77">
        <v>935.63</v>
      </c>
      <c r="F77">
        <v>18427487</v>
      </c>
      <c r="G77">
        <v>131103980</v>
      </c>
    </row>
    <row r="78" spans="1:7">
      <c r="A78">
        <v>132</v>
      </c>
      <c r="B78">
        <v>4817668600</v>
      </c>
      <c r="C78">
        <v>19.27</v>
      </c>
      <c r="D78">
        <v>482</v>
      </c>
      <c r="E78">
        <v>673.22</v>
      </c>
      <c r="F78">
        <v>18699358</v>
      </c>
      <c r="G78">
        <v>132843346</v>
      </c>
    </row>
    <row r="79" spans="1:7">
      <c r="A79">
        <v>134</v>
      </c>
      <c r="B79">
        <v>5252016300</v>
      </c>
      <c r="C79">
        <v>21.01</v>
      </c>
      <c r="D79">
        <v>0</v>
      </c>
      <c r="E79">
        <v>710.01</v>
      </c>
      <c r="F79">
        <v>19047256</v>
      </c>
      <c r="G79">
        <v>134997991</v>
      </c>
    </row>
    <row r="80" spans="1:7">
      <c r="A80">
        <v>136</v>
      </c>
      <c r="B80">
        <v>5367022520</v>
      </c>
      <c r="C80">
        <v>21.47</v>
      </c>
      <c r="D80">
        <v>0</v>
      </c>
      <c r="E80">
        <v>742.63</v>
      </c>
      <c r="F80">
        <v>19395981</v>
      </c>
      <c r="G80">
        <v>137252240</v>
      </c>
    </row>
    <row r="81" spans="1:7">
      <c r="A81">
        <v>138</v>
      </c>
      <c r="B81">
        <v>6025479860</v>
      </c>
      <c r="C81">
        <v>24.1</v>
      </c>
      <c r="D81">
        <v>0</v>
      </c>
      <c r="E81">
        <v>772.33</v>
      </c>
      <c r="F81">
        <v>19747782</v>
      </c>
      <c r="G81">
        <v>139591787</v>
      </c>
    </row>
    <row r="82" spans="1:7">
      <c r="A82">
        <v>140</v>
      </c>
      <c r="B82">
        <v>6084212720</v>
      </c>
      <c r="C82">
        <v>24.34</v>
      </c>
      <c r="D82">
        <v>0</v>
      </c>
      <c r="E82">
        <v>798.53</v>
      </c>
      <c r="F82">
        <v>20107666</v>
      </c>
      <c r="G82">
        <v>142020493</v>
      </c>
    </row>
    <row r="83" spans="1:7">
      <c r="A83">
        <v>142</v>
      </c>
      <c r="B83">
        <v>6227454000</v>
      </c>
      <c r="C83">
        <v>24.91</v>
      </c>
      <c r="D83">
        <v>0</v>
      </c>
      <c r="E83">
        <v>822.07</v>
      </c>
      <c r="F83">
        <v>20479532</v>
      </c>
      <c r="G83">
        <v>144532562</v>
      </c>
    </row>
    <row r="84" spans="1:7">
      <c r="A84">
        <v>144</v>
      </c>
      <c r="B84">
        <v>6655407000</v>
      </c>
      <c r="C84">
        <v>26.62</v>
      </c>
      <c r="D84">
        <v>0</v>
      </c>
      <c r="E84">
        <v>842.82</v>
      </c>
      <c r="F84">
        <v>20853001</v>
      </c>
      <c r="G84">
        <v>147087947</v>
      </c>
    </row>
    <row r="85" spans="1:7">
      <c r="A85">
        <v>146</v>
      </c>
      <c r="B85">
        <v>6434150380</v>
      </c>
      <c r="C85">
        <v>25.74</v>
      </c>
      <c r="D85">
        <v>0</v>
      </c>
      <c r="E85">
        <v>860.97</v>
      </c>
      <c r="F85">
        <v>21223328</v>
      </c>
      <c r="G85">
        <v>149664423</v>
      </c>
    </row>
    <row r="86" spans="1:7">
      <c r="A86">
        <v>148</v>
      </c>
      <c r="B86">
        <v>6564700640</v>
      </c>
      <c r="C86">
        <v>26.26</v>
      </c>
      <c r="D86">
        <v>0</v>
      </c>
      <c r="E86">
        <v>876.76</v>
      </c>
      <c r="F86">
        <v>21595059</v>
      </c>
      <c r="G86">
        <v>152255270</v>
      </c>
    </row>
    <row r="87" spans="1:7">
      <c r="A87">
        <v>150</v>
      </c>
      <c r="B87">
        <v>6215746780</v>
      </c>
      <c r="C87">
        <v>24.86</v>
      </c>
      <c r="D87">
        <v>0</v>
      </c>
      <c r="E87">
        <v>888.21</v>
      </c>
      <c r="F87">
        <v>21956373</v>
      </c>
      <c r="G87">
        <v>154849932</v>
      </c>
    </row>
    <row r="88" spans="1:7">
      <c r="A88">
        <v>152</v>
      </c>
      <c r="B88">
        <v>6803272140</v>
      </c>
      <c r="C88">
        <v>27.21</v>
      </c>
      <c r="D88">
        <v>0</v>
      </c>
      <c r="E88">
        <v>901.49</v>
      </c>
      <c r="F88">
        <v>22315230</v>
      </c>
      <c r="G88">
        <v>157457761</v>
      </c>
    </row>
    <row r="89" spans="1:7">
      <c r="A89">
        <v>154</v>
      </c>
      <c r="B89">
        <v>7030726700</v>
      </c>
      <c r="C89">
        <v>28.12</v>
      </c>
      <c r="D89">
        <v>0</v>
      </c>
      <c r="E89">
        <v>911.12</v>
      </c>
      <c r="F89">
        <v>22675606</v>
      </c>
      <c r="G89">
        <v>160059395</v>
      </c>
    </row>
    <row r="90" spans="1:7">
      <c r="A90">
        <v>156</v>
      </c>
      <c r="B90">
        <v>6885616200</v>
      </c>
      <c r="C90">
        <v>27.54</v>
      </c>
      <c r="D90">
        <v>0</v>
      </c>
      <c r="E90">
        <v>918.93</v>
      </c>
      <c r="F90">
        <v>23035431</v>
      </c>
      <c r="G90">
        <v>162658509</v>
      </c>
    </row>
    <row r="91" spans="1:7">
      <c r="A91">
        <v>158</v>
      </c>
      <c r="B91">
        <v>6976224180</v>
      </c>
      <c r="C91">
        <v>27.91</v>
      </c>
      <c r="D91">
        <v>0</v>
      </c>
      <c r="E91">
        <v>925.2</v>
      </c>
      <c r="F91">
        <v>23396039</v>
      </c>
      <c r="G91">
        <v>165258372</v>
      </c>
    </row>
    <row r="92" spans="1:7">
      <c r="A92">
        <v>160</v>
      </c>
      <c r="B92">
        <v>6354954480</v>
      </c>
      <c r="C92">
        <v>25.42</v>
      </c>
      <c r="D92">
        <v>0</v>
      </c>
      <c r="E92">
        <v>930.06</v>
      </c>
      <c r="F92">
        <v>23754904</v>
      </c>
      <c r="G92">
        <v>167861637</v>
      </c>
    </row>
    <row r="93" spans="1:7">
      <c r="A93">
        <v>162</v>
      </c>
      <c r="B93">
        <v>6724666520</v>
      </c>
      <c r="C93">
        <v>26.9</v>
      </c>
      <c r="D93">
        <v>0</v>
      </c>
      <c r="E93">
        <v>933.72</v>
      </c>
      <c r="F93">
        <v>24111549</v>
      </c>
      <c r="G93">
        <v>170461991</v>
      </c>
    </row>
    <row r="94" spans="1:7">
      <c r="A94">
        <v>164</v>
      </c>
      <c r="B94">
        <v>7039777660</v>
      </c>
      <c r="C94">
        <v>28.16</v>
      </c>
      <c r="D94">
        <v>0</v>
      </c>
      <c r="E94">
        <v>936.36</v>
      </c>
      <c r="F94">
        <v>24468754</v>
      </c>
      <c r="G94">
        <v>173065913</v>
      </c>
    </row>
    <row r="95" spans="1:7">
      <c r="A95">
        <v>166</v>
      </c>
      <c r="B95">
        <v>4675411120</v>
      </c>
      <c r="C95">
        <v>18.7</v>
      </c>
      <c r="D95">
        <v>9196</v>
      </c>
      <c r="E95">
        <v>658.89</v>
      </c>
      <c r="F95">
        <v>24716419</v>
      </c>
      <c r="G95">
        <v>174767265</v>
      </c>
    </row>
    <row r="96" spans="1:7">
      <c r="A96">
        <v>168</v>
      </c>
      <c r="B96">
        <v>5300812780</v>
      </c>
      <c r="C96">
        <v>21.2</v>
      </c>
      <c r="D96">
        <v>0</v>
      </c>
      <c r="E96">
        <v>681.84</v>
      </c>
      <c r="F96">
        <v>25051932</v>
      </c>
      <c r="G96">
        <v>176799589</v>
      </c>
    </row>
    <row r="97" spans="1:7">
      <c r="A97">
        <v>170</v>
      </c>
      <c r="B97">
        <v>5421328280</v>
      </c>
      <c r="C97">
        <v>21.69</v>
      </c>
      <c r="D97">
        <v>0</v>
      </c>
      <c r="E97">
        <v>702.14</v>
      </c>
      <c r="F97">
        <v>25391920</v>
      </c>
      <c r="G97">
        <v>178913575</v>
      </c>
    </row>
    <row r="98" spans="1:7">
      <c r="A98">
        <v>172</v>
      </c>
      <c r="B98">
        <v>5452416360</v>
      </c>
      <c r="C98">
        <v>21.81</v>
      </c>
      <c r="D98">
        <v>0</v>
      </c>
      <c r="E98">
        <v>720.13</v>
      </c>
      <c r="F98">
        <v>25738487</v>
      </c>
      <c r="G98">
        <v>181087173</v>
      </c>
    </row>
    <row r="99" spans="1:7">
      <c r="A99">
        <v>174</v>
      </c>
      <c r="B99">
        <v>5790646800</v>
      </c>
      <c r="C99">
        <v>23.16</v>
      </c>
      <c r="D99">
        <v>0</v>
      </c>
      <c r="E99">
        <v>735.46</v>
      </c>
      <c r="F99">
        <v>26078752</v>
      </c>
      <c r="G99">
        <v>183316337</v>
      </c>
    </row>
    <row r="100" spans="1:7">
      <c r="A100">
        <v>176</v>
      </c>
      <c r="B100">
        <v>5587393720</v>
      </c>
      <c r="C100">
        <v>22.35</v>
      </c>
      <c r="D100">
        <v>0</v>
      </c>
      <c r="E100">
        <v>748.65</v>
      </c>
      <c r="F100">
        <v>26410437</v>
      </c>
      <c r="G100">
        <v>185579199</v>
      </c>
    </row>
    <row r="101" spans="1:7">
      <c r="A101">
        <v>178</v>
      </c>
      <c r="B101">
        <v>5812487160</v>
      </c>
      <c r="C101">
        <v>23.25</v>
      </c>
      <c r="D101">
        <v>0</v>
      </c>
      <c r="E101">
        <v>759.78</v>
      </c>
      <c r="F101">
        <v>26747189</v>
      </c>
      <c r="G101">
        <v>187875948</v>
      </c>
    </row>
    <row r="102" spans="1:7">
      <c r="A102">
        <v>180</v>
      </c>
      <c r="B102">
        <v>5997638320</v>
      </c>
      <c r="C102">
        <v>23.99</v>
      </c>
      <c r="D102">
        <v>0</v>
      </c>
      <c r="E102">
        <v>769.06</v>
      </c>
      <c r="F102">
        <v>27086498</v>
      </c>
      <c r="G102">
        <v>190204099</v>
      </c>
    </row>
    <row r="103" spans="1:7">
      <c r="A103">
        <v>182</v>
      </c>
      <c r="B103">
        <v>5810421180</v>
      </c>
      <c r="C103">
        <v>23.24</v>
      </c>
      <c r="D103">
        <v>0</v>
      </c>
      <c r="E103">
        <v>776.63</v>
      </c>
      <c r="F103">
        <v>27424728</v>
      </c>
      <c r="G103">
        <v>192567334</v>
      </c>
    </row>
    <row r="104" spans="1:7">
      <c r="A104">
        <v>184</v>
      </c>
      <c r="B104">
        <v>5809339000</v>
      </c>
      <c r="C104">
        <v>23.24</v>
      </c>
      <c r="D104">
        <v>0</v>
      </c>
      <c r="E104">
        <v>782.66</v>
      </c>
      <c r="F104">
        <v>27762270</v>
      </c>
      <c r="G104">
        <v>194932004</v>
      </c>
    </row>
    <row r="105" spans="1:7">
      <c r="A105">
        <v>186</v>
      </c>
      <c r="B105">
        <v>6577588420</v>
      </c>
      <c r="C105">
        <v>26.31</v>
      </c>
      <c r="D105">
        <v>0</v>
      </c>
      <c r="E105">
        <v>787.35</v>
      </c>
      <c r="F105">
        <v>28100675</v>
      </c>
      <c r="G105">
        <v>197309715</v>
      </c>
    </row>
    <row r="106" spans="1:7">
      <c r="A106">
        <v>188</v>
      </c>
      <c r="B106">
        <v>5460975420</v>
      </c>
      <c r="C106">
        <v>21.84</v>
      </c>
      <c r="D106">
        <v>0</v>
      </c>
      <c r="E106">
        <v>790.89</v>
      </c>
      <c r="F106">
        <v>28440759</v>
      </c>
      <c r="G106">
        <v>199688098</v>
      </c>
    </row>
    <row r="107" spans="1:7">
      <c r="A107">
        <v>190</v>
      </c>
      <c r="B107">
        <v>6409752140</v>
      </c>
      <c r="C107">
        <v>25.64</v>
      </c>
      <c r="D107">
        <v>0</v>
      </c>
      <c r="E107">
        <v>793.36</v>
      </c>
      <c r="F107">
        <v>28782316</v>
      </c>
      <c r="G107">
        <v>202076878</v>
      </c>
    </row>
    <row r="108" spans="1:7">
      <c r="A108">
        <v>192</v>
      </c>
      <c r="B108">
        <v>5703777260</v>
      </c>
      <c r="C108">
        <v>22.82</v>
      </c>
      <c r="D108">
        <v>0</v>
      </c>
      <c r="E108">
        <v>795.03</v>
      </c>
      <c r="F108">
        <v>29128647</v>
      </c>
      <c r="G108">
        <v>204460761</v>
      </c>
    </row>
    <row r="109" spans="1:7">
      <c r="A109">
        <v>194</v>
      </c>
      <c r="B109">
        <v>6260116160</v>
      </c>
      <c r="C109">
        <v>25.04</v>
      </c>
      <c r="D109">
        <v>0</v>
      </c>
      <c r="E109">
        <v>796.01</v>
      </c>
      <c r="F109">
        <v>29475998</v>
      </c>
      <c r="G109">
        <v>206860130</v>
      </c>
    </row>
    <row r="110" spans="1:7">
      <c r="A110">
        <v>196</v>
      </c>
      <c r="B110">
        <v>6269560640</v>
      </c>
      <c r="C110">
        <v>25.08</v>
      </c>
      <c r="D110">
        <v>0</v>
      </c>
      <c r="E110">
        <v>796.52</v>
      </c>
      <c r="F110">
        <v>29823877</v>
      </c>
      <c r="G110">
        <v>209258204</v>
      </c>
    </row>
    <row r="111" spans="1:7">
      <c r="A111">
        <v>198</v>
      </c>
      <c r="B111">
        <v>5873482760</v>
      </c>
      <c r="C111">
        <v>23.49</v>
      </c>
      <c r="D111">
        <v>0</v>
      </c>
      <c r="E111">
        <v>796.69</v>
      </c>
      <c r="F111">
        <v>30172516</v>
      </c>
      <c r="G111">
        <v>211660030</v>
      </c>
    </row>
    <row r="112" spans="1:7">
      <c r="A112">
        <v>200</v>
      </c>
      <c r="B112">
        <v>6560076780</v>
      </c>
      <c r="C112">
        <v>26.24</v>
      </c>
      <c r="D112">
        <v>0</v>
      </c>
      <c r="E112">
        <v>796.7</v>
      </c>
      <c r="F112">
        <v>30521285</v>
      </c>
      <c r="G112">
        <v>214060176</v>
      </c>
    </row>
    <row r="113" spans="1:7">
      <c r="A113">
        <v>202</v>
      </c>
      <c r="B113">
        <v>5815438560</v>
      </c>
      <c r="C113">
        <v>23.26</v>
      </c>
      <c r="D113">
        <v>0</v>
      </c>
      <c r="E113">
        <v>796.75</v>
      </c>
      <c r="F113">
        <v>30871039</v>
      </c>
      <c r="G113">
        <v>216466055</v>
      </c>
    </row>
    <row r="114" spans="1:7">
      <c r="A114">
        <v>204</v>
      </c>
      <c r="B114">
        <v>6377483500</v>
      </c>
      <c r="C114">
        <v>25.51</v>
      </c>
      <c r="D114">
        <v>0</v>
      </c>
      <c r="E114">
        <v>796.98</v>
      </c>
      <c r="F114">
        <v>31219094</v>
      </c>
      <c r="G114">
        <v>218878661</v>
      </c>
    </row>
    <row r="115" spans="1:7">
      <c r="A115">
        <v>206</v>
      </c>
      <c r="B115">
        <v>5687052660</v>
      </c>
      <c r="C115">
        <v>22.75</v>
      </c>
      <c r="D115">
        <v>0</v>
      </c>
      <c r="E115">
        <v>797.57</v>
      </c>
      <c r="F115">
        <v>31565101</v>
      </c>
      <c r="G115">
        <v>221303006</v>
      </c>
    </row>
    <row r="116" spans="1:7">
      <c r="A116">
        <v>208</v>
      </c>
      <c r="B116">
        <v>6032464840</v>
      </c>
      <c r="C116">
        <v>24.13</v>
      </c>
      <c r="D116">
        <v>0</v>
      </c>
      <c r="E116">
        <v>798.71</v>
      </c>
      <c r="F116">
        <v>31912954</v>
      </c>
      <c r="G116">
        <v>223719441</v>
      </c>
    </row>
    <row r="117" spans="1:7">
      <c r="A117">
        <v>210</v>
      </c>
      <c r="B117">
        <v>6707253260</v>
      </c>
      <c r="C117">
        <v>26.83</v>
      </c>
      <c r="D117">
        <v>0</v>
      </c>
      <c r="E117">
        <v>800.55</v>
      </c>
      <c r="F117">
        <v>32261658</v>
      </c>
      <c r="G117">
        <v>226146768</v>
      </c>
    </row>
    <row r="118" spans="1:7">
      <c r="A118">
        <v>212</v>
      </c>
      <c r="B118">
        <v>5677411420</v>
      </c>
      <c r="C118">
        <v>22.71</v>
      </c>
      <c r="D118">
        <v>0</v>
      </c>
      <c r="E118">
        <v>803.27</v>
      </c>
      <c r="F118">
        <v>32611640</v>
      </c>
      <c r="G118">
        <v>228561439</v>
      </c>
    </row>
    <row r="119" spans="1:7">
      <c r="A119">
        <v>214</v>
      </c>
      <c r="B119">
        <v>6156128500</v>
      </c>
      <c r="C119">
        <v>24.62</v>
      </c>
      <c r="D119">
        <v>0</v>
      </c>
      <c r="E119">
        <v>807.05</v>
      </c>
      <c r="F119">
        <v>32965767</v>
      </c>
      <c r="G119">
        <v>230998552</v>
      </c>
    </row>
    <row r="120" spans="1:7">
      <c r="A120">
        <v>216</v>
      </c>
      <c r="B120">
        <v>5932117240</v>
      </c>
      <c r="C120">
        <v>23.73</v>
      </c>
      <c r="D120">
        <v>0</v>
      </c>
      <c r="E120">
        <v>812.04</v>
      </c>
      <c r="F120">
        <v>33317201</v>
      </c>
      <c r="G120">
        <v>233444702</v>
      </c>
    </row>
    <row r="121" spans="1:7">
      <c r="A121">
        <v>218</v>
      </c>
      <c r="B121">
        <v>5978159080</v>
      </c>
      <c r="C121">
        <v>23.91</v>
      </c>
      <c r="D121">
        <v>0</v>
      </c>
      <c r="E121">
        <v>818.4</v>
      </c>
      <c r="F121">
        <v>33670063</v>
      </c>
      <c r="G121">
        <v>235903872</v>
      </c>
    </row>
    <row r="122" spans="1:7">
      <c r="A122">
        <v>220</v>
      </c>
      <c r="B122">
        <v>6520429640</v>
      </c>
      <c r="C122">
        <v>26.08</v>
      </c>
      <c r="D122">
        <v>0</v>
      </c>
      <c r="E122">
        <v>826.37</v>
      </c>
      <c r="F122">
        <v>34024051</v>
      </c>
      <c r="G122">
        <v>238363413</v>
      </c>
    </row>
    <row r="123" spans="1:7">
      <c r="A123">
        <v>222</v>
      </c>
      <c r="B123">
        <v>5927886900</v>
      </c>
      <c r="C123">
        <v>23.71</v>
      </c>
      <c r="D123">
        <v>0</v>
      </c>
      <c r="E123">
        <v>836.13</v>
      </c>
      <c r="F123">
        <v>34377256</v>
      </c>
      <c r="G123">
        <v>240863554</v>
      </c>
    </row>
    <row r="124" spans="1:7">
      <c r="A124">
        <v>224</v>
      </c>
      <c r="B124">
        <v>6305075820</v>
      </c>
      <c r="C124">
        <v>25.22</v>
      </c>
      <c r="D124">
        <v>0</v>
      </c>
      <c r="E124">
        <v>847.7</v>
      </c>
      <c r="F124">
        <v>34735458</v>
      </c>
      <c r="G124">
        <v>243386186</v>
      </c>
    </row>
    <row r="125" spans="1:7">
      <c r="A125">
        <v>226</v>
      </c>
      <c r="B125">
        <v>6667409360</v>
      </c>
      <c r="C125">
        <v>26.67</v>
      </c>
      <c r="D125">
        <v>0</v>
      </c>
      <c r="E125">
        <v>861.36</v>
      </c>
      <c r="F125">
        <v>35097003</v>
      </c>
      <c r="G125">
        <v>245938862</v>
      </c>
    </row>
    <row r="126" spans="1:7">
      <c r="A126">
        <v>228</v>
      </c>
      <c r="B126">
        <v>6491997820</v>
      </c>
      <c r="C126">
        <v>25.97</v>
      </c>
      <c r="D126">
        <v>0</v>
      </c>
      <c r="E126">
        <v>877.34</v>
      </c>
      <c r="F126">
        <v>35455044</v>
      </c>
      <c r="G126">
        <v>248512475</v>
      </c>
    </row>
    <row r="127" spans="1:7">
      <c r="A127">
        <v>230</v>
      </c>
      <c r="B127">
        <v>6233651940</v>
      </c>
      <c r="C127">
        <v>24.93</v>
      </c>
      <c r="D127">
        <v>0</v>
      </c>
      <c r="E127">
        <v>895.68</v>
      </c>
      <c r="F127">
        <v>35806947</v>
      </c>
      <c r="G127">
        <v>251094467</v>
      </c>
    </row>
    <row r="128" spans="1:7">
      <c r="A128">
        <v>232</v>
      </c>
      <c r="B128">
        <v>6716107460</v>
      </c>
      <c r="C128">
        <v>26.87</v>
      </c>
      <c r="D128">
        <v>0</v>
      </c>
      <c r="E128">
        <v>916.65</v>
      </c>
      <c r="F128">
        <v>36157163</v>
      </c>
      <c r="G128">
        <v>253688457</v>
      </c>
    </row>
    <row r="129" spans="1:7">
      <c r="A129">
        <v>234</v>
      </c>
      <c r="B129">
        <v>6258345320</v>
      </c>
      <c r="C129">
        <v>25.03</v>
      </c>
      <c r="D129">
        <v>0</v>
      </c>
      <c r="E129">
        <v>940.27</v>
      </c>
      <c r="F129">
        <v>36510505</v>
      </c>
      <c r="G129">
        <v>256291647</v>
      </c>
    </row>
    <row r="130" spans="1:7">
      <c r="A130">
        <v>236</v>
      </c>
      <c r="B130">
        <v>7126843960</v>
      </c>
      <c r="C130">
        <v>28.51</v>
      </c>
      <c r="D130">
        <v>0</v>
      </c>
      <c r="E130">
        <v>966.7</v>
      </c>
      <c r="F130">
        <v>36865324</v>
      </c>
      <c r="G130">
        <v>258896117</v>
      </c>
    </row>
    <row r="131" spans="1:7">
      <c r="A131">
        <v>238</v>
      </c>
      <c r="B131">
        <v>6862103380</v>
      </c>
      <c r="C131">
        <v>27.45</v>
      </c>
      <c r="D131">
        <v>0</v>
      </c>
      <c r="E131">
        <v>996.26</v>
      </c>
      <c r="F131">
        <v>37218221</v>
      </c>
      <c r="G131">
        <v>261508505</v>
      </c>
    </row>
    <row r="132" spans="1:7">
      <c r="A132">
        <v>240</v>
      </c>
      <c r="B132">
        <v>7039187380</v>
      </c>
      <c r="C132">
        <v>28.16</v>
      </c>
      <c r="D132">
        <v>0</v>
      </c>
      <c r="E132">
        <v>1029.45</v>
      </c>
      <c r="F132">
        <v>37576777</v>
      </c>
      <c r="G132">
        <v>264127901</v>
      </c>
    </row>
    <row r="133" spans="1:7">
      <c r="A133">
        <v>242</v>
      </c>
      <c r="B133">
        <v>6707941920</v>
      </c>
      <c r="C133">
        <v>26.83</v>
      </c>
      <c r="D133">
        <v>0</v>
      </c>
      <c r="E133">
        <v>1047.47</v>
      </c>
      <c r="F133">
        <v>37933705</v>
      </c>
      <c r="G133">
        <v>266751651</v>
      </c>
    </row>
    <row r="134" spans="1:7">
      <c r="A134">
        <v>244</v>
      </c>
      <c r="B134">
        <v>6392437260</v>
      </c>
      <c r="C134">
        <v>25.57</v>
      </c>
      <c r="D134">
        <v>531</v>
      </c>
      <c r="E134">
        <v>733.43</v>
      </c>
      <c r="F134">
        <v>38242469</v>
      </c>
      <c r="G134">
        <v>268818497</v>
      </c>
    </row>
    <row r="135" spans="1:7">
      <c r="A135">
        <v>246</v>
      </c>
      <c r="B135">
        <v>5249360040</v>
      </c>
      <c r="C135">
        <v>21</v>
      </c>
      <c r="D135">
        <v>0</v>
      </c>
      <c r="E135">
        <v>770.79</v>
      </c>
      <c r="F135">
        <v>38571738</v>
      </c>
      <c r="G135">
        <v>271074265</v>
      </c>
    </row>
    <row r="136" spans="1:7">
      <c r="A136">
        <v>248</v>
      </c>
      <c r="B136">
        <v>6631697420</v>
      </c>
      <c r="C136">
        <v>26.53</v>
      </c>
      <c r="D136">
        <v>0</v>
      </c>
      <c r="E136">
        <v>807.96</v>
      </c>
      <c r="F136">
        <v>38927844</v>
      </c>
      <c r="G136">
        <v>273472528</v>
      </c>
    </row>
    <row r="137" spans="1:7">
      <c r="A137">
        <v>250</v>
      </c>
      <c r="B137">
        <v>6105167660</v>
      </c>
      <c r="C137">
        <v>24.42</v>
      </c>
      <c r="D137">
        <v>0</v>
      </c>
      <c r="E137">
        <v>841.82</v>
      </c>
      <c r="F137">
        <v>39281972</v>
      </c>
      <c r="G137">
        <v>275943990</v>
      </c>
    </row>
    <row r="138" spans="1:7">
      <c r="A138">
        <v>252</v>
      </c>
      <c r="B138">
        <v>5836688640</v>
      </c>
      <c r="C138">
        <v>23.35</v>
      </c>
      <c r="D138">
        <v>0</v>
      </c>
      <c r="E138">
        <v>872.01</v>
      </c>
      <c r="F138">
        <v>39635163</v>
      </c>
      <c r="G138">
        <v>278461400</v>
      </c>
    </row>
    <row r="139" spans="1:7">
      <c r="A139">
        <v>254</v>
      </c>
      <c r="B139">
        <v>6952022700</v>
      </c>
      <c r="C139">
        <v>27.81</v>
      </c>
      <c r="D139">
        <v>0</v>
      </c>
      <c r="E139">
        <v>899.33</v>
      </c>
      <c r="F139">
        <v>39995292</v>
      </c>
      <c r="G139">
        <v>281008567</v>
      </c>
    </row>
    <row r="140" spans="1:7">
      <c r="A140">
        <v>256</v>
      </c>
      <c r="B140">
        <v>6459630800</v>
      </c>
      <c r="C140">
        <v>25.84</v>
      </c>
      <c r="D140">
        <v>0</v>
      </c>
      <c r="E140">
        <v>922.85</v>
      </c>
      <c r="F140">
        <v>40371252</v>
      </c>
      <c r="G140">
        <v>283600751</v>
      </c>
    </row>
    <row r="141" spans="1:7">
      <c r="A141">
        <v>258</v>
      </c>
      <c r="B141">
        <v>6955367620</v>
      </c>
      <c r="C141">
        <v>27.82</v>
      </c>
      <c r="D141">
        <v>0</v>
      </c>
      <c r="E141">
        <v>944.96</v>
      </c>
      <c r="F141">
        <v>40747930</v>
      </c>
      <c r="G141">
        <v>286196918</v>
      </c>
    </row>
    <row r="142" spans="1:7">
      <c r="A142">
        <v>260</v>
      </c>
      <c r="B142">
        <v>6869678640</v>
      </c>
      <c r="C142">
        <v>27.48</v>
      </c>
      <c r="D142">
        <v>0</v>
      </c>
      <c r="E142">
        <v>963.78</v>
      </c>
      <c r="F142">
        <v>41117581</v>
      </c>
      <c r="G142">
        <v>288794709</v>
      </c>
    </row>
    <row r="143" spans="1:7">
      <c r="A143">
        <v>262</v>
      </c>
      <c r="B143">
        <v>6847936660</v>
      </c>
      <c r="C143">
        <v>27.39</v>
      </c>
      <c r="D143">
        <v>0</v>
      </c>
      <c r="E143">
        <v>980.1</v>
      </c>
      <c r="F143">
        <v>41484830</v>
      </c>
      <c r="G143">
        <v>291400277</v>
      </c>
    </row>
    <row r="144" spans="1:7">
      <c r="A144">
        <v>264</v>
      </c>
      <c r="B144">
        <v>7080015080</v>
      </c>
      <c r="C144">
        <v>28.32</v>
      </c>
      <c r="D144">
        <v>0</v>
      </c>
      <c r="E144">
        <v>994.12</v>
      </c>
      <c r="F144">
        <v>41852733</v>
      </c>
      <c r="G144">
        <v>294007882</v>
      </c>
    </row>
    <row r="145" spans="1:7">
      <c r="A145">
        <v>266</v>
      </c>
      <c r="B145">
        <v>4511706800</v>
      </c>
      <c r="C145">
        <v>18.05</v>
      </c>
      <c r="D145">
        <v>216</v>
      </c>
      <c r="E145">
        <v>703.29</v>
      </c>
      <c r="F145">
        <v>42141608</v>
      </c>
      <c r="G145">
        <v>295874443</v>
      </c>
    </row>
    <row r="146" spans="1:7">
      <c r="A146">
        <v>268</v>
      </c>
      <c r="B146">
        <v>5843968760</v>
      </c>
      <c r="C146">
        <v>23.38</v>
      </c>
      <c r="D146">
        <v>0</v>
      </c>
      <c r="E146">
        <v>727.4</v>
      </c>
      <c r="F146">
        <v>42488857</v>
      </c>
      <c r="G146">
        <v>297988352</v>
      </c>
    </row>
    <row r="147" spans="1:7">
      <c r="A147">
        <v>270</v>
      </c>
      <c r="B147">
        <v>5653603460</v>
      </c>
      <c r="C147">
        <v>22.61</v>
      </c>
      <c r="D147">
        <v>0</v>
      </c>
      <c r="E147">
        <v>748.61</v>
      </c>
      <c r="F147">
        <v>42842232</v>
      </c>
      <c r="G147">
        <v>300176867</v>
      </c>
    </row>
    <row r="148" spans="1:7">
      <c r="A148">
        <v>272</v>
      </c>
      <c r="B148">
        <v>5787597020</v>
      </c>
      <c r="C148">
        <v>23.15</v>
      </c>
      <c r="D148">
        <v>0</v>
      </c>
      <c r="E148">
        <v>767.09</v>
      </c>
      <c r="F148">
        <v>43201651</v>
      </c>
      <c r="G148">
        <v>302412688</v>
      </c>
    </row>
    <row r="149" spans="1:7">
      <c r="A149">
        <v>274</v>
      </c>
      <c r="B149">
        <v>5716074760</v>
      </c>
      <c r="C149">
        <v>22.86</v>
      </c>
      <c r="D149">
        <v>0</v>
      </c>
      <c r="E149">
        <v>783.32</v>
      </c>
      <c r="F149">
        <v>43567329</v>
      </c>
      <c r="G149">
        <v>304702199</v>
      </c>
    </row>
    <row r="150" spans="1:7">
      <c r="A150">
        <v>276</v>
      </c>
      <c r="B150">
        <v>6263165940</v>
      </c>
      <c r="C150">
        <v>25.05</v>
      </c>
      <c r="D150">
        <v>0</v>
      </c>
      <c r="E150">
        <v>797.2</v>
      </c>
      <c r="F150">
        <v>43930561</v>
      </c>
      <c r="G150">
        <v>307039723</v>
      </c>
    </row>
    <row r="151" spans="1:7">
      <c r="A151">
        <v>278</v>
      </c>
      <c r="B151">
        <v>6514821980</v>
      </c>
      <c r="C151">
        <v>26.06</v>
      </c>
      <c r="D151">
        <v>0</v>
      </c>
      <c r="E151">
        <v>808.92</v>
      </c>
      <c r="F151">
        <v>44290935</v>
      </c>
      <c r="G151">
        <v>309414305</v>
      </c>
    </row>
    <row r="152" spans="1:7">
      <c r="A152">
        <v>280</v>
      </c>
      <c r="B152">
        <v>5849084520</v>
      </c>
      <c r="C152">
        <v>23.4</v>
      </c>
      <c r="D152">
        <v>0</v>
      </c>
      <c r="E152">
        <v>818.76</v>
      </c>
      <c r="F152">
        <v>44652305</v>
      </c>
      <c r="G152">
        <v>311809257</v>
      </c>
    </row>
    <row r="153" spans="1:7">
      <c r="A153">
        <v>282</v>
      </c>
      <c r="B153">
        <v>6061388560</v>
      </c>
      <c r="C153">
        <v>24.25</v>
      </c>
      <c r="D153">
        <v>0</v>
      </c>
      <c r="E153">
        <v>826.84</v>
      </c>
      <c r="F153">
        <v>45014609</v>
      </c>
      <c r="G153">
        <v>314219728</v>
      </c>
    </row>
    <row r="154" spans="1:7">
      <c r="A154">
        <v>284</v>
      </c>
      <c r="B154">
        <v>6677739260</v>
      </c>
      <c r="C154">
        <v>26.71</v>
      </c>
      <c r="D154">
        <v>0</v>
      </c>
      <c r="E154">
        <v>833.36</v>
      </c>
      <c r="F154">
        <v>45388552</v>
      </c>
      <c r="G154">
        <v>316659641</v>
      </c>
    </row>
    <row r="155" spans="1:7">
      <c r="A155">
        <v>286</v>
      </c>
      <c r="B155">
        <v>6157210680</v>
      </c>
      <c r="C155">
        <v>24.37</v>
      </c>
      <c r="D155">
        <v>0</v>
      </c>
      <c r="E155">
        <v>838.53</v>
      </c>
      <c r="F155">
        <v>45764854</v>
      </c>
      <c r="G155">
        <v>319128065</v>
      </c>
    </row>
    <row r="156" spans="1:7">
      <c r="A156">
        <v>288</v>
      </c>
      <c r="B156">
        <v>6941299280</v>
      </c>
      <c r="C156">
        <v>28.06</v>
      </c>
      <c r="D156">
        <v>0</v>
      </c>
      <c r="E156">
        <v>842.32</v>
      </c>
      <c r="F156">
        <v>46135098</v>
      </c>
      <c r="G156">
        <v>321562483</v>
      </c>
    </row>
    <row r="157" spans="1:7">
      <c r="A157">
        <v>290</v>
      </c>
      <c r="B157">
        <v>6251458720</v>
      </c>
      <c r="C157">
        <v>25.01</v>
      </c>
      <c r="D157">
        <v>0</v>
      </c>
      <c r="E157">
        <v>845.12</v>
      </c>
      <c r="F157">
        <v>46512648</v>
      </c>
      <c r="G157">
        <v>324030067</v>
      </c>
    </row>
    <row r="158" spans="1:7">
      <c r="A158">
        <v>292</v>
      </c>
      <c r="B158">
        <v>6684724240</v>
      </c>
      <c r="C158">
        <v>26.74</v>
      </c>
      <c r="D158">
        <v>0</v>
      </c>
      <c r="E158">
        <v>847.03</v>
      </c>
      <c r="F158">
        <v>46890472</v>
      </c>
      <c r="G158">
        <v>326503839</v>
      </c>
    </row>
    <row r="159" spans="1:7">
      <c r="A159">
        <v>294</v>
      </c>
      <c r="B159">
        <v>6413982480</v>
      </c>
      <c r="C159">
        <v>25.66</v>
      </c>
      <c r="D159">
        <v>0</v>
      </c>
      <c r="E159">
        <v>848.21</v>
      </c>
      <c r="F159">
        <v>47272613</v>
      </c>
      <c r="G159">
        <v>328980369</v>
      </c>
    </row>
    <row r="160" spans="1:7">
      <c r="A160">
        <v>296</v>
      </c>
      <c r="B160">
        <v>6236111440</v>
      </c>
      <c r="C160">
        <v>24.94</v>
      </c>
      <c r="D160">
        <v>0</v>
      </c>
      <c r="E160">
        <v>848.84</v>
      </c>
      <c r="F160">
        <v>47654406</v>
      </c>
      <c r="G160">
        <v>331457816</v>
      </c>
    </row>
    <row r="161" spans="1:156">
      <c r="A161">
        <v>298</v>
      </c>
      <c r="B161">
        <v>7097723480</v>
      </c>
      <c r="C161">
        <v>28.39</v>
      </c>
      <c r="D161">
        <v>0</v>
      </c>
      <c r="E161">
        <v>849.1</v>
      </c>
      <c r="F161">
        <v>48033351</v>
      </c>
      <c r="G161">
        <v>333926716</v>
      </c>
    </row>
    <row r="162" spans="1:156">
      <c r="A162" t="s">
        <v>107</v>
      </c>
      <c r="B162" t="s">
        <v>45</v>
      </c>
    </row>
    <row r="163" spans="1:156">
      <c r="A163" t="s">
        <v>108</v>
      </c>
      <c r="B163" t="s">
        <v>109</v>
      </c>
      <c r="C163" t="s">
        <v>110</v>
      </c>
      <c r="D163" t="s">
        <v>111</v>
      </c>
      <c r="E163" t="s">
        <v>112</v>
      </c>
      <c r="F163" t="s">
        <v>113</v>
      </c>
      <c r="G163" t="s">
        <v>114</v>
      </c>
      <c r="H163" t="s">
        <v>115</v>
      </c>
      <c r="I163" t="s">
        <v>116</v>
      </c>
      <c r="J163" t="s">
        <v>117</v>
      </c>
      <c r="K163" t="s">
        <v>118</v>
      </c>
      <c r="L163" t="s">
        <v>119</v>
      </c>
      <c r="M163" t="s">
        <v>120</v>
      </c>
      <c r="N163" t="s">
        <v>121</v>
      </c>
      <c r="O163" t="s">
        <v>122</v>
      </c>
      <c r="P163" t="s">
        <v>123</v>
      </c>
      <c r="Q163" t="s">
        <v>124</v>
      </c>
      <c r="R163" t="s">
        <v>118</v>
      </c>
      <c r="S163" t="s">
        <v>125</v>
      </c>
      <c r="T163" t="s">
        <v>126</v>
      </c>
      <c r="U163" t="s">
        <v>127</v>
      </c>
      <c r="V163" t="s">
        <v>128</v>
      </c>
      <c r="W163" t="s">
        <v>129</v>
      </c>
      <c r="X163" t="s">
        <v>130</v>
      </c>
      <c r="Y163" t="s">
        <v>131</v>
      </c>
      <c r="Z163" t="s">
        <v>132</v>
      </c>
      <c r="AA163" t="s">
        <v>133</v>
      </c>
      <c r="AB163" t="s">
        <v>134</v>
      </c>
      <c r="AC163" t="s">
        <v>135</v>
      </c>
      <c r="AD163" t="s">
        <v>105</v>
      </c>
      <c r="AE163" t="s">
        <v>136</v>
      </c>
      <c r="AF163" t="s">
        <v>115</v>
      </c>
      <c r="AG163" t="s">
        <v>137</v>
      </c>
      <c r="AH163" t="s">
        <v>138</v>
      </c>
      <c r="AI163" t="s">
        <v>139</v>
      </c>
      <c r="AJ163" t="s">
        <v>126</v>
      </c>
      <c r="AK163" t="s">
        <v>127</v>
      </c>
      <c r="AL163" t="s">
        <v>128</v>
      </c>
      <c r="AM163" t="s">
        <v>129</v>
      </c>
      <c r="AN163" t="s">
        <v>130</v>
      </c>
      <c r="AO163" t="s">
        <v>131</v>
      </c>
      <c r="AP163" t="s">
        <v>132</v>
      </c>
      <c r="AQ163" t="s">
        <v>133</v>
      </c>
      <c r="AR163" t="s">
        <v>134</v>
      </c>
      <c r="AS163" t="s">
        <v>140</v>
      </c>
      <c r="AT163" t="s">
        <v>105</v>
      </c>
      <c r="AU163" t="s">
        <v>136</v>
      </c>
      <c r="AV163" t="s">
        <v>115</v>
      </c>
      <c r="AW163" t="s">
        <v>137</v>
      </c>
      <c r="AX163" t="s">
        <v>138</v>
      </c>
      <c r="AY163" t="s">
        <v>141</v>
      </c>
      <c r="AZ163" t="s">
        <v>126</v>
      </c>
      <c r="BA163" t="s">
        <v>142</v>
      </c>
      <c r="BB163" t="s">
        <v>143</v>
      </c>
      <c r="BC163" t="s">
        <v>144</v>
      </c>
      <c r="BD163" t="s">
        <v>145</v>
      </c>
      <c r="BE163" t="s">
        <v>146</v>
      </c>
      <c r="BF163" t="s">
        <v>147</v>
      </c>
      <c r="BG163" t="s">
        <v>148</v>
      </c>
      <c r="BH163" t="s">
        <v>149</v>
      </c>
      <c r="BI163" t="s">
        <v>150</v>
      </c>
      <c r="BJ163" t="s">
        <v>141</v>
      </c>
      <c r="BK163" t="s">
        <v>126</v>
      </c>
      <c r="BL163" t="s">
        <v>142</v>
      </c>
      <c r="BM163" t="s">
        <v>143</v>
      </c>
      <c r="BN163" t="s">
        <v>144</v>
      </c>
      <c r="BO163" t="s">
        <v>145</v>
      </c>
      <c r="BP163" t="s">
        <v>146</v>
      </c>
      <c r="BQ163" t="s">
        <v>147</v>
      </c>
      <c r="BR163" t="s">
        <v>148</v>
      </c>
      <c r="BS163" t="s">
        <v>149</v>
      </c>
      <c r="BT163" t="s">
        <v>150</v>
      </c>
    </row>
    <row r="164" spans="1:156">
      <c r="A164">
        <v>98380</v>
      </c>
      <c r="B164">
        <v>0</v>
      </c>
      <c r="C164">
        <v>8478938</v>
      </c>
      <c r="D164">
        <v>0</v>
      </c>
      <c r="E164">
        <v>35.381599999999999</v>
      </c>
      <c r="F164" s="7">
        <v>301998000</v>
      </c>
      <c r="G164">
        <v>22244.400000000001</v>
      </c>
      <c r="H164">
        <v>336793110</v>
      </c>
      <c r="I164">
        <v>10679</v>
      </c>
      <c r="J164">
        <v>3.1707900000000002E-3</v>
      </c>
      <c r="K164" t="s">
        <v>151</v>
      </c>
      <c r="L164">
        <v>0</v>
      </c>
      <c r="M164">
        <v>8478938</v>
      </c>
      <c r="N164">
        <v>834157920440</v>
      </c>
      <c r="O164">
        <v>35.383299999999998</v>
      </c>
      <c r="P164">
        <v>300012548</v>
      </c>
      <c r="Q164">
        <v>22243.3</v>
      </c>
      <c r="R164" t="s">
        <v>151</v>
      </c>
      <c r="S164" t="s">
        <v>152</v>
      </c>
      <c r="T164" t="s">
        <v>153</v>
      </c>
      <c r="U164" t="s">
        <v>45</v>
      </c>
      <c r="V164">
        <v>0</v>
      </c>
      <c r="W164">
        <v>0</v>
      </c>
      <c r="X164">
        <v>0</v>
      </c>
      <c r="Y164">
        <v>0</v>
      </c>
      <c r="Z164">
        <v>45</v>
      </c>
      <c r="AA164">
        <v>9058</v>
      </c>
      <c r="AB164">
        <v>0</v>
      </c>
      <c r="AC164">
        <v>0</v>
      </c>
      <c r="AD164" t="s">
        <v>154</v>
      </c>
      <c r="AE164" t="s">
        <v>45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155</v>
      </c>
      <c r="AO164" t="s">
        <v>45</v>
      </c>
      <c r="AP164">
        <v>48520152</v>
      </c>
      <c r="AQ164">
        <v>3210838080</v>
      </c>
      <c r="AR164">
        <v>0</v>
      </c>
      <c r="AS164">
        <v>77447</v>
      </c>
      <c r="AT164">
        <v>336815382</v>
      </c>
      <c r="AU164">
        <v>3035967979040</v>
      </c>
      <c r="AV164">
        <v>0</v>
      </c>
      <c r="AW164">
        <v>0</v>
      </c>
      <c r="AX164" t="s">
        <v>156</v>
      </c>
      <c r="AY164" t="s">
        <v>45</v>
      </c>
      <c r="AZ164">
        <v>0</v>
      </c>
      <c r="BA164">
        <v>0</v>
      </c>
      <c r="BB164">
        <v>0</v>
      </c>
      <c r="BC164">
        <v>0</v>
      </c>
      <c r="BD164">
        <v>43</v>
      </c>
      <c r="BE164">
        <v>8055</v>
      </c>
      <c r="BF164">
        <v>0</v>
      </c>
      <c r="BG164">
        <v>0</v>
      </c>
      <c r="BH164" t="s">
        <v>157</v>
      </c>
      <c r="BI164" t="s">
        <v>45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 t="s">
        <v>158</v>
      </c>
      <c r="BS164" t="s">
        <v>45</v>
      </c>
      <c r="BT164">
        <v>16</v>
      </c>
      <c r="BU164">
        <v>1472</v>
      </c>
      <c r="BV164">
        <v>0</v>
      </c>
      <c r="BW164">
        <v>0</v>
      </c>
      <c r="BX164">
        <v>16</v>
      </c>
      <c r="BY164">
        <v>1472</v>
      </c>
      <c r="BZ164">
        <v>0</v>
      </c>
      <c r="CA164">
        <v>0</v>
      </c>
      <c r="CB164" t="s">
        <v>135</v>
      </c>
      <c r="CC164">
        <v>48520124</v>
      </c>
      <c r="CD164">
        <v>0</v>
      </c>
      <c r="CE164">
        <v>336793110</v>
      </c>
      <c r="CF164">
        <v>0</v>
      </c>
      <c r="CG164">
        <v>22261</v>
      </c>
      <c r="CH164" t="s">
        <v>159</v>
      </c>
      <c r="CI164" t="s">
        <v>160</v>
      </c>
      <c r="CJ164" t="s">
        <v>45</v>
      </c>
      <c r="CK164">
        <v>79026</v>
      </c>
      <c r="CL164">
        <v>3623878</v>
      </c>
      <c r="CM164">
        <v>0</v>
      </c>
      <c r="CN164">
        <v>0</v>
      </c>
      <c r="CO164">
        <v>551</v>
      </c>
      <c r="CP164">
        <v>259283</v>
      </c>
      <c r="CQ164">
        <v>0</v>
      </c>
      <c r="CR164">
        <v>0</v>
      </c>
      <c r="CS164" t="s">
        <v>161</v>
      </c>
      <c r="CT164" t="s">
        <v>45</v>
      </c>
      <c r="CU164">
        <v>336889784</v>
      </c>
      <c r="CV164">
        <v>3035920513996</v>
      </c>
      <c r="CW164">
        <v>0</v>
      </c>
      <c r="CX164">
        <v>0</v>
      </c>
      <c r="CY164">
        <v>48599212</v>
      </c>
      <c r="CZ164">
        <v>3218478415</v>
      </c>
      <c r="DA164">
        <v>0</v>
      </c>
      <c r="DB164">
        <v>0</v>
      </c>
      <c r="DC164" t="s">
        <v>158</v>
      </c>
      <c r="DD164" t="s">
        <v>45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 t="s">
        <v>162</v>
      </c>
      <c r="DN164" t="s">
        <v>45</v>
      </c>
      <c r="DO164">
        <v>56270896</v>
      </c>
      <c r="DP164">
        <v>3016612358738</v>
      </c>
      <c r="DQ164">
        <v>0</v>
      </c>
      <c r="DR164">
        <v>0</v>
      </c>
      <c r="DS164">
        <v>48598555</v>
      </c>
      <c r="DT164">
        <v>3218201692</v>
      </c>
      <c r="DU164">
        <v>0</v>
      </c>
      <c r="DV164">
        <v>0</v>
      </c>
      <c r="DW164" t="s">
        <v>163</v>
      </c>
      <c r="DX164" t="s">
        <v>45</v>
      </c>
      <c r="DY164">
        <v>8554</v>
      </c>
      <c r="DZ164">
        <v>855400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 t="s">
        <v>140</v>
      </c>
      <c r="EH164">
        <v>56270343</v>
      </c>
      <c r="EI164">
        <v>0</v>
      </c>
      <c r="EJ164">
        <v>48598207</v>
      </c>
      <c r="EK164">
        <v>24</v>
      </c>
      <c r="EL164">
        <v>0</v>
      </c>
      <c r="EM164" t="s">
        <v>141</v>
      </c>
      <c r="EN164" t="s">
        <v>164</v>
      </c>
      <c r="EO164">
        <v>336889783</v>
      </c>
      <c r="EP164">
        <v>48599214</v>
      </c>
      <c r="EQ164">
        <v>336896306</v>
      </c>
      <c r="ER164">
        <v>48599214</v>
      </c>
      <c r="ES164">
        <v>0</v>
      </c>
      <c r="ET164">
        <v>0</v>
      </c>
      <c r="EU164">
        <v>0</v>
      </c>
      <c r="EV164">
        <v>0</v>
      </c>
      <c r="EW164">
        <v>0</v>
      </c>
      <c r="EX164" t="s">
        <v>141</v>
      </c>
      <c r="EY164" t="s">
        <v>45</v>
      </c>
      <c r="EZ164" t="s">
        <v>118</v>
      </c>
    </row>
    <row r="165" spans="1:156">
      <c r="A165" t="s">
        <v>165</v>
      </c>
      <c r="B165" t="s">
        <v>166</v>
      </c>
      <c r="C165" t="s">
        <v>167</v>
      </c>
      <c r="D165" t="s">
        <v>168</v>
      </c>
      <c r="E165" t="s">
        <v>169</v>
      </c>
      <c r="F165" t="s">
        <v>170</v>
      </c>
      <c r="G165" t="s">
        <v>171</v>
      </c>
      <c r="H165" t="s">
        <v>172</v>
      </c>
    </row>
    <row r="166" spans="1:156">
      <c r="A166" t="s">
        <v>173</v>
      </c>
      <c r="B166">
        <v>0</v>
      </c>
      <c r="C166">
        <v>0</v>
      </c>
      <c r="D166">
        <v>64</v>
      </c>
      <c r="E166">
        <v>35</v>
      </c>
      <c r="F166">
        <v>0</v>
      </c>
      <c r="G166">
        <v>2</v>
      </c>
      <c r="H166">
        <v>19</v>
      </c>
      <c r="I166" t="s">
        <v>45</v>
      </c>
    </row>
    <row r="167" spans="1:156">
      <c r="A167" t="s">
        <v>174</v>
      </c>
      <c r="B167">
        <v>0</v>
      </c>
      <c r="C167">
        <v>0</v>
      </c>
      <c r="D167">
        <v>78</v>
      </c>
      <c r="E167">
        <v>20</v>
      </c>
      <c r="F167">
        <v>0</v>
      </c>
      <c r="G167">
        <v>2</v>
      </c>
      <c r="H167">
        <v>30</v>
      </c>
      <c r="I167" t="s">
        <v>45</v>
      </c>
    </row>
    <row r="168" spans="1:156">
      <c r="A168" t="s">
        <v>175</v>
      </c>
      <c r="B168">
        <v>0</v>
      </c>
      <c r="C168">
        <v>0</v>
      </c>
      <c r="D168">
        <v>68</v>
      </c>
      <c r="E168">
        <v>30</v>
      </c>
      <c r="F168">
        <v>0</v>
      </c>
      <c r="G168">
        <v>2</v>
      </c>
      <c r="H168">
        <v>19</v>
      </c>
      <c r="I168" t="s">
        <v>45</v>
      </c>
    </row>
    <row r="169" spans="1:156">
      <c r="A169" t="s">
        <v>176</v>
      </c>
      <c r="B169">
        <v>0</v>
      </c>
      <c r="C169">
        <v>0</v>
      </c>
      <c r="D169">
        <v>46</v>
      </c>
      <c r="E169">
        <v>53</v>
      </c>
      <c r="F169">
        <v>0</v>
      </c>
      <c r="G169">
        <v>1</v>
      </c>
      <c r="H169">
        <v>2</v>
      </c>
      <c r="I169" t="s">
        <v>45</v>
      </c>
    </row>
    <row r="170" spans="1:156">
      <c r="A170" t="s">
        <v>177</v>
      </c>
      <c r="B170">
        <v>0</v>
      </c>
      <c r="C170">
        <v>0</v>
      </c>
      <c r="D170">
        <v>63</v>
      </c>
      <c r="E170">
        <v>36</v>
      </c>
      <c r="F170">
        <v>0</v>
      </c>
      <c r="G170">
        <v>2</v>
      </c>
      <c r="H170">
        <v>24</v>
      </c>
      <c r="I170" t="s">
        <v>45</v>
      </c>
    </row>
    <row r="171" spans="1:156">
      <c r="A171" t="s">
        <v>178</v>
      </c>
      <c r="B171" t="s">
        <v>166</v>
      </c>
      <c r="C171" t="s">
        <v>167</v>
      </c>
      <c r="D171" t="s">
        <v>168</v>
      </c>
      <c r="E171" t="s">
        <v>169</v>
      </c>
      <c r="F171" t="s">
        <v>170</v>
      </c>
      <c r="G171" t="s">
        <v>171</v>
      </c>
      <c r="H171" t="s">
        <v>172</v>
      </c>
    </row>
    <row r="172" spans="1:156">
      <c r="A172" t="s">
        <v>179</v>
      </c>
      <c r="B172">
        <v>0</v>
      </c>
      <c r="C172">
        <v>0</v>
      </c>
      <c r="D172">
        <v>6</v>
      </c>
      <c r="E172">
        <v>93</v>
      </c>
      <c r="F172">
        <v>0</v>
      </c>
      <c r="G172">
        <v>0</v>
      </c>
      <c r="H172">
        <v>0</v>
      </c>
      <c r="I172" t="s">
        <v>45</v>
      </c>
    </row>
    <row r="173" spans="1:156">
      <c r="A173" t="s">
        <v>180</v>
      </c>
      <c r="B173">
        <v>0</v>
      </c>
      <c r="C173">
        <v>0</v>
      </c>
      <c r="D173">
        <v>0</v>
      </c>
      <c r="E173">
        <v>99</v>
      </c>
      <c r="F173">
        <v>0</v>
      </c>
      <c r="G173">
        <v>0</v>
      </c>
      <c r="H173">
        <v>0</v>
      </c>
      <c r="I173" t="s">
        <v>45</v>
      </c>
    </row>
    <row r="174" spans="1:156">
      <c r="A174" t="s">
        <v>181</v>
      </c>
      <c r="B174">
        <v>0</v>
      </c>
      <c r="C174">
        <v>0</v>
      </c>
      <c r="D174">
        <v>0</v>
      </c>
      <c r="E174">
        <v>99</v>
      </c>
      <c r="F174">
        <v>0</v>
      </c>
      <c r="G174">
        <v>0</v>
      </c>
      <c r="H174">
        <v>0</v>
      </c>
      <c r="I174" t="s">
        <v>45</v>
      </c>
    </row>
    <row r="175" spans="1:156">
      <c r="A175" t="s">
        <v>182</v>
      </c>
      <c r="B175">
        <v>0</v>
      </c>
      <c r="C175">
        <v>0</v>
      </c>
      <c r="D175">
        <v>0</v>
      </c>
      <c r="E175">
        <v>99</v>
      </c>
      <c r="F175">
        <v>0</v>
      </c>
      <c r="G175">
        <v>0</v>
      </c>
      <c r="H175">
        <v>0</v>
      </c>
      <c r="I175" t="s">
        <v>45</v>
      </c>
    </row>
    <row r="176" spans="1:156">
      <c r="A176" t="s">
        <v>183</v>
      </c>
      <c r="B176">
        <v>0</v>
      </c>
      <c r="C176">
        <v>0</v>
      </c>
      <c r="D176">
        <v>0</v>
      </c>
      <c r="E176">
        <v>99</v>
      </c>
      <c r="F176">
        <v>0</v>
      </c>
      <c r="G176">
        <v>0</v>
      </c>
      <c r="H176">
        <v>0</v>
      </c>
      <c r="I176" t="s">
        <v>45</v>
      </c>
    </row>
    <row r="177" spans="1:9">
      <c r="A177" t="s">
        <v>184</v>
      </c>
      <c r="B177">
        <v>0</v>
      </c>
      <c r="C177">
        <v>0</v>
      </c>
      <c r="D177">
        <v>0</v>
      </c>
      <c r="E177">
        <v>99</v>
      </c>
      <c r="F177">
        <v>0</v>
      </c>
      <c r="G177">
        <v>0</v>
      </c>
      <c r="H177">
        <v>0</v>
      </c>
      <c r="I177" t="s">
        <v>45</v>
      </c>
    </row>
    <row r="178" spans="1:9">
      <c r="A178" t="s">
        <v>185</v>
      </c>
      <c r="B178">
        <v>0</v>
      </c>
      <c r="C178">
        <v>0</v>
      </c>
      <c r="D178">
        <v>0</v>
      </c>
      <c r="E178">
        <v>99</v>
      </c>
      <c r="F178">
        <v>0</v>
      </c>
      <c r="G178">
        <v>0</v>
      </c>
      <c r="H178">
        <v>0</v>
      </c>
      <c r="I178" t="s">
        <v>45</v>
      </c>
    </row>
    <row r="179" spans="1:9">
      <c r="A179" t="s">
        <v>186</v>
      </c>
      <c r="B179">
        <v>4</v>
      </c>
      <c r="C179">
        <v>0</v>
      </c>
      <c r="D179">
        <v>82</v>
      </c>
      <c r="E179">
        <v>13</v>
      </c>
      <c r="F179">
        <v>0</v>
      </c>
      <c r="G179">
        <v>0</v>
      </c>
      <c r="H179">
        <v>0</v>
      </c>
      <c r="I179" t="s">
        <v>45</v>
      </c>
    </row>
    <row r="180" spans="1:9">
      <c r="A180" t="s">
        <v>187</v>
      </c>
      <c r="B180">
        <v>4</v>
      </c>
      <c r="C180">
        <v>0</v>
      </c>
      <c r="D180">
        <v>88</v>
      </c>
      <c r="E180">
        <v>7</v>
      </c>
      <c r="F180">
        <v>0</v>
      </c>
      <c r="G180">
        <v>0</v>
      </c>
      <c r="H180">
        <v>0</v>
      </c>
      <c r="I180" t="s">
        <v>45</v>
      </c>
    </row>
    <row r="181" spans="1:9">
      <c r="A181" t="s">
        <v>188</v>
      </c>
      <c r="B181">
        <v>3</v>
      </c>
      <c r="C181">
        <v>0</v>
      </c>
      <c r="D181">
        <v>88</v>
      </c>
      <c r="E181">
        <v>7</v>
      </c>
      <c r="F181">
        <v>0</v>
      </c>
      <c r="G181">
        <v>0</v>
      </c>
      <c r="H181">
        <v>1</v>
      </c>
      <c r="I181" t="s">
        <v>45</v>
      </c>
    </row>
    <row r="182" spans="1:9">
      <c r="A182" t="s">
        <v>189</v>
      </c>
      <c r="B182">
        <v>3</v>
      </c>
      <c r="C182">
        <v>0</v>
      </c>
      <c r="D182">
        <v>85</v>
      </c>
      <c r="E182">
        <v>11</v>
      </c>
      <c r="F182">
        <v>0</v>
      </c>
      <c r="G182">
        <v>0</v>
      </c>
      <c r="H182">
        <v>1</v>
      </c>
      <c r="I182" t="s">
        <v>45</v>
      </c>
    </row>
    <row r="183" spans="1:9">
      <c r="A183" t="s">
        <v>190</v>
      </c>
      <c r="B183">
        <v>0</v>
      </c>
      <c r="C183">
        <v>0</v>
      </c>
      <c r="D183">
        <v>0</v>
      </c>
      <c r="E183">
        <v>99</v>
      </c>
      <c r="F183">
        <v>0</v>
      </c>
      <c r="G183">
        <v>0</v>
      </c>
      <c r="H183">
        <v>0</v>
      </c>
      <c r="I183" t="s">
        <v>45</v>
      </c>
    </row>
    <row r="184" spans="1:9">
      <c r="A184" t="s">
        <v>191</v>
      </c>
      <c r="B184">
        <v>0</v>
      </c>
      <c r="C184">
        <v>0</v>
      </c>
      <c r="D184">
        <v>0</v>
      </c>
      <c r="E184">
        <v>99</v>
      </c>
      <c r="F184">
        <v>0</v>
      </c>
      <c r="G184">
        <v>0</v>
      </c>
      <c r="H184">
        <v>0</v>
      </c>
      <c r="I184" t="s">
        <v>45</v>
      </c>
    </row>
    <row r="185" spans="1:9">
      <c r="A185" t="s">
        <v>192</v>
      </c>
      <c r="B185">
        <v>0</v>
      </c>
      <c r="C185">
        <v>0</v>
      </c>
      <c r="D185">
        <v>0</v>
      </c>
      <c r="E185">
        <v>99</v>
      </c>
      <c r="F185">
        <v>0</v>
      </c>
      <c r="G185">
        <v>0</v>
      </c>
      <c r="H185">
        <v>0</v>
      </c>
      <c r="I185" t="s">
        <v>45</v>
      </c>
    </row>
    <row r="186" spans="1:9">
      <c r="A186" t="s">
        <v>193</v>
      </c>
      <c r="B186">
        <v>0</v>
      </c>
      <c r="C186">
        <v>0</v>
      </c>
      <c r="D186">
        <v>0</v>
      </c>
      <c r="E186">
        <v>99</v>
      </c>
      <c r="F186">
        <v>0</v>
      </c>
      <c r="G186">
        <v>0</v>
      </c>
      <c r="H186">
        <v>0</v>
      </c>
      <c r="I186" t="s">
        <v>45</v>
      </c>
    </row>
    <row r="187" spans="1:9">
      <c r="A187" t="s">
        <v>194</v>
      </c>
      <c r="B187">
        <v>0</v>
      </c>
      <c r="C187">
        <v>0</v>
      </c>
      <c r="D187">
        <v>0</v>
      </c>
      <c r="E187">
        <v>99</v>
      </c>
      <c r="F187">
        <v>0</v>
      </c>
      <c r="G187">
        <v>0</v>
      </c>
      <c r="H187">
        <v>0</v>
      </c>
      <c r="I187" t="s">
        <v>45</v>
      </c>
    </row>
    <row r="188" spans="1:9">
      <c r="A188" t="s">
        <v>195</v>
      </c>
      <c r="B188">
        <v>0</v>
      </c>
      <c r="C188">
        <v>0</v>
      </c>
      <c r="D188">
        <v>0</v>
      </c>
      <c r="E188">
        <v>99</v>
      </c>
      <c r="F188">
        <v>0</v>
      </c>
      <c r="G188">
        <v>0</v>
      </c>
      <c r="H188">
        <v>0</v>
      </c>
      <c r="I188" t="s">
        <v>45</v>
      </c>
    </row>
    <row r="189" spans="1:9">
      <c r="A189" t="s">
        <v>196</v>
      </c>
      <c r="B189">
        <v>0</v>
      </c>
      <c r="C189">
        <v>0</v>
      </c>
      <c r="D189">
        <v>0</v>
      </c>
      <c r="E189">
        <v>99</v>
      </c>
      <c r="F189">
        <v>0</v>
      </c>
      <c r="G189">
        <v>0</v>
      </c>
      <c r="H189">
        <v>0</v>
      </c>
      <c r="I189" t="s">
        <v>45</v>
      </c>
    </row>
    <row r="190" spans="1:9">
      <c r="A190" t="s">
        <v>197</v>
      </c>
      <c r="B190">
        <v>0</v>
      </c>
      <c r="C190">
        <v>0</v>
      </c>
      <c r="D190">
        <v>0</v>
      </c>
      <c r="E190">
        <v>99</v>
      </c>
      <c r="F190">
        <v>0</v>
      </c>
      <c r="G190">
        <v>0</v>
      </c>
      <c r="H190">
        <v>0</v>
      </c>
      <c r="I190" t="s">
        <v>45</v>
      </c>
    </row>
    <row r="191" spans="1:9">
      <c r="A191" t="s">
        <v>198</v>
      </c>
      <c r="B191">
        <v>0</v>
      </c>
      <c r="C191">
        <v>0</v>
      </c>
      <c r="D191">
        <v>0</v>
      </c>
      <c r="E191">
        <v>99</v>
      </c>
      <c r="F191">
        <v>0</v>
      </c>
      <c r="G191">
        <v>0</v>
      </c>
      <c r="H191">
        <v>0</v>
      </c>
      <c r="I191" t="s">
        <v>45</v>
      </c>
    </row>
    <row r="192" spans="1:9">
      <c r="A192" t="s">
        <v>199</v>
      </c>
      <c r="B192">
        <v>0</v>
      </c>
      <c r="C192">
        <v>0</v>
      </c>
      <c r="D192">
        <v>0</v>
      </c>
      <c r="E192">
        <v>99</v>
      </c>
      <c r="F192">
        <v>0</v>
      </c>
      <c r="G192">
        <v>0</v>
      </c>
      <c r="H192">
        <v>0</v>
      </c>
      <c r="I192" t="s">
        <v>45</v>
      </c>
    </row>
    <row r="193" spans="1:9">
      <c r="A193" t="s">
        <v>200</v>
      </c>
      <c r="B193">
        <v>0</v>
      </c>
      <c r="C193">
        <v>0</v>
      </c>
      <c r="D193">
        <v>0</v>
      </c>
      <c r="E193">
        <v>99</v>
      </c>
      <c r="F193">
        <v>0</v>
      </c>
      <c r="G193">
        <v>0</v>
      </c>
      <c r="H193">
        <v>0</v>
      </c>
      <c r="I193" t="s">
        <v>45</v>
      </c>
    </row>
    <row r="194" spans="1:9">
      <c r="A194" t="s">
        <v>201</v>
      </c>
      <c r="B194">
        <v>0</v>
      </c>
      <c r="C194">
        <v>0</v>
      </c>
      <c r="D194">
        <v>0</v>
      </c>
      <c r="E194">
        <v>99</v>
      </c>
      <c r="F194">
        <v>0</v>
      </c>
      <c r="G194">
        <v>0</v>
      </c>
      <c r="H194">
        <v>0</v>
      </c>
      <c r="I194" t="s">
        <v>45</v>
      </c>
    </row>
    <row r="195" spans="1:9">
      <c r="A195" t="s">
        <v>202</v>
      </c>
      <c r="B195">
        <v>0</v>
      </c>
      <c r="C195">
        <v>0</v>
      </c>
      <c r="D195">
        <v>0</v>
      </c>
      <c r="E195">
        <v>99</v>
      </c>
      <c r="F195">
        <v>0</v>
      </c>
      <c r="G195">
        <v>0</v>
      </c>
      <c r="H195">
        <v>0</v>
      </c>
      <c r="I195" t="s">
        <v>45</v>
      </c>
    </row>
    <row r="196" spans="1:9">
      <c r="A196" t="s">
        <v>203</v>
      </c>
      <c r="B196">
        <v>0</v>
      </c>
      <c r="C196">
        <v>0</v>
      </c>
      <c r="D196">
        <v>0</v>
      </c>
      <c r="E196">
        <v>99</v>
      </c>
      <c r="F196">
        <v>0</v>
      </c>
      <c r="G196">
        <v>0</v>
      </c>
      <c r="H196">
        <v>0</v>
      </c>
      <c r="I196" t="s">
        <v>45</v>
      </c>
    </row>
    <row r="197" spans="1:9">
      <c r="A197" t="s">
        <v>204</v>
      </c>
      <c r="B197">
        <v>0</v>
      </c>
      <c r="C197">
        <v>0</v>
      </c>
      <c r="D197">
        <v>3</v>
      </c>
      <c r="E197">
        <v>96</v>
      </c>
      <c r="F197">
        <v>0</v>
      </c>
      <c r="G197">
        <v>0</v>
      </c>
      <c r="H197">
        <v>2</v>
      </c>
      <c r="I197" t="s">
        <v>45</v>
      </c>
    </row>
    <row r="198" spans="1:9">
      <c r="A198" t="s">
        <v>205</v>
      </c>
      <c r="B198">
        <v>0</v>
      </c>
      <c r="C198">
        <v>0</v>
      </c>
      <c r="D198">
        <v>0</v>
      </c>
      <c r="E198">
        <v>99</v>
      </c>
      <c r="F198">
        <v>0</v>
      </c>
      <c r="G198">
        <v>0</v>
      </c>
      <c r="H198">
        <v>0</v>
      </c>
      <c r="I198" t="s">
        <v>45</v>
      </c>
    </row>
    <row r="199" spans="1:9">
      <c r="A199" t="s">
        <v>206</v>
      </c>
      <c r="B199">
        <v>0</v>
      </c>
      <c r="C199">
        <v>0</v>
      </c>
      <c r="D199">
        <v>0</v>
      </c>
      <c r="E199">
        <v>99</v>
      </c>
      <c r="F199">
        <v>0</v>
      </c>
      <c r="G199">
        <v>0</v>
      </c>
      <c r="H199">
        <v>0</v>
      </c>
      <c r="I199" t="s">
        <v>45</v>
      </c>
    </row>
    <row r="200" spans="1:9">
      <c r="A200" t="s">
        <v>207</v>
      </c>
      <c r="B200">
        <v>0</v>
      </c>
      <c r="C200">
        <v>0</v>
      </c>
      <c r="D200">
        <v>0</v>
      </c>
      <c r="E200">
        <v>99</v>
      </c>
      <c r="F200">
        <v>0</v>
      </c>
      <c r="G200">
        <v>0</v>
      </c>
      <c r="H200">
        <v>0</v>
      </c>
      <c r="I200" t="s">
        <v>45</v>
      </c>
    </row>
    <row r="201" spans="1:9">
      <c r="A201" t="s">
        <v>208</v>
      </c>
      <c r="B201">
        <v>0</v>
      </c>
      <c r="C201">
        <v>0</v>
      </c>
      <c r="D201">
        <v>0</v>
      </c>
      <c r="E201">
        <v>99</v>
      </c>
      <c r="F201">
        <v>0</v>
      </c>
      <c r="G201">
        <v>0</v>
      </c>
      <c r="H201">
        <v>0</v>
      </c>
      <c r="I201" t="s">
        <v>45</v>
      </c>
    </row>
    <row r="202" spans="1:9">
      <c r="A202" t="s">
        <v>209</v>
      </c>
      <c r="B202">
        <v>0</v>
      </c>
      <c r="C202">
        <v>0</v>
      </c>
      <c r="D202">
        <v>0</v>
      </c>
      <c r="E202">
        <v>99</v>
      </c>
      <c r="F202">
        <v>0</v>
      </c>
      <c r="G202">
        <v>0</v>
      </c>
      <c r="H202">
        <v>0</v>
      </c>
      <c r="I202" t="s">
        <v>45</v>
      </c>
    </row>
    <row r="203" spans="1:9">
      <c r="A203" t="s">
        <v>210</v>
      </c>
      <c r="B203">
        <v>0</v>
      </c>
      <c r="C203">
        <v>0</v>
      </c>
      <c r="D203">
        <v>0</v>
      </c>
      <c r="E203">
        <v>99</v>
      </c>
      <c r="F203">
        <v>0</v>
      </c>
      <c r="G203">
        <v>0</v>
      </c>
      <c r="H203">
        <v>0</v>
      </c>
      <c r="I203" t="s">
        <v>45</v>
      </c>
    </row>
    <row r="204" spans="1:9">
      <c r="A204" t="s">
        <v>211</v>
      </c>
      <c r="B204">
        <v>0</v>
      </c>
      <c r="C204">
        <v>0</v>
      </c>
      <c r="D204">
        <v>0</v>
      </c>
      <c r="E204">
        <v>99</v>
      </c>
      <c r="F204">
        <v>0</v>
      </c>
      <c r="G204">
        <v>0</v>
      </c>
      <c r="H204">
        <v>0</v>
      </c>
      <c r="I204" t="s">
        <v>45</v>
      </c>
    </row>
    <row r="205" spans="1:9">
      <c r="A205" t="s">
        <v>212</v>
      </c>
      <c r="B205">
        <v>0</v>
      </c>
      <c r="C205">
        <v>0</v>
      </c>
      <c r="D205">
        <v>0</v>
      </c>
      <c r="E205">
        <v>99</v>
      </c>
      <c r="F205">
        <v>0</v>
      </c>
      <c r="G205">
        <v>0</v>
      </c>
      <c r="H205">
        <v>0</v>
      </c>
      <c r="I205" t="s">
        <v>45</v>
      </c>
    </row>
    <row r="206" spans="1:9">
      <c r="A206" t="s">
        <v>213</v>
      </c>
      <c r="B206">
        <v>0</v>
      </c>
      <c r="C206">
        <v>0</v>
      </c>
      <c r="D206">
        <v>0</v>
      </c>
      <c r="E206">
        <v>99</v>
      </c>
      <c r="F206">
        <v>0</v>
      </c>
      <c r="G206">
        <v>0</v>
      </c>
      <c r="H206">
        <v>0</v>
      </c>
      <c r="I206" t="s">
        <v>45</v>
      </c>
    </row>
    <row r="207" spans="1:9">
      <c r="A207" t="s">
        <v>214</v>
      </c>
      <c r="B207">
        <v>0</v>
      </c>
      <c r="C207">
        <v>0</v>
      </c>
      <c r="D207">
        <v>0</v>
      </c>
      <c r="E207">
        <v>99</v>
      </c>
      <c r="F207">
        <v>0</v>
      </c>
      <c r="G207">
        <v>0</v>
      </c>
      <c r="H207">
        <v>0</v>
      </c>
      <c r="I207" t="s">
        <v>45</v>
      </c>
    </row>
    <row r="208" spans="1:9">
      <c r="A208" t="s">
        <v>215</v>
      </c>
      <c r="B208">
        <v>0</v>
      </c>
      <c r="C208">
        <v>0</v>
      </c>
      <c r="D208">
        <v>0</v>
      </c>
      <c r="E208">
        <v>99</v>
      </c>
      <c r="F208">
        <v>0</v>
      </c>
      <c r="G208">
        <v>0</v>
      </c>
      <c r="H208">
        <v>0</v>
      </c>
      <c r="I208" t="s">
        <v>45</v>
      </c>
    </row>
    <row r="209" spans="1:9">
      <c r="A209" t="s">
        <v>216</v>
      </c>
      <c r="B209">
        <v>0</v>
      </c>
      <c r="C209">
        <v>0</v>
      </c>
      <c r="D209">
        <v>0</v>
      </c>
      <c r="E209">
        <v>99</v>
      </c>
      <c r="F209">
        <v>0</v>
      </c>
      <c r="G209">
        <v>0</v>
      </c>
      <c r="H209">
        <v>0</v>
      </c>
      <c r="I209" t="s">
        <v>45</v>
      </c>
    </row>
    <row r="210" spans="1:9">
      <c r="A210" t="s">
        <v>217</v>
      </c>
      <c r="B210">
        <v>0</v>
      </c>
      <c r="C210">
        <v>0</v>
      </c>
      <c r="D210">
        <v>0</v>
      </c>
      <c r="E210">
        <v>99</v>
      </c>
      <c r="F210">
        <v>0</v>
      </c>
      <c r="G210">
        <v>0</v>
      </c>
      <c r="H210">
        <v>0</v>
      </c>
      <c r="I210" t="s">
        <v>45</v>
      </c>
    </row>
    <row r="211" spans="1:9">
      <c r="A211" t="s">
        <v>218</v>
      </c>
      <c r="B211">
        <v>0</v>
      </c>
      <c r="C211">
        <v>0</v>
      </c>
      <c r="D211">
        <v>0</v>
      </c>
      <c r="E211">
        <v>99</v>
      </c>
      <c r="F211">
        <v>0</v>
      </c>
      <c r="G211">
        <v>0</v>
      </c>
      <c r="H211">
        <v>0</v>
      </c>
      <c r="I211" t="s">
        <v>45</v>
      </c>
    </row>
    <row r="212" spans="1:9">
      <c r="A212" t="s">
        <v>219</v>
      </c>
      <c r="B212">
        <v>0</v>
      </c>
      <c r="C212">
        <v>0</v>
      </c>
      <c r="D212">
        <v>0</v>
      </c>
      <c r="E212">
        <v>99</v>
      </c>
      <c r="F212">
        <v>0</v>
      </c>
      <c r="G212">
        <v>0</v>
      </c>
      <c r="H212">
        <v>0</v>
      </c>
      <c r="I212" t="s">
        <v>45</v>
      </c>
    </row>
    <row r="213" spans="1:9">
      <c r="A213" t="s">
        <v>220</v>
      </c>
      <c r="B213">
        <v>0</v>
      </c>
      <c r="C213">
        <v>0</v>
      </c>
      <c r="D213">
        <v>0</v>
      </c>
      <c r="E213">
        <v>99</v>
      </c>
      <c r="F213">
        <v>0</v>
      </c>
      <c r="G213">
        <v>0</v>
      </c>
      <c r="H213">
        <v>0</v>
      </c>
      <c r="I213" t="s">
        <v>45</v>
      </c>
    </row>
    <row r="214" spans="1:9">
      <c r="A214" t="s">
        <v>221</v>
      </c>
      <c r="B214">
        <v>0</v>
      </c>
      <c r="C214">
        <v>0</v>
      </c>
      <c r="D214">
        <v>0</v>
      </c>
      <c r="E214">
        <v>99</v>
      </c>
      <c r="F214">
        <v>0</v>
      </c>
      <c r="G214">
        <v>0</v>
      </c>
      <c r="H214">
        <v>0</v>
      </c>
      <c r="I214" t="s">
        <v>45</v>
      </c>
    </row>
    <row r="215" spans="1:9">
      <c r="A215" t="s">
        <v>222</v>
      </c>
      <c r="B215">
        <v>0</v>
      </c>
      <c r="C215">
        <v>0</v>
      </c>
      <c r="D215">
        <v>0</v>
      </c>
      <c r="E215">
        <v>99</v>
      </c>
      <c r="F215">
        <v>0</v>
      </c>
      <c r="G215">
        <v>0</v>
      </c>
      <c r="H215">
        <v>0</v>
      </c>
      <c r="I215" t="s">
        <v>45</v>
      </c>
    </row>
    <row r="216" spans="1:9">
      <c r="A216" t="s">
        <v>223</v>
      </c>
      <c r="B216">
        <v>0</v>
      </c>
      <c r="C216">
        <v>0</v>
      </c>
      <c r="D216">
        <v>0</v>
      </c>
      <c r="E216">
        <v>99</v>
      </c>
      <c r="F216">
        <v>0</v>
      </c>
      <c r="G216">
        <v>0</v>
      </c>
      <c r="H216">
        <v>0</v>
      </c>
      <c r="I216" t="s">
        <v>45</v>
      </c>
    </row>
    <row r="217" spans="1:9">
      <c r="A217" t="s">
        <v>224</v>
      </c>
      <c r="B217">
        <v>0</v>
      </c>
      <c r="C217">
        <v>0</v>
      </c>
      <c r="D217">
        <v>0</v>
      </c>
      <c r="E217">
        <v>99</v>
      </c>
      <c r="F217">
        <v>0</v>
      </c>
      <c r="G217">
        <v>0</v>
      </c>
      <c r="H217">
        <v>0</v>
      </c>
      <c r="I217" t="s">
        <v>45</v>
      </c>
    </row>
    <row r="218" spans="1:9">
      <c r="A218" t="s">
        <v>225</v>
      </c>
      <c r="B218">
        <v>0</v>
      </c>
      <c r="C218">
        <v>0</v>
      </c>
      <c r="D218">
        <v>0</v>
      </c>
      <c r="E218">
        <v>99</v>
      </c>
      <c r="F218">
        <v>0</v>
      </c>
      <c r="G218">
        <v>0</v>
      </c>
      <c r="H218">
        <v>0</v>
      </c>
      <c r="I218" t="s">
        <v>45</v>
      </c>
    </row>
    <row r="219" spans="1:9">
      <c r="A219" t="s">
        <v>226</v>
      </c>
      <c r="B219">
        <v>0</v>
      </c>
      <c r="C219">
        <v>0</v>
      </c>
      <c r="D219">
        <v>0</v>
      </c>
      <c r="E219">
        <v>99</v>
      </c>
      <c r="F219">
        <v>0</v>
      </c>
      <c r="G219">
        <v>0</v>
      </c>
      <c r="H219">
        <v>0</v>
      </c>
      <c r="I219" t="s">
        <v>45</v>
      </c>
    </row>
    <row r="220" spans="1:9">
      <c r="A220" t="s">
        <v>227</v>
      </c>
      <c r="B220">
        <v>0</v>
      </c>
      <c r="C220">
        <v>0</v>
      </c>
      <c r="D220">
        <v>0</v>
      </c>
      <c r="E220">
        <v>99</v>
      </c>
      <c r="F220">
        <v>0</v>
      </c>
      <c r="G220">
        <v>0</v>
      </c>
      <c r="H220">
        <v>0</v>
      </c>
      <c r="I220" t="s">
        <v>45</v>
      </c>
    </row>
    <row r="221" spans="1:9">
      <c r="A221" t="s">
        <v>228</v>
      </c>
      <c r="B221">
        <v>0</v>
      </c>
      <c r="C221">
        <v>0</v>
      </c>
      <c r="D221">
        <v>0</v>
      </c>
      <c r="E221">
        <v>99</v>
      </c>
      <c r="F221">
        <v>0</v>
      </c>
      <c r="G221">
        <v>0</v>
      </c>
      <c r="H221">
        <v>0</v>
      </c>
      <c r="I221" t="s">
        <v>45</v>
      </c>
    </row>
    <row r="222" spans="1:9">
      <c r="A222" t="s">
        <v>229</v>
      </c>
      <c r="B222">
        <v>0</v>
      </c>
      <c r="C222">
        <v>0</v>
      </c>
      <c r="D222">
        <v>0</v>
      </c>
      <c r="E222">
        <v>99</v>
      </c>
      <c r="F222">
        <v>0</v>
      </c>
      <c r="G222">
        <v>0</v>
      </c>
      <c r="H222">
        <v>0</v>
      </c>
      <c r="I222" t="s">
        <v>45</v>
      </c>
    </row>
    <row r="223" spans="1:9">
      <c r="A223" t="s">
        <v>230</v>
      </c>
      <c r="B223">
        <v>0</v>
      </c>
      <c r="C223">
        <v>0</v>
      </c>
      <c r="D223">
        <v>0</v>
      </c>
      <c r="E223">
        <v>99</v>
      </c>
      <c r="F223">
        <v>0</v>
      </c>
      <c r="G223">
        <v>0</v>
      </c>
      <c r="H223">
        <v>0</v>
      </c>
      <c r="I223" t="s">
        <v>45</v>
      </c>
    </row>
    <row r="224" spans="1:9">
      <c r="A224" t="s">
        <v>231</v>
      </c>
      <c r="B224">
        <v>0</v>
      </c>
      <c r="C224">
        <v>0</v>
      </c>
      <c r="D224">
        <v>0</v>
      </c>
      <c r="E224">
        <v>99</v>
      </c>
      <c r="F224">
        <v>0</v>
      </c>
      <c r="G224">
        <v>0</v>
      </c>
      <c r="H224">
        <v>0</v>
      </c>
      <c r="I224" t="s">
        <v>45</v>
      </c>
    </row>
    <row r="225" spans="1:9">
      <c r="A225" t="s">
        <v>232</v>
      </c>
      <c r="B225">
        <v>0</v>
      </c>
      <c r="C225">
        <v>0</v>
      </c>
      <c r="D225">
        <v>0</v>
      </c>
      <c r="E225">
        <v>99</v>
      </c>
      <c r="F225">
        <v>0</v>
      </c>
      <c r="G225">
        <v>0</v>
      </c>
      <c r="H225">
        <v>0</v>
      </c>
      <c r="I225" t="s">
        <v>45</v>
      </c>
    </row>
    <row r="226" spans="1:9">
      <c r="A226" t="s">
        <v>233</v>
      </c>
      <c r="B226">
        <v>0</v>
      </c>
      <c r="C226">
        <v>0</v>
      </c>
      <c r="D226">
        <v>0</v>
      </c>
      <c r="E226">
        <v>99</v>
      </c>
      <c r="F226">
        <v>0</v>
      </c>
      <c r="G226">
        <v>0</v>
      </c>
      <c r="H226">
        <v>0</v>
      </c>
      <c r="I226" t="s">
        <v>45</v>
      </c>
    </row>
    <row r="227" spans="1:9">
      <c r="A227" t="s">
        <v>234</v>
      </c>
      <c r="B227">
        <v>0</v>
      </c>
      <c r="C227">
        <v>0</v>
      </c>
      <c r="D227">
        <v>0</v>
      </c>
      <c r="E227">
        <v>99</v>
      </c>
      <c r="F227">
        <v>0</v>
      </c>
      <c r="G227">
        <v>0</v>
      </c>
      <c r="H227">
        <v>0</v>
      </c>
      <c r="I227" t="s">
        <v>45</v>
      </c>
    </row>
    <row r="228" spans="1:9">
      <c r="A228" t="s">
        <v>235</v>
      </c>
      <c r="B228">
        <v>0</v>
      </c>
      <c r="C228">
        <v>0</v>
      </c>
      <c r="D228">
        <v>0</v>
      </c>
      <c r="E228">
        <v>99</v>
      </c>
      <c r="F228">
        <v>0</v>
      </c>
      <c r="G228">
        <v>0</v>
      </c>
      <c r="H228">
        <v>0</v>
      </c>
      <c r="I228" t="s">
        <v>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71FE4-7366-4A64-B904-358794D7E1AC}">
  <sheetPr codeName="Sheet11"/>
  <dimension ref="A1:EZ228"/>
  <sheetViews>
    <sheetView topLeftCell="A85" workbookViewId="0"/>
  </sheetViews>
  <sheetFormatPr defaultRowHeight="12.5"/>
  <cols>
    <col min="10" max="10" width="10.81640625" bestFit="1" customWidth="1"/>
  </cols>
  <sheetData>
    <row r="1" spans="1:7">
      <c r="A1" t="s">
        <v>255</v>
      </c>
      <c r="B1">
        <v>24</v>
      </c>
      <c r="C1" t="s">
        <v>245</v>
      </c>
      <c r="D1" t="s">
        <v>83</v>
      </c>
      <c r="E1" t="s">
        <v>240</v>
      </c>
    </row>
    <row r="2" spans="1:7">
      <c r="A2" t="s">
        <v>79</v>
      </c>
      <c r="B2" t="s">
        <v>87</v>
      </c>
      <c r="C2">
        <v>2</v>
      </c>
    </row>
    <row r="3" spans="1:7">
      <c r="A3" t="s">
        <v>80</v>
      </c>
    </row>
    <row r="4" spans="1:7">
      <c r="A4" t="s">
        <v>259</v>
      </c>
    </row>
    <row r="5" spans="1:7">
      <c r="A5" t="s">
        <v>81</v>
      </c>
      <c r="B5" t="s">
        <v>89</v>
      </c>
      <c r="C5" t="s">
        <v>58</v>
      </c>
      <c r="D5" t="s">
        <v>260</v>
      </c>
    </row>
    <row r="6" spans="1:7">
      <c r="A6" t="s">
        <v>258</v>
      </c>
    </row>
    <row r="7" spans="1:7">
      <c r="A7" t="s">
        <v>82</v>
      </c>
      <c r="B7" t="s">
        <v>92</v>
      </c>
    </row>
    <row r="8" spans="1:7">
      <c r="A8" t="s">
        <v>93</v>
      </c>
      <c r="B8" t="s">
        <v>94</v>
      </c>
    </row>
    <row r="9" spans="1:7">
      <c r="A9" t="s">
        <v>95</v>
      </c>
      <c r="B9" t="s">
        <v>96</v>
      </c>
      <c r="C9" t="s">
        <v>97</v>
      </c>
    </row>
    <row r="10" spans="1:7">
      <c r="A10" t="s">
        <v>244</v>
      </c>
    </row>
    <row r="11" spans="1:7">
      <c r="A11" t="s">
        <v>99</v>
      </c>
    </row>
    <row r="12" spans="1:7">
      <c r="A12" t="s">
        <v>100</v>
      </c>
      <c r="B12" t="s">
        <v>101</v>
      </c>
      <c r="C12" t="s">
        <v>102</v>
      </c>
      <c r="D12" t="s">
        <v>103</v>
      </c>
      <c r="E12" t="s">
        <v>104</v>
      </c>
      <c r="F12" t="s">
        <v>105</v>
      </c>
      <c r="G12" t="s">
        <v>106</v>
      </c>
    </row>
    <row r="13" spans="1:7">
      <c r="A13">
        <v>2</v>
      </c>
      <c r="B13">
        <v>22725780</v>
      </c>
      <c r="C13">
        <v>0.09</v>
      </c>
      <c r="D13">
        <v>0</v>
      </c>
      <c r="E13">
        <v>5.64</v>
      </c>
      <c r="F13">
        <v>812</v>
      </c>
      <c r="G13">
        <v>3056</v>
      </c>
    </row>
    <row r="14" spans="1:7">
      <c r="A14">
        <v>4</v>
      </c>
      <c r="B14">
        <v>201187100</v>
      </c>
      <c r="C14">
        <v>0.8</v>
      </c>
      <c r="D14">
        <v>0</v>
      </c>
      <c r="E14">
        <v>24.21</v>
      </c>
      <c r="F14">
        <v>6491</v>
      </c>
      <c r="G14">
        <v>37920</v>
      </c>
    </row>
    <row r="15" spans="1:7">
      <c r="A15">
        <v>6</v>
      </c>
      <c r="B15">
        <v>225093440</v>
      </c>
      <c r="C15">
        <v>0.9</v>
      </c>
      <c r="D15">
        <v>0</v>
      </c>
      <c r="E15">
        <v>35.28</v>
      </c>
      <c r="F15">
        <v>15090</v>
      </c>
      <c r="G15">
        <v>91489</v>
      </c>
    </row>
    <row r="16" spans="1:7">
      <c r="A16">
        <v>8</v>
      </c>
      <c r="B16">
        <v>373450480</v>
      </c>
      <c r="C16">
        <v>1.49</v>
      </c>
      <c r="D16">
        <v>0</v>
      </c>
      <c r="E16">
        <v>51.43</v>
      </c>
      <c r="F16">
        <v>27875</v>
      </c>
      <c r="G16">
        <v>169675</v>
      </c>
    </row>
    <row r="17" spans="1:7">
      <c r="A17">
        <v>10</v>
      </c>
      <c r="B17">
        <v>548763640</v>
      </c>
      <c r="C17">
        <v>2.2000000000000002</v>
      </c>
      <c r="D17">
        <v>0</v>
      </c>
      <c r="E17">
        <v>75.56</v>
      </c>
      <c r="F17">
        <v>47545</v>
      </c>
      <c r="G17">
        <v>287162</v>
      </c>
    </row>
    <row r="18" spans="1:7">
      <c r="A18">
        <v>12</v>
      </c>
      <c r="B18">
        <v>832688320</v>
      </c>
      <c r="C18">
        <v>3.33</v>
      </c>
      <c r="D18">
        <v>0</v>
      </c>
      <c r="E18">
        <v>110.15</v>
      </c>
      <c r="F18">
        <v>77363</v>
      </c>
      <c r="G18">
        <v>457099</v>
      </c>
    </row>
    <row r="19" spans="1:7">
      <c r="A19">
        <v>14</v>
      </c>
      <c r="B19">
        <v>1062602380</v>
      </c>
      <c r="C19">
        <v>4.25</v>
      </c>
      <c r="D19">
        <v>0</v>
      </c>
      <c r="E19">
        <v>160.6</v>
      </c>
      <c r="F19">
        <v>120196</v>
      </c>
      <c r="G19">
        <v>706241</v>
      </c>
    </row>
    <row r="20" spans="1:7">
      <c r="A20">
        <v>16</v>
      </c>
      <c r="B20">
        <v>1739653540</v>
      </c>
      <c r="C20">
        <v>6.96</v>
      </c>
      <c r="D20">
        <v>0</v>
      </c>
      <c r="E20">
        <v>234.19</v>
      </c>
      <c r="F20">
        <v>177638</v>
      </c>
      <c r="G20">
        <v>1070608</v>
      </c>
    </row>
    <row r="21" spans="1:7">
      <c r="A21">
        <v>18</v>
      </c>
      <c r="B21">
        <v>2377352700</v>
      </c>
      <c r="C21">
        <v>9.51</v>
      </c>
      <c r="D21">
        <v>0</v>
      </c>
      <c r="E21">
        <v>343.45</v>
      </c>
      <c r="F21">
        <v>259140</v>
      </c>
      <c r="G21">
        <v>1612368</v>
      </c>
    </row>
    <row r="22" spans="1:7">
      <c r="A22">
        <v>20</v>
      </c>
      <c r="B22">
        <v>4021577640</v>
      </c>
      <c r="C22">
        <v>16.09</v>
      </c>
      <c r="D22">
        <v>0</v>
      </c>
      <c r="E22">
        <v>495.41</v>
      </c>
      <c r="F22">
        <v>377719</v>
      </c>
      <c r="G22">
        <v>2388127</v>
      </c>
    </row>
    <row r="23" spans="1:7">
      <c r="A23">
        <v>22</v>
      </c>
      <c r="B23">
        <v>4196497280</v>
      </c>
      <c r="C23">
        <v>16.78</v>
      </c>
      <c r="D23">
        <v>0</v>
      </c>
      <c r="E23">
        <v>665.04</v>
      </c>
      <c r="F23">
        <v>548236</v>
      </c>
      <c r="G23">
        <v>3468388</v>
      </c>
    </row>
    <row r="24" spans="1:7">
      <c r="A24">
        <v>24</v>
      </c>
      <c r="B24">
        <v>5698464740</v>
      </c>
      <c r="C24">
        <v>22.8</v>
      </c>
      <c r="D24">
        <v>0</v>
      </c>
      <c r="E24">
        <v>851.44</v>
      </c>
      <c r="F24">
        <v>692232</v>
      </c>
      <c r="G24">
        <v>4888989</v>
      </c>
    </row>
    <row r="25" spans="1:7">
      <c r="A25">
        <v>26</v>
      </c>
      <c r="B25">
        <v>6643798160</v>
      </c>
      <c r="C25">
        <v>26.58</v>
      </c>
      <c r="D25">
        <v>0</v>
      </c>
      <c r="E25">
        <v>952.26</v>
      </c>
      <c r="F25">
        <v>818229</v>
      </c>
      <c r="G25">
        <v>6459988</v>
      </c>
    </row>
    <row r="26" spans="1:7">
      <c r="A26">
        <v>28</v>
      </c>
      <c r="B26">
        <v>6635435860</v>
      </c>
      <c r="C26">
        <v>26.54</v>
      </c>
      <c r="D26">
        <v>0</v>
      </c>
      <c r="E26">
        <v>952.26</v>
      </c>
      <c r="F26">
        <v>952111</v>
      </c>
      <c r="G26">
        <v>8004632</v>
      </c>
    </row>
    <row r="27" spans="1:7">
      <c r="A27">
        <v>30</v>
      </c>
      <c r="B27">
        <v>6552796660</v>
      </c>
      <c r="C27">
        <v>26.21</v>
      </c>
      <c r="D27">
        <v>0</v>
      </c>
      <c r="E27">
        <v>952.26</v>
      </c>
      <c r="F27">
        <v>1094795</v>
      </c>
      <c r="G27">
        <v>9613902</v>
      </c>
    </row>
    <row r="28" spans="1:7">
      <c r="A28">
        <v>32</v>
      </c>
      <c r="B28">
        <v>6090902560</v>
      </c>
      <c r="C28">
        <v>24.36</v>
      </c>
      <c r="D28">
        <v>0</v>
      </c>
      <c r="E28">
        <v>952.26</v>
      </c>
      <c r="F28">
        <v>1248105</v>
      </c>
      <c r="G28">
        <v>11333997</v>
      </c>
    </row>
    <row r="29" spans="1:7">
      <c r="A29">
        <v>34</v>
      </c>
      <c r="B29">
        <v>6458647000</v>
      </c>
      <c r="C29">
        <v>25.83</v>
      </c>
      <c r="D29">
        <v>0</v>
      </c>
      <c r="E29">
        <v>952.26</v>
      </c>
      <c r="F29">
        <v>1428396</v>
      </c>
      <c r="G29">
        <v>13214075</v>
      </c>
    </row>
    <row r="30" spans="1:7">
      <c r="A30">
        <v>36</v>
      </c>
      <c r="B30">
        <v>5920311640</v>
      </c>
      <c r="C30">
        <v>23.68</v>
      </c>
      <c r="D30">
        <v>0</v>
      </c>
      <c r="E30">
        <v>952.26</v>
      </c>
      <c r="F30">
        <v>1650062</v>
      </c>
      <c r="G30">
        <v>15307157</v>
      </c>
    </row>
    <row r="31" spans="1:7">
      <c r="A31">
        <v>38</v>
      </c>
      <c r="B31">
        <v>6601199620</v>
      </c>
      <c r="C31">
        <v>26.41</v>
      </c>
      <c r="D31">
        <v>0</v>
      </c>
      <c r="E31">
        <v>952.26</v>
      </c>
      <c r="F31">
        <v>1912636</v>
      </c>
      <c r="G31">
        <v>17665939</v>
      </c>
    </row>
    <row r="32" spans="1:7">
      <c r="A32">
        <v>40</v>
      </c>
      <c r="B32">
        <v>6090705800</v>
      </c>
      <c r="C32">
        <v>24.36</v>
      </c>
      <c r="D32">
        <v>0</v>
      </c>
      <c r="E32">
        <v>952.26</v>
      </c>
      <c r="F32">
        <v>2208608</v>
      </c>
      <c r="G32">
        <v>20256473</v>
      </c>
    </row>
    <row r="33" spans="1:7">
      <c r="A33">
        <v>42</v>
      </c>
      <c r="B33">
        <v>5569291800</v>
      </c>
      <c r="C33">
        <v>22.28</v>
      </c>
      <c r="D33">
        <v>0</v>
      </c>
      <c r="E33">
        <v>952.26</v>
      </c>
      <c r="F33">
        <v>2514466</v>
      </c>
      <c r="G33">
        <v>22875132</v>
      </c>
    </row>
    <row r="34" spans="1:7">
      <c r="A34">
        <v>44</v>
      </c>
      <c r="B34">
        <v>5066078100</v>
      </c>
      <c r="C34">
        <v>20.27</v>
      </c>
      <c r="D34">
        <v>28</v>
      </c>
      <c r="E34">
        <v>686.99</v>
      </c>
      <c r="F34">
        <v>2810029</v>
      </c>
      <c r="G34">
        <v>24830708</v>
      </c>
    </row>
    <row r="35" spans="1:7">
      <c r="A35">
        <v>46</v>
      </c>
      <c r="B35">
        <v>5223879620</v>
      </c>
      <c r="C35">
        <v>20.9</v>
      </c>
      <c r="D35">
        <v>0</v>
      </c>
      <c r="E35">
        <v>723.22</v>
      </c>
      <c r="F35">
        <v>3173247</v>
      </c>
      <c r="G35">
        <v>27192039</v>
      </c>
    </row>
    <row r="36" spans="1:7">
      <c r="A36">
        <v>48</v>
      </c>
      <c r="B36">
        <v>6125237180</v>
      </c>
      <c r="C36">
        <v>24.5</v>
      </c>
      <c r="D36">
        <v>0</v>
      </c>
      <c r="E36">
        <v>756.04</v>
      </c>
      <c r="F36">
        <v>3547467</v>
      </c>
      <c r="G36">
        <v>29649648</v>
      </c>
    </row>
    <row r="37" spans="1:7">
      <c r="A37">
        <v>50</v>
      </c>
      <c r="B37">
        <v>5565848500</v>
      </c>
      <c r="C37">
        <v>22.26</v>
      </c>
      <c r="D37">
        <v>0</v>
      </c>
      <c r="E37">
        <v>785.4</v>
      </c>
      <c r="F37">
        <v>3926211</v>
      </c>
      <c r="G37">
        <v>32204571</v>
      </c>
    </row>
    <row r="38" spans="1:7">
      <c r="A38">
        <v>52</v>
      </c>
      <c r="B38">
        <v>6505771020</v>
      </c>
      <c r="C38">
        <v>26.02</v>
      </c>
      <c r="D38">
        <v>0</v>
      </c>
      <c r="E38">
        <v>811.71</v>
      </c>
      <c r="F38">
        <v>4294238</v>
      </c>
      <c r="G38">
        <v>34782853</v>
      </c>
    </row>
    <row r="39" spans="1:7">
      <c r="A39">
        <v>54</v>
      </c>
      <c r="B39">
        <v>5778152540</v>
      </c>
      <c r="C39">
        <v>23.11</v>
      </c>
      <c r="D39">
        <v>0</v>
      </c>
      <c r="E39">
        <v>834.96</v>
      </c>
      <c r="F39">
        <v>4664734</v>
      </c>
      <c r="G39">
        <v>37377165</v>
      </c>
    </row>
    <row r="40" spans="1:7">
      <c r="A40">
        <v>56</v>
      </c>
      <c r="B40">
        <v>6777496580</v>
      </c>
      <c r="C40">
        <v>27.11</v>
      </c>
      <c r="D40">
        <v>0</v>
      </c>
      <c r="E40">
        <v>855.59</v>
      </c>
      <c r="F40">
        <v>5029698</v>
      </c>
      <c r="G40">
        <v>39973290</v>
      </c>
    </row>
    <row r="41" spans="1:7">
      <c r="A41">
        <v>58</v>
      </c>
      <c r="B41">
        <v>6236800100</v>
      </c>
      <c r="C41">
        <v>24.95</v>
      </c>
      <c r="D41">
        <v>0</v>
      </c>
      <c r="E41">
        <v>873.61</v>
      </c>
      <c r="F41">
        <v>5395641</v>
      </c>
      <c r="G41">
        <v>42573293</v>
      </c>
    </row>
    <row r="42" spans="1:7">
      <c r="A42">
        <v>60</v>
      </c>
      <c r="B42">
        <v>6346198660</v>
      </c>
      <c r="C42">
        <v>25.38</v>
      </c>
      <c r="D42">
        <v>0</v>
      </c>
      <c r="E42">
        <v>889.32</v>
      </c>
      <c r="F42">
        <v>5757017</v>
      </c>
      <c r="G42">
        <v>45176740</v>
      </c>
    </row>
    <row r="43" spans="1:7">
      <c r="A43">
        <v>62</v>
      </c>
      <c r="B43">
        <v>6918573500</v>
      </c>
      <c r="C43">
        <v>27.67</v>
      </c>
      <c r="D43">
        <v>0</v>
      </c>
      <c r="E43">
        <v>902.72</v>
      </c>
      <c r="F43">
        <v>6119239</v>
      </c>
      <c r="G43">
        <v>47784688</v>
      </c>
    </row>
    <row r="44" spans="1:7">
      <c r="A44">
        <v>64</v>
      </c>
      <c r="B44">
        <v>4898143440</v>
      </c>
      <c r="C44">
        <v>19.03</v>
      </c>
      <c r="D44">
        <v>247</v>
      </c>
      <c r="E44">
        <v>638.32000000000005</v>
      </c>
      <c r="F44">
        <v>6449985</v>
      </c>
      <c r="G44">
        <v>50026114</v>
      </c>
    </row>
    <row r="45" spans="1:7">
      <c r="A45">
        <v>66</v>
      </c>
      <c r="B45">
        <v>5389945060</v>
      </c>
      <c r="C45">
        <v>22.21</v>
      </c>
      <c r="D45">
        <v>0</v>
      </c>
      <c r="E45">
        <v>656.27</v>
      </c>
      <c r="F45">
        <v>6754148</v>
      </c>
      <c r="G45">
        <v>52028576</v>
      </c>
    </row>
    <row r="46" spans="1:7">
      <c r="A46">
        <v>68</v>
      </c>
      <c r="B46">
        <v>5322259620</v>
      </c>
      <c r="C46">
        <v>21.29</v>
      </c>
      <c r="D46">
        <v>0</v>
      </c>
      <c r="E46">
        <v>677.65</v>
      </c>
      <c r="F46">
        <v>7103276</v>
      </c>
      <c r="G46">
        <v>54203910</v>
      </c>
    </row>
    <row r="47" spans="1:7">
      <c r="A47">
        <v>70</v>
      </c>
      <c r="B47">
        <v>5119006540</v>
      </c>
      <c r="C47">
        <v>20.48</v>
      </c>
      <c r="D47">
        <v>0</v>
      </c>
      <c r="E47">
        <v>695.73</v>
      </c>
      <c r="F47">
        <v>7451135</v>
      </c>
      <c r="G47">
        <v>56413341</v>
      </c>
    </row>
    <row r="48" spans="1:7">
      <c r="A48">
        <v>72</v>
      </c>
      <c r="B48">
        <v>4981176160</v>
      </c>
      <c r="C48">
        <v>19.920000000000002</v>
      </c>
      <c r="D48">
        <v>0</v>
      </c>
      <c r="E48">
        <v>711.35</v>
      </c>
      <c r="F48">
        <v>7797657</v>
      </c>
      <c r="G48">
        <v>58679476</v>
      </c>
    </row>
    <row r="49" spans="1:7">
      <c r="A49">
        <v>74</v>
      </c>
      <c r="B49">
        <v>6227945900</v>
      </c>
      <c r="C49">
        <v>24.91</v>
      </c>
      <c r="D49">
        <v>0</v>
      </c>
      <c r="E49">
        <v>725.07</v>
      </c>
      <c r="F49">
        <v>8143605</v>
      </c>
      <c r="G49">
        <v>60998124</v>
      </c>
    </row>
    <row r="50" spans="1:7">
      <c r="A50">
        <v>76</v>
      </c>
      <c r="B50">
        <v>5464418720</v>
      </c>
      <c r="C50">
        <v>21.86</v>
      </c>
      <c r="D50">
        <v>0</v>
      </c>
      <c r="E50">
        <v>736.41</v>
      </c>
      <c r="F50">
        <v>8496936</v>
      </c>
      <c r="G50">
        <v>63365580</v>
      </c>
    </row>
    <row r="51" spans="1:7">
      <c r="A51">
        <v>78</v>
      </c>
      <c r="B51">
        <v>5327277000</v>
      </c>
      <c r="C51">
        <v>21.31</v>
      </c>
      <c r="D51">
        <v>0</v>
      </c>
      <c r="E51">
        <v>746.04</v>
      </c>
      <c r="F51">
        <v>8849683</v>
      </c>
      <c r="G51">
        <v>65750613</v>
      </c>
    </row>
    <row r="52" spans="1:7">
      <c r="A52">
        <v>80</v>
      </c>
      <c r="B52">
        <v>6392634020</v>
      </c>
      <c r="C52">
        <v>25.57</v>
      </c>
      <c r="D52">
        <v>0</v>
      </c>
      <c r="E52">
        <v>753.84</v>
      </c>
      <c r="F52">
        <v>9203130</v>
      </c>
      <c r="G52">
        <v>68163737</v>
      </c>
    </row>
    <row r="53" spans="1:7">
      <c r="A53">
        <v>82</v>
      </c>
      <c r="B53">
        <v>5576276780</v>
      </c>
      <c r="C53">
        <v>22.31</v>
      </c>
      <c r="D53">
        <v>0</v>
      </c>
      <c r="E53">
        <v>760.14</v>
      </c>
      <c r="F53">
        <v>9561375</v>
      </c>
      <c r="G53">
        <v>70604938</v>
      </c>
    </row>
    <row r="54" spans="1:7">
      <c r="A54">
        <v>84</v>
      </c>
      <c r="B54">
        <v>6166950300</v>
      </c>
      <c r="C54">
        <v>24.67</v>
      </c>
      <c r="D54">
        <v>0</v>
      </c>
      <c r="E54">
        <v>765.03</v>
      </c>
      <c r="F54">
        <v>9922308</v>
      </c>
      <c r="G54">
        <v>73058326</v>
      </c>
    </row>
    <row r="55" spans="1:7">
      <c r="A55">
        <v>86</v>
      </c>
      <c r="B55">
        <v>5733192880</v>
      </c>
      <c r="C55">
        <v>22.93</v>
      </c>
      <c r="D55">
        <v>0</v>
      </c>
      <c r="E55">
        <v>768.69</v>
      </c>
      <c r="F55">
        <v>10283056</v>
      </c>
      <c r="G55">
        <v>75515179</v>
      </c>
    </row>
    <row r="56" spans="1:7">
      <c r="A56">
        <v>88</v>
      </c>
      <c r="B56">
        <v>5920114880</v>
      </c>
      <c r="C56">
        <v>23.68</v>
      </c>
      <c r="D56">
        <v>0</v>
      </c>
      <c r="E56">
        <v>771.33</v>
      </c>
      <c r="F56">
        <v>10651313</v>
      </c>
      <c r="G56">
        <v>77979249</v>
      </c>
    </row>
    <row r="57" spans="1:7">
      <c r="A57">
        <v>90</v>
      </c>
      <c r="B57">
        <v>6198235140</v>
      </c>
      <c r="C57">
        <v>24.79</v>
      </c>
      <c r="D57">
        <v>0</v>
      </c>
      <c r="E57">
        <v>773.11</v>
      </c>
      <c r="F57">
        <v>11026048</v>
      </c>
      <c r="G57">
        <v>80459475</v>
      </c>
    </row>
    <row r="58" spans="1:7">
      <c r="A58">
        <v>92</v>
      </c>
      <c r="B58">
        <v>5643863840</v>
      </c>
      <c r="C58">
        <v>22.58</v>
      </c>
      <c r="D58">
        <v>0</v>
      </c>
      <c r="E58">
        <v>774.18</v>
      </c>
      <c r="F58">
        <v>11399243</v>
      </c>
      <c r="G58">
        <v>82941311</v>
      </c>
    </row>
    <row r="59" spans="1:7">
      <c r="A59">
        <v>94</v>
      </c>
      <c r="B59">
        <v>6345214860</v>
      </c>
      <c r="C59">
        <v>25.38</v>
      </c>
      <c r="D59">
        <v>0</v>
      </c>
      <c r="E59">
        <v>774.74</v>
      </c>
      <c r="F59">
        <v>11771925</v>
      </c>
      <c r="G59">
        <v>85427060</v>
      </c>
    </row>
    <row r="60" spans="1:7">
      <c r="A60">
        <v>96</v>
      </c>
      <c r="B60">
        <v>5867776720</v>
      </c>
      <c r="C60">
        <v>23.47</v>
      </c>
      <c r="D60">
        <v>0</v>
      </c>
      <c r="E60">
        <v>774.96</v>
      </c>
      <c r="F60">
        <v>12145671</v>
      </c>
      <c r="G60">
        <v>87905949</v>
      </c>
    </row>
    <row r="61" spans="1:7">
      <c r="A61">
        <v>98</v>
      </c>
      <c r="B61">
        <v>6232668140</v>
      </c>
      <c r="C61">
        <v>24.93</v>
      </c>
      <c r="D61">
        <v>0</v>
      </c>
      <c r="E61">
        <v>774.99</v>
      </c>
      <c r="F61">
        <v>12523469</v>
      </c>
      <c r="G61">
        <v>90392888</v>
      </c>
    </row>
    <row r="62" spans="1:7">
      <c r="A62">
        <v>100</v>
      </c>
      <c r="B62">
        <v>5787793780</v>
      </c>
      <c r="C62">
        <v>23.15</v>
      </c>
      <c r="D62">
        <v>0</v>
      </c>
      <c r="E62">
        <v>775.01</v>
      </c>
      <c r="F62">
        <v>12897364</v>
      </c>
      <c r="G62">
        <v>92880646</v>
      </c>
    </row>
    <row r="63" spans="1:7">
      <c r="A63">
        <v>102</v>
      </c>
      <c r="B63">
        <v>6164097280</v>
      </c>
      <c r="C63">
        <v>24.66</v>
      </c>
      <c r="D63">
        <v>0</v>
      </c>
      <c r="E63">
        <v>775.21</v>
      </c>
      <c r="F63">
        <v>13270898</v>
      </c>
      <c r="G63">
        <v>95370658</v>
      </c>
    </row>
    <row r="64" spans="1:7">
      <c r="A64">
        <v>104</v>
      </c>
      <c r="B64">
        <v>5881746680</v>
      </c>
      <c r="C64">
        <v>23.53</v>
      </c>
      <c r="D64">
        <v>0</v>
      </c>
      <c r="E64">
        <v>775.73</v>
      </c>
      <c r="F64">
        <v>13639671</v>
      </c>
      <c r="G64">
        <v>97859718</v>
      </c>
    </row>
    <row r="65" spans="1:7">
      <c r="A65">
        <v>106</v>
      </c>
      <c r="B65">
        <v>5633042040</v>
      </c>
      <c r="C65">
        <v>22.53</v>
      </c>
      <c r="D65">
        <v>0</v>
      </c>
      <c r="E65">
        <v>776.78</v>
      </c>
      <c r="F65">
        <v>14007075</v>
      </c>
      <c r="G65">
        <v>100356009</v>
      </c>
    </row>
    <row r="66" spans="1:7">
      <c r="A66">
        <v>108</v>
      </c>
      <c r="B66">
        <v>6390764800</v>
      </c>
      <c r="C66">
        <v>25.56</v>
      </c>
      <c r="D66">
        <v>0</v>
      </c>
      <c r="E66">
        <v>778.5</v>
      </c>
      <c r="F66">
        <v>14376708</v>
      </c>
      <c r="G66">
        <v>102856318</v>
      </c>
    </row>
    <row r="67" spans="1:7">
      <c r="A67">
        <v>110</v>
      </c>
      <c r="B67">
        <v>6097690780</v>
      </c>
      <c r="C67">
        <v>24.39</v>
      </c>
      <c r="D67">
        <v>0</v>
      </c>
      <c r="E67">
        <v>781.08</v>
      </c>
      <c r="F67">
        <v>14746146</v>
      </c>
      <c r="G67">
        <v>105365405</v>
      </c>
    </row>
    <row r="68" spans="1:7">
      <c r="A68">
        <v>112</v>
      </c>
      <c r="B68">
        <v>5648684460</v>
      </c>
      <c r="C68">
        <v>22.59</v>
      </c>
      <c r="D68">
        <v>0</v>
      </c>
      <c r="E68">
        <v>784.68</v>
      </c>
      <c r="F68">
        <v>15114712</v>
      </c>
      <c r="G68">
        <v>107886679</v>
      </c>
    </row>
    <row r="69" spans="1:7">
      <c r="A69">
        <v>114</v>
      </c>
      <c r="B69">
        <v>6675870040</v>
      </c>
      <c r="C69">
        <v>26.7</v>
      </c>
      <c r="D69">
        <v>0</v>
      </c>
      <c r="E69">
        <v>789.5</v>
      </c>
      <c r="F69">
        <v>15484968</v>
      </c>
      <c r="G69">
        <v>110420952</v>
      </c>
    </row>
    <row r="70" spans="1:7">
      <c r="A70">
        <v>116</v>
      </c>
      <c r="B70">
        <v>6090607420</v>
      </c>
      <c r="C70">
        <v>24.36</v>
      </c>
      <c r="D70">
        <v>0</v>
      </c>
      <c r="E70">
        <v>795.67</v>
      </c>
      <c r="F70">
        <v>15860144</v>
      </c>
      <c r="G70">
        <v>112970191</v>
      </c>
    </row>
    <row r="71" spans="1:7">
      <c r="A71">
        <v>118</v>
      </c>
      <c r="B71">
        <v>5526398120</v>
      </c>
      <c r="C71">
        <v>22.11</v>
      </c>
      <c r="D71">
        <v>0</v>
      </c>
      <c r="E71">
        <v>803.38</v>
      </c>
      <c r="F71">
        <v>16238888</v>
      </c>
      <c r="G71">
        <v>115534620</v>
      </c>
    </row>
    <row r="72" spans="1:7">
      <c r="A72">
        <v>120</v>
      </c>
      <c r="B72">
        <v>6761657400</v>
      </c>
      <c r="C72">
        <v>27.05</v>
      </c>
      <c r="D72">
        <v>0</v>
      </c>
      <c r="E72">
        <v>812.82</v>
      </c>
      <c r="F72">
        <v>16613021</v>
      </c>
      <c r="G72">
        <v>118112902</v>
      </c>
    </row>
    <row r="73" spans="1:7">
      <c r="A73">
        <v>122</v>
      </c>
      <c r="B73">
        <v>5811700120</v>
      </c>
      <c r="C73">
        <v>23.25</v>
      </c>
      <c r="D73">
        <v>0</v>
      </c>
      <c r="E73">
        <v>824.15</v>
      </c>
      <c r="F73">
        <v>16985823</v>
      </c>
      <c r="G73">
        <v>120698443</v>
      </c>
    </row>
    <row r="74" spans="1:7">
      <c r="A74">
        <v>124</v>
      </c>
      <c r="B74">
        <v>6673804060</v>
      </c>
      <c r="C74">
        <v>26.7</v>
      </c>
      <c r="D74">
        <v>0</v>
      </c>
      <c r="E74">
        <v>837.38</v>
      </c>
      <c r="F74">
        <v>17354096</v>
      </c>
      <c r="G74">
        <v>123287645</v>
      </c>
    </row>
    <row r="75" spans="1:7">
      <c r="A75">
        <v>126</v>
      </c>
      <c r="B75">
        <v>6424509140</v>
      </c>
      <c r="C75">
        <v>25.7</v>
      </c>
      <c r="D75">
        <v>0</v>
      </c>
      <c r="E75">
        <v>853.09</v>
      </c>
      <c r="F75">
        <v>17716544</v>
      </c>
      <c r="G75">
        <v>125880984</v>
      </c>
    </row>
    <row r="76" spans="1:7">
      <c r="A76">
        <v>128</v>
      </c>
      <c r="B76">
        <v>6429723280</v>
      </c>
      <c r="C76">
        <v>25.72</v>
      </c>
      <c r="D76">
        <v>0</v>
      </c>
      <c r="E76">
        <v>871.02</v>
      </c>
      <c r="F76">
        <v>18069042</v>
      </c>
      <c r="G76">
        <v>128489786</v>
      </c>
    </row>
    <row r="77" spans="1:7">
      <c r="A77">
        <v>130</v>
      </c>
      <c r="B77">
        <v>6602970460</v>
      </c>
      <c r="C77">
        <v>26.41</v>
      </c>
      <c r="D77">
        <v>0</v>
      </c>
      <c r="E77">
        <v>891.64</v>
      </c>
      <c r="F77">
        <v>18426631</v>
      </c>
      <c r="G77">
        <v>131097699</v>
      </c>
    </row>
    <row r="78" spans="1:7">
      <c r="A78">
        <v>132</v>
      </c>
      <c r="B78">
        <v>4061913440</v>
      </c>
      <c r="C78">
        <v>16.25</v>
      </c>
      <c r="D78">
        <v>179</v>
      </c>
      <c r="E78">
        <v>641.15</v>
      </c>
      <c r="F78">
        <v>18698476</v>
      </c>
      <c r="G78">
        <v>132838073</v>
      </c>
    </row>
    <row r="79" spans="1:7">
      <c r="A79">
        <v>134</v>
      </c>
      <c r="B79">
        <v>5561716540</v>
      </c>
      <c r="C79">
        <v>22.25</v>
      </c>
      <c r="D79">
        <v>0</v>
      </c>
      <c r="E79">
        <v>676.98</v>
      </c>
      <c r="F79">
        <v>19046756</v>
      </c>
      <c r="G79">
        <v>134994633</v>
      </c>
    </row>
    <row r="80" spans="1:7">
      <c r="A80">
        <v>136</v>
      </c>
      <c r="B80">
        <v>5293631040</v>
      </c>
      <c r="C80">
        <v>21.17</v>
      </c>
      <c r="D80">
        <v>0</v>
      </c>
      <c r="E80">
        <v>708.84</v>
      </c>
      <c r="F80">
        <v>19395220</v>
      </c>
      <c r="G80">
        <v>137246554</v>
      </c>
    </row>
    <row r="81" spans="1:7">
      <c r="A81">
        <v>138</v>
      </c>
      <c r="B81">
        <v>5311339440</v>
      </c>
      <c r="C81">
        <v>21.24</v>
      </c>
      <c r="D81">
        <v>0</v>
      </c>
      <c r="E81">
        <v>737.29</v>
      </c>
      <c r="F81">
        <v>19746845</v>
      </c>
      <c r="G81">
        <v>139585961</v>
      </c>
    </row>
    <row r="82" spans="1:7">
      <c r="A82">
        <v>140</v>
      </c>
      <c r="B82">
        <v>6303993640</v>
      </c>
      <c r="C82">
        <v>25.22</v>
      </c>
      <c r="D82">
        <v>0</v>
      </c>
      <c r="E82">
        <v>762.84</v>
      </c>
      <c r="F82">
        <v>20106744</v>
      </c>
      <c r="G82">
        <v>142014492</v>
      </c>
    </row>
    <row r="83" spans="1:7">
      <c r="A83">
        <v>142</v>
      </c>
      <c r="B83">
        <v>5840427080</v>
      </c>
      <c r="C83">
        <v>23.36</v>
      </c>
      <c r="D83">
        <v>0</v>
      </c>
      <c r="E83">
        <v>785.41</v>
      </c>
      <c r="F83">
        <v>20478653</v>
      </c>
      <c r="G83">
        <v>144526470</v>
      </c>
    </row>
    <row r="84" spans="1:7">
      <c r="A84">
        <v>144</v>
      </c>
      <c r="B84">
        <v>6076342320</v>
      </c>
      <c r="C84">
        <v>24.31</v>
      </c>
      <c r="D84">
        <v>0</v>
      </c>
      <c r="E84">
        <v>805.19</v>
      </c>
      <c r="F84">
        <v>20852185</v>
      </c>
      <c r="G84">
        <v>147082058</v>
      </c>
    </row>
    <row r="85" spans="1:7">
      <c r="A85">
        <v>146</v>
      </c>
      <c r="B85">
        <v>6293762120</v>
      </c>
      <c r="C85">
        <v>25.18</v>
      </c>
      <c r="D85">
        <v>0</v>
      </c>
      <c r="E85">
        <v>822.45</v>
      </c>
      <c r="F85">
        <v>21222379</v>
      </c>
      <c r="G85">
        <v>149658359</v>
      </c>
    </row>
    <row r="86" spans="1:7">
      <c r="A86">
        <v>148</v>
      </c>
      <c r="B86">
        <v>5930838300</v>
      </c>
      <c r="C86">
        <v>23.72</v>
      </c>
      <c r="D86">
        <v>0</v>
      </c>
      <c r="E86">
        <v>837.45</v>
      </c>
      <c r="F86">
        <v>21594259</v>
      </c>
      <c r="G86">
        <v>152249108</v>
      </c>
    </row>
    <row r="87" spans="1:7">
      <c r="A87">
        <v>150</v>
      </c>
      <c r="B87">
        <v>7003672200</v>
      </c>
      <c r="C87">
        <v>28.02</v>
      </c>
      <c r="D87">
        <v>0</v>
      </c>
      <c r="E87">
        <v>850.22</v>
      </c>
      <c r="F87">
        <v>21955658</v>
      </c>
      <c r="G87">
        <v>154843728</v>
      </c>
    </row>
    <row r="88" spans="1:7">
      <c r="A88">
        <v>152</v>
      </c>
      <c r="B88">
        <v>6503114760</v>
      </c>
      <c r="C88">
        <v>26.01</v>
      </c>
      <c r="D88">
        <v>0</v>
      </c>
      <c r="E88">
        <v>860.99</v>
      </c>
      <c r="F88">
        <v>22314372</v>
      </c>
      <c r="G88">
        <v>157451452</v>
      </c>
    </row>
    <row r="89" spans="1:7">
      <c r="A89">
        <v>154</v>
      </c>
      <c r="B89">
        <v>5971272480</v>
      </c>
      <c r="C89">
        <v>23.88</v>
      </c>
      <c r="D89">
        <v>0</v>
      </c>
      <c r="E89">
        <v>869.92</v>
      </c>
      <c r="F89">
        <v>22674859</v>
      </c>
      <c r="G89">
        <v>160053793</v>
      </c>
    </row>
    <row r="90" spans="1:7">
      <c r="A90">
        <v>156</v>
      </c>
      <c r="B90">
        <v>7006230080</v>
      </c>
      <c r="C90">
        <v>28.02</v>
      </c>
      <c r="D90">
        <v>0</v>
      </c>
      <c r="E90">
        <v>877.18</v>
      </c>
      <c r="F90">
        <v>23034652</v>
      </c>
      <c r="G90">
        <v>162652571</v>
      </c>
    </row>
    <row r="91" spans="1:7">
      <c r="A91">
        <v>158</v>
      </c>
      <c r="B91">
        <v>6466025500</v>
      </c>
      <c r="C91">
        <v>25.86</v>
      </c>
      <c r="D91">
        <v>0</v>
      </c>
      <c r="E91">
        <v>882.94</v>
      </c>
      <c r="F91">
        <v>23395070</v>
      </c>
      <c r="G91">
        <v>165252112</v>
      </c>
    </row>
    <row r="92" spans="1:7">
      <c r="A92">
        <v>160</v>
      </c>
      <c r="B92">
        <v>6357610740</v>
      </c>
      <c r="C92">
        <v>25.43</v>
      </c>
      <c r="D92">
        <v>0</v>
      </c>
      <c r="E92">
        <v>887.4</v>
      </c>
      <c r="F92">
        <v>23754146</v>
      </c>
      <c r="G92">
        <v>167855958</v>
      </c>
    </row>
    <row r="93" spans="1:7">
      <c r="A93">
        <v>162</v>
      </c>
      <c r="B93">
        <v>6537941280</v>
      </c>
      <c r="C93">
        <v>26.15</v>
      </c>
      <c r="D93">
        <v>0</v>
      </c>
      <c r="E93">
        <v>890.71</v>
      </c>
      <c r="F93">
        <v>24110806</v>
      </c>
      <c r="G93">
        <v>170456290</v>
      </c>
    </row>
    <row r="94" spans="1:7">
      <c r="A94">
        <v>164</v>
      </c>
      <c r="B94">
        <v>6988423300</v>
      </c>
      <c r="C94">
        <v>27.95</v>
      </c>
      <c r="D94">
        <v>0</v>
      </c>
      <c r="E94">
        <v>893.03</v>
      </c>
      <c r="F94">
        <v>24467920</v>
      </c>
      <c r="G94">
        <v>173059730</v>
      </c>
    </row>
    <row r="95" spans="1:7">
      <c r="A95">
        <v>166</v>
      </c>
      <c r="B95">
        <v>4021676020</v>
      </c>
      <c r="C95">
        <v>16.09</v>
      </c>
      <c r="D95">
        <v>774</v>
      </c>
      <c r="E95">
        <v>630.13</v>
      </c>
      <c r="F95">
        <v>24715192</v>
      </c>
      <c r="G95">
        <v>174760018</v>
      </c>
    </row>
    <row r="96" spans="1:7">
      <c r="A96">
        <v>168</v>
      </c>
      <c r="B96">
        <v>4943595000</v>
      </c>
      <c r="C96">
        <v>19.78</v>
      </c>
      <c r="D96">
        <v>0</v>
      </c>
      <c r="E96">
        <v>652.66999999999996</v>
      </c>
      <c r="F96">
        <v>25051072</v>
      </c>
      <c r="G96">
        <v>176794225</v>
      </c>
    </row>
    <row r="97" spans="1:7">
      <c r="A97">
        <v>170</v>
      </c>
      <c r="B97">
        <v>5501409600</v>
      </c>
      <c r="C97">
        <v>22.01</v>
      </c>
      <c r="D97">
        <v>0</v>
      </c>
      <c r="E97">
        <v>672.08</v>
      </c>
      <c r="F97">
        <v>25390982</v>
      </c>
      <c r="G97">
        <v>178907588</v>
      </c>
    </row>
    <row r="98" spans="1:7">
      <c r="A98">
        <v>172</v>
      </c>
      <c r="B98">
        <v>5374105880</v>
      </c>
      <c r="C98">
        <v>21.5</v>
      </c>
      <c r="D98">
        <v>0</v>
      </c>
      <c r="E98">
        <v>688.88</v>
      </c>
      <c r="F98">
        <v>25737579</v>
      </c>
      <c r="G98">
        <v>181081781</v>
      </c>
    </row>
    <row r="99" spans="1:7">
      <c r="A99">
        <v>174</v>
      </c>
      <c r="B99">
        <v>5489800760</v>
      </c>
      <c r="C99">
        <v>21.96</v>
      </c>
      <c r="D99">
        <v>0</v>
      </c>
      <c r="E99">
        <v>703.61</v>
      </c>
      <c r="F99">
        <v>26077936</v>
      </c>
      <c r="G99">
        <v>183310217</v>
      </c>
    </row>
    <row r="100" spans="1:7">
      <c r="A100">
        <v>176</v>
      </c>
      <c r="B100">
        <v>5471698840</v>
      </c>
      <c r="C100">
        <v>21.89</v>
      </c>
      <c r="D100">
        <v>0</v>
      </c>
      <c r="E100">
        <v>715.8</v>
      </c>
      <c r="F100">
        <v>26409518</v>
      </c>
      <c r="G100">
        <v>185573408</v>
      </c>
    </row>
    <row r="101" spans="1:7">
      <c r="A101">
        <v>178</v>
      </c>
      <c r="B101">
        <v>4946152880</v>
      </c>
      <c r="C101">
        <v>19.78</v>
      </c>
      <c r="D101">
        <v>0</v>
      </c>
      <c r="E101">
        <v>726.45</v>
      </c>
      <c r="F101">
        <v>26746386</v>
      </c>
      <c r="G101">
        <v>187870983</v>
      </c>
    </row>
    <row r="102" spans="1:7">
      <c r="A102">
        <v>180</v>
      </c>
      <c r="B102">
        <v>6237193620</v>
      </c>
      <c r="C102">
        <v>24.95</v>
      </c>
      <c r="D102">
        <v>0</v>
      </c>
      <c r="E102">
        <v>735.05</v>
      </c>
      <c r="F102">
        <v>27085507</v>
      </c>
      <c r="G102">
        <v>190197993</v>
      </c>
    </row>
    <row r="103" spans="1:7">
      <c r="A103">
        <v>182</v>
      </c>
      <c r="B103">
        <v>5149110820</v>
      </c>
      <c r="C103">
        <v>20.6</v>
      </c>
      <c r="D103">
        <v>0</v>
      </c>
      <c r="E103">
        <v>742.14</v>
      </c>
      <c r="F103">
        <v>27423870</v>
      </c>
      <c r="G103">
        <v>192560934</v>
      </c>
    </row>
    <row r="104" spans="1:7">
      <c r="A104">
        <v>184</v>
      </c>
      <c r="B104">
        <v>6401881740</v>
      </c>
      <c r="C104">
        <v>25.61</v>
      </c>
      <c r="D104">
        <v>0</v>
      </c>
      <c r="E104">
        <v>747.64</v>
      </c>
      <c r="F104">
        <v>27761411</v>
      </c>
      <c r="G104">
        <v>194925772</v>
      </c>
    </row>
    <row r="105" spans="1:7">
      <c r="A105">
        <v>186</v>
      </c>
      <c r="B105">
        <v>5227027780</v>
      </c>
      <c r="C105">
        <v>20.91</v>
      </c>
      <c r="D105">
        <v>0</v>
      </c>
      <c r="E105">
        <v>751.85</v>
      </c>
      <c r="F105">
        <v>28099871</v>
      </c>
      <c r="G105">
        <v>197303700</v>
      </c>
    </row>
    <row r="106" spans="1:7">
      <c r="A106">
        <v>188</v>
      </c>
      <c r="B106">
        <v>6182002440</v>
      </c>
      <c r="C106">
        <v>24.73</v>
      </c>
      <c r="D106">
        <v>0</v>
      </c>
      <c r="E106">
        <v>754.96</v>
      </c>
      <c r="F106">
        <v>28439793</v>
      </c>
      <c r="G106">
        <v>199682118</v>
      </c>
    </row>
    <row r="107" spans="1:7">
      <c r="A107">
        <v>190</v>
      </c>
      <c r="B107">
        <v>5866301020</v>
      </c>
      <c r="C107">
        <v>23.47</v>
      </c>
      <c r="D107">
        <v>0</v>
      </c>
      <c r="E107">
        <v>757.16</v>
      </c>
      <c r="F107">
        <v>28781596</v>
      </c>
      <c r="G107">
        <v>202071771</v>
      </c>
    </row>
    <row r="108" spans="1:7">
      <c r="A108">
        <v>192</v>
      </c>
      <c r="B108">
        <v>5850658600</v>
      </c>
      <c r="C108">
        <v>23.4</v>
      </c>
      <c r="D108">
        <v>0</v>
      </c>
      <c r="E108">
        <v>758.54</v>
      </c>
      <c r="F108">
        <v>29127818</v>
      </c>
      <c r="G108">
        <v>204454746</v>
      </c>
    </row>
    <row r="109" spans="1:7">
      <c r="A109">
        <v>194</v>
      </c>
      <c r="B109">
        <v>5876532540</v>
      </c>
      <c r="C109">
        <v>23.51</v>
      </c>
      <c r="D109">
        <v>0</v>
      </c>
      <c r="E109">
        <v>759.33</v>
      </c>
      <c r="F109">
        <v>29475137</v>
      </c>
      <c r="G109">
        <v>206854682</v>
      </c>
    </row>
    <row r="110" spans="1:7">
      <c r="A110">
        <v>196</v>
      </c>
      <c r="B110">
        <v>5579916840</v>
      </c>
      <c r="C110">
        <v>22.32</v>
      </c>
      <c r="D110">
        <v>0</v>
      </c>
      <c r="E110">
        <v>759.69</v>
      </c>
      <c r="F110">
        <v>29823056</v>
      </c>
      <c r="G110">
        <v>209252826</v>
      </c>
    </row>
    <row r="111" spans="1:7">
      <c r="A111">
        <v>198</v>
      </c>
      <c r="B111">
        <v>6560076780</v>
      </c>
      <c r="C111">
        <v>26.24</v>
      </c>
      <c r="D111">
        <v>0</v>
      </c>
      <c r="E111">
        <v>759.78</v>
      </c>
      <c r="F111">
        <v>30171723</v>
      </c>
      <c r="G111">
        <v>211654680</v>
      </c>
    </row>
    <row r="112" spans="1:7">
      <c r="A112">
        <v>200</v>
      </c>
      <c r="B112">
        <v>5323932080</v>
      </c>
      <c r="C112">
        <v>21.3</v>
      </c>
      <c r="D112">
        <v>0</v>
      </c>
      <c r="E112">
        <v>759.78</v>
      </c>
      <c r="F112">
        <v>30520501</v>
      </c>
      <c r="G112">
        <v>214054938</v>
      </c>
    </row>
    <row r="113" spans="1:7">
      <c r="A113">
        <v>202</v>
      </c>
      <c r="B113">
        <v>5855675980</v>
      </c>
      <c r="C113">
        <v>23.42</v>
      </c>
      <c r="D113">
        <v>0</v>
      </c>
      <c r="E113">
        <v>759.88</v>
      </c>
      <c r="F113">
        <v>30870115</v>
      </c>
      <c r="G113">
        <v>216460201</v>
      </c>
    </row>
    <row r="114" spans="1:7">
      <c r="A114">
        <v>204</v>
      </c>
      <c r="B114">
        <v>6261198340</v>
      </c>
      <c r="C114">
        <v>25.04</v>
      </c>
      <c r="D114">
        <v>0</v>
      </c>
      <c r="E114">
        <v>760.22</v>
      </c>
      <c r="F114">
        <v>31218297</v>
      </c>
      <c r="G114">
        <v>218872716</v>
      </c>
    </row>
    <row r="115" spans="1:7">
      <c r="A115">
        <v>206</v>
      </c>
      <c r="B115">
        <v>6072308740</v>
      </c>
      <c r="C115">
        <v>24.29</v>
      </c>
      <c r="D115">
        <v>0</v>
      </c>
      <c r="E115">
        <v>761</v>
      </c>
      <c r="F115">
        <v>31564313</v>
      </c>
      <c r="G115">
        <v>221297901</v>
      </c>
    </row>
    <row r="116" spans="1:7">
      <c r="A116">
        <v>208</v>
      </c>
      <c r="B116">
        <v>5623400800</v>
      </c>
      <c r="C116">
        <v>22.49</v>
      </c>
      <c r="D116">
        <v>0</v>
      </c>
      <c r="E116">
        <v>762.38</v>
      </c>
      <c r="F116">
        <v>31912055</v>
      </c>
      <c r="G116">
        <v>223713482</v>
      </c>
    </row>
    <row r="117" spans="1:7">
      <c r="A117">
        <v>210</v>
      </c>
      <c r="B117">
        <v>6100543800</v>
      </c>
      <c r="C117">
        <v>24.4</v>
      </c>
      <c r="D117">
        <v>0</v>
      </c>
      <c r="E117">
        <v>764.52</v>
      </c>
      <c r="F117">
        <v>32260809</v>
      </c>
      <c r="G117">
        <v>226140543</v>
      </c>
    </row>
    <row r="118" spans="1:7">
      <c r="A118">
        <v>212</v>
      </c>
      <c r="B118">
        <v>5562798720</v>
      </c>
      <c r="C118">
        <v>22.25</v>
      </c>
      <c r="D118">
        <v>0</v>
      </c>
      <c r="E118">
        <v>767.6</v>
      </c>
      <c r="F118">
        <v>32610804</v>
      </c>
      <c r="G118">
        <v>228556306</v>
      </c>
    </row>
    <row r="119" spans="1:7">
      <c r="A119">
        <v>214</v>
      </c>
      <c r="B119">
        <v>6228339420</v>
      </c>
      <c r="C119">
        <v>24.91</v>
      </c>
      <c r="D119">
        <v>0</v>
      </c>
      <c r="E119">
        <v>771.84</v>
      </c>
      <c r="F119">
        <v>32964930</v>
      </c>
      <c r="G119">
        <v>230993643</v>
      </c>
    </row>
    <row r="120" spans="1:7">
      <c r="A120">
        <v>216</v>
      </c>
      <c r="B120">
        <v>5514690900</v>
      </c>
      <c r="C120">
        <v>22.06</v>
      </c>
      <c r="D120">
        <v>0</v>
      </c>
      <c r="E120">
        <v>777.34</v>
      </c>
      <c r="F120">
        <v>33316439</v>
      </c>
      <c r="G120">
        <v>233439072</v>
      </c>
    </row>
    <row r="121" spans="1:7">
      <c r="A121">
        <v>218</v>
      </c>
      <c r="B121">
        <v>6529775740</v>
      </c>
      <c r="C121">
        <v>26.12</v>
      </c>
      <c r="D121">
        <v>0</v>
      </c>
      <c r="E121">
        <v>784.27</v>
      </c>
      <c r="F121">
        <v>33669239</v>
      </c>
      <c r="G121">
        <v>235897857</v>
      </c>
    </row>
    <row r="122" spans="1:7">
      <c r="A122">
        <v>220</v>
      </c>
      <c r="B122">
        <v>6344329440</v>
      </c>
      <c r="C122">
        <v>25.38</v>
      </c>
      <c r="D122">
        <v>0</v>
      </c>
      <c r="E122">
        <v>792.84</v>
      </c>
      <c r="F122">
        <v>34023088</v>
      </c>
      <c r="G122">
        <v>238357433</v>
      </c>
    </row>
    <row r="123" spans="1:7">
      <c r="A123">
        <v>222</v>
      </c>
      <c r="B123">
        <v>5711254140</v>
      </c>
      <c r="C123">
        <v>22.84</v>
      </c>
      <c r="D123">
        <v>0</v>
      </c>
      <c r="E123">
        <v>803.29</v>
      </c>
      <c r="F123">
        <v>34376516</v>
      </c>
      <c r="G123">
        <v>240858820</v>
      </c>
    </row>
    <row r="124" spans="1:7">
      <c r="A124">
        <v>224</v>
      </c>
      <c r="B124">
        <v>6503409900</v>
      </c>
      <c r="C124">
        <v>26.01</v>
      </c>
      <c r="D124">
        <v>0</v>
      </c>
      <c r="E124">
        <v>815.63</v>
      </c>
      <c r="F124">
        <v>34734650</v>
      </c>
      <c r="G124">
        <v>243380346</v>
      </c>
    </row>
    <row r="125" spans="1:7">
      <c r="A125">
        <v>226</v>
      </c>
      <c r="B125">
        <v>6359971860</v>
      </c>
      <c r="C125">
        <v>25.44</v>
      </c>
      <c r="D125">
        <v>0</v>
      </c>
      <c r="E125">
        <v>830.13</v>
      </c>
      <c r="F125">
        <v>35096154</v>
      </c>
      <c r="G125">
        <v>245932714</v>
      </c>
    </row>
    <row r="126" spans="1:7">
      <c r="A126">
        <v>228</v>
      </c>
      <c r="B126">
        <v>6637501840</v>
      </c>
      <c r="C126">
        <v>26.55</v>
      </c>
      <c r="D126">
        <v>0</v>
      </c>
      <c r="E126">
        <v>846.96</v>
      </c>
      <c r="F126">
        <v>35454207</v>
      </c>
      <c r="G126">
        <v>248506180</v>
      </c>
    </row>
    <row r="127" spans="1:7">
      <c r="A127">
        <v>230</v>
      </c>
      <c r="B127">
        <v>6555256160</v>
      </c>
      <c r="C127">
        <v>26.22</v>
      </c>
      <c r="D127">
        <v>0</v>
      </c>
      <c r="E127">
        <v>866.29</v>
      </c>
      <c r="F127">
        <v>35806130</v>
      </c>
      <c r="G127">
        <v>251088508</v>
      </c>
    </row>
    <row r="128" spans="1:7">
      <c r="A128">
        <v>232</v>
      </c>
      <c r="B128">
        <v>6439659660</v>
      </c>
      <c r="C128">
        <v>25.76</v>
      </c>
      <c r="D128">
        <v>0</v>
      </c>
      <c r="E128">
        <v>888.25</v>
      </c>
      <c r="F128">
        <v>36156341</v>
      </c>
      <c r="G128">
        <v>253682358</v>
      </c>
    </row>
    <row r="129" spans="1:7">
      <c r="A129">
        <v>234</v>
      </c>
      <c r="B129">
        <v>7045975600</v>
      </c>
      <c r="C129">
        <v>28.18</v>
      </c>
      <c r="D129">
        <v>0</v>
      </c>
      <c r="E129">
        <v>907.18</v>
      </c>
      <c r="F129">
        <v>36509651</v>
      </c>
      <c r="G129">
        <v>256285394</v>
      </c>
    </row>
    <row r="130" spans="1:7">
      <c r="A130">
        <v>236</v>
      </c>
      <c r="B130">
        <v>6052927880</v>
      </c>
      <c r="C130">
        <v>24.21</v>
      </c>
      <c r="D130">
        <v>0</v>
      </c>
      <c r="E130">
        <v>907.18</v>
      </c>
      <c r="F130">
        <v>36864507</v>
      </c>
      <c r="G130">
        <v>258890185</v>
      </c>
    </row>
    <row r="131" spans="1:7">
      <c r="A131">
        <v>238</v>
      </c>
      <c r="B131">
        <v>7028660720</v>
      </c>
      <c r="C131">
        <v>28.11</v>
      </c>
      <c r="D131">
        <v>0</v>
      </c>
      <c r="E131">
        <v>907.18</v>
      </c>
      <c r="F131">
        <v>37217385</v>
      </c>
      <c r="G131">
        <v>261502399</v>
      </c>
    </row>
    <row r="132" spans="1:7">
      <c r="A132">
        <v>240</v>
      </c>
      <c r="B132">
        <v>6553485320</v>
      </c>
      <c r="C132">
        <v>26.21</v>
      </c>
      <c r="D132">
        <v>0</v>
      </c>
      <c r="E132">
        <v>907.18</v>
      </c>
      <c r="F132">
        <v>37575921</v>
      </c>
      <c r="G132">
        <v>264121669</v>
      </c>
    </row>
    <row r="133" spans="1:7">
      <c r="A133">
        <v>242</v>
      </c>
      <c r="B133">
        <v>6049681340</v>
      </c>
      <c r="C133">
        <v>24.2</v>
      </c>
      <c r="D133">
        <v>0</v>
      </c>
      <c r="E133">
        <v>924.53</v>
      </c>
      <c r="F133">
        <v>37932790</v>
      </c>
      <c r="G133">
        <v>266744669</v>
      </c>
    </row>
    <row r="134" spans="1:7">
      <c r="A134">
        <v>244</v>
      </c>
      <c r="B134">
        <v>5989177640</v>
      </c>
      <c r="C134">
        <v>23.96</v>
      </c>
      <c r="D134">
        <v>196</v>
      </c>
      <c r="E134">
        <v>647.35</v>
      </c>
      <c r="F134">
        <v>38242463</v>
      </c>
      <c r="G134">
        <v>268813791</v>
      </c>
    </row>
    <row r="135" spans="1:7">
      <c r="A135">
        <v>246</v>
      </c>
      <c r="B135">
        <v>4988751420</v>
      </c>
      <c r="C135">
        <v>19.96</v>
      </c>
      <c r="D135">
        <v>0</v>
      </c>
      <c r="E135">
        <v>681.64</v>
      </c>
      <c r="F135">
        <v>38570851</v>
      </c>
      <c r="G135">
        <v>271068677</v>
      </c>
    </row>
    <row r="136" spans="1:7">
      <c r="A136">
        <v>248</v>
      </c>
      <c r="B136">
        <v>5093329360</v>
      </c>
      <c r="C136">
        <v>20.37</v>
      </c>
      <c r="D136">
        <v>0</v>
      </c>
      <c r="E136">
        <v>716.31</v>
      </c>
      <c r="F136">
        <v>38927168</v>
      </c>
      <c r="G136">
        <v>273468116</v>
      </c>
    </row>
    <row r="137" spans="1:7">
      <c r="A137">
        <v>250</v>
      </c>
      <c r="B137">
        <v>5619563980</v>
      </c>
      <c r="C137">
        <v>22.48</v>
      </c>
      <c r="D137">
        <v>0</v>
      </c>
      <c r="E137">
        <v>747.27</v>
      </c>
      <c r="F137">
        <v>39281192</v>
      </c>
      <c r="G137">
        <v>275938507</v>
      </c>
    </row>
    <row r="138" spans="1:7">
      <c r="A138">
        <v>252</v>
      </c>
      <c r="B138">
        <v>5640322160</v>
      </c>
      <c r="C138">
        <v>22.56</v>
      </c>
      <c r="D138">
        <v>0</v>
      </c>
      <c r="E138">
        <v>773.84</v>
      </c>
      <c r="F138">
        <v>39634378</v>
      </c>
      <c r="G138">
        <v>278455623</v>
      </c>
    </row>
    <row r="139" spans="1:7">
      <c r="A139">
        <v>254</v>
      </c>
      <c r="B139">
        <v>6794811460</v>
      </c>
      <c r="C139">
        <v>27.18</v>
      </c>
      <c r="D139">
        <v>0</v>
      </c>
      <c r="E139">
        <v>799.06</v>
      </c>
      <c r="F139">
        <v>39994424</v>
      </c>
      <c r="G139">
        <v>281002643</v>
      </c>
    </row>
    <row r="140" spans="1:7">
      <c r="A140">
        <v>256</v>
      </c>
      <c r="B140">
        <v>5679575780</v>
      </c>
      <c r="C140">
        <v>22.72</v>
      </c>
      <c r="D140">
        <v>0</v>
      </c>
      <c r="E140">
        <v>820.67</v>
      </c>
      <c r="F140">
        <v>40370420</v>
      </c>
      <c r="G140">
        <v>283594757</v>
      </c>
    </row>
    <row r="141" spans="1:7">
      <c r="A141">
        <v>258</v>
      </c>
      <c r="B141">
        <v>6541482960</v>
      </c>
      <c r="C141">
        <v>26.17</v>
      </c>
      <c r="D141">
        <v>0</v>
      </c>
      <c r="E141">
        <v>839.68</v>
      </c>
      <c r="F141">
        <v>40747044</v>
      </c>
      <c r="G141">
        <v>286190672</v>
      </c>
    </row>
    <row r="142" spans="1:7">
      <c r="A142">
        <v>260</v>
      </c>
      <c r="B142">
        <v>6353478780</v>
      </c>
      <c r="C142">
        <v>25.41</v>
      </c>
      <c r="D142">
        <v>0</v>
      </c>
      <c r="E142">
        <v>856.23</v>
      </c>
      <c r="F142">
        <v>41116817</v>
      </c>
      <c r="G142">
        <v>288788904</v>
      </c>
    </row>
    <row r="143" spans="1:7">
      <c r="A143">
        <v>262</v>
      </c>
      <c r="B143">
        <v>6672918640</v>
      </c>
      <c r="C143">
        <v>26.69</v>
      </c>
      <c r="D143">
        <v>0</v>
      </c>
      <c r="E143">
        <v>870.42</v>
      </c>
      <c r="F143">
        <v>41483984</v>
      </c>
      <c r="G143">
        <v>291394185</v>
      </c>
    </row>
    <row r="144" spans="1:7">
      <c r="A144">
        <v>264</v>
      </c>
      <c r="B144">
        <v>6438577480</v>
      </c>
      <c r="C144">
        <v>25.75</v>
      </c>
      <c r="D144">
        <v>0</v>
      </c>
      <c r="E144">
        <v>882.51</v>
      </c>
      <c r="F144">
        <v>41851792</v>
      </c>
      <c r="G144">
        <v>294001587</v>
      </c>
    </row>
    <row r="145" spans="1:7">
      <c r="A145">
        <v>266</v>
      </c>
      <c r="B145">
        <v>5050534060</v>
      </c>
      <c r="C145">
        <v>20.2</v>
      </c>
      <c r="D145">
        <v>153</v>
      </c>
      <c r="E145">
        <v>627.74</v>
      </c>
      <c r="F145">
        <v>42140850</v>
      </c>
      <c r="G145">
        <v>295869702</v>
      </c>
    </row>
    <row r="146" spans="1:7">
      <c r="A146">
        <v>268</v>
      </c>
      <c r="B146">
        <v>5110250720</v>
      </c>
      <c r="C146">
        <v>20.440000000000001</v>
      </c>
      <c r="D146">
        <v>0</v>
      </c>
      <c r="E146">
        <v>649.39</v>
      </c>
      <c r="F146">
        <v>42487986</v>
      </c>
      <c r="G146">
        <v>297983415</v>
      </c>
    </row>
    <row r="147" spans="1:7">
      <c r="A147">
        <v>270</v>
      </c>
      <c r="B147">
        <v>4571718600</v>
      </c>
      <c r="C147">
        <v>18.29</v>
      </c>
      <c r="D147">
        <v>0</v>
      </c>
      <c r="E147">
        <v>668.51</v>
      </c>
      <c r="F147">
        <v>42841462</v>
      </c>
      <c r="G147">
        <v>300171629</v>
      </c>
    </row>
    <row r="148" spans="1:7">
      <c r="A148">
        <v>272</v>
      </c>
      <c r="B148">
        <v>5566143640</v>
      </c>
      <c r="C148">
        <v>22.26</v>
      </c>
      <c r="D148">
        <v>0</v>
      </c>
      <c r="E148">
        <v>685.01</v>
      </c>
      <c r="F148">
        <v>43200764</v>
      </c>
      <c r="G148">
        <v>302407121</v>
      </c>
    </row>
    <row r="149" spans="1:7">
      <c r="A149">
        <v>274</v>
      </c>
      <c r="B149">
        <v>5336229580</v>
      </c>
      <c r="C149">
        <v>21.34</v>
      </c>
      <c r="D149">
        <v>0</v>
      </c>
      <c r="E149">
        <v>699.21</v>
      </c>
      <c r="F149">
        <v>43566390</v>
      </c>
      <c r="G149">
        <v>304696163</v>
      </c>
    </row>
    <row r="150" spans="1:7">
      <c r="A150">
        <v>276</v>
      </c>
      <c r="B150">
        <v>5645634680</v>
      </c>
      <c r="C150">
        <v>22.58</v>
      </c>
      <c r="D150">
        <v>0</v>
      </c>
      <c r="E150">
        <v>711.38</v>
      </c>
      <c r="F150">
        <v>43929711</v>
      </c>
      <c r="G150">
        <v>307034226</v>
      </c>
    </row>
    <row r="151" spans="1:7">
      <c r="A151">
        <v>278</v>
      </c>
      <c r="B151">
        <v>5565061460</v>
      </c>
      <c r="C151">
        <v>22.26</v>
      </c>
      <c r="D151">
        <v>0</v>
      </c>
      <c r="E151">
        <v>721.6</v>
      </c>
      <c r="F151">
        <v>44290062</v>
      </c>
      <c r="G151">
        <v>309408031</v>
      </c>
    </row>
    <row r="152" spans="1:7">
      <c r="A152">
        <v>280</v>
      </c>
      <c r="B152">
        <v>5452416360</v>
      </c>
      <c r="C152">
        <v>21.81</v>
      </c>
      <c r="D152">
        <v>0</v>
      </c>
      <c r="E152">
        <v>729.97</v>
      </c>
      <c r="F152">
        <v>44651490</v>
      </c>
      <c r="G152">
        <v>311803410</v>
      </c>
    </row>
    <row r="153" spans="1:7">
      <c r="A153">
        <v>282</v>
      </c>
      <c r="B153">
        <v>5882336960</v>
      </c>
      <c r="C153">
        <v>23.53</v>
      </c>
      <c r="D153">
        <v>0</v>
      </c>
      <c r="E153">
        <v>736.73</v>
      </c>
      <c r="F153">
        <v>45013717</v>
      </c>
      <c r="G153">
        <v>314214217</v>
      </c>
    </row>
    <row r="154" spans="1:7">
      <c r="A154">
        <v>284</v>
      </c>
      <c r="B154">
        <v>5717845600</v>
      </c>
      <c r="C154">
        <v>22.87</v>
      </c>
      <c r="D154">
        <v>0</v>
      </c>
      <c r="E154">
        <v>742.08</v>
      </c>
      <c r="F154">
        <v>45387535</v>
      </c>
      <c r="G154">
        <v>316653570</v>
      </c>
    </row>
    <row r="155" spans="1:7">
      <c r="A155">
        <v>286</v>
      </c>
      <c r="B155">
        <v>5229585660</v>
      </c>
      <c r="C155">
        <v>20.92</v>
      </c>
      <c r="D155">
        <v>0</v>
      </c>
      <c r="E155">
        <v>746.17</v>
      </c>
      <c r="F155">
        <v>45760050</v>
      </c>
      <c r="G155">
        <v>319097333</v>
      </c>
    </row>
    <row r="156" spans="1:7">
      <c r="A156">
        <v>288</v>
      </c>
      <c r="B156">
        <v>6220075500</v>
      </c>
      <c r="C156">
        <v>24.88</v>
      </c>
      <c r="D156">
        <v>0</v>
      </c>
      <c r="E156">
        <v>749.14</v>
      </c>
      <c r="F156">
        <v>46134234</v>
      </c>
      <c r="G156">
        <v>321556706</v>
      </c>
    </row>
    <row r="157" spans="1:7">
      <c r="A157">
        <v>290</v>
      </c>
      <c r="B157">
        <v>5745293620</v>
      </c>
      <c r="C157">
        <v>22.98</v>
      </c>
      <c r="D157">
        <v>0</v>
      </c>
      <c r="E157">
        <v>751.18</v>
      </c>
      <c r="F157">
        <v>46511792</v>
      </c>
      <c r="G157">
        <v>324024521</v>
      </c>
    </row>
    <row r="158" spans="1:7">
      <c r="A158">
        <v>292</v>
      </c>
      <c r="B158">
        <v>5723256500</v>
      </c>
      <c r="C158">
        <v>22.89</v>
      </c>
      <c r="D158">
        <v>0</v>
      </c>
      <c r="E158">
        <v>752.48</v>
      </c>
      <c r="F158">
        <v>46889492</v>
      </c>
      <c r="G158">
        <v>326497747</v>
      </c>
    </row>
    <row r="159" spans="1:7">
      <c r="A159">
        <v>294</v>
      </c>
      <c r="B159">
        <v>5614940120</v>
      </c>
      <c r="C159">
        <v>22.46</v>
      </c>
      <c r="D159">
        <v>0</v>
      </c>
      <c r="E159">
        <v>753.21</v>
      </c>
      <c r="F159">
        <v>47271726</v>
      </c>
      <c r="G159">
        <v>328974242</v>
      </c>
    </row>
    <row r="160" spans="1:7">
      <c r="A160">
        <v>296</v>
      </c>
      <c r="B160">
        <v>6345313240</v>
      </c>
      <c r="C160">
        <v>25.38</v>
      </c>
      <c r="D160">
        <v>0</v>
      </c>
      <c r="E160">
        <v>753.52</v>
      </c>
      <c r="F160">
        <v>47653527</v>
      </c>
      <c r="G160">
        <v>331452613</v>
      </c>
    </row>
    <row r="161" spans="1:156">
      <c r="A161">
        <v>298</v>
      </c>
      <c r="B161">
        <v>5911654200</v>
      </c>
      <c r="C161">
        <v>23.65</v>
      </c>
      <c r="D161">
        <v>0</v>
      </c>
      <c r="E161">
        <v>753.59</v>
      </c>
      <c r="F161">
        <v>48032400</v>
      </c>
      <c r="G161">
        <v>333921093</v>
      </c>
    </row>
    <row r="162" spans="1:156">
      <c r="A162" t="s">
        <v>107</v>
      </c>
      <c r="B162" t="s">
        <v>45</v>
      </c>
    </row>
    <row r="163" spans="1:156">
      <c r="A163" t="s">
        <v>108</v>
      </c>
      <c r="B163" t="s">
        <v>109</v>
      </c>
      <c r="C163" t="s">
        <v>110</v>
      </c>
      <c r="D163" t="s">
        <v>111</v>
      </c>
      <c r="E163" t="s">
        <v>112</v>
      </c>
      <c r="F163" t="s">
        <v>113</v>
      </c>
      <c r="G163" t="s">
        <v>114</v>
      </c>
      <c r="H163" t="s">
        <v>115</v>
      </c>
      <c r="I163" t="s">
        <v>116</v>
      </c>
      <c r="J163" t="s">
        <v>117</v>
      </c>
      <c r="K163" t="s">
        <v>118</v>
      </c>
      <c r="L163" t="s">
        <v>119</v>
      </c>
      <c r="M163" t="s">
        <v>120</v>
      </c>
      <c r="N163" t="s">
        <v>121</v>
      </c>
      <c r="O163" t="s">
        <v>122</v>
      </c>
      <c r="P163" t="s">
        <v>123</v>
      </c>
      <c r="Q163" t="s">
        <v>124</v>
      </c>
      <c r="R163" t="s">
        <v>118</v>
      </c>
      <c r="S163" t="s">
        <v>125</v>
      </c>
      <c r="T163" t="s">
        <v>126</v>
      </c>
      <c r="U163" t="s">
        <v>127</v>
      </c>
      <c r="V163" t="s">
        <v>128</v>
      </c>
      <c r="W163" t="s">
        <v>129</v>
      </c>
      <c r="X163" t="s">
        <v>130</v>
      </c>
      <c r="Y163" t="s">
        <v>131</v>
      </c>
      <c r="Z163" t="s">
        <v>132</v>
      </c>
      <c r="AA163" t="s">
        <v>133</v>
      </c>
      <c r="AB163" t="s">
        <v>134</v>
      </c>
      <c r="AC163" t="s">
        <v>135</v>
      </c>
      <c r="AD163" t="s">
        <v>105</v>
      </c>
      <c r="AE163" t="s">
        <v>136</v>
      </c>
      <c r="AF163" t="s">
        <v>115</v>
      </c>
      <c r="AG163" t="s">
        <v>137</v>
      </c>
      <c r="AH163" t="s">
        <v>138</v>
      </c>
      <c r="AI163" t="s">
        <v>139</v>
      </c>
      <c r="AJ163" t="s">
        <v>126</v>
      </c>
      <c r="AK163" t="s">
        <v>127</v>
      </c>
      <c r="AL163" t="s">
        <v>128</v>
      </c>
      <c r="AM163" t="s">
        <v>129</v>
      </c>
      <c r="AN163" t="s">
        <v>130</v>
      </c>
      <c r="AO163" t="s">
        <v>131</v>
      </c>
      <c r="AP163" t="s">
        <v>132</v>
      </c>
      <c r="AQ163" t="s">
        <v>133</v>
      </c>
      <c r="AR163" t="s">
        <v>134</v>
      </c>
      <c r="AS163" t="s">
        <v>140</v>
      </c>
      <c r="AT163" t="s">
        <v>105</v>
      </c>
      <c r="AU163" t="s">
        <v>136</v>
      </c>
      <c r="AV163" t="s">
        <v>115</v>
      </c>
      <c r="AW163" t="s">
        <v>137</v>
      </c>
      <c r="AX163" t="s">
        <v>138</v>
      </c>
      <c r="AY163" t="s">
        <v>141</v>
      </c>
      <c r="AZ163" t="s">
        <v>126</v>
      </c>
      <c r="BA163" t="s">
        <v>142</v>
      </c>
      <c r="BB163" t="s">
        <v>143</v>
      </c>
      <c r="BC163" t="s">
        <v>144</v>
      </c>
      <c r="BD163" t="s">
        <v>145</v>
      </c>
      <c r="BE163" t="s">
        <v>146</v>
      </c>
      <c r="BF163" t="s">
        <v>147</v>
      </c>
      <c r="BG163" t="s">
        <v>148</v>
      </c>
      <c r="BH163" t="s">
        <v>149</v>
      </c>
      <c r="BI163" t="s">
        <v>150</v>
      </c>
      <c r="BJ163" t="s">
        <v>141</v>
      </c>
      <c r="BK163" t="s">
        <v>126</v>
      </c>
      <c r="BL163" t="s">
        <v>142</v>
      </c>
      <c r="BM163" t="s">
        <v>143</v>
      </c>
      <c r="BN163" t="s">
        <v>144</v>
      </c>
      <c r="BO163" t="s">
        <v>145</v>
      </c>
      <c r="BP163" t="s">
        <v>146</v>
      </c>
      <c r="BQ163" t="s">
        <v>147</v>
      </c>
      <c r="BR163" t="s">
        <v>148</v>
      </c>
      <c r="BS163" t="s">
        <v>149</v>
      </c>
      <c r="BT163" t="s">
        <v>150</v>
      </c>
    </row>
    <row r="164" spans="1:156">
      <c r="A164">
        <v>98380</v>
      </c>
      <c r="B164">
        <v>0</v>
      </c>
      <c r="C164">
        <v>8539298</v>
      </c>
      <c r="D164">
        <v>0</v>
      </c>
      <c r="E164">
        <v>35.131500000000003</v>
      </c>
      <c r="F164" s="7">
        <v>301998000</v>
      </c>
      <c r="G164">
        <v>22402.7</v>
      </c>
      <c r="H164">
        <v>336793119</v>
      </c>
      <c r="I164">
        <v>1577</v>
      </c>
      <c r="J164">
        <v>4.6823999999999998E-4</v>
      </c>
      <c r="K164" t="s">
        <v>151</v>
      </c>
      <c r="L164">
        <v>0</v>
      </c>
      <c r="M164">
        <v>8539298</v>
      </c>
      <c r="N164">
        <v>840096137240</v>
      </c>
      <c r="O164">
        <v>35.122500000000002</v>
      </c>
      <c r="P164">
        <v>299921223</v>
      </c>
      <c r="Q164">
        <v>22408.400000000001</v>
      </c>
      <c r="R164" t="s">
        <v>151</v>
      </c>
      <c r="S164" t="s">
        <v>152</v>
      </c>
      <c r="T164" t="s">
        <v>153</v>
      </c>
      <c r="U164" t="s">
        <v>45</v>
      </c>
      <c r="V164">
        <v>0</v>
      </c>
      <c r="W164">
        <v>0</v>
      </c>
      <c r="X164">
        <v>0</v>
      </c>
      <c r="Y164">
        <v>0</v>
      </c>
      <c r="Z164">
        <v>45</v>
      </c>
      <c r="AA164">
        <v>9058</v>
      </c>
      <c r="AB164">
        <v>0</v>
      </c>
      <c r="AC164">
        <v>0</v>
      </c>
      <c r="AD164" t="s">
        <v>154</v>
      </c>
      <c r="AE164" t="s">
        <v>45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155</v>
      </c>
      <c r="AO164" t="s">
        <v>45</v>
      </c>
      <c r="AP164">
        <v>48520152</v>
      </c>
      <c r="AQ164">
        <v>3210838080</v>
      </c>
      <c r="AR164">
        <v>0</v>
      </c>
      <c r="AS164">
        <v>77447</v>
      </c>
      <c r="AT164">
        <v>336815382</v>
      </c>
      <c r="AU164">
        <v>3035967979040</v>
      </c>
      <c r="AV164">
        <v>0</v>
      </c>
      <c r="AW164">
        <v>0</v>
      </c>
      <c r="AX164" t="s">
        <v>156</v>
      </c>
      <c r="AY164" t="s">
        <v>45</v>
      </c>
      <c r="AZ164">
        <v>0</v>
      </c>
      <c r="BA164">
        <v>0</v>
      </c>
      <c r="BB164">
        <v>0</v>
      </c>
      <c r="BC164">
        <v>0</v>
      </c>
      <c r="BD164">
        <v>43</v>
      </c>
      <c r="BE164">
        <v>8055</v>
      </c>
      <c r="BF164">
        <v>0</v>
      </c>
      <c r="BG164">
        <v>0</v>
      </c>
      <c r="BH164" t="s">
        <v>157</v>
      </c>
      <c r="BI164" t="s">
        <v>45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 t="s">
        <v>158</v>
      </c>
      <c r="BS164" t="s">
        <v>45</v>
      </c>
      <c r="BT164">
        <v>16</v>
      </c>
      <c r="BU164">
        <v>1472</v>
      </c>
      <c r="BV164">
        <v>0</v>
      </c>
      <c r="BW164">
        <v>0</v>
      </c>
      <c r="BX164">
        <v>16</v>
      </c>
      <c r="BY164">
        <v>1472</v>
      </c>
      <c r="BZ164">
        <v>0</v>
      </c>
      <c r="CA164">
        <v>0</v>
      </c>
      <c r="CB164" t="s">
        <v>135</v>
      </c>
      <c r="CC164">
        <v>48520124</v>
      </c>
      <c r="CD164">
        <v>0</v>
      </c>
      <c r="CE164">
        <v>336793119</v>
      </c>
      <c r="CF164">
        <v>0</v>
      </c>
      <c r="CG164">
        <v>22261</v>
      </c>
      <c r="CH164" t="s">
        <v>159</v>
      </c>
      <c r="CI164" t="s">
        <v>160</v>
      </c>
      <c r="CJ164" t="s">
        <v>45</v>
      </c>
      <c r="CK164">
        <v>79026</v>
      </c>
      <c r="CL164">
        <v>3623878</v>
      </c>
      <c r="CM164">
        <v>0</v>
      </c>
      <c r="CN164">
        <v>0</v>
      </c>
      <c r="CO164">
        <v>551</v>
      </c>
      <c r="CP164">
        <v>259283</v>
      </c>
      <c r="CQ164">
        <v>0</v>
      </c>
      <c r="CR164">
        <v>0</v>
      </c>
      <c r="CS164" t="s">
        <v>161</v>
      </c>
      <c r="CT164" t="s">
        <v>45</v>
      </c>
      <c r="CU164">
        <v>336889783</v>
      </c>
      <c r="CV164">
        <v>3035920513498</v>
      </c>
      <c r="CW164">
        <v>0</v>
      </c>
      <c r="CX164">
        <v>0</v>
      </c>
      <c r="CY164">
        <v>48599208</v>
      </c>
      <c r="CZ164">
        <v>3218478007</v>
      </c>
      <c r="DA164">
        <v>0</v>
      </c>
      <c r="DB164">
        <v>0</v>
      </c>
      <c r="DC164" t="s">
        <v>158</v>
      </c>
      <c r="DD164" t="s">
        <v>45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 t="s">
        <v>162</v>
      </c>
      <c r="DN164" t="s">
        <v>45</v>
      </c>
      <c r="DO164">
        <v>56270895</v>
      </c>
      <c r="DP164">
        <v>3016612358254</v>
      </c>
      <c r="DQ164">
        <v>0</v>
      </c>
      <c r="DR164">
        <v>0</v>
      </c>
      <c r="DS164">
        <v>48598551</v>
      </c>
      <c r="DT164">
        <v>3218201284</v>
      </c>
      <c r="DU164">
        <v>0</v>
      </c>
      <c r="DV164">
        <v>0</v>
      </c>
      <c r="DW164" t="s">
        <v>163</v>
      </c>
      <c r="DX164" t="s">
        <v>45</v>
      </c>
      <c r="DY164">
        <v>8554</v>
      </c>
      <c r="DZ164">
        <v>855400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 t="s">
        <v>140</v>
      </c>
      <c r="EH164">
        <v>56270343</v>
      </c>
      <c r="EI164">
        <v>0</v>
      </c>
      <c r="EJ164">
        <v>48598203</v>
      </c>
      <c r="EK164">
        <v>24</v>
      </c>
      <c r="EL164">
        <v>0</v>
      </c>
      <c r="EM164" t="s">
        <v>141</v>
      </c>
      <c r="EN164" t="s">
        <v>164</v>
      </c>
      <c r="EO164">
        <v>336889785</v>
      </c>
      <c r="EP164">
        <v>48599210</v>
      </c>
      <c r="EQ164">
        <v>336896307</v>
      </c>
      <c r="ER164">
        <v>48599209</v>
      </c>
      <c r="ES164">
        <v>0</v>
      </c>
      <c r="ET164">
        <v>0</v>
      </c>
      <c r="EU164">
        <v>0</v>
      </c>
      <c r="EV164">
        <v>0</v>
      </c>
      <c r="EW164">
        <v>0</v>
      </c>
      <c r="EX164" t="s">
        <v>141</v>
      </c>
      <c r="EY164" t="s">
        <v>45</v>
      </c>
      <c r="EZ164" t="s">
        <v>118</v>
      </c>
    </row>
    <row r="165" spans="1:156">
      <c r="A165" t="s">
        <v>165</v>
      </c>
      <c r="B165" t="s">
        <v>166</v>
      </c>
      <c r="C165" t="s">
        <v>167</v>
      </c>
      <c r="D165" t="s">
        <v>168</v>
      </c>
      <c r="E165" t="s">
        <v>169</v>
      </c>
      <c r="F165" t="s">
        <v>170</v>
      </c>
      <c r="G165" t="s">
        <v>171</v>
      </c>
      <c r="H165" t="s">
        <v>172</v>
      </c>
    </row>
    <row r="166" spans="1:156">
      <c r="A166" t="s">
        <v>173</v>
      </c>
      <c r="B166">
        <v>0</v>
      </c>
      <c r="C166">
        <v>0</v>
      </c>
      <c r="D166">
        <v>64</v>
      </c>
      <c r="E166">
        <v>35</v>
      </c>
      <c r="F166">
        <v>0</v>
      </c>
      <c r="G166">
        <v>2</v>
      </c>
      <c r="H166">
        <v>19</v>
      </c>
      <c r="I166" t="s">
        <v>45</v>
      </c>
    </row>
    <row r="167" spans="1:156">
      <c r="A167" t="s">
        <v>174</v>
      </c>
      <c r="B167">
        <v>0</v>
      </c>
      <c r="C167">
        <v>0</v>
      </c>
      <c r="D167">
        <v>78</v>
      </c>
      <c r="E167">
        <v>20</v>
      </c>
      <c r="F167">
        <v>0</v>
      </c>
      <c r="G167">
        <v>2</v>
      </c>
      <c r="H167">
        <v>30</v>
      </c>
      <c r="I167" t="s">
        <v>45</v>
      </c>
    </row>
    <row r="168" spans="1:156">
      <c r="A168" t="s">
        <v>175</v>
      </c>
      <c r="B168">
        <v>0</v>
      </c>
      <c r="C168">
        <v>0</v>
      </c>
      <c r="D168">
        <v>68</v>
      </c>
      <c r="E168">
        <v>30</v>
      </c>
      <c r="F168">
        <v>0</v>
      </c>
      <c r="G168">
        <v>2</v>
      </c>
      <c r="H168">
        <v>19</v>
      </c>
      <c r="I168" t="s">
        <v>45</v>
      </c>
    </row>
    <row r="169" spans="1:156">
      <c r="A169" t="s">
        <v>176</v>
      </c>
      <c r="B169">
        <v>0</v>
      </c>
      <c r="C169">
        <v>0</v>
      </c>
      <c r="D169">
        <v>46</v>
      </c>
      <c r="E169">
        <v>53</v>
      </c>
      <c r="F169">
        <v>0</v>
      </c>
      <c r="G169">
        <v>1</v>
      </c>
      <c r="H169">
        <v>2</v>
      </c>
      <c r="I169" t="s">
        <v>45</v>
      </c>
    </row>
    <row r="170" spans="1:156">
      <c r="A170" t="s">
        <v>177</v>
      </c>
      <c r="B170">
        <v>0</v>
      </c>
      <c r="C170">
        <v>0</v>
      </c>
      <c r="D170">
        <v>63</v>
      </c>
      <c r="E170">
        <v>36</v>
      </c>
      <c r="F170">
        <v>0</v>
      </c>
      <c r="G170">
        <v>2</v>
      </c>
      <c r="H170">
        <v>24</v>
      </c>
      <c r="I170" t="s">
        <v>45</v>
      </c>
    </row>
    <row r="171" spans="1:156">
      <c r="A171" t="s">
        <v>178</v>
      </c>
      <c r="B171" t="s">
        <v>166</v>
      </c>
      <c r="C171" t="s">
        <v>167</v>
      </c>
      <c r="D171" t="s">
        <v>168</v>
      </c>
      <c r="E171" t="s">
        <v>169</v>
      </c>
      <c r="F171" t="s">
        <v>170</v>
      </c>
      <c r="G171" t="s">
        <v>171</v>
      </c>
      <c r="H171" t="s">
        <v>172</v>
      </c>
    </row>
    <row r="172" spans="1:156">
      <c r="A172" t="s">
        <v>179</v>
      </c>
      <c r="B172">
        <v>0</v>
      </c>
      <c r="C172">
        <v>0</v>
      </c>
      <c r="D172">
        <v>6</v>
      </c>
      <c r="E172">
        <v>93</v>
      </c>
      <c r="F172">
        <v>0</v>
      </c>
      <c r="G172">
        <v>0</v>
      </c>
      <c r="H172">
        <v>0</v>
      </c>
      <c r="I172" t="s">
        <v>45</v>
      </c>
    </row>
    <row r="173" spans="1:156">
      <c r="A173" t="s">
        <v>180</v>
      </c>
      <c r="B173">
        <v>0</v>
      </c>
      <c r="C173">
        <v>0</v>
      </c>
      <c r="D173">
        <v>0</v>
      </c>
      <c r="E173">
        <v>99</v>
      </c>
      <c r="F173">
        <v>0</v>
      </c>
      <c r="G173">
        <v>0</v>
      </c>
      <c r="H173">
        <v>0</v>
      </c>
      <c r="I173" t="s">
        <v>45</v>
      </c>
    </row>
    <row r="174" spans="1:156">
      <c r="A174" t="s">
        <v>181</v>
      </c>
      <c r="B174">
        <v>0</v>
      </c>
      <c r="C174">
        <v>0</v>
      </c>
      <c r="D174">
        <v>0</v>
      </c>
      <c r="E174">
        <v>99</v>
      </c>
      <c r="F174">
        <v>0</v>
      </c>
      <c r="G174">
        <v>0</v>
      </c>
      <c r="H174">
        <v>0</v>
      </c>
      <c r="I174" t="s">
        <v>45</v>
      </c>
    </row>
    <row r="175" spans="1:156">
      <c r="A175" t="s">
        <v>182</v>
      </c>
      <c r="B175">
        <v>0</v>
      </c>
      <c r="C175">
        <v>0</v>
      </c>
      <c r="D175">
        <v>0</v>
      </c>
      <c r="E175">
        <v>99</v>
      </c>
      <c r="F175">
        <v>0</v>
      </c>
      <c r="G175">
        <v>0</v>
      </c>
      <c r="H175">
        <v>0</v>
      </c>
      <c r="I175" t="s">
        <v>45</v>
      </c>
    </row>
    <row r="176" spans="1:156">
      <c r="A176" t="s">
        <v>183</v>
      </c>
      <c r="B176">
        <v>0</v>
      </c>
      <c r="C176">
        <v>0</v>
      </c>
      <c r="D176">
        <v>0</v>
      </c>
      <c r="E176">
        <v>99</v>
      </c>
      <c r="F176">
        <v>0</v>
      </c>
      <c r="G176">
        <v>0</v>
      </c>
      <c r="H176">
        <v>0</v>
      </c>
      <c r="I176" t="s">
        <v>45</v>
      </c>
    </row>
    <row r="177" spans="1:9">
      <c r="A177" t="s">
        <v>184</v>
      </c>
      <c r="B177">
        <v>0</v>
      </c>
      <c r="C177">
        <v>0</v>
      </c>
      <c r="D177">
        <v>0</v>
      </c>
      <c r="E177">
        <v>99</v>
      </c>
      <c r="F177">
        <v>0</v>
      </c>
      <c r="G177">
        <v>0</v>
      </c>
      <c r="H177">
        <v>0</v>
      </c>
      <c r="I177" t="s">
        <v>45</v>
      </c>
    </row>
    <row r="178" spans="1:9">
      <c r="A178" t="s">
        <v>185</v>
      </c>
      <c r="B178">
        <v>0</v>
      </c>
      <c r="C178">
        <v>0</v>
      </c>
      <c r="D178">
        <v>0</v>
      </c>
      <c r="E178">
        <v>99</v>
      </c>
      <c r="F178">
        <v>0</v>
      </c>
      <c r="G178">
        <v>0</v>
      </c>
      <c r="H178">
        <v>0</v>
      </c>
      <c r="I178" t="s">
        <v>45</v>
      </c>
    </row>
    <row r="179" spans="1:9">
      <c r="A179" t="s">
        <v>186</v>
      </c>
      <c r="B179">
        <v>4</v>
      </c>
      <c r="C179">
        <v>0</v>
      </c>
      <c r="D179">
        <v>82</v>
      </c>
      <c r="E179">
        <v>13</v>
      </c>
      <c r="F179">
        <v>0</v>
      </c>
      <c r="G179">
        <v>0</v>
      </c>
      <c r="H179">
        <v>0</v>
      </c>
      <c r="I179" t="s">
        <v>45</v>
      </c>
    </row>
    <row r="180" spans="1:9">
      <c r="A180" t="s">
        <v>187</v>
      </c>
      <c r="B180">
        <v>4</v>
      </c>
      <c r="C180">
        <v>0</v>
      </c>
      <c r="D180">
        <v>88</v>
      </c>
      <c r="E180">
        <v>7</v>
      </c>
      <c r="F180">
        <v>0</v>
      </c>
      <c r="G180">
        <v>0</v>
      </c>
      <c r="H180">
        <v>0</v>
      </c>
      <c r="I180" t="s">
        <v>45</v>
      </c>
    </row>
    <row r="181" spans="1:9">
      <c r="A181" t="s">
        <v>188</v>
      </c>
      <c r="B181">
        <v>3</v>
      </c>
      <c r="C181">
        <v>0</v>
      </c>
      <c r="D181">
        <v>88</v>
      </c>
      <c r="E181">
        <v>7</v>
      </c>
      <c r="F181">
        <v>0</v>
      </c>
      <c r="G181">
        <v>0</v>
      </c>
      <c r="H181">
        <v>1</v>
      </c>
      <c r="I181" t="s">
        <v>45</v>
      </c>
    </row>
    <row r="182" spans="1:9">
      <c r="A182" t="s">
        <v>189</v>
      </c>
      <c r="B182">
        <v>3</v>
      </c>
      <c r="C182">
        <v>0</v>
      </c>
      <c r="D182">
        <v>85</v>
      </c>
      <c r="E182">
        <v>11</v>
      </c>
      <c r="F182">
        <v>0</v>
      </c>
      <c r="G182">
        <v>0</v>
      </c>
      <c r="H182">
        <v>1</v>
      </c>
      <c r="I182" t="s">
        <v>45</v>
      </c>
    </row>
    <row r="183" spans="1:9">
      <c r="A183" t="s">
        <v>190</v>
      </c>
      <c r="B183">
        <v>0</v>
      </c>
      <c r="C183">
        <v>0</v>
      </c>
      <c r="D183">
        <v>0</v>
      </c>
      <c r="E183">
        <v>99</v>
      </c>
      <c r="F183">
        <v>0</v>
      </c>
      <c r="G183">
        <v>0</v>
      </c>
      <c r="H183">
        <v>0</v>
      </c>
      <c r="I183" t="s">
        <v>45</v>
      </c>
    </row>
    <row r="184" spans="1:9">
      <c r="A184" t="s">
        <v>191</v>
      </c>
      <c r="B184">
        <v>0</v>
      </c>
      <c r="C184">
        <v>0</v>
      </c>
      <c r="D184">
        <v>0</v>
      </c>
      <c r="E184">
        <v>99</v>
      </c>
      <c r="F184">
        <v>0</v>
      </c>
      <c r="G184">
        <v>0</v>
      </c>
      <c r="H184">
        <v>0</v>
      </c>
      <c r="I184" t="s">
        <v>45</v>
      </c>
    </row>
    <row r="185" spans="1:9">
      <c r="A185" t="s">
        <v>192</v>
      </c>
      <c r="B185">
        <v>0</v>
      </c>
      <c r="C185">
        <v>0</v>
      </c>
      <c r="D185">
        <v>0</v>
      </c>
      <c r="E185">
        <v>99</v>
      </c>
      <c r="F185">
        <v>0</v>
      </c>
      <c r="G185">
        <v>0</v>
      </c>
      <c r="H185">
        <v>0</v>
      </c>
      <c r="I185" t="s">
        <v>45</v>
      </c>
    </row>
    <row r="186" spans="1:9">
      <c r="A186" t="s">
        <v>193</v>
      </c>
      <c r="B186">
        <v>0</v>
      </c>
      <c r="C186">
        <v>0</v>
      </c>
      <c r="D186">
        <v>0</v>
      </c>
      <c r="E186">
        <v>99</v>
      </c>
      <c r="F186">
        <v>0</v>
      </c>
      <c r="G186">
        <v>0</v>
      </c>
      <c r="H186">
        <v>0</v>
      </c>
      <c r="I186" t="s">
        <v>45</v>
      </c>
    </row>
    <row r="187" spans="1:9">
      <c r="A187" t="s">
        <v>194</v>
      </c>
      <c r="B187">
        <v>0</v>
      </c>
      <c r="C187">
        <v>0</v>
      </c>
      <c r="D187">
        <v>0</v>
      </c>
      <c r="E187">
        <v>99</v>
      </c>
      <c r="F187">
        <v>0</v>
      </c>
      <c r="G187">
        <v>0</v>
      </c>
      <c r="H187">
        <v>0</v>
      </c>
      <c r="I187" t="s">
        <v>45</v>
      </c>
    </row>
    <row r="188" spans="1:9">
      <c r="A188" t="s">
        <v>195</v>
      </c>
      <c r="B188">
        <v>0</v>
      </c>
      <c r="C188">
        <v>0</v>
      </c>
      <c r="D188">
        <v>0</v>
      </c>
      <c r="E188">
        <v>99</v>
      </c>
      <c r="F188">
        <v>0</v>
      </c>
      <c r="G188">
        <v>0</v>
      </c>
      <c r="H188">
        <v>0</v>
      </c>
      <c r="I188" t="s">
        <v>45</v>
      </c>
    </row>
    <row r="189" spans="1:9">
      <c r="A189" t="s">
        <v>196</v>
      </c>
      <c r="B189">
        <v>0</v>
      </c>
      <c r="C189">
        <v>0</v>
      </c>
      <c r="D189">
        <v>0</v>
      </c>
      <c r="E189">
        <v>99</v>
      </c>
      <c r="F189">
        <v>0</v>
      </c>
      <c r="G189">
        <v>0</v>
      </c>
      <c r="H189">
        <v>0</v>
      </c>
      <c r="I189" t="s">
        <v>45</v>
      </c>
    </row>
    <row r="190" spans="1:9">
      <c r="A190" t="s">
        <v>197</v>
      </c>
      <c r="B190">
        <v>0</v>
      </c>
      <c r="C190">
        <v>0</v>
      </c>
      <c r="D190">
        <v>0</v>
      </c>
      <c r="E190">
        <v>99</v>
      </c>
      <c r="F190">
        <v>0</v>
      </c>
      <c r="G190">
        <v>0</v>
      </c>
      <c r="H190">
        <v>0</v>
      </c>
      <c r="I190" t="s">
        <v>45</v>
      </c>
    </row>
    <row r="191" spans="1:9">
      <c r="A191" t="s">
        <v>198</v>
      </c>
      <c r="B191">
        <v>0</v>
      </c>
      <c r="C191">
        <v>0</v>
      </c>
      <c r="D191">
        <v>0</v>
      </c>
      <c r="E191">
        <v>99</v>
      </c>
      <c r="F191">
        <v>0</v>
      </c>
      <c r="G191">
        <v>0</v>
      </c>
      <c r="H191">
        <v>0</v>
      </c>
      <c r="I191" t="s">
        <v>45</v>
      </c>
    </row>
    <row r="192" spans="1:9">
      <c r="A192" t="s">
        <v>199</v>
      </c>
      <c r="B192">
        <v>0</v>
      </c>
      <c r="C192">
        <v>0</v>
      </c>
      <c r="D192">
        <v>0</v>
      </c>
      <c r="E192">
        <v>99</v>
      </c>
      <c r="F192">
        <v>0</v>
      </c>
      <c r="G192">
        <v>0</v>
      </c>
      <c r="H192">
        <v>0</v>
      </c>
      <c r="I192" t="s">
        <v>45</v>
      </c>
    </row>
    <row r="193" spans="1:9">
      <c r="A193" t="s">
        <v>200</v>
      </c>
      <c r="B193">
        <v>0</v>
      </c>
      <c r="C193">
        <v>0</v>
      </c>
      <c r="D193">
        <v>0</v>
      </c>
      <c r="E193">
        <v>99</v>
      </c>
      <c r="F193">
        <v>0</v>
      </c>
      <c r="G193">
        <v>0</v>
      </c>
      <c r="H193">
        <v>0</v>
      </c>
      <c r="I193" t="s">
        <v>45</v>
      </c>
    </row>
    <row r="194" spans="1:9">
      <c r="A194" t="s">
        <v>201</v>
      </c>
      <c r="B194">
        <v>0</v>
      </c>
      <c r="C194">
        <v>0</v>
      </c>
      <c r="D194">
        <v>0</v>
      </c>
      <c r="E194">
        <v>99</v>
      </c>
      <c r="F194">
        <v>0</v>
      </c>
      <c r="G194">
        <v>0</v>
      </c>
      <c r="H194">
        <v>0</v>
      </c>
      <c r="I194" t="s">
        <v>45</v>
      </c>
    </row>
    <row r="195" spans="1:9">
      <c r="A195" t="s">
        <v>202</v>
      </c>
      <c r="B195">
        <v>0</v>
      </c>
      <c r="C195">
        <v>0</v>
      </c>
      <c r="D195">
        <v>0</v>
      </c>
      <c r="E195">
        <v>99</v>
      </c>
      <c r="F195">
        <v>0</v>
      </c>
      <c r="G195">
        <v>0</v>
      </c>
      <c r="H195">
        <v>0</v>
      </c>
      <c r="I195" t="s">
        <v>45</v>
      </c>
    </row>
    <row r="196" spans="1:9">
      <c r="A196" t="s">
        <v>203</v>
      </c>
      <c r="B196">
        <v>0</v>
      </c>
      <c r="C196">
        <v>0</v>
      </c>
      <c r="D196">
        <v>0</v>
      </c>
      <c r="E196">
        <v>99</v>
      </c>
      <c r="F196">
        <v>0</v>
      </c>
      <c r="G196">
        <v>0</v>
      </c>
      <c r="H196">
        <v>0</v>
      </c>
      <c r="I196" t="s">
        <v>45</v>
      </c>
    </row>
    <row r="197" spans="1:9">
      <c r="A197" t="s">
        <v>204</v>
      </c>
      <c r="B197">
        <v>0</v>
      </c>
      <c r="C197">
        <v>0</v>
      </c>
      <c r="D197">
        <v>3</v>
      </c>
      <c r="E197">
        <v>96</v>
      </c>
      <c r="F197">
        <v>0</v>
      </c>
      <c r="G197">
        <v>0</v>
      </c>
      <c r="H197">
        <v>2</v>
      </c>
      <c r="I197" t="s">
        <v>45</v>
      </c>
    </row>
    <row r="198" spans="1:9">
      <c r="A198" t="s">
        <v>205</v>
      </c>
      <c r="B198">
        <v>0</v>
      </c>
      <c r="C198">
        <v>0</v>
      </c>
      <c r="D198">
        <v>0</v>
      </c>
      <c r="E198">
        <v>99</v>
      </c>
      <c r="F198">
        <v>0</v>
      </c>
      <c r="G198">
        <v>0</v>
      </c>
      <c r="H198">
        <v>0</v>
      </c>
      <c r="I198" t="s">
        <v>45</v>
      </c>
    </row>
    <row r="199" spans="1:9">
      <c r="A199" t="s">
        <v>206</v>
      </c>
      <c r="B199">
        <v>0</v>
      </c>
      <c r="C199">
        <v>0</v>
      </c>
      <c r="D199">
        <v>0</v>
      </c>
      <c r="E199">
        <v>99</v>
      </c>
      <c r="F199">
        <v>0</v>
      </c>
      <c r="G199">
        <v>0</v>
      </c>
      <c r="H199">
        <v>0</v>
      </c>
      <c r="I199" t="s">
        <v>45</v>
      </c>
    </row>
    <row r="200" spans="1:9">
      <c r="A200" t="s">
        <v>207</v>
      </c>
      <c r="B200">
        <v>0</v>
      </c>
      <c r="C200">
        <v>0</v>
      </c>
      <c r="D200">
        <v>0</v>
      </c>
      <c r="E200">
        <v>99</v>
      </c>
      <c r="F200">
        <v>0</v>
      </c>
      <c r="G200">
        <v>0</v>
      </c>
      <c r="H200">
        <v>0</v>
      </c>
      <c r="I200" t="s">
        <v>45</v>
      </c>
    </row>
    <row r="201" spans="1:9">
      <c r="A201" t="s">
        <v>208</v>
      </c>
      <c r="B201">
        <v>0</v>
      </c>
      <c r="C201">
        <v>0</v>
      </c>
      <c r="D201">
        <v>0</v>
      </c>
      <c r="E201">
        <v>99</v>
      </c>
      <c r="F201">
        <v>0</v>
      </c>
      <c r="G201">
        <v>0</v>
      </c>
      <c r="H201">
        <v>0</v>
      </c>
      <c r="I201" t="s">
        <v>45</v>
      </c>
    </row>
    <row r="202" spans="1:9">
      <c r="A202" t="s">
        <v>209</v>
      </c>
      <c r="B202">
        <v>0</v>
      </c>
      <c r="C202">
        <v>0</v>
      </c>
      <c r="D202">
        <v>0</v>
      </c>
      <c r="E202">
        <v>99</v>
      </c>
      <c r="F202">
        <v>0</v>
      </c>
      <c r="G202">
        <v>0</v>
      </c>
      <c r="H202">
        <v>0</v>
      </c>
      <c r="I202" t="s">
        <v>45</v>
      </c>
    </row>
    <row r="203" spans="1:9">
      <c r="A203" t="s">
        <v>210</v>
      </c>
      <c r="B203">
        <v>0</v>
      </c>
      <c r="C203">
        <v>0</v>
      </c>
      <c r="D203">
        <v>0</v>
      </c>
      <c r="E203">
        <v>99</v>
      </c>
      <c r="F203">
        <v>0</v>
      </c>
      <c r="G203">
        <v>0</v>
      </c>
      <c r="H203">
        <v>0</v>
      </c>
      <c r="I203" t="s">
        <v>45</v>
      </c>
    </row>
    <row r="204" spans="1:9">
      <c r="A204" t="s">
        <v>211</v>
      </c>
      <c r="B204">
        <v>0</v>
      </c>
      <c r="C204">
        <v>0</v>
      </c>
      <c r="D204">
        <v>0</v>
      </c>
      <c r="E204">
        <v>99</v>
      </c>
      <c r="F204">
        <v>0</v>
      </c>
      <c r="G204">
        <v>0</v>
      </c>
      <c r="H204">
        <v>0</v>
      </c>
      <c r="I204" t="s">
        <v>45</v>
      </c>
    </row>
    <row r="205" spans="1:9">
      <c r="A205" t="s">
        <v>212</v>
      </c>
      <c r="B205">
        <v>0</v>
      </c>
      <c r="C205">
        <v>0</v>
      </c>
      <c r="D205">
        <v>0</v>
      </c>
      <c r="E205">
        <v>99</v>
      </c>
      <c r="F205">
        <v>0</v>
      </c>
      <c r="G205">
        <v>0</v>
      </c>
      <c r="H205">
        <v>0</v>
      </c>
      <c r="I205" t="s">
        <v>45</v>
      </c>
    </row>
    <row r="206" spans="1:9">
      <c r="A206" t="s">
        <v>213</v>
      </c>
      <c r="B206">
        <v>0</v>
      </c>
      <c r="C206">
        <v>0</v>
      </c>
      <c r="D206">
        <v>0</v>
      </c>
      <c r="E206">
        <v>99</v>
      </c>
      <c r="F206">
        <v>0</v>
      </c>
      <c r="G206">
        <v>0</v>
      </c>
      <c r="H206">
        <v>0</v>
      </c>
      <c r="I206" t="s">
        <v>45</v>
      </c>
    </row>
    <row r="207" spans="1:9">
      <c r="A207" t="s">
        <v>214</v>
      </c>
      <c r="B207">
        <v>0</v>
      </c>
      <c r="C207">
        <v>0</v>
      </c>
      <c r="D207">
        <v>0</v>
      </c>
      <c r="E207">
        <v>99</v>
      </c>
      <c r="F207">
        <v>0</v>
      </c>
      <c r="G207">
        <v>0</v>
      </c>
      <c r="H207">
        <v>0</v>
      </c>
      <c r="I207" t="s">
        <v>45</v>
      </c>
    </row>
    <row r="208" spans="1:9">
      <c r="A208" t="s">
        <v>215</v>
      </c>
      <c r="B208">
        <v>0</v>
      </c>
      <c r="C208">
        <v>0</v>
      </c>
      <c r="D208">
        <v>0</v>
      </c>
      <c r="E208">
        <v>99</v>
      </c>
      <c r="F208">
        <v>0</v>
      </c>
      <c r="G208">
        <v>0</v>
      </c>
      <c r="H208">
        <v>0</v>
      </c>
      <c r="I208" t="s">
        <v>45</v>
      </c>
    </row>
    <row r="209" spans="1:9">
      <c r="A209" t="s">
        <v>216</v>
      </c>
      <c r="B209">
        <v>0</v>
      </c>
      <c r="C209">
        <v>0</v>
      </c>
      <c r="D209">
        <v>0</v>
      </c>
      <c r="E209">
        <v>99</v>
      </c>
      <c r="F209">
        <v>0</v>
      </c>
      <c r="G209">
        <v>0</v>
      </c>
      <c r="H209">
        <v>0</v>
      </c>
      <c r="I209" t="s">
        <v>45</v>
      </c>
    </row>
    <row r="210" spans="1:9">
      <c r="A210" t="s">
        <v>217</v>
      </c>
      <c r="B210">
        <v>0</v>
      </c>
      <c r="C210">
        <v>0</v>
      </c>
      <c r="D210">
        <v>0</v>
      </c>
      <c r="E210">
        <v>99</v>
      </c>
      <c r="F210">
        <v>0</v>
      </c>
      <c r="G210">
        <v>0</v>
      </c>
      <c r="H210">
        <v>0</v>
      </c>
      <c r="I210" t="s">
        <v>45</v>
      </c>
    </row>
    <row r="211" spans="1:9">
      <c r="A211" t="s">
        <v>218</v>
      </c>
      <c r="B211">
        <v>0</v>
      </c>
      <c r="C211">
        <v>0</v>
      </c>
      <c r="D211">
        <v>0</v>
      </c>
      <c r="E211">
        <v>99</v>
      </c>
      <c r="F211">
        <v>0</v>
      </c>
      <c r="G211">
        <v>0</v>
      </c>
      <c r="H211">
        <v>0</v>
      </c>
      <c r="I211" t="s">
        <v>45</v>
      </c>
    </row>
    <row r="212" spans="1:9">
      <c r="A212" t="s">
        <v>219</v>
      </c>
      <c r="B212">
        <v>0</v>
      </c>
      <c r="C212">
        <v>0</v>
      </c>
      <c r="D212">
        <v>0</v>
      </c>
      <c r="E212">
        <v>99</v>
      </c>
      <c r="F212">
        <v>0</v>
      </c>
      <c r="G212">
        <v>0</v>
      </c>
      <c r="H212">
        <v>0</v>
      </c>
      <c r="I212" t="s">
        <v>45</v>
      </c>
    </row>
    <row r="213" spans="1:9">
      <c r="A213" t="s">
        <v>220</v>
      </c>
      <c r="B213">
        <v>0</v>
      </c>
      <c r="C213">
        <v>0</v>
      </c>
      <c r="D213">
        <v>0</v>
      </c>
      <c r="E213">
        <v>99</v>
      </c>
      <c r="F213">
        <v>0</v>
      </c>
      <c r="G213">
        <v>0</v>
      </c>
      <c r="H213">
        <v>0</v>
      </c>
      <c r="I213" t="s">
        <v>45</v>
      </c>
    </row>
    <row r="214" spans="1:9">
      <c r="A214" t="s">
        <v>221</v>
      </c>
      <c r="B214">
        <v>0</v>
      </c>
      <c r="C214">
        <v>0</v>
      </c>
      <c r="D214">
        <v>0</v>
      </c>
      <c r="E214">
        <v>99</v>
      </c>
      <c r="F214">
        <v>0</v>
      </c>
      <c r="G214">
        <v>0</v>
      </c>
      <c r="H214">
        <v>0</v>
      </c>
      <c r="I214" t="s">
        <v>45</v>
      </c>
    </row>
    <row r="215" spans="1:9">
      <c r="A215" t="s">
        <v>222</v>
      </c>
      <c r="B215">
        <v>0</v>
      </c>
      <c r="C215">
        <v>0</v>
      </c>
      <c r="D215">
        <v>0</v>
      </c>
      <c r="E215">
        <v>99</v>
      </c>
      <c r="F215">
        <v>0</v>
      </c>
      <c r="G215">
        <v>0</v>
      </c>
      <c r="H215">
        <v>0</v>
      </c>
      <c r="I215" t="s">
        <v>45</v>
      </c>
    </row>
    <row r="216" spans="1:9">
      <c r="A216" t="s">
        <v>223</v>
      </c>
      <c r="B216">
        <v>0</v>
      </c>
      <c r="C216">
        <v>0</v>
      </c>
      <c r="D216">
        <v>0</v>
      </c>
      <c r="E216">
        <v>99</v>
      </c>
      <c r="F216">
        <v>0</v>
      </c>
      <c r="G216">
        <v>0</v>
      </c>
      <c r="H216">
        <v>0</v>
      </c>
      <c r="I216" t="s">
        <v>45</v>
      </c>
    </row>
    <row r="217" spans="1:9">
      <c r="A217" t="s">
        <v>224</v>
      </c>
      <c r="B217">
        <v>0</v>
      </c>
      <c r="C217">
        <v>0</v>
      </c>
      <c r="D217">
        <v>0</v>
      </c>
      <c r="E217">
        <v>99</v>
      </c>
      <c r="F217">
        <v>0</v>
      </c>
      <c r="G217">
        <v>0</v>
      </c>
      <c r="H217">
        <v>0</v>
      </c>
      <c r="I217" t="s">
        <v>45</v>
      </c>
    </row>
    <row r="218" spans="1:9">
      <c r="A218" t="s">
        <v>225</v>
      </c>
      <c r="B218">
        <v>0</v>
      </c>
      <c r="C218">
        <v>0</v>
      </c>
      <c r="D218">
        <v>0</v>
      </c>
      <c r="E218">
        <v>99</v>
      </c>
      <c r="F218">
        <v>0</v>
      </c>
      <c r="G218">
        <v>0</v>
      </c>
      <c r="H218">
        <v>0</v>
      </c>
      <c r="I218" t="s">
        <v>45</v>
      </c>
    </row>
    <row r="219" spans="1:9">
      <c r="A219" t="s">
        <v>226</v>
      </c>
      <c r="B219">
        <v>0</v>
      </c>
      <c r="C219">
        <v>0</v>
      </c>
      <c r="D219">
        <v>0</v>
      </c>
      <c r="E219">
        <v>99</v>
      </c>
      <c r="F219">
        <v>0</v>
      </c>
      <c r="G219">
        <v>0</v>
      </c>
      <c r="H219">
        <v>0</v>
      </c>
      <c r="I219" t="s">
        <v>45</v>
      </c>
    </row>
    <row r="220" spans="1:9">
      <c r="A220" t="s">
        <v>227</v>
      </c>
      <c r="B220">
        <v>0</v>
      </c>
      <c r="C220">
        <v>0</v>
      </c>
      <c r="D220">
        <v>0</v>
      </c>
      <c r="E220">
        <v>99</v>
      </c>
      <c r="F220">
        <v>0</v>
      </c>
      <c r="G220">
        <v>0</v>
      </c>
      <c r="H220">
        <v>0</v>
      </c>
      <c r="I220" t="s">
        <v>45</v>
      </c>
    </row>
    <row r="221" spans="1:9">
      <c r="A221" t="s">
        <v>228</v>
      </c>
      <c r="B221">
        <v>0</v>
      </c>
      <c r="C221">
        <v>0</v>
      </c>
      <c r="D221">
        <v>0</v>
      </c>
      <c r="E221">
        <v>99</v>
      </c>
      <c r="F221">
        <v>0</v>
      </c>
      <c r="G221">
        <v>0</v>
      </c>
      <c r="H221">
        <v>0</v>
      </c>
      <c r="I221" t="s">
        <v>45</v>
      </c>
    </row>
    <row r="222" spans="1:9">
      <c r="A222" t="s">
        <v>229</v>
      </c>
      <c r="B222">
        <v>0</v>
      </c>
      <c r="C222">
        <v>0</v>
      </c>
      <c r="D222">
        <v>0</v>
      </c>
      <c r="E222">
        <v>99</v>
      </c>
      <c r="F222">
        <v>0</v>
      </c>
      <c r="G222">
        <v>0</v>
      </c>
      <c r="H222">
        <v>0</v>
      </c>
      <c r="I222" t="s">
        <v>45</v>
      </c>
    </row>
    <row r="223" spans="1:9">
      <c r="A223" t="s">
        <v>230</v>
      </c>
      <c r="B223">
        <v>0</v>
      </c>
      <c r="C223">
        <v>0</v>
      </c>
      <c r="D223">
        <v>0</v>
      </c>
      <c r="E223">
        <v>99</v>
      </c>
      <c r="F223">
        <v>0</v>
      </c>
      <c r="G223">
        <v>0</v>
      </c>
      <c r="H223">
        <v>0</v>
      </c>
      <c r="I223" t="s">
        <v>45</v>
      </c>
    </row>
    <row r="224" spans="1:9">
      <c r="A224" t="s">
        <v>231</v>
      </c>
      <c r="B224">
        <v>0</v>
      </c>
      <c r="C224">
        <v>0</v>
      </c>
      <c r="D224">
        <v>0</v>
      </c>
      <c r="E224">
        <v>99</v>
      </c>
      <c r="F224">
        <v>0</v>
      </c>
      <c r="G224">
        <v>0</v>
      </c>
      <c r="H224">
        <v>0</v>
      </c>
      <c r="I224" t="s">
        <v>45</v>
      </c>
    </row>
    <row r="225" spans="1:9">
      <c r="A225" t="s">
        <v>232</v>
      </c>
      <c r="B225">
        <v>0</v>
      </c>
      <c r="C225">
        <v>0</v>
      </c>
      <c r="D225">
        <v>0</v>
      </c>
      <c r="E225">
        <v>99</v>
      </c>
      <c r="F225">
        <v>0</v>
      </c>
      <c r="G225">
        <v>0</v>
      </c>
      <c r="H225">
        <v>0</v>
      </c>
      <c r="I225" t="s">
        <v>45</v>
      </c>
    </row>
    <row r="226" spans="1:9">
      <c r="A226" t="s">
        <v>233</v>
      </c>
      <c r="B226">
        <v>0</v>
      </c>
      <c r="C226">
        <v>0</v>
      </c>
      <c r="D226">
        <v>0</v>
      </c>
      <c r="E226">
        <v>99</v>
      </c>
      <c r="F226">
        <v>0</v>
      </c>
      <c r="G226">
        <v>0</v>
      </c>
      <c r="H226">
        <v>0</v>
      </c>
      <c r="I226" t="s">
        <v>45</v>
      </c>
    </row>
    <row r="227" spans="1:9">
      <c r="A227" t="s">
        <v>234</v>
      </c>
      <c r="B227">
        <v>0</v>
      </c>
      <c r="C227">
        <v>0</v>
      </c>
      <c r="D227">
        <v>0</v>
      </c>
      <c r="E227">
        <v>99</v>
      </c>
      <c r="F227">
        <v>0</v>
      </c>
      <c r="G227">
        <v>0</v>
      </c>
      <c r="H227">
        <v>0</v>
      </c>
      <c r="I227" t="s">
        <v>45</v>
      </c>
    </row>
    <row r="228" spans="1:9">
      <c r="A228" t="s">
        <v>235</v>
      </c>
      <c r="B228">
        <v>0</v>
      </c>
      <c r="C228">
        <v>0</v>
      </c>
      <c r="D228">
        <v>0</v>
      </c>
      <c r="E228">
        <v>99</v>
      </c>
      <c r="F228">
        <v>0</v>
      </c>
      <c r="G228">
        <v>0</v>
      </c>
      <c r="H228">
        <v>0</v>
      </c>
      <c r="I228" t="s">
        <v>45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69A05-B0D8-4428-80C8-FFBEE4E5928A}">
  <sheetPr codeName="Sheet12"/>
  <dimension ref="A1:EZ228"/>
  <sheetViews>
    <sheetView topLeftCell="A85" workbookViewId="0"/>
  </sheetViews>
  <sheetFormatPr defaultRowHeight="12.5"/>
  <sheetData>
    <row r="1" spans="1:7">
      <c r="A1" t="s">
        <v>255</v>
      </c>
      <c r="B1">
        <v>24</v>
      </c>
      <c r="C1" t="s">
        <v>245</v>
      </c>
      <c r="D1" t="s">
        <v>83</v>
      </c>
      <c r="E1" t="s">
        <v>250</v>
      </c>
    </row>
    <row r="2" spans="1:7">
      <c r="A2" t="s">
        <v>79</v>
      </c>
      <c r="B2" t="s">
        <v>87</v>
      </c>
      <c r="C2">
        <v>4</v>
      </c>
    </row>
    <row r="3" spans="1:7">
      <c r="A3" t="s">
        <v>80</v>
      </c>
    </row>
    <row r="4" spans="1:7">
      <c r="A4" t="s">
        <v>261</v>
      </c>
    </row>
    <row r="5" spans="1:7">
      <c r="A5" t="s">
        <v>81</v>
      </c>
      <c r="B5" t="s">
        <v>89</v>
      </c>
      <c r="C5" t="s">
        <v>58</v>
      </c>
      <c r="D5" t="s">
        <v>238</v>
      </c>
    </row>
    <row r="6" spans="1:7">
      <c r="A6" t="s">
        <v>262</v>
      </c>
    </row>
    <row r="7" spans="1:7">
      <c r="A7" t="s">
        <v>82</v>
      </c>
      <c r="B7" t="s">
        <v>92</v>
      </c>
    </row>
    <row r="8" spans="1:7">
      <c r="A8" t="s">
        <v>93</v>
      </c>
      <c r="B8" t="s">
        <v>94</v>
      </c>
    </row>
    <row r="9" spans="1:7">
      <c r="A9" t="s">
        <v>95</v>
      </c>
      <c r="B9" t="s">
        <v>96</v>
      </c>
      <c r="C9" t="s">
        <v>97</v>
      </c>
    </row>
    <row r="10" spans="1:7">
      <c r="A10" t="s">
        <v>254</v>
      </c>
    </row>
    <row r="11" spans="1:7">
      <c r="A11" t="s">
        <v>99</v>
      </c>
    </row>
    <row r="12" spans="1:7">
      <c r="A12" t="s">
        <v>100</v>
      </c>
      <c r="B12" t="s">
        <v>101</v>
      </c>
      <c r="C12" t="s">
        <v>102</v>
      </c>
      <c r="D12" t="s">
        <v>103</v>
      </c>
      <c r="E12" t="s">
        <v>104</v>
      </c>
      <c r="F12" t="s">
        <v>105</v>
      </c>
      <c r="G12" t="s">
        <v>106</v>
      </c>
    </row>
    <row r="13" spans="1:7">
      <c r="A13">
        <v>2</v>
      </c>
      <c r="B13">
        <v>21053320</v>
      </c>
      <c r="C13">
        <v>0.08</v>
      </c>
      <c r="D13">
        <v>0</v>
      </c>
      <c r="E13">
        <v>5.65</v>
      </c>
      <c r="F13">
        <v>812</v>
      </c>
      <c r="G13">
        <v>3048</v>
      </c>
    </row>
    <row r="14" spans="1:7">
      <c r="A14">
        <v>4</v>
      </c>
      <c r="B14">
        <v>202957940</v>
      </c>
      <c r="C14">
        <v>0.81</v>
      </c>
      <c r="D14">
        <v>0</v>
      </c>
      <c r="E14">
        <v>24.35</v>
      </c>
      <c r="F14">
        <v>6506</v>
      </c>
      <c r="G14">
        <v>38013</v>
      </c>
    </row>
    <row r="15" spans="1:7">
      <c r="A15">
        <v>6</v>
      </c>
      <c r="B15">
        <v>227552940</v>
      </c>
      <c r="C15">
        <v>0.91</v>
      </c>
      <c r="D15">
        <v>0</v>
      </c>
      <c r="E15">
        <v>35.479999999999997</v>
      </c>
      <c r="F15">
        <v>15121</v>
      </c>
      <c r="G15">
        <v>91622</v>
      </c>
    </row>
    <row r="16" spans="1:7">
      <c r="A16">
        <v>8</v>
      </c>
      <c r="B16">
        <v>374237520</v>
      </c>
      <c r="C16">
        <v>1.5</v>
      </c>
      <c r="D16">
        <v>0</v>
      </c>
      <c r="E16">
        <v>51.72</v>
      </c>
      <c r="F16">
        <v>27910</v>
      </c>
      <c r="G16">
        <v>169868</v>
      </c>
    </row>
    <row r="17" spans="1:7">
      <c r="A17">
        <v>10</v>
      </c>
      <c r="B17">
        <v>552797220</v>
      </c>
      <c r="C17">
        <v>2.21</v>
      </c>
      <c r="D17">
        <v>0</v>
      </c>
      <c r="E17">
        <v>75.97</v>
      </c>
      <c r="F17">
        <v>47596</v>
      </c>
      <c r="G17">
        <v>287471</v>
      </c>
    </row>
    <row r="18" spans="1:7">
      <c r="A18">
        <v>12</v>
      </c>
      <c r="B18">
        <v>835147820</v>
      </c>
      <c r="C18">
        <v>3.34</v>
      </c>
      <c r="D18">
        <v>0</v>
      </c>
      <c r="E18">
        <v>110.78</v>
      </c>
      <c r="F18">
        <v>77438</v>
      </c>
      <c r="G18">
        <v>457551</v>
      </c>
    </row>
    <row r="19" spans="1:7">
      <c r="A19">
        <v>14</v>
      </c>
      <c r="B19">
        <v>1245392420</v>
      </c>
      <c r="C19">
        <v>4.9800000000000004</v>
      </c>
      <c r="D19">
        <v>0</v>
      </c>
      <c r="E19">
        <v>161.51</v>
      </c>
      <c r="F19">
        <v>120306</v>
      </c>
      <c r="G19">
        <v>706909</v>
      </c>
    </row>
    <row r="20" spans="1:7">
      <c r="A20">
        <v>16</v>
      </c>
      <c r="B20">
        <v>1492818120</v>
      </c>
      <c r="C20">
        <v>5.97</v>
      </c>
      <c r="D20">
        <v>0</v>
      </c>
      <c r="E20">
        <v>235.51</v>
      </c>
      <c r="F20">
        <v>177790</v>
      </c>
      <c r="G20">
        <v>1071552</v>
      </c>
    </row>
    <row r="21" spans="1:7">
      <c r="A21">
        <v>18</v>
      </c>
      <c r="B21">
        <v>2564766600</v>
      </c>
      <c r="C21">
        <v>10.26</v>
      </c>
      <c r="D21">
        <v>0</v>
      </c>
      <c r="E21">
        <v>344.41</v>
      </c>
      <c r="F21">
        <v>259150</v>
      </c>
      <c r="G21">
        <v>1612420</v>
      </c>
    </row>
    <row r="22" spans="1:7">
      <c r="A22">
        <v>20</v>
      </c>
      <c r="B22">
        <v>3539023740</v>
      </c>
      <c r="C22">
        <v>14.16</v>
      </c>
      <c r="D22">
        <v>0</v>
      </c>
      <c r="E22">
        <v>496.78</v>
      </c>
      <c r="F22">
        <v>378043</v>
      </c>
      <c r="G22">
        <v>2390233</v>
      </c>
    </row>
    <row r="23" spans="1:7">
      <c r="A23">
        <v>22</v>
      </c>
      <c r="B23">
        <v>4400143880</v>
      </c>
      <c r="C23">
        <v>17.600000000000001</v>
      </c>
      <c r="D23">
        <v>0</v>
      </c>
      <c r="E23">
        <v>663.86</v>
      </c>
      <c r="F23">
        <v>548582</v>
      </c>
      <c r="G23">
        <v>3470683</v>
      </c>
    </row>
    <row r="24" spans="1:7">
      <c r="A24">
        <v>24</v>
      </c>
      <c r="B24">
        <v>6312060800</v>
      </c>
      <c r="C24">
        <v>25.25</v>
      </c>
      <c r="D24">
        <v>0</v>
      </c>
      <c r="E24">
        <v>852.47</v>
      </c>
      <c r="F24">
        <v>692486</v>
      </c>
      <c r="G24">
        <v>4892257</v>
      </c>
    </row>
    <row r="25" spans="1:7">
      <c r="A25">
        <v>26</v>
      </c>
      <c r="B25">
        <v>5808945480</v>
      </c>
      <c r="C25">
        <v>23.24</v>
      </c>
      <c r="D25">
        <v>0</v>
      </c>
      <c r="E25">
        <v>874.14</v>
      </c>
      <c r="F25">
        <v>818327</v>
      </c>
      <c r="G25">
        <v>6460996</v>
      </c>
    </row>
    <row r="26" spans="1:7">
      <c r="A26">
        <v>28</v>
      </c>
      <c r="B26">
        <v>6383779820</v>
      </c>
      <c r="C26">
        <v>25.54</v>
      </c>
      <c r="D26">
        <v>0</v>
      </c>
      <c r="E26">
        <v>874.14</v>
      </c>
      <c r="F26">
        <v>952374</v>
      </c>
      <c r="G26">
        <v>8007636</v>
      </c>
    </row>
    <row r="27" spans="1:7">
      <c r="A27">
        <v>30</v>
      </c>
      <c r="B27">
        <v>5252901720</v>
      </c>
      <c r="C27">
        <v>21.01</v>
      </c>
      <c r="D27">
        <v>0</v>
      </c>
      <c r="E27">
        <v>874.14</v>
      </c>
      <c r="F27">
        <v>1095083</v>
      </c>
      <c r="G27">
        <v>9617084</v>
      </c>
    </row>
    <row r="28" spans="1:7">
      <c r="A28">
        <v>32</v>
      </c>
      <c r="B28">
        <v>5815733700</v>
      </c>
      <c r="C28">
        <v>23.26</v>
      </c>
      <c r="D28">
        <v>0</v>
      </c>
      <c r="E28">
        <v>874.14</v>
      </c>
      <c r="F28">
        <v>1248444</v>
      </c>
      <c r="G28">
        <v>11337665</v>
      </c>
    </row>
    <row r="29" spans="1:7">
      <c r="A29">
        <v>34</v>
      </c>
      <c r="B29">
        <v>5921197060</v>
      </c>
      <c r="C29">
        <v>23.68</v>
      </c>
      <c r="D29">
        <v>0</v>
      </c>
      <c r="E29">
        <v>874.14</v>
      </c>
      <c r="F29">
        <v>1428807</v>
      </c>
      <c r="G29">
        <v>13217997</v>
      </c>
    </row>
    <row r="30" spans="1:7">
      <c r="A30">
        <v>36</v>
      </c>
      <c r="B30">
        <v>5384730920</v>
      </c>
      <c r="C30">
        <v>21.54</v>
      </c>
      <c r="D30">
        <v>0</v>
      </c>
      <c r="E30">
        <v>874.14</v>
      </c>
      <c r="F30">
        <v>1650551</v>
      </c>
      <c r="G30">
        <v>15311380</v>
      </c>
    </row>
    <row r="31" spans="1:7">
      <c r="A31">
        <v>38</v>
      </c>
      <c r="B31">
        <v>5862759340</v>
      </c>
      <c r="C31">
        <v>23.45</v>
      </c>
      <c r="D31">
        <v>0</v>
      </c>
      <c r="E31">
        <v>874.14</v>
      </c>
      <c r="F31">
        <v>1912903</v>
      </c>
      <c r="G31">
        <v>17669164</v>
      </c>
    </row>
    <row r="32" spans="1:7">
      <c r="A32">
        <v>40</v>
      </c>
      <c r="B32">
        <v>5366038720</v>
      </c>
      <c r="C32">
        <v>21.46</v>
      </c>
      <c r="D32">
        <v>0</v>
      </c>
      <c r="E32">
        <v>874.14</v>
      </c>
      <c r="F32">
        <v>2209205</v>
      </c>
      <c r="G32">
        <v>20261575</v>
      </c>
    </row>
    <row r="33" spans="1:7">
      <c r="A33">
        <v>42</v>
      </c>
      <c r="B33">
        <v>5350199540</v>
      </c>
      <c r="C33">
        <v>21.4</v>
      </c>
      <c r="D33">
        <v>0</v>
      </c>
      <c r="E33">
        <v>874.14</v>
      </c>
      <c r="F33">
        <v>2515091</v>
      </c>
      <c r="G33">
        <v>22879618</v>
      </c>
    </row>
    <row r="34" spans="1:7">
      <c r="A34">
        <v>44</v>
      </c>
      <c r="B34">
        <v>4684068560</v>
      </c>
      <c r="C34">
        <v>18.739999999999998</v>
      </c>
      <c r="D34">
        <v>28</v>
      </c>
      <c r="E34">
        <v>636.16</v>
      </c>
      <c r="F34">
        <v>2810788</v>
      </c>
      <c r="G34">
        <v>24835558</v>
      </c>
    </row>
    <row r="35" spans="1:7">
      <c r="A35">
        <v>46</v>
      </c>
      <c r="B35">
        <v>4606643500</v>
      </c>
      <c r="C35">
        <v>18.43</v>
      </c>
      <c r="D35">
        <v>0</v>
      </c>
      <c r="E35">
        <v>670.46</v>
      </c>
      <c r="F35">
        <v>3174005</v>
      </c>
      <c r="G35">
        <v>27196770</v>
      </c>
    </row>
    <row r="36" spans="1:7">
      <c r="A36">
        <v>48</v>
      </c>
      <c r="B36">
        <v>5434216060</v>
      </c>
      <c r="C36">
        <v>21.74</v>
      </c>
      <c r="D36">
        <v>0</v>
      </c>
      <c r="E36">
        <v>700.54</v>
      </c>
      <c r="F36">
        <v>3548196</v>
      </c>
      <c r="G36">
        <v>29654575</v>
      </c>
    </row>
    <row r="37" spans="1:7">
      <c r="A37">
        <v>50</v>
      </c>
      <c r="B37">
        <v>5274643700</v>
      </c>
      <c r="C37">
        <v>21.1</v>
      </c>
      <c r="D37">
        <v>0</v>
      </c>
      <c r="E37">
        <v>727.65</v>
      </c>
      <c r="F37">
        <v>3927078</v>
      </c>
      <c r="G37">
        <v>32209841</v>
      </c>
    </row>
    <row r="38" spans="1:7">
      <c r="A38">
        <v>52</v>
      </c>
      <c r="B38">
        <v>5656948380</v>
      </c>
      <c r="C38">
        <v>22.63</v>
      </c>
      <c r="D38">
        <v>0</v>
      </c>
      <c r="E38">
        <v>748.38</v>
      </c>
      <c r="F38">
        <v>4294905</v>
      </c>
      <c r="G38">
        <v>34787850</v>
      </c>
    </row>
    <row r="39" spans="1:7">
      <c r="A39">
        <v>54</v>
      </c>
      <c r="B39">
        <v>5399881440</v>
      </c>
      <c r="C39">
        <v>21.6</v>
      </c>
      <c r="D39">
        <v>0</v>
      </c>
      <c r="E39">
        <v>757.13</v>
      </c>
      <c r="F39">
        <v>4665537</v>
      </c>
      <c r="G39">
        <v>37382078</v>
      </c>
    </row>
    <row r="40" spans="1:7">
      <c r="A40">
        <v>56</v>
      </c>
      <c r="B40">
        <v>5311536200</v>
      </c>
      <c r="C40">
        <v>21.25</v>
      </c>
      <c r="D40">
        <v>0</v>
      </c>
      <c r="E40">
        <v>757.13</v>
      </c>
      <c r="F40">
        <v>5030395</v>
      </c>
      <c r="G40">
        <v>39978266</v>
      </c>
    </row>
    <row r="41" spans="1:7">
      <c r="A41">
        <v>58</v>
      </c>
      <c r="B41">
        <v>5131894320</v>
      </c>
      <c r="C41">
        <v>20.53</v>
      </c>
      <c r="D41">
        <v>0</v>
      </c>
      <c r="E41">
        <v>757.13</v>
      </c>
      <c r="F41">
        <v>5396363</v>
      </c>
      <c r="G41">
        <v>42578080</v>
      </c>
    </row>
    <row r="42" spans="1:7">
      <c r="A42">
        <v>60</v>
      </c>
      <c r="B42">
        <v>4685052360</v>
      </c>
      <c r="C42">
        <v>18.739999999999998</v>
      </c>
      <c r="D42">
        <v>0</v>
      </c>
      <c r="E42">
        <v>757.13</v>
      </c>
      <c r="F42">
        <v>5757609</v>
      </c>
      <c r="G42">
        <v>45181490</v>
      </c>
    </row>
    <row r="43" spans="1:7">
      <c r="A43">
        <v>62</v>
      </c>
      <c r="B43">
        <v>5211680500</v>
      </c>
      <c r="C43">
        <v>20.85</v>
      </c>
      <c r="D43">
        <v>0</v>
      </c>
      <c r="E43">
        <v>769.47</v>
      </c>
      <c r="F43">
        <v>6119913</v>
      </c>
      <c r="G43">
        <v>47789678</v>
      </c>
    </row>
    <row r="44" spans="1:7">
      <c r="A44">
        <v>64</v>
      </c>
      <c r="B44">
        <v>4850724280</v>
      </c>
      <c r="C44">
        <v>19.399999999999999</v>
      </c>
      <c r="D44">
        <v>222</v>
      </c>
      <c r="E44">
        <v>542.11</v>
      </c>
      <c r="F44">
        <v>6449382</v>
      </c>
      <c r="G44">
        <v>49978501</v>
      </c>
    </row>
    <row r="45" spans="1:7">
      <c r="A45">
        <v>66</v>
      </c>
      <c r="B45">
        <v>4105889300</v>
      </c>
      <c r="C45">
        <v>16.420000000000002</v>
      </c>
      <c r="D45">
        <v>0</v>
      </c>
      <c r="E45">
        <v>560.71</v>
      </c>
      <c r="F45">
        <v>6754889</v>
      </c>
      <c r="G45">
        <v>52033041</v>
      </c>
    </row>
    <row r="46" spans="1:7">
      <c r="A46">
        <v>68</v>
      </c>
      <c r="B46">
        <v>4500393100</v>
      </c>
      <c r="C46">
        <v>18</v>
      </c>
      <c r="D46">
        <v>0</v>
      </c>
      <c r="E46">
        <v>579.21</v>
      </c>
      <c r="F46">
        <v>7103851</v>
      </c>
      <c r="G46">
        <v>54208123</v>
      </c>
    </row>
    <row r="47" spans="1:7">
      <c r="A47">
        <v>70</v>
      </c>
      <c r="B47">
        <v>4504131540</v>
      </c>
      <c r="C47">
        <v>18.010000000000002</v>
      </c>
      <c r="D47">
        <v>0</v>
      </c>
      <c r="E47">
        <v>595</v>
      </c>
      <c r="F47">
        <v>7452017</v>
      </c>
      <c r="G47">
        <v>56418576</v>
      </c>
    </row>
    <row r="48" spans="1:7">
      <c r="A48">
        <v>72</v>
      </c>
      <c r="B48">
        <v>4409489980</v>
      </c>
      <c r="C48">
        <v>17.64</v>
      </c>
      <c r="D48">
        <v>0</v>
      </c>
      <c r="E48">
        <v>608.41</v>
      </c>
      <c r="F48">
        <v>7798384</v>
      </c>
      <c r="G48">
        <v>58684021</v>
      </c>
    </row>
    <row r="49" spans="1:7">
      <c r="A49">
        <v>74</v>
      </c>
      <c r="B49">
        <v>4935035940</v>
      </c>
      <c r="C49">
        <v>19.739999999999998</v>
      </c>
      <c r="D49">
        <v>0</v>
      </c>
      <c r="E49">
        <v>619.83000000000004</v>
      </c>
      <c r="F49">
        <v>8144326</v>
      </c>
      <c r="G49">
        <v>61002680</v>
      </c>
    </row>
    <row r="50" spans="1:7">
      <c r="A50">
        <v>76</v>
      </c>
      <c r="B50">
        <v>4931691020</v>
      </c>
      <c r="C50">
        <v>19.73</v>
      </c>
      <c r="D50">
        <v>0</v>
      </c>
      <c r="E50">
        <v>629.41</v>
      </c>
      <c r="F50">
        <v>8497586</v>
      </c>
      <c r="G50">
        <v>63370227</v>
      </c>
    </row>
    <row r="51" spans="1:7">
      <c r="A51">
        <v>78</v>
      </c>
      <c r="B51">
        <v>4601134220</v>
      </c>
      <c r="C51">
        <v>18.399999999999999</v>
      </c>
      <c r="D51">
        <v>0</v>
      </c>
      <c r="E51">
        <v>637.17999999999995</v>
      </c>
      <c r="F51">
        <v>8850368</v>
      </c>
      <c r="G51">
        <v>65755281</v>
      </c>
    </row>
    <row r="52" spans="1:7">
      <c r="A52">
        <v>80</v>
      </c>
      <c r="B52">
        <v>5192889920</v>
      </c>
      <c r="C52">
        <v>20.77</v>
      </c>
      <c r="D52">
        <v>0</v>
      </c>
      <c r="E52">
        <v>643.4</v>
      </c>
      <c r="F52">
        <v>9203900</v>
      </c>
      <c r="G52">
        <v>68168419</v>
      </c>
    </row>
    <row r="53" spans="1:7">
      <c r="A53">
        <v>82</v>
      </c>
      <c r="B53">
        <v>4767986700</v>
      </c>
      <c r="C53">
        <v>19.07</v>
      </c>
      <c r="D53">
        <v>0</v>
      </c>
      <c r="E53">
        <v>648.26</v>
      </c>
      <c r="F53">
        <v>9562001</v>
      </c>
      <c r="G53">
        <v>70608710</v>
      </c>
    </row>
    <row r="54" spans="1:7">
      <c r="A54">
        <v>84</v>
      </c>
      <c r="B54">
        <v>5370465820</v>
      </c>
      <c r="C54">
        <v>21.48</v>
      </c>
      <c r="D54">
        <v>0</v>
      </c>
      <c r="E54">
        <v>651.91999999999996</v>
      </c>
      <c r="F54">
        <v>9922819</v>
      </c>
      <c r="G54">
        <v>73062436</v>
      </c>
    </row>
    <row r="55" spans="1:7">
      <c r="A55">
        <v>86</v>
      </c>
      <c r="B55">
        <v>4784711300</v>
      </c>
      <c r="C55">
        <v>19.14</v>
      </c>
      <c r="D55">
        <v>0</v>
      </c>
      <c r="E55">
        <v>654.54999999999995</v>
      </c>
      <c r="F55">
        <v>10283726</v>
      </c>
      <c r="G55">
        <v>75520008</v>
      </c>
    </row>
    <row r="56" spans="1:7">
      <c r="A56">
        <v>88</v>
      </c>
      <c r="B56">
        <v>5030759680</v>
      </c>
      <c r="C56">
        <v>20.12</v>
      </c>
      <c r="D56">
        <v>0</v>
      </c>
      <c r="E56">
        <v>656.31</v>
      </c>
      <c r="F56">
        <v>10651994</v>
      </c>
      <c r="G56">
        <v>77984071</v>
      </c>
    </row>
    <row r="57" spans="1:7">
      <c r="A57">
        <v>90</v>
      </c>
      <c r="B57">
        <v>5236570640</v>
      </c>
      <c r="C57">
        <v>20.95</v>
      </c>
      <c r="D57">
        <v>0</v>
      </c>
      <c r="E57">
        <v>657.37</v>
      </c>
      <c r="F57">
        <v>11026766</v>
      </c>
      <c r="G57">
        <v>80463828</v>
      </c>
    </row>
    <row r="58" spans="1:7">
      <c r="A58">
        <v>92</v>
      </c>
      <c r="B58">
        <v>4942512820</v>
      </c>
      <c r="C58">
        <v>19.77</v>
      </c>
      <c r="D58">
        <v>0</v>
      </c>
      <c r="E58">
        <v>657.93</v>
      </c>
      <c r="F58">
        <v>11399904</v>
      </c>
      <c r="G58">
        <v>82945706</v>
      </c>
    </row>
    <row r="59" spans="1:7">
      <c r="A59">
        <v>94</v>
      </c>
      <c r="B59">
        <v>5571948060</v>
      </c>
      <c r="C59">
        <v>22.29</v>
      </c>
      <c r="D59">
        <v>0</v>
      </c>
      <c r="E59">
        <v>658.13</v>
      </c>
      <c r="F59">
        <v>11772574</v>
      </c>
      <c r="G59">
        <v>85431861</v>
      </c>
    </row>
    <row r="60" spans="1:7">
      <c r="A60">
        <v>96</v>
      </c>
      <c r="B60">
        <v>4919098380</v>
      </c>
      <c r="C60">
        <v>19.68</v>
      </c>
      <c r="D60">
        <v>0</v>
      </c>
      <c r="E60">
        <v>658.16</v>
      </c>
      <c r="F60">
        <v>12146236</v>
      </c>
      <c r="G60">
        <v>87910562</v>
      </c>
    </row>
    <row r="61" spans="1:7">
      <c r="A61">
        <v>98</v>
      </c>
      <c r="B61">
        <v>4790712480</v>
      </c>
      <c r="C61">
        <v>19.16</v>
      </c>
      <c r="D61">
        <v>0</v>
      </c>
      <c r="E61">
        <v>658.19</v>
      </c>
      <c r="F61">
        <v>12524249</v>
      </c>
      <c r="G61">
        <v>90397864</v>
      </c>
    </row>
    <row r="62" spans="1:7">
      <c r="A62">
        <v>100</v>
      </c>
      <c r="B62">
        <v>5253000100</v>
      </c>
      <c r="C62">
        <v>21.01</v>
      </c>
      <c r="D62">
        <v>0</v>
      </c>
      <c r="E62">
        <v>658.38</v>
      </c>
      <c r="F62">
        <v>12898048</v>
      </c>
      <c r="G62">
        <v>92885207</v>
      </c>
    </row>
    <row r="63" spans="1:7">
      <c r="A63">
        <v>102</v>
      </c>
      <c r="B63">
        <v>5160129380</v>
      </c>
      <c r="C63">
        <v>20.64</v>
      </c>
      <c r="D63">
        <v>0</v>
      </c>
      <c r="E63">
        <v>658.92</v>
      </c>
      <c r="F63">
        <v>13271567</v>
      </c>
      <c r="G63">
        <v>95375508</v>
      </c>
    </row>
    <row r="64" spans="1:7">
      <c r="A64">
        <v>104</v>
      </c>
      <c r="B64">
        <v>4953629760</v>
      </c>
      <c r="C64">
        <v>19.809999999999999</v>
      </c>
      <c r="D64">
        <v>0</v>
      </c>
      <c r="E64">
        <v>659.98</v>
      </c>
      <c r="F64">
        <v>13640384</v>
      </c>
      <c r="G64">
        <v>97864694</v>
      </c>
    </row>
    <row r="65" spans="1:7">
      <c r="A65">
        <v>106</v>
      </c>
      <c r="B65">
        <v>5164851620</v>
      </c>
      <c r="C65">
        <v>20.66</v>
      </c>
      <c r="D65">
        <v>0</v>
      </c>
      <c r="E65">
        <v>661.71</v>
      </c>
      <c r="F65">
        <v>14007798</v>
      </c>
      <c r="G65">
        <v>100360670</v>
      </c>
    </row>
    <row r="66" spans="1:7">
      <c r="A66">
        <v>108</v>
      </c>
      <c r="B66">
        <v>5376663760</v>
      </c>
      <c r="C66">
        <v>21.51</v>
      </c>
      <c r="D66">
        <v>0</v>
      </c>
      <c r="E66">
        <v>664.32</v>
      </c>
      <c r="F66">
        <v>14377379</v>
      </c>
      <c r="G66">
        <v>102861259</v>
      </c>
    </row>
    <row r="67" spans="1:7">
      <c r="A67">
        <v>110</v>
      </c>
      <c r="B67">
        <v>4844526340</v>
      </c>
      <c r="C67">
        <v>19.38</v>
      </c>
      <c r="D67">
        <v>0</v>
      </c>
      <c r="E67">
        <v>667.94</v>
      </c>
      <c r="F67">
        <v>14746859</v>
      </c>
      <c r="G67">
        <v>105370248</v>
      </c>
    </row>
    <row r="68" spans="1:7">
      <c r="A68">
        <v>112</v>
      </c>
      <c r="B68">
        <v>5335344160</v>
      </c>
      <c r="C68">
        <v>21.34</v>
      </c>
      <c r="D68">
        <v>0</v>
      </c>
      <c r="E68">
        <v>672.77</v>
      </c>
      <c r="F68">
        <v>15115483</v>
      </c>
      <c r="G68">
        <v>107891298</v>
      </c>
    </row>
    <row r="69" spans="1:7">
      <c r="A69">
        <v>114</v>
      </c>
      <c r="B69">
        <v>5091755280</v>
      </c>
      <c r="C69">
        <v>20.37</v>
      </c>
      <c r="D69">
        <v>0</v>
      </c>
      <c r="E69">
        <v>678.97</v>
      </c>
      <c r="F69">
        <v>15485709</v>
      </c>
      <c r="G69">
        <v>110425942</v>
      </c>
    </row>
    <row r="70" spans="1:7">
      <c r="A70">
        <v>116</v>
      </c>
      <c r="B70">
        <v>5328654320</v>
      </c>
      <c r="C70">
        <v>21.31</v>
      </c>
      <c r="D70">
        <v>0</v>
      </c>
      <c r="E70">
        <v>686.71</v>
      </c>
      <c r="F70">
        <v>15860960</v>
      </c>
      <c r="G70">
        <v>112975265</v>
      </c>
    </row>
    <row r="71" spans="1:7">
      <c r="A71">
        <v>118</v>
      </c>
      <c r="B71">
        <v>5227618060</v>
      </c>
      <c r="C71">
        <v>20.91</v>
      </c>
      <c r="D71">
        <v>0</v>
      </c>
      <c r="E71">
        <v>696.16</v>
      </c>
      <c r="F71">
        <v>16239528</v>
      </c>
      <c r="G71">
        <v>115539407</v>
      </c>
    </row>
    <row r="72" spans="1:7">
      <c r="A72">
        <v>120</v>
      </c>
      <c r="B72">
        <v>5340361540</v>
      </c>
      <c r="C72">
        <v>21.36</v>
      </c>
      <c r="D72">
        <v>0</v>
      </c>
      <c r="E72">
        <v>705.21</v>
      </c>
      <c r="F72">
        <v>16613812</v>
      </c>
      <c r="G72">
        <v>118117906</v>
      </c>
    </row>
    <row r="73" spans="1:7">
      <c r="A73">
        <v>122</v>
      </c>
      <c r="B73">
        <v>5472682640</v>
      </c>
      <c r="C73">
        <v>21.89</v>
      </c>
      <c r="D73">
        <v>0</v>
      </c>
      <c r="E73">
        <v>716.42</v>
      </c>
      <c r="F73">
        <v>16986385</v>
      </c>
      <c r="G73">
        <v>120703298</v>
      </c>
    </row>
    <row r="74" spans="1:7">
      <c r="A74">
        <v>124</v>
      </c>
      <c r="B74">
        <v>4977044200</v>
      </c>
      <c r="C74">
        <v>19.91</v>
      </c>
      <c r="D74">
        <v>0</v>
      </c>
      <c r="E74">
        <v>729.52</v>
      </c>
      <c r="F74">
        <v>17354655</v>
      </c>
      <c r="G74">
        <v>123292684</v>
      </c>
    </row>
    <row r="75" spans="1:7">
      <c r="A75">
        <v>126</v>
      </c>
      <c r="B75">
        <v>5202236020</v>
      </c>
      <c r="C75">
        <v>20.81</v>
      </c>
      <c r="D75">
        <v>0</v>
      </c>
      <c r="E75">
        <v>734.77</v>
      </c>
      <c r="F75">
        <v>17717254</v>
      </c>
      <c r="G75">
        <v>125886191</v>
      </c>
    </row>
    <row r="76" spans="1:7">
      <c r="A76">
        <v>128</v>
      </c>
      <c r="B76">
        <v>5382173040</v>
      </c>
      <c r="C76">
        <v>21.53</v>
      </c>
      <c r="D76">
        <v>0</v>
      </c>
      <c r="E76">
        <v>769.67</v>
      </c>
      <c r="F76">
        <v>18069845</v>
      </c>
      <c r="G76">
        <v>128494874</v>
      </c>
    </row>
    <row r="77" spans="1:7">
      <c r="A77">
        <v>130</v>
      </c>
      <c r="B77">
        <v>5074046880</v>
      </c>
      <c r="C77">
        <v>20.3</v>
      </c>
      <c r="D77">
        <v>0</v>
      </c>
      <c r="E77">
        <v>769.67</v>
      </c>
      <c r="F77">
        <v>18427314</v>
      </c>
      <c r="G77">
        <v>131102752</v>
      </c>
    </row>
    <row r="78" spans="1:7">
      <c r="A78">
        <v>132</v>
      </c>
      <c r="B78">
        <v>3740407600</v>
      </c>
      <c r="C78">
        <v>14.96</v>
      </c>
      <c r="D78">
        <v>112</v>
      </c>
      <c r="E78">
        <v>553.25</v>
      </c>
      <c r="F78">
        <v>18699204</v>
      </c>
      <c r="G78">
        <v>132842461</v>
      </c>
    </row>
    <row r="79" spans="1:7">
      <c r="A79">
        <v>134</v>
      </c>
      <c r="B79">
        <v>4934347280</v>
      </c>
      <c r="C79">
        <v>19.739999999999998</v>
      </c>
      <c r="D79">
        <v>0</v>
      </c>
      <c r="E79">
        <v>584.47</v>
      </c>
      <c r="F79">
        <v>19047183</v>
      </c>
      <c r="G79">
        <v>134997516</v>
      </c>
    </row>
    <row r="80" spans="1:7">
      <c r="A80">
        <v>136</v>
      </c>
      <c r="B80">
        <v>4289368000</v>
      </c>
      <c r="C80">
        <v>17.16</v>
      </c>
      <c r="D80">
        <v>0</v>
      </c>
      <c r="E80">
        <v>613.16999999999996</v>
      </c>
      <c r="F80">
        <v>19395879</v>
      </c>
      <c r="G80">
        <v>137251369</v>
      </c>
    </row>
    <row r="81" spans="1:7">
      <c r="A81">
        <v>138</v>
      </c>
      <c r="B81">
        <v>4646782540</v>
      </c>
      <c r="C81">
        <v>18.59</v>
      </c>
      <c r="D81">
        <v>0</v>
      </c>
      <c r="E81">
        <v>638.54999999999995</v>
      </c>
      <c r="F81">
        <v>19747609</v>
      </c>
      <c r="G81">
        <v>139590762</v>
      </c>
    </row>
    <row r="82" spans="1:7">
      <c r="A82">
        <v>140</v>
      </c>
      <c r="B82">
        <v>5348035180</v>
      </c>
      <c r="C82">
        <v>21.39</v>
      </c>
      <c r="D82">
        <v>0</v>
      </c>
      <c r="E82">
        <v>660.79</v>
      </c>
      <c r="F82">
        <v>20107536</v>
      </c>
      <c r="G82">
        <v>142019622</v>
      </c>
    </row>
    <row r="83" spans="1:7">
      <c r="A83">
        <v>142</v>
      </c>
      <c r="B83">
        <v>4948710760</v>
      </c>
      <c r="C83">
        <v>19.79</v>
      </c>
      <c r="D83">
        <v>0</v>
      </c>
      <c r="E83">
        <v>680.41</v>
      </c>
      <c r="F83">
        <v>20479380</v>
      </c>
      <c r="G83">
        <v>144531481</v>
      </c>
    </row>
    <row r="84" spans="1:7">
      <c r="A84">
        <v>144</v>
      </c>
      <c r="B84">
        <v>5388961260</v>
      </c>
      <c r="C84">
        <v>21.56</v>
      </c>
      <c r="D84">
        <v>0</v>
      </c>
      <c r="E84">
        <v>697.37</v>
      </c>
      <c r="F84">
        <v>20852908</v>
      </c>
      <c r="G84">
        <v>147087111</v>
      </c>
    </row>
    <row r="85" spans="1:7">
      <c r="A85">
        <v>146</v>
      </c>
      <c r="B85">
        <v>5310650780</v>
      </c>
      <c r="C85">
        <v>21.24</v>
      </c>
      <c r="D85">
        <v>0</v>
      </c>
      <c r="E85">
        <v>705.39</v>
      </c>
      <c r="F85">
        <v>21223146</v>
      </c>
      <c r="G85">
        <v>149663230</v>
      </c>
    </row>
    <row r="86" spans="1:7">
      <c r="A86">
        <v>148</v>
      </c>
      <c r="B86">
        <v>5012559380</v>
      </c>
      <c r="C86">
        <v>20.05</v>
      </c>
      <c r="D86">
        <v>0</v>
      </c>
      <c r="E86">
        <v>711.37</v>
      </c>
      <c r="F86">
        <v>21594911</v>
      </c>
      <c r="G86">
        <v>152254175</v>
      </c>
    </row>
    <row r="87" spans="1:7">
      <c r="A87">
        <v>150</v>
      </c>
      <c r="B87">
        <v>5395552720</v>
      </c>
      <c r="C87">
        <v>21.58</v>
      </c>
      <c r="D87">
        <v>0</v>
      </c>
      <c r="E87">
        <v>732.21</v>
      </c>
      <c r="F87">
        <v>21956248</v>
      </c>
      <c r="G87">
        <v>154848802</v>
      </c>
    </row>
    <row r="88" spans="1:7">
      <c r="A88">
        <v>152</v>
      </c>
      <c r="B88">
        <v>5246998920</v>
      </c>
      <c r="C88">
        <v>20.99</v>
      </c>
      <c r="D88">
        <v>0</v>
      </c>
      <c r="E88">
        <v>740.73</v>
      </c>
      <c r="F88">
        <v>22315052</v>
      </c>
      <c r="G88">
        <v>157456526</v>
      </c>
    </row>
    <row r="89" spans="1:7">
      <c r="A89">
        <v>154</v>
      </c>
      <c r="B89">
        <v>4851904840</v>
      </c>
      <c r="C89">
        <v>19.41</v>
      </c>
      <c r="D89">
        <v>0</v>
      </c>
      <c r="E89">
        <v>740.73</v>
      </c>
      <c r="F89">
        <v>22675457</v>
      </c>
      <c r="G89">
        <v>160058258</v>
      </c>
    </row>
    <row r="90" spans="1:7">
      <c r="A90">
        <v>156</v>
      </c>
      <c r="B90">
        <v>4783825880</v>
      </c>
      <c r="C90">
        <v>19.14</v>
      </c>
      <c r="D90">
        <v>0</v>
      </c>
      <c r="E90">
        <v>740.73</v>
      </c>
      <c r="F90">
        <v>23035286</v>
      </c>
      <c r="G90">
        <v>162657365</v>
      </c>
    </row>
    <row r="91" spans="1:7">
      <c r="A91">
        <v>158</v>
      </c>
      <c r="B91">
        <v>5054272500</v>
      </c>
      <c r="C91">
        <v>20.22</v>
      </c>
      <c r="D91">
        <v>0</v>
      </c>
      <c r="E91">
        <v>740.73</v>
      </c>
      <c r="F91">
        <v>23395850</v>
      </c>
      <c r="G91">
        <v>165257200</v>
      </c>
    </row>
    <row r="92" spans="1:7">
      <c r="A92">
        <v>160</v>
      </c>
      <c r="B92">
        <v>5013444800</v>
      </c>
      <c r="C92">
        <v>20.05</v>
      </c>
      <c r="D92">
        <v>0</v>
      </c>
      <c r="E92">
        <v>740.73</v>
      </c>
      <c r="F92">
        <v>23754753</v>
      </c>
      <c r="G92">
        <v>167860465</v>
      </c>
    </row>
    <row r="93" spans="1:7">
      <c r="A93">
        <v>162</v>
      </c>
      <c r="B93">
        <v>4893913100</v>
      </c>
      <c r="C93">
        <v>19.579999999999998</v>
      </c>
      <c r="D93">
        <v>0</v>
      </c>
      <c r="E93">
        <v>740.73</v>
      </c>
      <c r="F93">
        <v>24111478</v>
      </c>
      <c r="G93">
        <v>170461315</v>
      </c>
    </row>
    <row r="94" spans="1:7">
      <c r="A94">
        <v>164</v>
      </c>
      <c r="B94">
        <v>4917721060</v>
      </c>
      <c r="C94">
        <v>19.670000000000002</v>
      </c>
      <c r="D94">
        <v>0</v>
      </c>
      <c r="E94">
        <v>740.73</v>
      </c>
      <c r="F94">
        <v>24468612</v>
      </c>
      <c r="G94">
        <v>173064860</v>
      </c>
    </row>
    <row r="95" spans="1:7">
      <c r="A95">
        <v>166</v>
      </c>
      <c r="B95">
        <v>3732438820</v>
      </c>
      <c r="C95">
        <v>14.93</v>
      </c>
      <c r="D95">
        <v>1629</v>
      </c>
      <c r="E95">
        <v>524.64</v>
      </c>
      <c r="F95">
        <v>24715779</v>
      </c>
      <c r="G95">
        <v>174763419</v>
      </c>
    </row>
    <row r="96" spans="1:7">
      <c r="A96">
        <v>168</v>
      </c>
      <c r="B96">
        <v>4672361340</v>
      </c>
      <c r="C96">
        <v>18.690000000000001</v>
      </c>
      <c r="D96">
        <v>0</v>
      </c>
      <c r="E96">
        <v>544.30999999999995</v>
      </c>
      <c r="F96">
        <v>25051769</v>
      </c>
      <c r="G96">
        <v>176798571</v>
      </c>
    </row>
    <row r="97" spans="1:7">
      <c r="A97">
        <v>170</v>
      </c>
      <c r="B97">
        <v>4010657460</v>
      </c>
      <c r="C97">
        <v>16.04</v>
      </c>
      <c r="D97">
        <v>0</v>
      </c>
      <c r="E97">
        <v>561.17999999999995</v>
      </c>
      <c r="F97">
        <v>25391753</v>
      </c>
      <c r="G97">
        <v>178912487</v>
      </c>
    </row>
    <row r="98" spans="1:7">
      <c r="A98">
        <v>172</v>
      </c>
      <c r="B98">
        <v>4455039920</v>
      </c>
      <c r="C98">
        <v>17.82</v>
      </c>
      <c r="D98">
        <v>0</v>
      </c>
      <c r="E98">
        <v>575.52</v>
      </c>
      <c r="F98">
        <v>25738337</v>
      </c>
      <c r="G98">
        <v>181086253</v>
      </c>
    </row>
    <row r="99" spans="1:7">
      <c r="A99">
        <v>174</v>
      </c>
      <c r="B99">
        <v>4186856040</v>
      </c>
      <c r="C99">
        <v>16.75</v>
      </c>
      <c r="D99">
        <v>0</v>
      </c>
      <c r="E99">
        <v>587.70000000000005</v>
      </c>
      <c r="F99">
        <v>26078603</v>
      </c>
      <c r="G99">
        <v>183315186</v>
      </c>
    </row>
    <row r="100" spans="1:7">
      <c r="A100">
        <v>176</v>
      </c>
      <c r="B100">
        <v>4814126920</v>
      </c>
      <c r="C100">
        <v>19.260000000000002</v>
      </c>
      <c r="D100">
        <v>0</v>
      </c>
      <c r="E100">
        <v>597.97</v>
      </c>
      <c r="F100">
        <v>26410259</v>
      </c>
      <c r="G100">
        <v>185578055</v>
      </c>
    </row>
    <row r="101" spans="1:7">
      <c r="A101">
        <v>178</v>
      </c>
      <c r="B101">
        <v>4613726860</v>
      </c>
      <c r="C101">
        <v>18.45</v>
      </c>
      <c r="D101">
        <v>0</v>
      </c>
      <c r="E101">
        <v>606.48</v>
      </c>
      <c r="F101">
        <v>26747103</v>
      </c>
      <c r="G101">
        <v>187875420</v>
      </c>
    </row>
    <row r="102" spans="1:7">
      <c r="A102">
        <v>180</v>
      </c>
      <c r="B102">
        <v>4938774380</v>
      </c>
      <c r="C102">
        <v>19.760000000000002</v>
      </c>
      <c r="D102">
        <v>0</v>
      </c>
      <c r="E102">
        <v>613.29999999999995</v>
      </c>
      <c r="F102">
        <v>27086263</v>
      </c>
      <c r="G102">
        <v>190202913</v>
      </c>
    </row>
    <row r="103" spans="1:7">
      <c r="A103">
        <v>182</v>
      </c>
      <c r="B103">
        <v>4384206320</v>
      </c>
      <c r="C103">
        <v>17.54</v>
      </c>
      <c r="D103">
        <v>0</v>
      </c>
      <c r="E103">
        <v>618.72</v>
      </c>
      <c r="F103">
        <v>27424524</v>
      </c>
      <c r="G103">
        <v>192565693</v>
      </c>
    </row>
    <row r="104" spans="1:7">
      <c r="A104">
        <v>184</v>
      </c>
      <c r="B104">
        <v>5142617740</v>
      </c>
      <c r="C104">
        <v>20.57</v>
      </c>
      <c r="D104">
        <v>0</v>
      </c>
      <c r="E104">
        <v>622.86</v>
      </c>
      <c r="F104">
        <v>27762099</v>
      </c>
      <c r="G104">
        <v>194930790</v>
      </c>
    </row>
    <row r="105" spans="1:7">
      <c r="A105">
        <v>186</v>
      </c>
      <c r="B105">
        <v>4473633740</v>
      </c>
      <c r="C105">
        <v>17.89</v>
      </c>
      <c r="D105">
        <v>0</v>
      </c>
      <c r="E105">
        <v>625.88</v>
      </c>
      <c r="F105">
        <v>28100539</v>
      </c>
      <c r="G105">
        <v>197308718</v>
      </c>
    </row>
    <row r="106" spans="1:7">
      <c r="A106">
        <v>188</v>
      </c>
      <c r="B106">
        <v>4969567320</v>
      </c>
      <c r="C106">
        <v>19.88</v>
      </c>
      <c r="D106">
        <v>0</v>
      </c>
      <c r="E106">
        <v>627.97</v>
      </c>
      <c r="F106">
        <v>28440585</v>
      </c>
      <c r="G106">
        <v>199687087</v>
      </c>
    </row>
    <row r="107" spans="1:7">
      <c r="A107">
        <v>190</v>
      </c>
      <c r="B107">
        <v>4816586420</v>
      </c>
      <c r="C107">
        <v>19.27</v>
      </c>
      <c r="D107">
        <v>0</v>
      </c>
      <c r="E107">
        <v>629.29999999999995</v>
      </c>
      <c r="F107">
        <v>28782237</v>
      </c>
      <c r="G107">
        <v>202076355</v>
      </c>
    </row>
    <row r="108" spans="1:7">
      <c r="A108">
        <v>192</v>
      </c>
      <c r="B108">
        <v>4812847980</v>
      </c>
      <c r="C108">
        <v>19.25</v>
      </c>
      <c r="D108">
        <v>0</v>
      </c>
      <c r="E108">
        <v>630.04999999999995</v>
      </c>
      <c r="F108">
        <v>29128510</v>
      </c>
      <c r="G108">
        <v>204459771</v>
      </c>
    </row>
    <row r="109" spans="1:7">
      <c r="A109">
        <v>194</v>
      </c>
      <c r="B109">
        <v>4773791120</v>
      </c>
      <c r="C109">
        <v>19.100000000000001</v>
      </c>
      <c r="D109">
        <v>0</v>
      </c>
      <c r="E109">
        <v>630.38</v>
      </c>
      <c r="F109">
        <v>29475836</v>
      </c>
      <c r="G109">
        <v>206859105</v>
      </c>
    </row>
    <row r="110" spans="1:7">
      <c r="A110">
        <v>196</v>
      </c>
      <c r="B110">
        <v>4769560780</v>
      </c>
      <c r="C110">
        <v>19.079999999999998</v>
      </c>
      <c r="D110">
        <v>0</v>
      </c>
      <c r="E110">
        <v>630.46</v>
      </c>
      <c r="F110">
        <v>29823699</v>
      </c>
      <c r="G110">
        <v>209257305</v>
      </c>
    </row>
    <row r="111" spans="1:7">
      <c r="A111">
        <v>198</v>
      </c>
      <c r="B111">
        <v>5045910200</v>
      </c>
      <c r="C111">
        <v>20.18</v>
      </c>
      <c r="D111">
        <v>0</v>
      </c>
      <c r="E111">
        <v>630.47</v>
      </c>
      <c r="F111">
        <v>30172363</v>
      </c>
      <c r="G111">
        <v>211659061</v>
      </c>
    </row>
    <row r="112" spans="1:7">
      <c r="A112">
        <v>200</v>
      </c>
      <c r="B112">
        <v>4584409620</v>
      </c>
      <c r="C112">
        <v>18.34</v>
      </c>
      <c r="D112">
        <v>0</v>
      </c>
      <c r="E112">
        <v>630.57000000000005</v>
      </c>
      <c r="F112">
        <v>30521154</v>
      </c>
      <c r="G112">
        <v>214059207</v>
      </c>
    </row>
    <row r="113" spans="1:7">
      <c r="A113">
        <v>202</v>
      </c>
      <c r="B113">
        <v>4871088940</v>
      </c>
      <c r="C113">
        <v>19.48</v>
      </c>
      <c r="D113">
        <v>0</v>
      </c>
      <c r="E113">
        <v>630.95000000000005</v>
      </c>
      <c r="F113">
        <v>30870863</v>
      </c>
      <c r="G113">
        <v>216464729</v>
      </c>
    </row>
    <row r="114" spans="1:7">
      <c r="A114">
        <v>204</v>
      </c>
      <c r="B114">
        <v>5011477200</v>
      </c>
      <c r="C114">
        <v>20.05</v>
      </c>
      <c r="D114">
        <v>0</v>
      </c>
      <c r="E114">
        <v>631.76</v>
      </c>
      <c r="F114">
        <v>31218963</v>
      </c>
      <c r="G114">
        <v>218877608</v>
      </c>
    </row>
    <row r="115" spans="1:7">
      <c r="A115">
        <v>206</v>
      </c>
      <c r="B115">
        <v>4865284520</v>
      </c>
      <c r="C115">
        <v>19.46</v>
      </c>
      <c r="D115">
        <v>0</v>
      </c>
      <c r="E115">
        <v>633.21</v>
      </c>
      <c r="F115">
        <v>31564979</v>
      </c>
      <c r="G115">
        <v>221301995</v>
      </c>
    </row>
    <row r="116" spans="1:7">
      <c r="A116">
        <v>208</v>
      </c>
      <c r="B116">
        <v>4656128640</v>
      </c>
      <c r="C116">
        <v>18.62</v>
      </c>
      <c r="D116">
        <v>0</v>
      </c>
      <c r="E116">
        <v>635.42999999999995</v>
      </c>
      <c r="F116">
        <v>31912757</v>
      </c>
      <c r="G116">
        <v>223718353</v>
      </c>
    </row>
    <row r="117" spans="1:7">
      <c r="A117">
        <v>210</v>
      </c>
      <c r="B117">
        <v>5052304900</v>
      </c>
      <c r="C117">
        <v>20.21</v>
      </c>
      <c r="D117">
        <v>0</v>
      </c>
      <c r="E117">
        <v>638.61</v>
      </c>
      <c r="F117">
        <v>32261505</v>
      </c>
      <c r="G117">
        <v>226145610</v>
      </c>
    </row>
    <row r="118" spans="1:7">
      <c r="A118">
        <v>212</v>
      </c>
      <c r="B118">
        <v>4782448560</v>
      </c>
      <c r="C118">
        <v>19.13</v>
      </c>
      <c r="D118">
        <v>0</v>
      </c>
      <c r="E118">
        <v>642.91999999999996</v>
      </c>
      <c r="F118">
        <v>32611485</v>
      </c>
      <c r="G118">
        <v>228560435</v>
      </c>
    </row>
    <row r="119" spans="1:7">
      <c r="A119">
        <v>214</v>
      </c>
      <c r="B119">
        <v>5318127660</v>
      </c>
      <c r="C119">
        <v>21.27</v>
      </c>
      <c r="D119">
        <v>0</v>
      </c>
      <c r="E119">
        <v>648.52</v>
      </c>
      <c r="F119">
        <v>32965545</v>
      </c>
      <c r="G119">
        <v>230997522</v>
      </c>
    </row>
    <row r="120" spans="1:7">
      <c r="A120">
        <v>216</v>
      </c>
      <c r="B120">
        <v>4622285920</v>
      </c>
      <c r="C120">
        <v>18.489999999999998</v>
      </c>
      <c r="D120">
        <v>0</v>
      </c>
      <c r="E120">
        <v>655.61</v>
      </c>
      <c r="F120">
        <v>33317072</v>
      </c>
      <c r="G120">
        <v>233443719</v>
      </c>
    </row>
    <row r="121" spans="1:7">
      <c r="A121">
        <v>218</v>
      </c>
      <c r="B121">
        <v>5086836280</v>
      </c>
      <c r="C121">
        <v>20.350000000000001</v>
      </c>
      <c r="D121">
        <v>0</v>
      </c>
      <c r="E121">
        <v>664.36</v>
      </c>
      <c r="F121">
        <v>33669918</v>
      </c>
      <c r="G121">
        <v>235902728</v>
      </c>
    </row>
    <row r="122" spans="1:7">
      <c r="A122">
        <v>220</v>
      </c>
      <c r="B122">
        <v>4918212960</v>
      </c>
      <c r="C122">
        <v>19.670000000000002</v>
      </c>
      <c r="D122">
        <v>0</v>
      </c>
      <c r="E122">
        <v>674.8</v>
      </c>
      <c r="F122">
        <v>34023897</v>
      </c>
      <c r="G122">
        <v>238362493</v>
      </c>
    </row>
    <row r="123" spans="1:7">
      <c r="A123">
        <v>222</v>
      </c>
      <c r="B123">
        <v>4958253620</v>
      </c>
      <c r="C123">
        <v>19.829999999999998</v>
      </c>
      <c r="D123">
        <v>0</v>
      </c>
      <c r="E123">
        <v>687.32</v>
      </c>
      <c r="F123">
        <v>34377120</v>
      </c>
      <c r="G123">
        <v>240862795</v>
      </c>
    </row>
    <row r="124" spans="1:7">
      <c r="A124">
        <v>224</v>
      </c>
      <c r="B124">
        <v>5384435780</v>
      </c>
      <c r="C124">
        <v>21.54</v>
      </c>
      <c r="D124">
        <v>0</v>
      </c>
      <c r="E124">
        <v>701.41</v>
      </c>
      <c r="F124">
        <v>34735327</v>
      </c>
      <c r="G124">
        <v>243385231</v>
      </c>
    </row>
    <row r="125" spans="1:7">
      <c r="A125">
        <v>226</v>
      </c>
      <c r="B125">
        <v>4898635340</v>
      </c>
      <c r="C125">
        <v>19.59</v>
      </c>
      <c r="D125">
        <v>0</v>
      </c>
      <c r="E125">
        <v>715.47</v>
      </c>
      <c r="F125">
        <v>35096856</v>
      </c>
      <c r="G125">
        <v>245937739</v>
      </c>
    </row>
    <row r="126" spans="1:7">
      <c r="A126">
        <v>228</v>
      </c>
      <c r="B126">
        <v>5196431600</v>
      </c>
      <c r="C126">
        <v>20.79</v>
      </c>
      <c r="D126">
        <v>0</v>
      </c>
      <c r="E126">
        <v>726.7</v>
      </c>
      <c r="F126">
        <v>35454885</v>
      </c>
      <c r="G126">
        <v>248511338</v>
      </c>
    </row>
    <row r="127" spans="1:7">
      <c r="A127">
        <v>230</v>
      </c>
      <c r="B127">
        <v>5142912880</v>
      </c>
      <c r="C127">
        <v>20.57</v>
      </c>
      <c r="D127">
        <v>0</v>
      </c>
      <c r="E127">
        <v>727.23</v>
      </c>
      <c r="F127">
        <v>35806755</v>
      </c>
      <c r="G127">
        <v>251093435</v>
      </c>
    </row>
    <row r="128" spans="1:7">
      <c r="A128">
        <v>232</v>
      </c>
      <c r="B128">
        <v>4998589420</v>
      </c>
      <c r="C128">
        <v>19.989999999999998</v>
      </c>
      <c r="D128">
        <v>0</v>
      </c>
      <c r="E128">
        <v>762.22</v>
      </c>
      <c r="F128">
        <v>36157014</v>
      </c>
      <c r="G128">
        <v>253687334</v>
      </c>
    </row>
    <row r="129" spans="1:7">
      <c r="A129">
        <v>234</v>
      </c>
      <c r="B129">
        <v>4871482460</v>
      </c>
      <c r="C129">
        <v>19.489999999999998</v>
      </c>
      <c r="D129">
        <v>0</v>
      </c>
      <c r="E129">
        <v>762.22</v>
      </c>
      <c r="F129">
        <v>36510356</v>
      </c>
      <c r="G129">
        <v>256290503</v>
      </c>
    </row>
    <row r="130" spans="1:7">
      <c r="A130">
        <v>236</v>
      </c>
      <c r="B130">
        <v>5086147620</v>
      </c>
      <c r="C130">
        <v>20.34</v>
      </c>
      <c r="D130">
        <v>0</v>
      </c>
      <c r="E130">
        <v>762.22</v>
      </c>
      <c r="F130">
        <v>36865160</v>
      </c>
      <c r="G130">
        <v>258894910</v>
      </c>
    </row>
    <row r="131" spans="1:7">
      <c r="A131">
        <v>238</v>
      </c>
      <c r="B131">
        <v>5012952900</v>
      </c>
      <c r="C131">
        <v>20.05</v>
      </c>
      <c r="D131">
        <v>0</v>
      </c>
      <c r="E131">
        <v>835.4</v>
      </c>
      <c r="F131">
        <v>37218070</v>
      </c>
      <c r="G131">
        <v>261507424</v>
      </c>
    </row>
    <row r="132" spans="1:7">
      <c r="A132">
        <v>240</v>
      </c>
      <c r="B132">
        <v>5081031860</v>
      </c>
      <c r="C132">
        <v>20.32</v>
      </c>
      <c r="D132">
        <v>0</v>
      </c>
      <c r="E132">
        <v>835.4</v>
      </c>
      <c r="F132">
        <v>37576633</v>
      </c>
      <c r="G132">
        <v>264126820</v>
      </c>
    </row>
    <row r="133" spans="1:7">
      <c r="A133">
        <v>242</v>
      </c>
      <c r="B133">
        <v>4845018240</v>
      </c>
      <c r="C133">
        <v>19.38</v>
      </c>
      <c r="D133">
        <v>0</v>
      </c>
      <c r="E133">
        <v>835.4</v>
      </c>
      <c r="F133">
        <v>37933400</v>
      </c>
      <c r="G133">
        <v>266749372</v>
      </c>
    </row>
    <row r="134" spans="1:7">
      <c r="A134">
        <v>244</v>
      </c>
      <c r="B134">
        <v>4041352020</v>
      </c>
      <c r="C134">
        <v>16.170000000000002</v>
      </c>
      <c r="D134">
        <v>208</v>
      </c>
      <c r="E134">
        <v>588.71</v>
      </c>
      <c r="F134">
        <v>38242469</v>
      </c>
      <c r="G134">
        <v>268817731</v>
      </c>
    </row>
    <row r="135" spans="1:7">
      <c r="A135">
        <v>246</v>
      </c>
      <c r="B135">
        <v>5286646060</v>
      </c>
      <c r="C135">
        <v>21.15</v>
      </c>
      <c r="D135">
        <v>0</v>
      </c>
      <c r="E135">
        <v>624.6</v>
      </c>
      <c r="F135">
        <v>38571590</v>
      </c>
      <c r="G135">
        <v>271073296</v>
      </c>
    </row>
    <row r="136" spans="1:7">
      <c r="A136">
        <v>248</v>
      </c>
      <c r="B136">
        <v>4516920940</v>
      </c>
      <c r="C136">
        <v>18.07</v>
      </c>
      <c r="D136">
        <v>0</v>
      </c>
      <c r="E136">
        <v>656.05</v>
      </c>
      <c r="F136">
        <v>38927725</v>
      </c>
      <c r="G136">
        <v>273471769</v>
      </c>
    </row>
    <row r="137" spans="1:7">
      <c r="A137">
        <v>250</v>
      </c>
      <c r="B137">
        <v>5188856340</v>
      </c>
      <c r="C137">
        <v>20.76</v>
      </c>
      <c r="D137">
        <v>0</v>
      </c>
      <c r="E137">
        <v>684.2</v>
      </c>
      <c r="F137">
        <v>39281811</v>
      </c>
      <c r="G137">
        <v>275942888</v>
      </c>
    </row>
    <row r="138" spans="1:7">
      <c r="A138">
        <v>252</v>
      </c>
      <c r="B138">
        <v>5127467220</v>
      </c>
      <c r="C138">
        <v>20.51</v>
      </c>
      <c r="D138">
        <v>0</v>
      </c>
      <c r="E138">
        <v>706.02</v>
      </c>
      <c r="F138">
        <v>39635005</v>
      </c>
      <c r="G138">
        <v>278460228</v>
      </c>
    </row>
    <row r="139" spans="1:7">
      <c r="A139">
        <v>254</v>
      </c>
      <c r="B139">
        <v>5044040980</v>
      </c>
      <c r="C139">
        <v>20.18</v>
      </c>
      <c r="D139">
        <v>0</v>
      </c>
      <c r="E139">
        <v>724.42</v>
      </c>
      <c r="F139">
        <v>39995148</v>
      </c>
      <c r="G139">
        <v>281007423</v>
      </c>
    </row>
    <row r="140" spans="1:7">
      <c r="A140">
        <v>256</v>
      </c>
      <c r="B140">
        <v>5120974140</v>
      </c>
      <c r="C140">
        <v>20.48</v>
      </c>
      <c r="D140">
        <v>0</v>
      </c>
      <c r="E140">
        <v>743.05</v>
      </c>
      <c r="F140">
        <v>40371097</v>
      </c>
      <c r="G140">
        <v>283599663</v>
      </c>
    </row>
    <row r="141" spans="1:7">
      <c r="A141">
        <v>258</v>
      </c>
      <c r="B141">
        <v>5360726200</v>
      </c>
      <c r="C141">
        <v>21.44</v>
      </c>
      <c r="D141">
        <v>0</v>
      </c>
      <c r="E141">
        <v>743.05</v>
      </c>
      <c r="F141">
        <v>40747774</v>
      </c>
      <c r="G141">
        <v>286195851</v>
      </c>
    </row>
    <row r="142" spans="1:7">
      <c r="A142">
        <v>260</v>
      </c>
      <c r="B142">
        <v>4729716880</v>
      </c>
      <c r="C142">
        <v>18.920000000000002</v>
      </c>
      <c r="D142">
        <v>0</v>
      </c>
      <c r="E142">
        <v>743.05</v>
      </c>
      <c r="F142">
        <v>41117392</v>
      </c>
      <c r="G142">
        <v>288793719</v>
      </c>
    </row>
    <row r="143" spans="1:7">
      <c r="A143">
        <v>262</v>
      </c>
      <c r="B143">
        <v>4910637700</v>
      </c>
      <c r="C143">
        <v>19.64</v>
      </c>
      <c r="D143">
        <v>0</v>
      </c>
      <c r="E143">
        <v>743.05</v>
      </c>
      <c r="F143">
        <v>41484659</v>
      </c>
      <c r="G143">
        <v>291399000</v>
      </c>
    </row>
    <row r="144" spans="1:7">
      <c r="A144">
        <v>264</v>
      </c>
      <c r="B144">
        <v>4984422700</v>
      </c>
      <c r="C144">
        <v>19.940000000000001</v>
      </c>
      <c r="D144">
        <v>0</v>
      </c>
      <c r="E144">
        <v>743.05</v>
      </c>
      <c r="F144">
        <v>41852555</v>
      </c>
      <c r="G144">
        <v>294006640</v>
      </c>
    </row>
    <row r="145" spans="1:7">
      <c r="A145">
        <v>266</v>
      </c>
      <c r="B145">
        <v>4623958380</v>
      </c>
      <c r="C145">
        <v>18.5</v>
      </c>
      <c r="D145">
        <v>138</v>
      </c>
      <c r="E145">
        <v>528.91</v>
      </c>
      <c r="F145">
        <v>42141518</v>
      </c>
      <c r="G145">
        <v>295873803</v>
      </c>
    </row>
    <row r="146" spans="1:7">
      <c r="A146">
        <v>268</v>
      </c>
      <c r="B146">
        <v>3740801120</v>
      </c>
      <c r="C146">
        <v>14.96</v>
      </c>
      <c r="D146">
        <v>0</v>
      </c>
      <c r="E146">
        <v>547.87</v>
      </c>
      <c r="F146">
        <v>42488660</v>
      </c>
      <c r="G146">
        <v>297987166</v>
      </c>
    </row>
    <row r="147" spans="1:7">
      <c r="A147">
        <v>270</v>
      </c>
      <c r="B147">
        <v>4277759160</v>
      </c>
      <c r="C147">
        <v>17.11</v>
      </c>
      <c r="D147">
        <v>0</v>
      </c>
      <c r="E147">
        <v>564.48</v>
      </c>
      <c r="F147">
        <v>42842158</v>
      </c>
      <c r="G147">
        <v>300176423</v>
      </c>
    </row>
    <row r="148" spans="1:7">
      <c r="A148">
        <v>272</v>
      </c>
      <c r="B148">
        <v>4706991100</v>
      </c>
      <c r="C148">
        <v>18.829999999999998</v>
      </c>
      <c r="D148">
        <v>0</v>
      </c>
      <c r="E148">
        <v>578.49</v>
      </c>
      <c r="F148">
        <v>43201477</v>
      </c>
      <c r="G148">
        <v>302411677</v>
      </c>
    </row>
    <row r="149" spans="1:7">
      <c r="A149">
        <v>274</v>
      </c>
      <c r="B149">
        <v>4204761200</v>
      </c>
      <c r="C149">
        <v>16.82</v>
      </c>
      <c r="D149">
        <v>0</v>
      </c>
      <c r="E149">
        <v>590.4</v>
      </c>
      <c r="F149">
        <v>43567170</v>
      </c>
      <c r="G149">
        <v>304701174</v>
      </c>
    </row>
    <row r="150" spans="1:7">
      <c r="A150">
        <v>276</v>
      </c>
      <c r="B150">
        <v>4767593180</v>
      </c>
      <c r="C150">
        <v>19.07</v>
      </c>
      <c r="D150">
        <v>0</v>
      </c>
      <c r="E150">
        <v>600.42999999999995</v>
      </c>
      <c r="F150">
        <v>43930402</v>
      </c>
      <c r="G150">
        <v>307038712</v>
      </c>
    </row>
    <row r="151" spans="1:7">
      <c r="A151">
        <v>278</v>
      </c>
      <c r="B151">
        <v>4387354480</v>
      </c>
      <c r="C151">
        <v>17.55</v>
      </c>
      <c r="D151">
        <v>0</v>
      </c>
      <c r="E151">
        <v>608.71</v>
      </c>
      <c r="F151">
        <v>44290769</v>
      </c>
      <c r="G151">
        <v>309413147</v>
      </c>
    </row>
    <row r="152" spans="1:7">
      <c r="A152">
        <v>280</v>
      </c>
      <c r="B152">
        <v>4712303620</v>
      </c>
      <c r="C152">
        <v>18.850000000000001</v>
      </c>
      <c r="D152">
        <v>0</v>
      </c>
      <c r="E152">
        <v>615.33000000000004</v>
      </c>
      <c r="F152">
        <v>44652107</v>
      </c>
      <c r="G152">
        <v>311808211</v>
      </c>
    </row>
    <row r="153" spans="1:7">
      <c r="A153">
        <v>282</v>
      </c>
      <c r="B153">
        <v>4869810000</v>
      </c>
      <c r="C153">
        <v>19.48</v>
      </c>
      <c r="D153">
        <v>0</v>
      </c>
      <c r="E153">
        <v>620.54999999999995</v>
      </c>
      <c r="F153">
        <v>45014479</v>
      </c>
      <c r="G153">
        <v>314218857</v>
      </c>
    </row>
    <row r="154" spans="1:7">
      <c r="A154">
        <v>284</v>
      </c>
      <c r="B154">
        <v>4734931020</v>
      </c>
      <c r="C154">
        <v>18.940000000000001</v>
      </c>
      <c r="D154">
        <v>0</v>
      </c>
      <c r="E154">
        <v>624.53</v>
      </c>
      <c r="F154">
        <v>45388341</v>
      </c>
      <c r="G154">
        <v>316658266</v>
      </c>
    </row>
    <row r="155" spans="1:7">
      <c r="A155">
        <v>286</v>
      </c>
      <c r="B155">
        <v>4887616780</v>
      </c>
      <c r="C155">
        <v>19.55</v>
      </c>
      <c r="D155">
        <v>0</v>
      </c>
      <c r="E155">
        <v>627.41</v>
      </c>
      <c r="F155">
        <v>45760782</v>
      </c>
      <c r="G155">
        <v>319101798</v>
      </c>
    </row>
    <row r="156" spans="1:7">
      <c r="A156">
        <v>288</v>
      </c>
      <c r="B156">
        <v>5056928760</v>
      </c>
      <c r="C156">
        <v>20.23</v>
      </c>
      <c r="D156">
        <v>0</v>
      </c>
      <c r="E156">
        <v>629.39</v>
      </c>
      <c r="F156">
        <v>46134926</v>
      </c>
      <c r="G156">
        <v>321561332</v>
      </c>
    </row>
    <row r="157" spans="1:7">
      <c r="A157">
        <v>290</v>
      </c>
      <c r="B157">
        <v>4676985200</v>
      </c>
      <c r="C157">
        <v>18.71</v>
      </c>
      <c r="D157">
        <v>0</v>
      </c>
      <c r="E157">
        <v>630.64</v>
      </c>
      <c r="F157">
        <v>46512458</v>
      </c>
      <c r="G157">
        <v>324028888</v>
      </c>
    </row>
    <row r="158" spans="1:7">
      <c r="A158">
        <v>292</v>
      </c>
      <c r="B158">
        <v>4793467120</v>
      </c>
      <c r="C158">
        <v>19.170000000000002</v>
      </c>
      <c r="D158">
        <v>0</v>
      </c>
      <c r="E158">
        <v>631.32000000000005</v>
      </c>
      <c r="F158">
        <v>46890323</v>
      </c>
      <c r="G158">
        <v>326502891</v>
      </c>
    </row>
    <row r="159" spans="1:7">
      <c r="A159">
        <v>294</v>
      </c>
      <c r="B159">
        <v>4879746380</v>
      </c>
      <c r="C159">
        <v>19.52</v>
      </c>
      <c r="D159">
        <v>0</v>
      </c>
      <c r="E159">
        <v>631.6</v>
      </c>
      <c r="F159">
        <v>47272460</v>
      </c>
      <c r="G159">
        <v>328979351</v>
      </c>
    </row>
    <row r="160" spans="1:7">
      <c r="A160">
        <v>296</v>
      </c>
      <c r="B160">
        <v>4916835640</v>
      </c>
      <c r="C160">
        <v>19.670000000000002</v>
      </c>
      <c r="D160">
        <v>0</v>
      </c>
      <c r="E160">
        <v>631.66</v>
      </c>
      <c r="F160">
        <v>47654253</v>
      </c>
      <c r="G160">
        <v>331456847</v>
      </c>
    </row>
    <row r="161" spans="1:156">
      <c r="A161">
        <v>298</v>
      </c>
      <c r="B161">
        <v>4762969320</v>
      </c>
      <c r="C161">
        <v>19.05</v>
      </c>
      <c r="D161">
        <v>0</v>
      </c>
      <c r="E161">
        <v>631.66999999999996</v>
      </c>
      <c r="F161">
        <v>48033173</v>
      </c>
      <c r="G161">
        <v>333925649</v>
      </c>
    </row>
    <row r="162" spans="1:156">
      <c r="A162" t="s">
        <v>107</v>
      </c>
      <c r="B162" t="s">
        <v>45</v>
      </c>
    </row>
    <row r="163" spans="1:156">
      <c r="A163" t="s">
        <v>108</v>
      </c>
      <c r="B163" t="s">
        <v>109</v>
      </c>
      <c r="C163" t="s">
        <v>110</v>
      </c>
      <c r="D163" t="s">
        <v>111</v>
      </c>
      <c r="E163" t="s">
        <v>112</v>
      </c>
      <c r="F163" t="s">
        <v>113</v>
      </c>
      <c r="G163" t="s">
        <v>114</v>
      </c>
      <c r="H163" t="s">
        <v>115</v>
      </c>
      <c r="I163" t="s">
        <v>116</v>
      </c>
      <c r="J163" t="s">
        <v>117</v>
      </c>
      <c r="K163" t="s">
        <v>118</v>
      </c>
      <c r="L163" t="s">
        <v>119</v>
      </c>
      <c r="M163" t="s">
        <v>120</v>
      </c>
      <c r="N163" t="s">
        <v>121</v>
      </c>
      <c r="O163" t="s">
        <v>122</v>
      </c>
      <c r="P163" t="s">
        <v>123</v>
      </c>
      <c r="Q163" t="s">
        <v>124</v>
      </c>
      <c r="R163" t="s">
        <v>118</v>
      </c>
      <c r="S163" t="s">
        <v>125</v>
      </c>
      <c r="T163" t="s">
        <v>126</v>
      </c>
      <c r="U163" t="s">
        <v>127</v>
      </c>
      <c r="V163" t="s">
        <v>128</v>
      </c>
      <c r="W163" t="s">
        <v>129</v>
      </c>
      <c r="X163" t="s">
        <v>130</v>
      </c>
      <c r="Y163" t="s">
        <v>131</v>
      </c>
      <c r="Z163" t="s">
        <v>132</v>
      </c>
      <c r="AA163" t="s">
        <v>133</v>
      </c>
      <c r="AB163" t="s">
        <v>134</v>
      </c>
      <c r="AC163" t="s">
        <v>135</v>
      </c>
      <c r="AD163" t="s">
        <v>105</v>
      </c>
      <c r="AE163" t="s">
        <v>136</v>
      </c>
      <c r="AF163" t="s">
        <v>115</v>
      </c>
      <c r="AG163" t="s">
        <v>137</v>
      </c>
      <c r="AH163" t="s">
        <v>138</v>
      </c>
      <c r="AI163" t="s">
        <v>139</v>
      </c>
      <c r="AJ163" t="s">
        <v>126</v>
      </c>
      <c r="AK163" t="s">
        <v>127</v>
      </c>
      <c r="AL163" t="s">
        <v>128</v>
      </c>
      <c r="AM163" t="s">
        <v>129</v>
      </c>
      <c r="AN163" t="s">
        <v>130</v>
      </c>
      <c r="AO163" t="s">
        <v>131</v>
      </c>
      <c r="AP163" t="s">
        <v>132</v>
      </c>
      <c r="AQ163" t="s">
        <v>133</v>
      </c>
      <c r="AR163" t="s">
        <v>134</v>
      </c>
      <c r="AS163" t="s">
        <v>140</v>
      </c>
      <c r="AT163" t="s">
        <v>105</v>
      </c>
      <c r="AU163" t="s">
        <v>136</v>
      </c>
      <c r="AV163" t="s">
        <v>115</v>
      </c>
      <c r="AW163" t="s">
        <v>137</v>
      </c>
      <c r="AX163" t="s">
        <v>138</v>
      </c>
      <c r="AY163" t="s">
        <v>141</v>
      </c>
      <c r="AZ163" t="s">
        <v>126</v>
      </c>
      <c r="BA163" t="s">
        <v>142</v>
      </c>
      <c r="BB163" t="s">
        <v>143</v>
      </c>
      <c r="BC163" t="s">
        <v>144</v>
      </c>
      <c r="BD163" t="s">
        <v>145</v>
      </c>
      <c r="BE163" t="s">
        <v>146</v>
      </c>
      <c r="BF163" t="s">
        <v>147</v>
      </c>
      <c r="BG163" t="s">
        <v>148</v>
      </c>
      <c r="BH163" t="s">
        <v>149</v>
      </c>
      <c r="BI163" t="s">
        <v>150</v>
      </c>
      <c r="BJ163" t="s">
        <v>141</v>
      </c>
      <c r="BK163" t="s">
        <v>126</v>
      </c>
      <c r="BL163" t="s">
        <v>142</v>
      </c>
      <c r="BM163" t="s">
        <v>143</v>
      </c>
      <c r="BN163" t="s">
        <v>144</v>
      </c>
      <c r="BO163" t="s">
        <v>145</v>
      </c>
      <c r="BP163" t="s">
        <v>146</v>
      </c>
      <c r="BQ163" t="s">
        <v>147</v>
      </c>
      <c r="BR163" t="s">
        <v>148</v>
      </c>
      <c r="BS163" t="s">
        <v>149</v>
      </c>
      <c r="BT163" t="s">
        <v>150</v>
      </c>
    </row>
    <row r="164" spans="1:156">
      <c r="A164">
        <v>98380</v>
      </c>
      <c r="B164">
        <v>0</v>
      </c>
      <c r="C164">
        <v>7162941</v>
      </c>
      <c r="D164">
        <v>0</v>
      </c>
      <c r="E164">
        <v>41.882100000000001</v>
      </c>
      <c r="F164" s="7">
        <v>301999000</v>
      </c>
      <c r="G164">
        <v>18791.8</v>
      </c>
      <c r="H164">
        <v>336793113</v>
      </c>
      <c r="I164">
        <v>2337</v>
      </c>
      <c r="J164">
        <v>6.9389799999999998E-4</v>
      </c>
      <c r="K164" t="s">
        <v>151</v>
      </c>
      <c r="L164">
        <v>0</v>
      </c>
      <c r="M164">
        <v>7162941</v>
      </c>
      <c r="N164">
        <v>704690135580</v>
      </c>
      <c r="O164">
        <v>41.887</v>
      </c>
      <c r="P164">
        <v>300033983</v>
      </c>
      <c r="Q164">
        <v>18789.599999999999</v>
      </c>
      <c r="R164" t="s">
        <v>151</v>
      </c>
      <c r="S164" t="s">
        <v>152</v>
      </c>
      <c r="T164" t="s">
        <v>153</v>
      </c>
      <c r="U164" t="s">
        <v>45</v>
      </c>
      <c r="V164">
        <v>0</v>
      </c>
      <c r="W164">
        <v>0</v>
      </c>
      <c r="X164">
        <v>0</v>
      </c>
      <c r="Y164">
        <v>0</v>
      </c>
      <c r="Z164">
        <v>45</v>
      </c>
      <c r="AA164">
        <v>9058</v>
      </c>
      <c r="AB164">
        <v>0</v>
      </c>
      <c r="AC164">
        <v>0</v>
      </c>
      <c r="AD164" t="s">
        <v>154</v>
      </c>
      <c r="AE164" t="s">
        <v>45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155</v>
      </c>
      <c r="AO164" t="s">
        <v>45</v>
      </c>
      <c r="AP164">
        <v>48520152</v>
      </c>
      <c r="AQ164">
        <v>3210838080</v>
      </c>
      <c r="AR164">
        <v>0</v>
      </c>
      <c r="AS164">
        <v>77447</v>
      </c>
      <c r="AT164">
        <v>336815382</v>
      </c>
      <c r="AU164">
        <v>3035967979040</v>
      </c>
      <c r="AV164">
        <v>0</v>
      </c>
      <c r="AW164">
        <v>0</v>
      </c>
      <c r="AX164" t="s">
        <v>156</v>
      </c>
      <c r="AY164" t="s">
        <v>45</v>
      </c>
      <c r="AZ164">
        <v>0</v>
      </c>
      <c r="BA164">
        <v>0</v>
      </c>
      <c r="BB164">
        <v>0</v>
      </c>
      <c r="BC164">
        <v>0</v>
      </c>
      <c r="BD164">
        <v>43</v>
      </c>
      <c r="BE164">
        <v>8055</v>
      </c>
      <c r="BF164">
        <v>0</v>
      </c>
      <c r="BG164">
        <v>0</v>
      </c>
      <c r="BH164" t="s">
        <v>157</v>
      </c>
      <c r="BI164" t="s">
        <v>45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 t="s">
        <v>158</v>
      </c>
      <c r="BS164" t="s">
        <v>45</v>
      </c>
      <c r="BT164">
        <v>16</v>
      </c>
      <c r="BU164">
        <v>1472</v>
      </c>
      <c r="BV164">
        <v>0</v>
      </c>
      <c r="BW164">
        <v>0</v>
      </c>
      <c r="BX164">
        <v>16</v>
      </c>
      <c r="BY164">
        <v>1472</v>
      </c>
      <c r="BZ164">
        <v>0</v>
      </c>
      <c r="CA164">
        <v>0</v>
      </c>
      <c r="CB164" t="s">
        <v>135</v>
      </c>
      <c r="CC164">
        <v>48520124</v>
      </c>
      <c r="CD164">
        <v>0</v>
      </c>
      <c r="CE164">
        <v>336793113</v>
      </c>
      <c r="CF164">
        <v>0</v>
      </c>
      <c r="CG164">
        <v>22261</v>
      </c>
      <c r="CH164" t="s">
        <v>159</v>
      </c>
      <c r="CI164" t="s">
        <v>160</v>
      </c>
      <c r="CJ164" t="s">
        <v>45</v>
      </c>
      <c r="CK164">
        <v>79026</v>
      </c>
      <c r="CL164">
        <v>3623878</v>
      </c>
      <c r="CM164">
        <v>0</v>
      </c>
      <c r="CN164">
        <v>0</v>
      </c>
      <c r="CO164">
        <v>551</v>
      </c>
      <c r="CP164">
        <v>259283</v>
      </c>
      <c r="CQ164">
        <v>0</v>
      </c>
      <c r="CR164">
        <v>0</v>
      </c>
      <c r="CS164" t="s">
        <v>161</v>
      </c>
      <c r="CT164" t="s">
        <v>45</v>
      </c>
      <c r="CU164">
        <v>336889784</v>
      </c>
      <c r="CV164">
        <v>3035920513852</v>
      </c>
      <c r="CW164">
        <v>0</v>
      </c>
      <c r="CX164">
        <v>0</v>
      </c>
      <c r="CY164">
        <v>48599211</v>
      </c>
      <c r="CZ164">
        <v>3218478349</v>
      </c>
      <c r="DA164">
        <v>0</v>
      </c>
      <c r="DB164">
        <v>0</v>
      </c>
      <c r="DC164" t="s">
        <v>158</v>
      </c>
      <c r="DD164" t="s">
        <v>45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 t="s">
        <v>162</v>
      </c>
      <c r="DN164" t="s">
        <v>45</v>
      </c>
      <c r="DO164">
        <v>56270896</v>
      </c>
      <c r="DP164">
        <v>3016612358594</v>
      </c>
      <c r="DQ164">
        <v>0</v>
      </c>
      <c r="DR164">
        <v>0</v>
      </c>
      <c r="DS164">
        <v>48598554</v>
      </c>
      <c r="DT164">
        <v>3218201626</v>
      </c>
      <c r="DU164">
        <v>0</v>
      </c>
      <c r="DV164">
        <v>0</v>
      </c>
      <c r="DW164" t="s">
        <v>163</v>
      </c>
      <c r="DX164" t="s">
        <v>45</v>
      </c>
      <c r="DY164">
        <v>8554</v>
      </c>
      <c r="DZ164">
        <v>855400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 t="s">
        <v>140</v>
      </c>
      <c r="EH164">
        <v>56270344</v>
      </c>
      <c r="EI164">
        <v>0</v>
      </c>
      <c r="EJ164">
        <v>48598206</v>
      </c>
      <c r="EK164">
        <v>24</v>
      </c>
      <c r="EL164">
        <v>0</v>
      </c>
      <c r="EM164" t="s">
        <v>141</v>
      </c>
      <c r="EN164" t="s">
        <v>164</v>
      </c>
      <c r="EO164">
        <v>336889783</v>
      </c>
      <c r="EP164">
        <v>48599213</v>
      </c>
      <c r="EQ164">
        <v>336896306</v>
      </c>
      <c r="ER164">
        <v>48599213</v>
      </c>
      <c r="ES164">
        <v>0</v>
      </c>
      <c r="ET164">
        <v>0</v>
      </c>
      <c r="EU164">
        <v>0</v>
      </c>
      <c r="EV164">
        <v>0</v>
      </c>
      <c r="EW164">
        <v>0</v>
      </c>
      <c r="EX164" t="s">
        <v>141</v>
      </c>
      <c r="EY164" t="s">
        <v>45</v>
      </c>
      <c r="EZ164" t="s">
        <v>118</v>
      </c>
    </row>
    <row r="165" spans="1:156">
      <c r="A165" t="s">
        <v>165</v>
      </c>
      <c r="B165" t="s">
        <v>166</v>
      </c>
      <c r="C165" t="s">
        <v>167</v>
      </c>
      <c r="D165" t="s">
        <v>168</v>
      </c>
      <c r="E165" t="s">
        <v>169</v>
      </c>
      <c r="F165" t="s">
        <v>170</v>
      </c>
      <c r="G165" t="s">
        <v>171</v>
      </c>
      <c r="H165" t="s">
        <v>172</v>
      </c>
    </row>
    <row r="166" spans="1:156">
      <c r="A166" t="s">
        <v>173</v>
      </c>
      <c r="B166">
        <v>0</v>
      </c>
      <c r="C166">
        <v>0</v>
      </c>
      <c r="D166">
        <v>64</v>
      </c>
      <c r="E166">
        <v>35</v>
      </c>
      <c r="F166">
        <v>0</v>
      </c>
      <c r="G166">
        <v>2</v>
      </c>
      <c r="H166">
        <v>19</v>
      </c>
      <c r="I166" t="s">
        <v>45</v>
      </c>
    </row>
    <row r="167" spans="1:156">
      <c r="A167" t="s">
        <v>174</v>
      </c>
      <c r="B167">
        <v>0</v>
      </c>
      <c r="C167">
        <v>0</v>
      </c>
      <c r="D167">
        <v>78</v>
      </c>
      <c r="E167">
        <v>20</v>
      </c>
      <c r="F167">
        <v>0</v>
      </c>
      <c r="G167">
        <v>2</v>
      </c>
      <c r="H167">
        <v>30</v>
      </c>
      <c r="I167" t="s">
        <v>45</v>
      </c>
    </row>
    <row r="168" spans="1:156">
      <c r="A168" t="s">
        <v>175</v>
      </c>
      <c r="B168">
        <v>0</v>
      </c>
      <c r="C168">
        <v>0</v>
      </c>
      <c r="D168">
        <v>68</v>
      </c>
      <c r="E168">
        <v>30</v>
      </c>
      <c r="F168">
        <v>0</v>
      </c>
      <c r="G168">
        <v>2</v>
      </c>
      <c r="H168">
        <v>19</v>
      </c>
      <c r="I168" t="s">
        <v>45</v>
      </c>
    </row>
    <row r="169" spans="1:156">
      <c r="A169" t="s">
        <v>176</v>
      </c>
      <c r="B169">
        <v>0</v>
      </c>
      <c r="C169">
        <v>0</v>
      </c>
      <c r="D169">
        <v>46</v>
      </c>
      <c r="E169">
        <v>53</v>
      </c>
      <c r="F169">
        <v>0</v>
      </c>
      <c r="G169">
        <v>1</v>
      </c>
      <c r="H169">
        <v>2</v>
      </c>
      <c r="I169" t="s">
        <v>45</v>
      </c>
    </row>
    <row r="170" spans="1:156">
      <c r="A170" t="s">
        <v>177</v>
      </c>
      <c r="B170">
        <v>0</v>
      </c>
      <c r="C170">
        <v>0</v>
      </c>
      <c r="D170">
        <v>63</v>
      </c>
      <c r="E170">
        <v>36</v>
      </c>
      <c r="F170">
        <v>0</v>
      </c>
      <c r="G170">
        <v>2</v>
      </c>
      <c r="H170">
        <v>24</v>
      </c>
      <c r="I170" t="s">
        <v>45</v>
      </c>
    </row>
    <row r="171" spans="1:156">
      <c r="A171" t="s">
        <v>178</v>
      </c>
      <c r="B171" t="s">
        <v>166</v>
      </c>
      <c r="C171" t="s">
        <v>167</v>
      </c>
      <c r="D171" t="s">
        <v>168</v>
      </c>
      <c r="E171" t="s">
        <v>169</v>
      </c>
      <c r="F171" t="s">
        <v>170</v>
      </c>
      <c r="G171" t="s">
        <v>171</v>
      </c>
      <c r="H171" t="s">
        <v>172</v>
      </c>
    </row>
    <row r="172" spans="1:156">
      <c r="A172" t="s">
        <v>179</v>
      </c>
      <c r="B172">
        <v>0</v>
      </c>
      <c r="C172">
        <v>0</v>
      </c>
      <c r="D172">
        <v>6</v>
      </c>
      <c r="E172">
        <v>93</v>
      </c>
      <c r="F172">
        <v>0</v>
      </c>
      <c r="G172">
        <v>0</v>
      </c>
      <c r="H172">
        <v>0</v>
      </c>
      <c r="I172" t="s">
        <v>45</v>
      </c>
    </row>
    <row r="173" spans="1:156">
      <c r="A173" t="s">
        <v>180</v>
      </c>
      <c r="B173">
        <v>0</v>
      </c>
      <c r="C173">
        <v>0</v>
      </c>
      <c r="D173">
        <v>0</v>
      </c>
      <c r="E173">
        <v>99</v>
      </c>
      <c r="F173">
        <v>0</v>
      </c>
      <c r="G173">
        <v>0</v>
      </c>
      <c r="H173">
        <v>0</v>
      </c>
      <c r="I173" t="s">
        <v>45</v>
      </c>
    </row>
    <row r="174" spans="1:156">
      <c r="A174" t="s">
        <v>181</v>
      </c>
      <c r="B174">
        <v>0</v>
      </c>
      <c r="C174">
        <v>0</v>
      </c>
      <c r="D174">
        <v>0</v>
      </c>
      <c r="E174">
        <v>99</v>
      </c>
      <c r="F174">
        <v>0</v>
      </c>
      <c r="G174">
        <v>0</v>
      </c>
      <c r="H174">
        <v>0</v>
      </c>
      <c r="I174" t="s">
        <v>45</v>
      </c>
    </row>
    <row r="175" spans="1:156">
      <c r="A175" t="s">
        <v>182</v>
      </c>
      <c r="B175">
        <v>0</v>
      </c>
      <c r="C175">
        <v>0</v>
      </c>
      <c r="D175">
        <v>0</v>
      </c>
      <c r="E175">
        <v>99</v>
      </c>
      <c r="F175">
        <v>0</v>
      </c>
      <c r="G175">
        <v>0</v>
      </c>
      <c r="H175">
        <v>0</v>
      </c>
      <c r="I175" t="s">
        <v>45</v>
      </c>
    </row>
    <row r="176" spans="1:156">
      <c r="A176" t="s">
        <v>183</v>
      </c>
      <c r="B176">
        <v>0</v>
      </c>
      <c r="C176">
        <v>0</v>
      </c>
      <c r="D176">
        <v>0</v>
      </c>
      <c r="E176">
        <v>99</v>
      </c>
      <c r="F176">
        <v>0</v>
      </c>
      <c r="G176">
        <v>0</v>
      </c>
      <c r="H176">
        <v>0</v>
      </c>
      <c r="I176" t="s">
        <v>45</v>
      </c>
    </row>
    <row r="177" spans="1:9">
      <c r="A177" t="s">
        <v>184</v>
      </c>
      <c r="B177">
        <v>0</v>
      </c>
      <c r="C177">
        <v>0</v>
      </c>
      <c r="D177">
        <v>0</v>
      </c>
      <c r="E177">
        <v>99</v>
      </c>
      <c r="F177">
        <v>0</v>
      </c>
      <c r="G177">
        <v>0</v>
      </c>
      <c r="H177">
        <v>0</v>
      </c>
      <c r="I177" t="s">
        <v>45</v>
      </c>
    </row>
    <row r="178" spans="1:9">
      <c r="A178" t="s">
        <v>185</v>
      </c>
      <c r="B178">
        <v>0</v>
      </c>
      <c r="C178">
        <v>0</v>
      </c>
      <c r="D178">
        <v>0</v>
      </c>
      <c r="E178">
        <v>99</v>
      </c>
      <c r="F178">
        <v>0</v>
      </c>
      <c r="G178">
        <v>0</v>
      </c>
      <c r="H178">
        <v>0</v>
      </c>
      <c r="I178" t="s">
        <v>45</v>
      </c>
    </row>
    <row r="179" spans="1:9">
      <c r="A179" t="s">
        <v>186</v>
      </c>
      <c r="B179">
        <v>4</v>
      </c>
      <c r="C179">
        <v>0</v>
      </c>
      <c r="D179">
        <v>82</v>
      </c>
      <c r="E179">
        <v>13</v>
      </c>
      <c r="F179">
        <v>0</v>
      </c>
      <c r="G179">
        <v>0</v>
      </c>
      <c r="H179">
        <v>0</v>
      </c>
      <c r="I179" t="s">
        <v>45</v>
      </c>
    </row>
    <row r="180" spans="1:9">
      <c r="A180" t="s">
        <v>187</v>
      </c>
      <c r="B180">
        <v>4</v>
      </c>
      <c r="C180">
        <v>0</v>
      </c>
      <c r="D180">
        <v>88</v>
      </c>
      <c r="E180">
        <v>7</v>
      </c>
      <c r="F180">
        <v>0</v>
      </c>
      <c r="G180">
        <v>0</v>
      </c>
      <c r="H180">
        <v>0</v>
      </c>
      <c r="I180" t="s">
        <v>45</v>
      </c>
    </row>
    <row r="181" spans="1:9">
      <c r="A181" t="s">
        <v>188</v>
      </c>
      <c r="B181">
        <v>3</v>
      </c>
      <c r="C181">
        <v>0</v>
      </c>
      <c r="D181">
        <v>88</v>
      </c>
      <c r="E181">
        <v>7</v>
      </c>
      <c r="F181">
        <v>0</v>
      </c>
      <c r="G181">
        <v>0</v>
      </c>
      <c r="H181">
        <v>1</v>
      </c>
      <c r="I181" t="s">
        <v>45</v>
      </c>
    </row>
    <row r="182" spans="1:9">
      <c r="A182" t="s">
        <v>189</v>
      </c>
      <c r="B182">
        <v>3</v>
      </c>
      <c r="C182">
        <v>0</v>
      </c>
      <c r="D182">
        <v>85</v>
      </c>
      <c r="E182">
        <v>11</v>
      </c>
      <c r="F182">
        <v>0</v>
      </c>
      <c r="G182">
        <v>0</v>
      </c>
      <c r="H182">
        <v>1</v>
      </c>
      <c r="I182" t="s">
        <v>45</v>
      </c>
    </row>
    <row r="183" spans="1:9">
      <c r="A183" t="s">
        <v>190</v>
      </c>
      <c r="B183">
        <v>0</v>
      </c>
      <c r="C183">
        <v>0</v>
      </c>
      <c r="D183">
        <v>0</v>
      </c>
      <c r="E183">
        <v>99</v>
      </c>
      <c r="F183">
        <v>0</v>
      </c>
      <c r="G183">
        <v>0</v>
      </c>
      <c r="H183">
        <v>0</v>
      </c>
      <c r="I183" t="s">
        <v>45</v>
      </c>
    </row>
    <row r="184" spans="1:9">
      <c r="A184" t="s">
        <v>191</v>
      </c>
      <c r="B184">
        <v>0</v>
      </c>
      <c r="C184">
        <v>0</v>
      </c>
      <c r="D184">
        <v>0</v>
      </c>
      <c r="E184">
        <v>99</v>
      </c>
      <c r="F184">
        <v>0</v>
      </c>
      <c r="G184">
        <v>0</v>
      </c>
      <c r="H184">
        <v>0</v>
      </c>
      <c r="I184" t="s">
        <v>45</v>
      </c>
    </row>
    <row r="185" spans="1:9">
      <c r="A185" t="s">
        <v>192</v>
      </c>
      <c r="B185">
        <v>0</v>
      </c>
      <c r="C185">
        <v>0</v>
      </c>
      <c r="D185">
        <v>0</v>
      </c>
      <c r="E185">
        <v>99</v>
      </c>
      <c r="F185">
        <v>0</v>
      </c>
      <c r="G185">
        <v>0</v>
      </c>
      <c r="H185">
        <v>0</v>
      </c>
      <c r="I185" t="s">
        <v>45</v>
      </c>
    </row>
    <row r="186" spans="1:9">
      <c r="A186" t="s">
        <v>193</v>
      </c>
      <c r="B186">
        <v>0</v>
      </c>
      <c r="C186">
        <v>0</v>
      </c>
      <c r="D186">
        <v>0</v>
      </c>
      <c r="E186">
        <v>99</v>
      </c>
      <c r="F186">
        <v>0</v>
      </c>
      <c r="G186">
        <v>0</v>
      </c>
      <c r="H186">
        <v>0</v>
      </c>
      <c r="I186" t="s">
        <v>45</v>
      </c>
    </row>
    <row r="187" spans="1:9">
      <c r="A187" t="s">
        <v>194</v>
      </c>
      <c r="B187">
        <v>0</v>
      </c>
      <c r="C187">
        <v>0</v>
      </c>
      <c r="D187">
        <v>0</v>
      </c>
      <c r="E187">
        <v>99</v>
      </c>
      <c r="F187">
        <v>0</v>
      </c>
      <c r="G187">
        <v>0</v>
      </c>
      <c r="H187">
        <v>0</v>
      </c>
      <c r="I187" t="s">
        <v>45</v>
      </c>
    </row>
    <row r="188" spans="1:9">
      <c r="A188" t="s">
        <v>195</v>
      </c>
      <c r="B188">
        <v>0</v>
      </c>
      <c r="C188">
        <v>0</v>
      </c>
      <c r="D188">
        <v>0</v>
      </c>
      <c r="E188">
        <v>99</v>
      </c>
      <c r="F188">
        <v>0</v>
      </c>
      <c r="G188">
        <v>0</v>
      </c>
      <c r="H188">
        <v>0</v>
      </c>
      <c r="I188" t="s">
        <v>45</v>
      </c>
    </row>
    <row r="189" spans="1:9">
      <c r="A189" t="s">
        <v>196</v>
      </c>
      <c r="B189">
        <v>0</v>
      </c>
      <c r="C189">
        <v>0</v>
      </c>
      <c r="D189">
        <v>0</v>
      </c>
      <c r="E189">
        <v>99</v>
      </c>
      <c r="F189">
        <v>0</v>
      </c>
      <c r="G189">
        <v>0</v>
      </c>
      <c r="H189">
        <v>0</v>
      </c>
      <c r="I189" t="s">
        <v>45</v>
      </c>
    </row>
    <row r="190" spans="1:9">
      <c r="A190" t="s">
        <v>197</v>
      </c>
      <c r="B190">
        <v>0</v>
      </c>
      <c r="C190">
        <v>0</v>
      </c>
      <c r="D190">
        <v>0</v>
      </c>
      <c r="E190">
        <v>99</v>
      </c>
      <c r="F190">
        <v>0</v>
      </c>
      <c r="G190">
        <v>0</v>
      </c>
      <c r="H190">
        <v>0</v>
      </c>
      <c r="I190" t="s">
        <v>45</v>
      </c>
    </row>
    <row r="191" spans="1:9">
      <c r="A191" t="s">
        <v>198</v>
      </c>
      <c r="B191">
        <v>0</v>
      </c>
      <c r="C191">
        <v>0</v>
      </c>
      <c r="D191">
        <v>0</v>
      </c>
      <c r="E191">
        <v>99</v>
      </c>
      <c r="F191">
        <v>0</v>
      </c>
      <c r="G191">
        <v>0</v>
      </c>
      <c r="H191">
        <v>0</v>
      </c>
      <c r="I191" t="s">
        <v>45</v>
      </c>
    </row>
    <row r="192" spans="1:9">
      <c r="A192" t="s">
        <v>199</v>
      </c>
      <c r="B192">
        <v>0</v>
      </c>
      <c r="C192">
        <v>0</v>
      </c>
      <c r="D192">
        <v>0</v>
      </c>
      <c r="E192">
        <v>99</v>
      </c>
      <c r="F192">
        <v>0</v>
      </c>
      <c r="G192">
        <v>0</v>
      </c>
      <c r="H192">
        <v>0</v>
      </c>
      <c r="I192" t="s">
        <v>45</v>
      </c>
    </row>
    <row r="193" spans="1:9">
      <c r="A193" t="s">
        <v>200</v>
      </c>
      <c r="B193">
        <v>0</v>
      </c>
      <c r="C193">
        <v>0</v>
      </c>
      <c r="D193">
        <v>0</v>
      </c>
      <c r="E193">
        <v>99</v>
      </c>
      <c r="F193">
        <v>0</v>
      </c>
      <c r="G193">
        <v>0</v>
      </c>
      <c r="H193">
        <v>0</v>
      </c>
      <c r="I193" t="s">
        <v>45</v>
      </c>
    </row>
    <row r="194" spans="1:9">
      <c r="A194" t="s">
        <v>201</v>
      </c>
      <c r="B194">
        <v>0</v>
      </c>
      <c r="C194">
        <v>0</v>
      </c>
      <c r="D194">
        <v>0</v>
      </c>
      <c r="E194">
        <v>99</v>
      </c>
      <c r="F194">
        <v>0</v>
      </c>
      <c r="G194">
        <v>0</v>
      </c>
      <c r="H194">
        <v>0</v>
      </c>
      <c r="I194" t="s">
        <v>45</v>
      </c>
    </row>
    <row r="195" spans="1:9">
      <c r="A195" t="s">
        <v>202</v>
      </c>
      <c r="B195">
        <v>0</v>
      </c>
      <c r="C195">
        <v>0</v>
      </c>
      <c r="D195">
        <v>0</v>
      </c>
      <c r="E195">
        <v>99</v>
      </c>
      <c r="F195">
        <v>0</v>
      </c>
      <c r="G195">
        <v>0</v>
      </c>
      <c r="H195">
        <v>0</v>
      </c>
      <c r="I195" t="s">
        <v>45</v>
      </c>
    </row>
    <row r="196" spans="1:9">
      <c r="A196" t="s">
        <v>203</v>
      </c>
      <c r="B196">
        <v>0</v>
      </c>
      <c r="C196">
        <v>0</v>
      </c>
      <c r="D196">
        <v>0</v>
      </c>
      <c r="E196">
        <v>99</v>
      </c>
      <c r="F196">
        <v>0</v>
      </c>
      <c r="G196">
        <v>0</v>
      </c>
      <c r="H196">
        <v>0</v>
      </c>
      <c r="I196" t="s">
        <v>45</v>
      </c>
    </row>
    <row r="197" spans="1:9">
      <c r="A197" t="s">
        <v>204</v>
      </c>
      <c r="B197">
        <v>0</v>
      </c>
      <c r="C197">
        <v>0</v>
      </c>
      <c r="D197">
        <v>3</v>
      </c>
      <c r="E197">
        <v>96</v>
      </c>
      <c r="F197">
        <v>0</v>
      </c>
      <c r="G197">
        <v>0</v>
      </c>
      <c r="H197">
        <v>2</v>
      </c>
      <c r="I197" t="s">
        <v>45</v>
      </c>
    </row>
    <row r="198" spans="1:9">
      <c r="A198" t="s">
        <v>205</v>
      </c>
      <c r="B198">
        <v>0</v>
      </c>
      <c r="C198">
        <v>0</v>
      </c>
      <c r="D198">
        <v>0</v>
      </c>
      <c r="E198">
        <v>99</v>
      </c>
      <c r="F198">
        <v>0</v>
      </c>
      <c r="G198">
        <v>0</v>
      </c>
      <c r="H198">
        <v>0</v>
      </c>
      <c r="I198" t="s">
        <v>45</v>
      </c>
    </row>
    <row r="199" spans="1:9">
      <c r="A199" t="s">
        <v>206</v>
      </c>
      <c r="B199">
        <v>0</v>
      </c>
      <c r="C199">
        <v>0</v>
      </c>
      <c r="D199">
        <v>0</v>
      </c>
      <c r="E199">
        <v>99</v>
      </c>
      <c r="F199">
        <v>0</v>
      </c>
      <c r="G199">
        <v>0</v>
      </c>
      <c r="H199">
        <v>0</v>
      </c>
      <c r="I199" t="s">
        <v>45</v>
      </c>
    </row>
    <row r="200" spans="1:9">
      <c r="A200" t="s">
        <v>207</v>
      </c>
      <c r="B200">
        <v>0</v>
      </c>
      <c r="C200">
        <v>0</v>
      </c>
      <c r="D200">
        <v>0</v>
      </c>
      <c r="E200">
        <v>99</v>
      </c>
      <c r="F200">
        <v>0</v>
      </c>
      <c r="G200">
        <v>0</v>
      </c>
      <c r="H200">
        <v>0</v>
      </c>
      <c r="I200" t="s">
        <v>45</v>
      </c>
    </row>
    <row r="201" spans="1:9">
      <c r="A201" t="s">
        <v>208</v>
      </c>
      <c r="B201">
        <v>0</v>
      </c>
      <c r="C201">
        <v>0</v>
      </c>
      <c r="D201">
        <v>0</v>
      </c>
      <c r="E201">
        <v>99</v>
      </c>
      <c r="F201">
        <v>0</v>
      </c>
      <c r="G201">
        <v>0</v>
      </c>
      <c r="H201">
        <v>0</v>
      </c>
      <c r="I201" t="s">
        <v>45</v>
      </c>
    </row>
    <row r="202" spans="1:9">
      <c r="A202" t="s">
        <v>209</v>
      </c>
      <c r="B202">
        <v>0</v>
      </c>
      <c r="C202">
        <v>0</v>
      </c>
      <c r="D202">
        <v>0</v>
      </c>
      <c r="E202">
        <v>99</v>
      </c>
      <c r="F202">
        <v>0</v>
      </c>
      <c r="G202">
        <v>0</v>
      </c>
      <c r="H202">
        <v>0</v>
      </c>
      <c r="I202" t="s">
        <v>45</v>
      </c>
    </row>
    <row r="203" spans="1:9">
      <c r="A203" t="s">
        <v>210</v>
      </c>
      <c r="B203">
        <v>0</v>
      </c>
      <c r="C203">
        <v>0</v>
      </c>
      <c r="D203">
        <v>0</v>
      </c>
      <c r="E203">
        <v>99</v>
      </c>
      <c r="F203">
        <v>0</v>
      </c>
      <c r="G203">
        <v>0</v>
      </c>
      <c r="H203">
        <v>0</v>
      </c>
      <c r="I203" t="s">
        <v>45</v>
      </c>
    </row>
    <row r="204" spans="1:9">
      <c r="A204" t="s">
        <v>211</v>
      </c>
      <c r="B204">
        <v>0</v>
      </c>
      <c r="C204">
        <v>0</v>
      </c>
      <c r="D204">
        <v>0</v>
      </c>
      <c r="E204">
        <v>99</v>
      </c>
      <c r="F204">
        <v>0</v>
      </c>
      <c r="G204">
        <v>0</v>
      </c>
      <c r="H204">
        <v>0</v>
      </c>
      <c r="I204" t="s">
        <v>45</v>
      </c>
    </row>
    <row r="205" spans="1:9">
      <c r="A205" t="s">
        <v>212</v>
      </c>
      <c r="B205">
        <v>0</v>
      </c>
      <c r="C205">
        <v>0</v>
      </c>
      <c r="D205">
        <v>0</v>
      </c>
      <c r="E205">
        <v>99</v>
      </c>
      <c r="F205">
        <v>0</v>
      </c>
      <c r="G205">
        <v>0</v>
      </c>
      <c r="H205">
        <v>0</v>
      </c>
      <c r="I205" t="s">
        <v>45</v>
      </c>
    </row>
    <row r="206" spans="1:9">
      <c r="A206" t="s">
        <v>213</v>
      </c>
      <c r="B206">
        <v>0</v>
      </c>
      <c r="C206">
        <v>0</v>
      </c>
      <c r="D206">
        <v>0</v>
      </c>
      <c r="E206">
        <v>99</v>
      </c>
      <c r="F206">
        <v>0</v>
      </c>
      <c r="G206">
        <v>0</v>
      </c>
      <c r="H206">
        <v>0</v>
      </c>
      <c r="I206" t="s">
        <v>45</v>
      </c>
    </row>
    <row r="207" spans="1:9">
      <c r="A207" t="s">
        <v>214</v>
      </c>
      <c r="B207">
        <v>0</v>
      </c>
      <c r="C207">
        <v>0</v>
      </c>
      <c r="D207">
        <v>0</v>
      </c>
      <c r="E207">
        <v>99</v>
      </c>
      <c r="F207">
        <v>0</v>
      </c>
      <c r="G207">
        <v>0</v>
      </c>
      <c r="H207">
        <v>0</v>
      </c>
      <c r="I207" t="s">
        <v>45</v>
      </c>
    </row>
    <row r="208" spans="1:9">
      <c r="A208" t="s">
        <v>215</v>
      </c>
      <c r="B208">
        <v>0</v>
      </c>
      <c r="C208">
        <v>0</v>
      </c>
      <c r="D208">
        <v>0</v>
      </c>
      <c r="E208">
        <v>99</v>
      </c>
      <c r="F208">
        <v>0</v>
      </c>
      <c r="G208">
        <v>0</v>
      </c>
      <c r="H208">
        <v>0</v>
      </c>
      <c r="I208" t="s">
        <v>45</v>
      </c>
    </row>
    <row r="209" spans="1:9">
      <c r="A209" t="s">
        <v>216</v>
      </c>
      <c r="B209">
        <v>0</v>
      </c>
      <c r="C209">
        <v>0</v>
      </c>
      <c r="D209">
        <v>0</v>
      </c>
      <c r="E209">
        <v>99</v>
      </c>
      <c r="F209">
        <v>0</v>
      </c>
      <c r="G209">
        <v>0</v>
      </c>
      <c r="H209">
        <v>0</v>
      </c>
      <c r="I209" t="s">
        <v>45</v>
      </c>
    </row>
    <row r="210" spans="1:9">
      <c r="A210" t="s">
        <v>217</v>
      </c>
      <c r="B210">
        <v>0</v>
      </c>
      <c r="C210">
        <v>0</v>
      </c>
      <c r="D210">
        <v>0</v>
      </c>
      <c r="E210">
        <v>99</v>
      </c>
      <c r="F210">
        <v>0</v>
      </c>
      <c r="G210">
        <v>0</v>
      </c>
      <c r="H210">
        <v>0</v>
      </c>
      <c r="I210" t="s">
        <v>45</v>
      </c>
    </row>
    <row r="211" spans="1:9">
      <c r="A211" t="s">
        <v>218</v>
      </c>
      <c r="B211">
        <v>0</v>
      </c>
      <c r="C211">
        <v>0</v>
      </c>
      <c r="D211">
        <v>0</v>
      </c>
      <c r="E211">
        <v>99</v>
      </c>
      <c r="F211">
        <v>0</v>
      </c>
      <c r="G211">
        <v>0</v>
      </c>
      <c r="H211">
        <v>0</v>
      </c>
      <c r="I211" t="s">
        <v>45</v>
      </c>
    </row>
    <row r="212" spans="1:9">
      <c r="A212" t="s">
        <v>219</v>
      </c>
      <c r="B212">
        <v>0</v>
      </c>
      <c r="C212">
        <v>0</v>
      </c>
      <c r="D212">
        <v>0</v>
      </c>
      <c r="E212">
        <v>99</v>
      </c>
      <c r="F212">
        <v>0</v>
      </c>
      <c r="G212">
        <v>0</v>
      </c>
      <c r="H212">
        <v>0</v>
      </c>
      <c r="I212" t="s">
        <v>45</v>
      </c>
    </row>
    <row r="213" spans="1:9">
      <c r="A213" t="s">
        <v>220</v>
      </c>
      <c r="B213">
        <v>0</v>
      </c>
      <c r="C213">
        <v>0</v>
      </c>
      <c r="D213">
        <v>0</v>
      </c>
      <c r="E213">
        <v>99</v>
      </c>
      <c r="F213">
        <v>0</v>
      </c>
      <c r="G213">
        <v>0</v>
      </c>
      <c r="H213">
        <v>0</v>
      </c>
      <c r="I213" t="s">
        <v>45</v>
      </c>
    </row>
    <row r="214" spans="1:9">
      <c r="A214" t="s">
        <v>221</v>
      </c>
      <c r="B214">
        <v>0</v>
      </c>
      <c r="C214">
        <v>0</v>
      </c>
      <c r="D214">
        <v>0</v>
      </c>
      <c r="E214">
        <v>99</v>
      </c>
      <c r="F214">
        <v>0</v>
      </c>
      <c r="G214">
        <v>0</v>
      </c>
      <c r="H214">
        <v>0</v>
      </c>
      <c r="I214" t="s">
        <v>45</v>
      </c>
    </row>
    <row r="215" spans="1:9">
      <c r="A215" t="s">
        <v>222</v>
      </c>
      <c r="B215">
        <v>0</v>
      </c>
      <c r="C215">
        <v>0</v>
      </c>
      <c r="D215">
        <v>0</v>
      </c>
      <c r="E215">
        <v>99</v>
      </c>
      <c r="F215">
        <v>0</v>
      </c>
      <c r="G215">
        <v>0</v>
      </c>
      <c r="H215">
        <v>0</v>
      </c>
      <c r="I215" t="s">
        <v>45</v>
      </c>
    </row>
    <row r="216" spans="1:9">
      <c r="A216" t="s">
        <v>223</v>
      </c>
      <c r="B216">
        <v>0</v>
      </c>
      <c r="C216">
        <v>0</v>
      </c>
      <c r="D216">
        <v>0</v>
      </c>
      <c r="E216">
        <v>99</v>
      </c>
      <c r="F216">
        <v>0</v>
      </c>
      <c r="G216">
        <v>0</v>
      </c>
      <c r="H216">
        <v>0</v>
      </c>
      <c r="I216" t="s">
        <v>45</v>
      </c>
    </row>
    <row r="217" spans="1:9">
      <c r="A217" t="s">
        <v>224</v>
      </c>
      <c r="B217">
        <v>0</v>
      </c>
      <c r="C217">
        <v>0</v>
      </c>
      <c r="D217">
        <v>0</v>
      </c>
      <c r="E217">
        <v>99</v>
      </c>
      <c r="F217">
        <v>0</v>
      </c>
      <c r="G217">
        <v>0</v>
      </c>
      <c r="H217">
        <v>0</v>
      </c>
      <c r="I217" t="s">
        <v>45</v>
      </c>
    </row>
    <row r="218" spans="1:9">
      <c r="A218" t="s">
        <v>225</v>
      </c>
      <c r="B218">
        <v>0</v>
      </c>
      <c r="C218">
        <v>0</v>
      </c>
      <c r="D218">
        <v>0</v>
      </c>
      <c r="E218">
        <v>99</v>
      </c>
      <c r="F218">
        <v>0</v>
      </c>
      <c r="G218">
        <v>0</v>
      </c>
      <c r="H218">
        <v>0</v>
      </c>
      <c r="I218" t="s">
        <v>45</v>
      </c>
    </row>
    <row r="219" spans="1:9">
      <c r="A219" t="s">
        <v>226</v>
      </c>
      <c r="B219">
        <v>0</v>
      </c>
      <c r="C219">
        <v>0</v>
      </c>
      <c r="D219">
        <v>0</v>
      </c>
      <c r="E219">
        <v>99</v>
      </c>
      <c r="F219">
        <v>0</v>
      </c>
      <c r="G219">
        <v>0</v>
      </c>
      <c r="H219">
        <v>0</v>
      </c>
      <c r="I219" t="s">
        <v>45</v>
      </c>
    </row>
    <row r="220" spans="1:9">
      <c r="A220" t="s">
        <v>227</v>
      </c>
      <c r="B220">
        <v>0</v>
      </c>
      <c r="C220">
        <v>0</v>
      </c>
      <c r="D220">
        <v>0</v>
      </c>
      <c r="E220">
        <v>99</v>
      </c>
      <c r="F220">
        <v>0</v>
      </c>
      <c r="G220">
        <v>0</v>
      </c>
      <c r="H220">
        <v>0</v>
      </c>
      <c r="I220" t="s">
        <v>45</v>
      </c>
    </row>
    <row r="221" spans="1:9">
      <c r="A221" t="s">
        <v>228</v>
      </c>
      <c r="B221">
        <v>0</v>
      </c>
      <c r="C221">
        <v>0</v>
      </c>
      <c r="D221">
        <v>0</v>
      </c>
      <c r="E221">
        <v>99</v>
      </c>
      <c r="F221">
        <v>0</v>
      </c>
      <c r="G221">
        <v>0</v>
      </c>
      <c r="H221">
        <v>0</v>
      </c>
      <c r="I221" t="s">
        <v>45</v>
      </c>
    </row>
    <row r="222" spans="1:9">
      <c r="A222" t="s">
        <v>229</v>
      </c>
      <c r="B222">
        <v>0</v>
      </c>
      <c r="C222">
        <v>0</v>
      </c>
      <c r="D222">
        <v>0</v>
      </c>
      <c r="E222">
        <v>99</v>
      </c>
      <c r="F222">
        <v>0</v>
      </c>
      <c r="G222">
        <v>0</v>
      </c>
      <c r="H222">
        <v>0</v>
      </c>
      <c r="I222" t="s">
        <v>45</v>
      </c>
    </row>
    <row r="223" spans="1:9">
      <c r="A223" t="s">
        <v>230</v>
      </c>
      <c r="B223">
        <v>0</v>
      </c>
      <c r="C223">
        <v>0</v>
      </c>
      <c r="D223">
        <v>0</v>
      </c>
      <c r="E223">
        <v>99</v>
      </c>
      <c r="F223">
        <v>0</v>
      </c>
      <c r="G223">
        <v>0</v>
      </c>
      <c r="H223">
        <v>0</v>
      </c>
      <c r="I223" t="s">
        <v>45</v>
      </c>
    </row>
    <row r="224" spans="1:9">
      <c r="A224" t="s">
        <v>231</v>
      </c>
      <c r="B224">
        <v>0</v>
      </c>
      <c r="C224">
        <v>0</v>
      </c>
      <c r="D224">
        <v>0</v>
      </c>
      <c r="E224">
        <v>99</v>
      </c>
      <c r="F224">
        <v>0</v>
      </c>
      <c r="G224">
        <v>0</v>
      </c>
      <c r="H224">
        <v>0</v>
      </c>
      <c r="I224" t="s">
        <v>45</v>
      </c>
    </row>
    <row r="225" spans="1:9">
      <c r="A225" t="s">
        <v>232</v>
      </c>
      <c r="B225">
        <v>0</v>
      </c>
      <c r="C225">
        <v>0</v>
      </c>
      <c r="D225">
        <v>0</v>
      </c>
      <c r="E225">
        <v>99</v>
      </c>
      <c r="F225">
        <v>0</v>
      </c>
      <c r="G225">
        <v>0</v>
      </c>
      <c r="H225">
        <v>0</v>
      </c>
      <c r="I225" t="s">
        <v>45</v>
      </c>
    </row>
    <row r="226" spans="1:9">
      <c r="A226" t="s">
        <v>233</v>
      </c>
      <c r="B226">
        <v>0</v>
      </c>
      <c r="C226">
        <v>0</v>
      </c>
      <c r="D226">
        <v>0</v>
      </c>
      <c r="E226">
        <v>99</v>
      </c>
      <c r="F226">
        <v>0</v>
      </c>
      <c r="G226">
        <v>0</v>
      </c>
      <c r="H226">
        <v>0</v>
      </c>
      <c r="I226" t="s">
        <v>45</v>
      </c>
    </row>
    <row r="227" spans="1:9">
      <c r="A227" t="s">
        <v>234</v>
      </c>
      <c r="B227">
        <v>0</v>
      </c>
      <c r="C227">
        <v>0</v>
      </c>
      <c r="D227">
        <v>0</v>
      </c>
      <c r="E227">
        <v>99</v>
      </c>
      <c r="F227">
        <v>0</v>
      </c>
      <c r="G227">
        <v>0</v>
      </c>
      <c r="H227">
        <v>0</v>
      </c>
      <c r="I227" t="s">
        <v>45</v>
      </c>
    </row>
    <row r="228" spans="1:9">
      <c r="A228" t="s">
        <v>235</v>
      </c>
      <c r="B228">
        <v>0</v>
      </c>
      <c r="C228">
        <v>0</v>
      </c>
      <c r="D228">
        <v>0</v>
      </c>
      <c r="E228">
        <v>99</v>
      </c>
      <c r="F228">
        <v>0</v>
      </c>
      <c r="G228">
        <v>0</v>
      </c>
      <c r="H228">
        <v>0</v>
      </c>
      <c r="I228" t="s">
        <v>45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B1CD-0917-4D13-AA42-50836DCBE9EF}">
  <sheetPr codeName="Sheet13"/>
  <dimension ref="A1:EZ228"/>
  <sheetViews>
    <sheetView topLeftCell="A85" workbookViewId="0"/>
  </sheetViews>
  <sheetFormatPr defaultRowHeight="12.5"/>
  <sheetData>
    <row r="1" spans="1:7">
      <c r="A1" t="s">
        <v>255</v>
      </c>
      <c r="B1">
        <v>24</v>
      </c>
      <c r="C1" t="s">
        <v>245</v>
      </c>
      <c r="D1" t="s">
        <v>83</v>
      </c>
      <c r="E1" t="s">
        <v>263</v>
      </c>
    </row>
    <row r="2" spans="1:7">
      <c r="A2" t="s">
        <v>79</v>
      </c>
      <c r="B2" t="s">
        <v>87</v>
      </c>
      <c r="C2">
        <v>8</v>
      </c>
    </row>
    <row r="3" spans="1:7">
      <c r="A3" t="s">
        <v>80</v>
      </c>
    </row>
    <row r="4" spans="1:7">
      <c r="A4" t="s">
        <v>264</v>
      </c>
    </row>
    <row r="5" spans="1:7">
      <c r="A5" t="s">
        <v>81</v>
      </c>
      <c r="B5" t="s">
        <v>237</v>
      </c>
      <c r="C5" t="s">
        <v>58</v>
      </c>
      <c r="D5" t="s">
        <v>265</v>
      </c>
    </row>
    <row r="6" spans="1:7">
      <c r="A6" t="s">
        <v>266</v>
      </c>
    </row>
    <row r="7" spans="1:7">
      <c r="A7" t="s">
        <v>82</v>
      </c>
      <c r="B7" t="s">
        <v>92</v>
      </c>
    </row>
    <row r="8" spans="1:7">
      <c r="A8" t="s">
        <v>93</v>
      </c>
      <c r="B8" t="s">
        <v>94</v>
      </c>
    </row>
    <row r="9" spans="1:7">
      <c r="A9" t="s">
        <v>95</v>
      </c>
      <c r="B9" t="s">
        <v>96</v>
      </c>
      <c r="C9" t="s">
        <v>97</v>
      </c>
    </row>
    <row r="10" spans="1:7">
      <c r="A10" t="s">
        <v>267</v>
      </c>
    </row>
    <row r="11" spans="1:7">
      <c r="A11" t="s">
        <v>99</v>
      </c>
    </row>
    <row r="12" spans="1:7">
      <c r="A12" t="s">
        <v>100</v>
      </c>
      <c r="B12" t="s">
        <v>101</v>
      </c>
      <c r="C12" t="s">
        <v>102</v>
      </c>
      <c r="D12" t="s">
        <v>103</v>
      </c>
      <c r="E12" t="s">
        <v>104</v>
      </c>
      <c r="F12" t="s">
        <v>105</v>
      </c>
      <c r="G12" t="s">
        <v>106</v>
      </c>
    </row>
    <row r="13" spans="1:7">
      <c r="A13">
        <v>2</v>
      </c>
      <c r="B13">
        <v>3049780</v>
      </c>
      <c r="C13">
        <v>0.01</v>
      </c>
      <c r="D13">
        <v>0</v>
      </c>
      <c r="E13">
        <v>0.47</v>
      </c>
      <c r="F13">
        <v>812</v>
      </c>
      <c r="G13">
        <v>3052</v>
      </c>
    </row>
    <row r="14" spans="1:7">
      <c r="A14">
        <v>4</v>
      </c>
      <c r="B14">
        <v>5017380</v>
      </c>
      <c r="C14">
        <v>0.02</v>
      </c>
      <c r="D14">
        <v>0</v>
      </c>
      <c r="E14">
        <v>0.68</v>
      </c>
      <c r="F14">
        <v>6497</v>
      </c>
      <c r="G14">
        <v>37959</v>
      </c>
    </row>
    <row r="15" spans="1:7">
      <c r="A15">
        <v>6</v>
      </c>
      <c r="B15">
        <v>6689840</v>
      </c>
      <c r="C15">
        <v>0.03</v>
      </c>
      <c r="D15">
        <v>0</v>
      </c>
      <c r="E15">
        <v>0.98</v>
      </c>
      <c r="F15">
        <v>15104</v>
      </c>
      <c r="G15">
        <v>91543</v>
      </c>
    </row>
    <row r="16" spans="1:7">
      <c r="A16">
        <v>8</v>
      </c>
      <c r="B16">
        <v>12199120</v>
      </c>
      <c r="C16">
        <v>0.05</v>
      </c>
      <c r="D16">
        <v>0</v>
      </c>
      <c r="E16">
        <v>1.6</v>
      </c>
      <c r="F16">
        <v>27889</v>
      </c>
      <c r="G16">
        <v>169756</v>
      </c>
    </row>
    <row r="17" spans="1:7">
      <c r="A17">
        <v>10</v>
      </c>
      <c r="B17">
        <v>19676000</v>
      </c>
      <c r="C17">
        <v>0.08</v>
      </c>
      <c r="D17">
        <v>0</v>
      </c>
      <c r="E17">
        <v>2.98</v>
      </c>
      <c r="F17">
        <v>47567</v>
      </c>
      <c r="G17">
        <v>287288</v>
      </c>
    </row>
    <row r="18" spans="1:7">
      <c r="A18">
        <v>12</v>
      </c>
      <c r="B18">
        <v>36892500</v>
      </c>
      <c r="C18">
        <v>0.15</v>
      </c>
      <c r="D18">
        <v>0</v>
      </c>
      <c r="E18">
        <v>5.12</v>
      </c>
      <c r="F18">
        <v>77396</v>
      </c>
      <c r="G18">
        <v>457291</v>
      </c>
    </row>
    <row r="19" spans="1:7">
      <c r="A19">
        <v>14</v>
      </c>
      <c r="B19">
        <v>60208560</v>
      </c>
      <c r="C19">
        <v>0.24</v>
      </c>
      <c r="D19">
        <v>0</v>
      </c>
      <c r="E19">
        <v>8.2100000000000009</v>
      </c>
      <c r="F19">
        <v>120242</v>
      </c>
      <c r="G19">
        <v>706524</v>
      </c>
    </row>
    <row r="20" spans="1:7">
      <c r="A20">
        <v>16</v>
      </c>
      <c r="B20">
        <v>93559380</v>
      </c>
      <c r="C20">
        <v>0.37</v>
      </c>
      <c r="D20">
        <v>0</v>
      </c>
      <c r="E20">
        <v>12.41</v>
      </c>
      <c r="F20">
        <v>177706</v>
      </c>
      <c r="G20">
        <v>1071030</v>
      </c>
    </row>
    <row r="21" spans="1:7">
      <c r="A21">
        <v>18</v>
      </c>
      <c r="B21">
        <v>130943780</v>
      </c>
      <c r="C21">
        <v>0.52</v>
      </c>
      <c r="D21">
        <v>0</v>
      </c>
      <c r="E21">
        <v>18.13</v>
      </c>
      <c r="F21">
        <v>259145</v>
      </c>
      <c r="G21">
        <v>1612396</v>
      </c>
    </row>
    <row r="22" spans="1:7">
      <c r="A22">
        <v>20</v>
      </c>
      <c r="B22">
        <v>171279580</v>
      </c>
      <c r="C22">
        <v>0.69</v>
      </c>
      <c r="D22">
        <v>0</v>
      </c>
      <c r="E22">
        <v>26.45</v>
      </c>
      <c r="F22">
        <v>377871</v>
      </c>
      <c r="G22">
        <v>2389124</v>
      </c>
    </row>
    <row r="23" spans="1:7">
      <c r="A23">
        <v>22</v>
      </c>
      <c r="B23">
        <v>281858700</v>
      </c>
      <c r="C23">
        <v>1.1299999999999999</v>
      </c>
      <c r="D23">
        <v>0</v>
      </c>
      <c r="E23">
        <v>38.69</v>
      </c>
      <c r="F23">
        <v>548351</v>
      </c>
      <c r="G23">
        <v>3469168</v>
      </c>
    </row>
    <row r="24" spans="1:7">
      <c r="A24">
        <v>24</v>
      </c>
      <c r="B24">
        <v>405620740</v>
      </c>
      <c r="C24">
        <v>1.62</v>
      </c>
      <c r="D24">
        <v>0</v>
      </c>
      <c r="E24">
        <v>56.46</v>
      </c>
      <c r="F24">
        <v>692388</v>
      </c>
      <c r="G24">
        <v>4890999</v>
      </c>
    </row>
    <row r="25" spans="1:7">
      <c r="A25">
        <v>26</v>
      </c>
      <c r="B25">
        <v>610546280</v>
      </c>
      <c r="C25">
        <v>2.44</v>
      </c>
      <c r="D25">
        <v>0</v>
      </c>
      <c r="E25">
        <v>82.38</v>
      </c>
      <c r="F25">
        <v>818288</v>
      </c>
      <c r="G25">
        <v>6460623</v>
      </c>
    </row>
    <row r="26" spans="1:7">
      <c r="A26">
        <v>28</v>
      </c>
      <c r="B26">
        <v>869580820</v>
      </c>
      <c r="C26">
        <v>3.48</v>
      </c>
      <c r="D26">
        <v>0</v>
      </c>
      <c r="E26">
        <v>120.38</v>
      </c>
      <c r="F26">
        <v>952223</v>
      </c>
      <c r="G26">
        <v>8005890</v>
      </c>
    </row>
    <row r="27" spans="1:7">
      <c r="A27">
        <v>30</v>
      </c>
      <c r="B27">
        <v>1276677260</v>
      </c>
      <c r="C27">
        <v>5.1100000000000003</v>
      </c>
      <c r="D27">
        <v>0</v>
      </c>
      <c r="E27">
        <v>175.74</v>
      </c>
      <c r="F27">
        <v>1094891</v>
      </c>
      <c r="G27">
        <v>9614992</v>
      </c>
    </row>
    <row r="28" spans="1:7">
      <c r="A28">
        <v>32</v>
      </c>
      <c r="B28">
        <v>1777431460</v>
      </c>
      <c r="C28">
        <v>7.11</v>
      </c>
      <c r="D28">
        <v>0</v>
      </c>
      <c r="E28">
        <v>255.21</v>
      </c>
      <c r="F28">
        <v>1248262</v>
      </c>
      <c r="G28">
        <v>11335730</v>
      </c>
    </row>
    <row r="29" spans="1:7">
      <c r="A29">
        <v>34</v>
      </c>
      <c r="B29">
        <v>2748146920</v>
      </c>
      <c r="C29">
        <v>10.99</v>
      </c>
      <c r="D29">
        <v>0</v>
      </c>
      <c r="E29">
        <v>364.78</v>
      </c>
      <c r="F29">
        <v>1428552</v>
      </c>
      <c r="G29">
        <v>13215619</v>
      </c>
    </row>
    <row r="30" spans="1:7">
      <c r="A30">
        <v>36</v>
      </c>
      <c r="B30">
        <v>3750245600</v>
      </c>
      <c r="C30">
        <v>15</v>
      </c>
      <c r="D30">
        <v>0</v>
      </c>
      <c r="E30">
        <v>502.42</v>
      </c>
      <c r="F30">
        <v>1650204</v>
      </c>
      <c r="G30">
        <v>15308358</v>
      </c>
    </row>
    <row r="31" spans="1:7">
      <c r="A31">
        <v>38</v>
      </c>
      <c r="B31">
        <v>4460844340</v>
      </c>
      <c r="C31">
        <v>17.84</v>
      </c>
      <c r="D31">
        <v>0</v>
      </c>
      <c r="E31">
        <v>674.8</v>
      </c>
      <c r="F31">
        <v>1912742</v>
      </c>
      <c r="G31">
        <v>17667331</v>
      </c>
    </row>
    <row r="32" spans="1:7">
      <c r="A32">
        <v>40</v>
      </c>
      <c r="B32">
        <v>5559257040</v>
      </c>
      <c r="C32">
        <v>22.24</v>
      </c>
      <c r="D32">
        <v>0</v>
      </c>
      <c r="E32">
        <v>798.5</v>
      </c>
      <c r="F32">
        <v>2208868</v>
      </c>
      <c r="G32">
        <v>20258730</v>
      </c>
    </row>
    <row r="33" spans="1:7">
      <c r="A33">
        <v>42</v>
      </c>
      <c r="B33">
        <v>5201252220</v>
      </c>
      <c r="C33">
        <v>20.81</v>
      </c>
      <c r="D33">
        <v>0</v>
      </c>
      <c r="E33">
        <v>798.5</v>
      </c>
      <c r="F33">
        <v>2514716</v>
      </c>
      <c r="G33">
        <v>22876857</v>
      </c>
    </row>
    <row r="34" spans="1:7">
      <c r="A34">
        <v>44</v>
      </c>
      <c r="B34">
        <v>3729192280</v>
      </c>
      <c r="C34">
        <v>14.92</v>
      </c>
      <c r="D34">
        <v>26</v>
      </c>
      <c r="E34">
        <v>574.08000000000004</v>
      </c>
      <c r="F34">
        <v>2810341</v>
      </c>
      <c r="G34">
        <v>24832706</v>
      </c>
    </row>
    <row r="35" spans="1:7">
      <c r="A35">
        <v>46</v>
      </c>
      <c r="B35">
        <v>4812552840</v>
      </c>
      <c r="C35">
        <v>19.25</v>
      </c>
      <c r="D35">
        <v>0</v>
      </c>
      <c r="E35">
        <v>609.14</v>
      </c>
      <c r="F35">
        <v>3173556</v>
      </c>
      <c r="G35">
        <v>27193841</v>
      </c>
    </row>
    <row r="36" spans="1:7">
      <c r="A36">
        <v>48</v>
      </c>
      <c r="B36">
        <v>4838623540</v>
      </c>
      <c r="C36">
        <v>19.350000000000001</v>
      </c>
      <c r="D36">
        <v>0</v>
      </c>
      <c r="E36">
        <v>638.30999999999995</v>
      </c>
      <c r="F36">
        <v>3547763</v>
      </c>
      <c r="G36">
        <v>29651646</v>
      </c>
    </row>
    <row r="37" spans="1:7">
      <c r="A37">
        <v>50</v>
      </c>
      <c r="B37">
        <v>5104741440</v>
      </c>
      <c r="C37">
        <v>20.420000000000002</v>
      </c>
      <c r="D37">
        <v>0</v>
      </c>
      <c r="E37">
        <v>663.55</v>
      </c>
      <c r="F37">
        <v>3926601</v>
      </c>
      <c r="G37">
        <v>32206919</v>
      </c>
    </row>
    <row r="38" spans="1:7">
      <c r="A38">
        <v>52</v>
      </c>
      <c r="B38">
        <v>5111136140</v>
      </c>
      <c r="C38">
        <v>20.440000000000001</v>
      </c>
      <c r="D38">
        <v>0</v>
      </c>
      <c r="E38">
        <v>683.57</v>
      </c>
      <c r="F38">
        <v>4294521</v>
      </c>
      <c r="G38">
        <v>34784956</v>
      </c>
    </row>
    <row r="39" spans="1:7">
      <c r="A39">
        <v>54</v>
      </c>
      <c r="B39">
        <v>4906407360</v>
      </c>
      <c r="C39">
        <v>19.63</v>
      </c>
      <c r="D39">
        <v>0</v>
      </c>
      <c r="E39">
        <v>691.64</v>
      </c>
      <c r="F39">
        <v>4665058</v>
      </c>
      <c r="G39">
        <v>37379121</v>
      </c>
    </row>
    <row r="40" spans="1:7">
      <c r="A40">
        <v>56</v>
      </c>
      <c r="B40">
        <v>4645503600</v>
      </c>
      <c r="C40">
        <v>18.579999999999998</v>
      </c>
      <c r="D40">
        <v>0</v>
      </c>
      <c r="E40">
        <v>691.64</v>
      </c>
      <c r="F40">
        <v>5029987</v>
      </c>
      <c r="G40">
        <v>39975351</v>
      </c>
    </row>
    <row r="41" spans="1:7">
      <c r="A41">
        <v>58</v>
      </c>
      <c r="B41">
        <v>4913490720</v>
      </c>
      <c r="C41">
        <v>19.649999999999999</v>
      </c>
      <c r="D41">
        <v>0</v>
      </c>
      <c r="E41">
        <v>691.64</v>
      </c>
      <c r="F41">
        <v>5395930</v>
      </c>
      <c r="G41">
        <v>42575109</v>
      </c>
    </row>
    <row r="42" spans="1:7">
      <c r="A42">
        <v>60</v>
      </c>
      <c r="B42">
        <v>4456417240</v>
      </c>
      <c r="C42">
        <v>17.829999999999998</v>
      </c>
      <c r="D42">
        <v>0</v>
      </c>
      <c r="E42">
        <v>691.64</v>
      </c>
      <c r="F42">
        <v>5757337</v>
      </c>
      <c r="G42">
        <v>45179095</v>
      </c>
    </row>
    <row r="43" spans="1:7">
      <c r="A43">
        <v>62</v>
      </c>
      <c r="B43">
        <v>4941430640</v>
      </c>
      <c r="C43">
        <v>19.77</v>
      </c>
      <c r="D43">
        <v>0</v>
      </c>
      <c r="E43">
        <v>706.07</v>
      </c>
      <c r="F43">
        <v>6119511</v>
      </c>
      <c r="G43">
        <v>47786679</v>
      </c>
    </row>
    <row r="44" spans="1:7">
      <c r="A44">
        <v>64</v>
      </c>
      <c r="B44">
        <v>4443332700</v>
      </c>
      <c r="C44">
        <v>17.77</v>
      </c>
      <c r="D44">
        <v>175</v>
      </c>
      <c r="E44">
        <v>506.32</v>
      </c>
      <c r="F44">
        <v>6449366</v>
      </c>
      <c r="G44">
        <v>49976507</v>
      </c>
    </row>
    <row r="45" spans="1:7">
      <c r="A45">
        <v>66</v>
      </c>
      <c r="B45">
        <v>4180362960</v>
      </c>
      <c r="C45">
        <v>16.72</v>
      </c>
      <c r="D45">
        <v>0</v>
      </c>
      <c r="E45">
        <v>526.14</v>
      </c>
      <c r="F45">
        <v>6754503</v>
      </c>
      <c r="G45">
        <v>52030686</v>
      </c>
    </row>
    <row r="46" spans="1:7">
      <c r="A46">
        <v>68</v>
      </c>
      <c r="B46">
        <v>4129697260</v>
      </c>
      <c r="C46">
        <v>16.52</v>
      </c>
      <c r="D46">
        <v>0</v>
      </c>
      <c r="E46">
        <v>543.39</v>
      </c>
      <c r="F46">
        <v>7103488</v>
      </c>
      <c r="G46">
        <v>54205523</v>
      </c>
    </row>
    <row r="47" spans="1:7">
      <c r="A47">
        <v>70</v>
      </c>
      <c r="B47">
        <v>4381451680</v>
      </c>
      <c r="C47">
        <v>17.53</v>
      </c>
      <c r="D47">
        <v>0</v>
      </c>
      <c r="E47">
        <v>557.96</v>
      </c>
      <c r="F47">
        <v>7451470</v>
      </c>
      <c r="G47">
        <v>56415402</v>
      </c>
    </row>
    <row r="48" spans="1:7">
      <c r="A48">
        <v>72</v>
      </c>
      <c r="B48">
        <v>4291729120</v>
      </c>
      <c r="C48">
        <v>17.170000000000002</v>
      </c>
      <c r="D48">
        <v>0</v>
      </c>
      <c r="E48">
        <v>570.39</v>
      </c>
      <c r="F48">
        <v>7797888</v>
      </c>
      <c r="G48">
        <v>58680931</v>
      </c>
    </row>
    <row r="49" spans="1:7">
      <c r="A49">
        <v>74</v>
      </c>
      <c r="B49">
        <v>4413326800</v>
      </c>
      <c r="C49">
        <v>17.649999999999999</v>
      </c>
      <c r="D49">
        <v>0</v>
      </c>
      <c r="E49">
        <v>580.83000000000004</v>
      </c>
      <c r="F49">
        <v>8144039</v>
      </c>
      <c r="G49">
        <v>61000794</v>
      </c>
    </row>
    <row r="50" spans="1:7">
      <c r="A50">
        <v>76</v>
      </c>
      <c r="B50">
        <v>4686331300</v>
      </c>
      <c r="C50">
        <v>18.75</v>
      </c>
      <c r="D50">
        <v>0</v>
      </c>
      <c r="E50">
        <v>589.58000000000004</v>
      </c>
      <c r="F50">
        <v>8497197</v>
      </c>
      <c r="G50">
        <v>63367522</v>
      </c>
    </row>
    <row r="51" spans="1:7">
      <c r="A51">
        <v>78</v>
      </c>
      <c r="B51">
        <v>4338656380</v>
      </c>
      <c r="C51">
        <v>17.350000000000001</v>
      </c>
      <c r="D51">
        <v>0</v>
      </c>
      <c r="E51">
        <v>596.59</v>
      </c>
      <c r="F51">
        <v>8849988</v>
      </c>
      <c r="G51">
        <v>65752464</v>
      </c>
    </row>
    <row r="52" spans="1:7">
      <c r="A52">
        <v>80</v>
      </c>
      <c r="B52">
        <v>4547418740</v>
      </c>
      <c r="C52">
        <v>18.190000000000001</v>
      </c>
      <c r="D52">
        <v>0</v>
      </c>
      <c r="E52">
        <v>602.14</v>
      </c>
      <c r="F52">
        <v>9203470</v>
      </c>
      <c r="G52">
        <v>68165749</v>
      </c>
    </row>
    <row r="53" spans="1:7">
      <c r="A53">
        <v>82</v>
      </c>
      <c r="B53">
        <v>4916146980</v>
      </c>
      <c r="C53">
        <v>19.670000000000002</v>
      </c>
      <c r="D53">
        <v>0</v>
      </c>
      <c r="E53">
        <v>606.4</v>
      </c>
      <c r="F53">
        <v>9561641</v>
      </c>
      <c r="G53">
        <v>70606467</v>
      </c>
    </row>
    <row r="54" spans="1:7">
      <c r="A54">
        <v>84</v>
      </c>
      <c r="B54">
        <v>4856135180</v>
      </c>
      <c r="C54">
        <v>19.420000000000002</v>
      </c>
      <c r="D54">
        <v>0</v>
      </c>
      <c r="E54">
        <v>609.54999999999995</v>
      </c>
      <c r="F54">
        <v>9922570</v>
      </c>
      <c r="G54">
        <v>73060256</v>
      </c>
    </row>
    <row r="55" spans="1:7">
      <c r="A55">
        <v>86</v>
      </c>
      <c r="B55">
        <v>4468321220</v>
      </c>
      <c r="C55">
        <v>17.87</v>
      </c>
      <c r="D55">
        <v>0</v>
      </c>
      <c r="E55">
        <v>611.74</v>
      </c>
      <c r="F55">
        <v>10283410</v>
      </c>
      <c r="G55">
        <v>75517730</v>
      </c>
    </row>
    <row r="56" spans="1:7">
      <c r="A56">
        <v>88</v>
      </c>
      <c r="B56">
        <v>4957860100</v>
      </c>
      <c r="C56">
        <v>19.829999999999998</v>
      </c>
      <c r="D56">
        <v>0</v>
      </c>
      <c r="E56">
        <v>613.14</v>
      </c>
      <c r="F56">
        <v>10651584</v>
      </c>
      <c r="G56">
        <v>77981212</v>
      </c>
    </row>
    <row r="57" spans="1:7">
      <c r="A57">
        <v>90</v>
      </c>
      <c r="B57">
        <v>4814717200</v>
      </c>
      <c r="C57">
        <v>19.260000000000002</v>
      </c>
      <c r="D57">
        <v>0</v>
      </c>
      <c r="E57">
        <v>613.95000000000005</v>
      </c>
      <c r="F57">
        <v>11026348</v>
      </c>
      <c r="G57">
        <v>80461431</v>
      </c>
    </row>
    <row r="58" spans="1:7">
      <c r="A58">
        <v>92</v>
      </c>
      <c r="B58">
        <v>4562274120</v>
      </c>
      <c r="C58">
        <v>18.25</v>
      </c>
      <c r="D58">
        <v>0</v>
      </c>
      <c r="E58">
        <v>614.32000000000005</v>
      </c>
      <c r="F58">
        <v>11399445</v>
      </c>
      <c r="G58">
        <v>82942728</v>
      </c>
    </row>
    <row r="59" spans="1:7">
      <c r="A59">
        <v>94</v>
      </c>
      <c r="B59">
        <v>4636747780</v>
      </c>
      <c r="C59">
        <v>18.55</v>
      </c>
      <c r="D59">
        <v>0</v>
      </c>
      <c r="E59">
        <v>614.41</v>
      </c>
      <c r="F59">
        <v>11772170</v>
      </c>
      <c r="G59">
        <v>85428862</v>
      </c>
    </row>
    <row r="60" spans="1:7">
      <c r="A60">
        <v>96</v>
      </c>
      <c r="B60">
        <v>4773987880</v>
      </c>
      <c r="C60">
        <v>19.100000000000001</v>
      </c>
      <c r="D60">
        <v>0</v>
      </c>
      <c r="E60">
        <v>614.41</v>
      </c>
      <c r="F60">
        <v>12145930</v>
      </c>
      <c r="G60">
        <v>87907940</v>
      </c>
    </row>
    <row r="61" spans="1:7">
      <c r="A61">
        <v>98</v>
      </c>
      <c r="B61">
        <v>5006263060</v>
      </c>
      <c r="C61">
        <v>20.03</v>
      </c>
      <c r="D61">
        <v>0</v>
      </c>
      <c r="E61">
        <v>614.5</v>
      </c>
      <c r="F61">
        <v>12523800</v>
      </c>
      <c r="G61">
        <v>90394963</v>
      </c>
    </row>
    <row r="62" spans="1:7">
      <c r="A62">
        <v>100</v>
      </c>
      <c r="B62">
        <v>4554108580</v>
      </c>
      <c r="C62">
        <v>18.22</v>
      </c>
      <c r="D62">
        <v>0</v>
      </c>
      <c r="E62">
        <v>614.84</v>
      </c>
      <c r="F62">
        <v>12897657</v>
      </c>
      <c r="G62">
        <v>92882665</v>
      </c>
    </row>
    <row r="63" spans="1:7">
      <c r="A63">
        <v>102</v>
      </c>
      <c r="B63">
        <v>5007246860</v>
      </c>
      <c r="C63">
        <v>20.03</v>
      </c>
      <c r="D63">
        <v>0</v>
      </c>
      <c r="E63">
        <v>615.6</v>
      </c>
      <c r="F63">
        <v>13271157</v>
      </c>
      <c r="G63">
        <v>95372635</v>
      </c>
    </row>
    <row r="64" spans="1:7">
      <c r="A64">
        <v>104</v>
      </c>
      <c r="B64">
        <v>4594837900</v>
      </c>
      <c r="C64">
        <v>18.38</v>
      </c>
      <c r="D64">
        <v>0</v>
      </c>
      <c r="E64">
        <v>616.96</v>
      </c>
      <c r="F64">
        <v>13639984</v>
      </c>
      <c r="G64">
        <v>97861793</v>
      </c>
    </row>
    <row r="65" spans="1:7">
      <c r="A65">
        <v>106</v>
      </c>
      <c r="B65">
        <v>4978913420</v>
      </c>
      <c r="C65">
        <v>19.920000000000002</v>
      </c>
      <c r="D65">
        <v>0</v>
      </c>
      <c r="E65">
        <v>619.09</v>
      </c>
      <c r="F65">
        <v>14007342</v>
      </c>
      <c r="G65">
        <v>100357720</v>
      </c>
    </row>
    <row r="66" spans="1:7">
      <c r="A66">
        <v>108</v>
      </c>
      <c r="B66">
        <v>4785203200</v>
      </c>
      <c r="C66">
        <v>19.14</v>
      </c>
      <c r="D66">
        <v>0</v>
      </c>
      <c r="E66">
        <v>622.15</v>
      </c>
      <c r="F66">
        <v>14376989</v>
      </c>
      <c r="G66">
        <v>102858302</v>
      </c>
    </row>
    <row r="67" spans="1:7">
      <c r="A67">
        <v>110</v>
      </c>
      <c r="B67">
        <v>4520954520</v>
      </c>
      <c r="C67">
        <v>18.079999999999998</v>
      </c>
      <c r="D67">
        <v>0</v>
      </c>
      <c r="E67">
        <v>626.34</v>
      </c>
      <c r="F67">
        <v>14746424</v>
      </c>
      <c r="G67">
        <v>105367228</v>
      </c>
    </row>
    <row r="68" spans="1:7">
      <c r="A68">
        <v>112</v>
      </c>
      <c r="B68">
        <v>5141043660</v>
      </c>
      <c r="C68">
        <v>20.56</v>
      </c>
      <c r="D68">
        <v>0</v>
      </c>
      <c r="E68">
        <v>631.80999999999995</v>
      </c>
      <c r="F68">
        <v>15115036</v>
      </c>
      <c r="G68">
        <v>107888439</v>
      </c>
    </row>
    <row r="69" spans="1:7">
      <c r="A69">
        <v>114</v>
      </c>
      <c r="B69">
        <v>4301665500</v>
      </c>
      <c r="C69">
        <v>17.21</v>
      </c>
      <c r="D69">
        <v>0</v>
      </c>
      <c r="E69">
        <v>638.71</v>
      </c>
      <c r="F69">
        <v>15485510</v>
      </c>
      <c r="G69">
        <v>110424560</v>
      </c>
    </row>
    <row r="70" spans="1:7">
      <c r="A70">
        <v>116</v>
      </c>
      <c r="B70">
        <v>5216402740</v>
      </c>
      <c r="C70">
        <v>20.87</v>
      </c>
      <c r="D70">
        <v>0</v>
      </c>
      <c r="E70">
        <v>647.25</v>
      </c>
      <c r="F70">
        <v>15860466</v>
      </c>
      <c r="G70">
        <v>112972210</v>
      </c>
    </row>
    <row r="71" spans="1:7">
      <c r="A71">
        <v>118</v>
      </c>
      <c r="B71">
        <v>4597100640</v>
      </c>
      <c r="C71">
        <v>18.39</v>
      </c>
      <c r="D71">
        <v>0</v>
      </c>
      <c r="E71">
        <v>657.59</v>
      </c>
      <c r="F71">
        <v>16239143</v>
      </c>
      <c r="G71">
        <v>115536541</v>
      </c>
    </row>
    <row r="72" spans="1:7">
      <c r="A72">
        <v>120</v>
      </c>
      <c r="B72">
        <v>5574702700</v>
      </c>
      <c r="C72">
        <v>22.3</v>
      </c>
      <c r="D72">
        <v>0</v>
      </c>
      <c r="E72">
        <v>667.48</v>
      </c>
      <c r="F72">
        <v>16613415</v>
      </c>
      <c r="G72">
        <v>118115383</v>
      </c>
    </row>
    <row r="73" spans="1:7">
      <c r="A73">
        <v>122</v>
      </c>
      <c r="B73">
        <v>4863808820</v>
      </c>
      <c r="C73">
        <v>19.46</v>
      </c>
      <c r="D73">
        <v>0</v>
      </c>
      <c r="E73">
        <v>679.4</v>
      </c>
      <c r="F73">
        <v>16986105</v>
      </c>
      <c r="G73">
        <v>120700546</v>
      </c>
    </row>
    <row r="74" spans="1:7">
      <c r="A74">
        <v>124</v>
      </c>
      <c r="B74">
        <v>4683478280</v>
      </c>
      <c r="C74">
        <v>18.73</v>
      </c>
      <c r="D74">
        <v>0</v>
      </c>
      <c r="E74">
        <v>694.58</v>
      </c>
      <c r="F74">
        <v>17354354</v>
      </c>
      <c r="G74">
        <v>123289930</v>
      </c>
    </row>
    <row r="75" spans="1:7">
      <c r="A75">
        <v>126</v>
      </c>
      <c r="B75">
        <v>5058306080</v>
      </c>
      <c r="C75">
        <v>20.23</v>
      </c>
      <c r="D75">
        <v>0</v>
      </c>
      <c r="E75">
        <v>698.5</v>
      </c>
      <c r="F75">
        <v>17717007</v>
      </c>
      <c r="G75">
        <v>125884389</v>
      </c>
    </row>
    <row r="76" spans="1:7">
      <c r="A76">
        <v>128</v>
      </c>
      <c r="B76">
        <v>5089295780</v>
      </c>
      <c r="C76">
        <v>20.36</v>
      </c>
      <c r="D76">
        <v>0</v>
      </c>
      <c r="E76">
        <v>731.84</v>
      </c>
      <c r="F76">
        <v>18069405</v>
      </c>
      <c r="G76">
        <v>128492001</v>
      </c>
    </row>
    <row r="77" spans="1:7">
      <c r="A77">
        <v>130</v>
      </c>
      <c r="B77">
        <v>4711811720</v>
      </c>
      <c r="C77">
        <v>18.850000000000001</v>
      </c>
      <c r="D77">
        <v>0</v>
      </c>
      <c r="E77">
        <v>731.84</v>
      </c>
      <c r="F77">
        <v>18426934</v>
      </c>
      <c r="G77">
        <v>131099928</v>
      </c>
    </row>
    <row r="78" spans="1:7">
      <c r="A78">
        <v>132</v>
      </c>
      <c r="B78">
        <v>3668786960</v>
      </c>
      <c r="C78">
        <v>14.68</v>
      </c>
      <c r="D78">
        <v>392</v>
      </c>
      <c r="E78">
        <v>525.27</v>
      </c>
      <c r="F78">
        <v>18698752</v>
      </c>
      <c r="G78">
        <v>132839742</v>
      </c>
    </row>
    <row r="79" spans="1:7">
      <c r="A79">
        <v>134</v>
      </c>
      <c r="B79">
        <v>4348986280</v>
      </c>
      <c r="C79">
        <v>17.399999999999999</v>
      </c>
      <c r="D79">
        <v>0</v>
      </c>
      <c r="E79">
        <v>559.75</v>
      </c>
      <c r="F79">
        <v>19046953</v>
      </c>
      <c r="G79">
        <v>134996036</v>
      </c>
    </row>
    <row r="80" spans="1:7">
      <c r="A80">
        <v>136</v>
      </c>
      <c r="B80">
        <v>4034465420</v>
      </c>
      <c r="C80">
        <v>16.14</v>
      </c>
      <c r="D80">
        <v>0</v>
      </c>
      <c r="E80">
        <v>586.62</v>
      </c>
      <c r="F80">
        <v>19395519</v>
      </c>
      <c r="G80">
        <v>137248699</v>
      </c>
    </row>
    <row r="81" spans="1:7">
      <c r="A81">
        <v>138</v>
      </c>
      <c r="B81">
        <v>4545647900</v>
      </c>
      <c r="C81">
        <v>18.18</v>
      </c>
      <c r="D81">
        <v>0</v>
      </c>
      <c r="E81">
        <v>610.79</v>
      </c>
      <c r="F81">
        <v>19747182</v>
      </c>
      <c r="G81">
        <v>139588113</v>
      </c>
    </row>
    <row r="82" spans="1:7">
      <c r="A82">
        <v>140</v>
      </c>
      <c r="B82">
        <v>5058207700</v>
      </c>
      <c r="C82">
        <v>20.23</v>
      </c>
      <c r="D82">
        <v>0</v>
      </c>
      <c r="E82">
        <v>631.83000000000004</v>
      </c>
      <c r="F82">
        <v>20107103</v>
      </c>
      <c r="G82">
        <v>142016770</v>
      </c>
    </row>
    <row r="83" spans="1:7">
      <c r="A83">
        <v>142</v>
      </c>
      <c r="B83">
        <v>5279956220</v>
      </c>
      <c r="C83">
        <v>21.12</v>
      </c>
      <c r="D83">
        <v>0</v>
      </c>
      <c r="E83">
        <v>650.47</v>
      </c>
      <c r="F83">
        <v>20478961</v>
      </c>
      <c r="G83">
        <v>144528615</v>
      </c>
    </row>
    <row r="84" spans="1:7">
      <c r="A84">
        <v>144</v>
      </c>
      <c r="B84">
        <v>4942020920</v>
      </c>
      <c r="C84">
        <v>19.77</v>
      </c>
      <c r="D84">
        <v>0</v>
      </c>
      <c r="E84">
        <v>666.38</v>
      </c>
      <c r="F84">
        <v>20852494</v>
      </c>
      <c r="G84">
        <v>147084147</v>
      </c>
    </row>
    <row r="85" spans="1:7">
      <c r="A85">
        <v>146</v>
      </c>
      <c r="B85">
        <v>4892240640</v>
      </c>
      <c r="C85">
        <v>19.57</v>
      </c>
      <c r="D85">
        <v>0</v>
      </c>
      <c r="E85">
        <v>673.56</v>
      </c>
      <c r="F85">
        <v>21222682</v>
      </c>
      <c r="G85">
        <v>149660343</v>
      </c>
    </row>
    <row r="86" spans="1:7">
      <c r="A86">
        <v>148</v>
      </c>
      <c r="B86">
        <v>5325801300</v>
      </c>
      <c r="C86">
        <v>21.3</v>
      </c>
      <c r="D86">
        <v>0</v>
      </c>
      <c r="E86">
        <v>687.13</v>
      </c>
      <c r="F86">
        <v>21594521</v>
      </c>
      <c r="G86">
        <v>152251148</v>
      </c>
    </row>
    <row r="87" spans="1:7">
      <c r="A87">
        <v>150</v>
      </c>
      <c r="B87">
        <v>5075719340</v>
      </c>
      <c r="C87">
        <v>20.3</v>
      </c>
      <c r="D87">
        <v>0</v>
      </c>
      <c r="E87">
        <v>692.86</v>
      </c>
      <c r="F87">
        <v>21955911</v>
      </c>
      <c r="G87">
        <v>154845922</v>
      </c>
    </row>
    <row r="88" spans="1:7">
      <c r="A88">
        <v>152</v>
      </c>
      <c r="B88">
        <v>4868334300</v>
      </c>
      <c r="C88">
        <v>19.47</v>
      </c>
      <c r="D88">
        <v>0</v>
      </c>
      <c r="E88">
        <v>704.78</v>
      </c>
      <c r="F88">
        <v>22314648</v>
      </c>
      <c r="G88">
        <v>157453555</v>
      </c>
    </row>
    <row r="89" spans="1:7">
      <c r="A89">
        <v>154</v>
      </c>
      <c r="B89">
        <v>4798582880</v>
      </c>
      <c r="C89">
        <v>19.190000000000001</v>
      </c>
      <c r="D89">
        <v>0</v>
      </c>
      <c r="E89">
        <v>704.78</v>
      </c>
      <c r="F89">
        <v>22675079</v>
      </c>
      <c r="G89">
        <v>160055427</v>
      </c>
    </row>
    <row r="90" spans="1:7">
      <c r="A90">
        <v>156</v>
      </c>
      <c r="B90">
        <v>4301665500</v>
      </c>
      <c r="C90">
        <v>17.21</v>
      </c>
      <c r="D90">
        <v>0</v>
      </c>
      <c r="E90">
        <v>704.78</v>
      </c>
      <c r="F90">
        <v>23034915</v>
      </c>
      <c r="G90">
        <v>162654709</v>
      </c>
    </row>
    <row r="91" spans="1:7">
      <c r="A91">
        <v>158</v>
      </c>
      <c r="B91">
        <v>4837541360</v>
      </c>
      <c r="C91">
        <v>19.350000000000001</v>
      </c>
      <c r="D91">
        <v>0</v>
      </c>
      <c r="E91">
        <v>704.78</v>
      </c>
      <c r="F91">
        <v>23395427</v>
      </c>
      <c r="G91">
        <v>165254453</v>
      </c>
    </row>
    <row r="92" spans="1:7">
      <c r="A92">
        <v>160</v>
      </c>
      <c r="B92">
        <v>4749491260</v>
      </c>
      <c r="C92">
        <v>19</v>
      </c>
      <c r="D92">
        <v>0</v>
      </c>
      <c r="E92">
        <v>704.78</v>
      </c>
      <c r="F92">
        <v>23754374</v>
      </c>
      <c r="G92">
        <v>167857676</v>
      </c>
    </row>
    <row r="93" spans="1:7">
      <c r="A93">
        <v>162</v>
      </c>
      <c r="B93">
        <v>4763264460</v>
      </c>
      <c r="C93">
        <v>19.05</v>
      </c>
      <c r="D93">
        <v>0</v>
      </c>
      <c r="E93">
        <v>704.78</v>
      </c>
      <c r="F93">
        <v>24111135</v>
      </c>
      <c r="G93">
        <v>170458701</v>
      </c>
    </row>
    <row r="94" spans="1:7">
      <c r="A94">
        <v>164</v>
      </c>
      <c r="B94">
        <v>4879057720</v>
      </c>
      <c r="C94">
        <v>19.52</v>
      </c>
      <c r="D94">
        <v>0</v>
      </c>
      <c r="E94">
        <v>704.78</v>
      </c>
      <c r="F94">
        <v>24468219</v>
      </c>
      <c r="G94">
        <v>173062001</v>
      </c>
    </row>
    <row r="95" spans="1:7">
      <c r="A95">
        <v>166</v>
      </c>
      <c r="B95">
        <v>3559781920</v>
      </c>
      <c r="C95">
        <v>14.24</v>
      </c>
      <c r="D95">
        <v>6461</v>
      </c>
      <c r="E95">
        <v>501.24</v>
      </c>
      <c r="F95">
        <v>24715332</v>
      </c>
      <c r="G95">
        <v>174760840</v>
      </c>
    </row>
    <row r="96" spans="1:7">
      <c r="A96">
        <v>168</v>
      </c>
      <c r="B96">
        <v>4080999160</v>
      </c>
      <c r="C96">
        <v>16.32</v>
      </c>
      <c r="D96">
        <v>0</v>
      </c>
      <c r="E96">
        <v>520.78</v>
      </c>
      <c r="F96">
        <v>25051383</v>
      </c>
      <c r="G96">
        <v>176796132</v>
      </c>
    </row>
    <row r="97" spans="1:7">
      <c r="A97">
        <v>170</v>
      </c>
      <c r="B97">
        <v>4298418960</v>
      </c>
      <c r="C97">
        <v>17.190000000000001</v>
      </c>
      <c r="D97">
        <v>0</v>
      </c>
      <c r="E97">
        <v>537.61</v>
      </c>
      <c r="F97">
        <v>25391300</v>
      </c>
      <c r="G97">
        <v>178909600</v>
      </c>
    </row>
    <row r="98" spans="1:7">
      <c r="A98">
        <v>172</v>
      </c>
      <c r="B98">
        <v>4187347940</v>
      </c>
      <c r="C98">
        <v>16.75</v>
      </c>
      <c r="D98">
        <v>0</v>
      </c>
      <c r="E98">
        <v>551.98</v>
      </c>
      <c r="F98">
        <v>25737940</v>
      </c>
      <c r="G98">
        <v>181083870</v>
      </c>
    </row>
    <row r="99" spans="1:7">
      <c r="A99">
        <v>174</v>
      </c>
      <c r="B99">
        <v>4329015140</v>
      </c>
      <c r="C99">
        <v>17.32</v>
      </c>
      <c r="D99">
        <v>0</v>
      </c>
      <c r="E99">
        <v>564.16999999999996</v>
      </c>
      <c r="F99">
        <v>26078216</v>
      </c>
      <c r="G99">
        <v>183312257</v>
      </c>
    </row>
    <row r="100" spans="1:7">
      <c r="A100">
        <v>176</v>
      </c>
      <c r="B100">
        <v>4289368000</v>
      </c>
      <c r="C100">
        <v>17.16</v>
      </c>
      <c r="D100">
        <v>0</v>
      </c>
      <c r="E100">
        <v>574.38</v>
      </c>
      <c r="F100">
        <v>26409862</v>
      </c>
      <c r="G100">
        <v>185575581</v>
      </c>
    </row>
    <row r="101" spans="1:7">
      <c r="A101">
        <v>178</v>
      </c>
      <c r="B101">
        <v>4272151500</v>
      </c>
      <c r="C101">
        <v>17.09</v>
      </c>
      <c r="D101">
        <v>0</v>
      </c>
      <c r="E101">
        <v>582.76</v>
      </c>
      <c r="F101">
        <v>26746635</v>
      </c>
      <c r="G101">
        <v>187872512</v>
      </c>
    </row>
    <row r="102" spans="1:7">
      <c r="A102">
        <v>180</v>
      </c>
      <c r="B102">
        <v>4899127240</v>
      </c>
      <c r="C102">
        <v>19.600000000000001</v>
      </c>
      <c r="D102">
        <v>0</v>
      </c>
      <c r="E102">
        <v>589.64</v>
      </c>
      <c r="F102">
        <v>27085794</v>
      </c>
      <c r="G102">
        <v>190199900</v>
      </c>
    </row>
    <row r="103" spans="1:7">
      <c r="A103">
        <v>182</v>
      </c>
      <c r="B103">
        <v>4345641360</v>
      </c>
      <c r="C103">
        <v>17.38</v>
      </c>
      <c r="D103">
        <v>0</v>
      </c>
      <c r="E103">
        <v>594.99</v>
      </c>
      <c r="F103">
        <v>27424117</v>
      </c>
      <c r="G103">
        <v>192562785</v>
      </c>
    </row>
    <row r="104" spans="1:7">
      <c r="A104">
        <v>184</v>
      </c>
      <c r="B104">
        <v>4818554020</v>
      </c>
      <c r="C104">
        <v>19.27</v>
      </c>
      <c r="D104">
        <v>0</v>
      </c>
      <c r="E104">
        <v>599.05999999999995</v>
      </c>
      <c r="F104">
        <v>27761691</v>
      </c>
      <c r="G104">
        <v>194927847</v>
      </c>
    </row>
    <row r="105" spans="1:7">
      <c r="A105">
        <v>186</v>
      </c>
      <c r="B105">
        <v>4263198920</v>
      </c>
      <c r="C105">
        <v>17.05</v>
      </c>
      <c r="D105">
        <v>0</v>
      </c>
      <c r="E105">
        <v>602.08000000000004</v>
      </c>
      <c r="F105">
        <v>28100137</v>
      </c>
      <c r="G105">
        <v>197305635</v>
      </c>
    </row>
    <row r="106" spans="1:7">
      <c r="A106">
        <v>188</v>
      </c>
      <c r="B106">
        <v>4874433860</v>
      </c>
      <c r="C106">
        <v>19.5</v>
      </c>
      <c r="D106">
        <v>0</v>
      </c>
      <c r="E106">
        <v>604.14</v>
      </c>
      <c r="F106">
        <v>28440092</v>
      </c>
      <c r="G106">
        <v>199684025</v>
      </c>
    </row>
    <row r="107" spans="1:7">
      <c r="A107">
        <v>190</v>
      </c>
      <c r="B107">
        <v>4651209640</v>
      </c>
      <c r="C107">
        <v>18.600000000000001</v>
      </c>
      <c r="D107">
        <v>0</v>
      </c>
      <c r="E107">
        <v>605.46</v>
      </c>
      <c r="F107">
        <v>28781851</v>
      </c>
      <c r="G107">
        <v>202073608</v>
      </c>
    </row>
    <row r="108" spans="1:7">
      <c r="A108">
        <v>192</v>
      </c>
      <c r="B108">
        <v>4483373360</v>
      </c>
      <c r="C108">
        <v>17.93</v>
      </c>
      <c r="D108">
        <v>0</v>
      </c>
      <c r="E108">
        <v>606.19000000000005</v>
      </c>
      <c r="F108">
        <v>29128086</v>
      </c>
      <c r="G108">
        <v>204456779</v>
      </c>
    </row>
    <row r="109" spans="1:7">
      <c r="A109">
        <v>194</v>
      </c>
      <c r="B109">
        <v>4917524300</v>
      </c>
      <c r="C109">
        <v>19.670000000000002</v>
      </c>
      <c r="D109">
        <v>0</v>
      </c>
      <c r="E109">
        <v>606.51</v>
      </c>
      <c r="F109">
        <v>29475389</v>
      </c>
      <c r="G109">
        <v>206856351</v>
      </c>
    </row>
    <row r="110" spans="1:7">
      <c r="A110">
        <v>196</v>
      </c>
      <c r="B110">
        <v>4296746500</v>
      </c>
      <c r="C110">
        <v>17.190000000000001</v>
      </c>
      <c r="D110">
        <v>0</v>
      </c>
      <c r="E110">
        <v>606.58000000000004</v>
      </c>
      <c r="F110">
        <v>29823381</v>
      </c>
      <c r="G110">
        <v>209254985</v>
      </c>
    </row>
    <row r="111" spans="1:7">
      <c r="A111">
        <v>198</v>
      </c>
      <c r="B111">
        <v>4802026180</v>
      </c>
      <c r="C111">
        <v>19.21</v>
      </c>
      <c r="D111">
        <v>0</v>
      </c>
      <c r="E111">
        <v>606.59</v>
      </c>
      <c r="F111">
        <v>30172022</v>
      </c>
      <c r="G111">
        <v>211656811</v>
      </c>
    </row>
    <row r="112" spans="1:7">
      <c r="A112">
        <v>200</v>
      </c>
      <c r="B112">
        <v>4580671180</v>
      </c>
      <c r="C112">
        <v>18.32</v>
      </c>
      <c r="D112">
        <v>0</v>
      </c>
      <c r="E112">
        <v>606.70000000000005</v>
      </c>
      <c r="F112">
        <v>30520725</v>
      </c>
      <c r="G112">
        <v>214056581</v>
      </c>
    </row>
    <row r="113" spans="1:7">
      <c r="A113">
        <v>202</v>
      </c>
      <c r="B113">
        <v>4917130780</v>
      </c>
      <c r="C113">
        <v>19.670000000000002</v>
      </c>
      <c r="D113">
        <v>0</v>
      </c>
      <c r="E113">
        <v>607.09</v>
      </c>
      <c r="F113">
        <v>30870445</v>
      </c>
      <c r="G113">
        <v>216461723</v>
      </c>
    </row>
    <row r="114" spans="1:7">
      <c r="A114">
        <v>204</v>
      </c>
      <c r="B114">
        <v>4544368960</v>
      </c>
      <c r="C114">
        <v>18.18</v>
      </c>
      <c r="D114">
        <v>0</v>
      </c>
      <c r="E114">
        <v>607.92999999999995</v>
      </c>
      <c r="F114">
        <v>31218580</v>
      </c>
      <c r="G114">
        <v>218874672</v>
      </c>
    </row>
    <row r="115" spans="1:7">
      <c r="A115">
        <v>206</v>
      </c>
      <c r="B115">
        <v>4770052680</v>
      </c>
      <c r="C115">
        <v>19.079999999999998</v>
      </c>
      <c r="D115">
        <v>0</v>
      </c>
      <c r="E115">
        <v>609.39</v>
      </c>
      <c r="F115">
        <v>31564639</v>
      </c>
      <c r="G115">
        <v>221299815</v>
      </c>
    </row>
    <row r="116" spans="1:7">
      <c r="A116">
        <v>208</v>
      </c>
      <c r="B116">
        <v>4500393100</v>
      </c>
      <c r="C116">
        <v>18</v>
      </c>
      <c r="D116">
        <v>0</v>
      </c>
      <c r="E116">
        <v>611.62</v>
      </c>
      <c r="F116">
        <v>31912398</v>
      </c>
      <c r="G116">
        <v>223715550</v>
      </c>
    </row>
    <row r="117" spans="1:7">
      <c r="A117">
        <v>210</v>
      </c>
      <c r="B117">
        <v>4808420880</v>
      </c>
      <c r="C117">
        <v>19.23</v>
      </c>
      <c r="D117">
        <v>0</v>
      </c>
      <c r="E117">
        <v>614.84</v>
      </c>
      <c r="F117">
        <v>32261114</v>
      </c>
      <c r="G117">
        <v>226142653</v>
      </c>
    </row>
    <row r="118" spans="1:7">
      <c r="A118">
        <v>212</v>
      </c>
      <c r="B118">
        <v>4734045600</v>
      </c>
      <c r="C118">
        <v>18.940000000000001</v>
      </c>
      <c r="D118">
        <v>0</v>
      </c>
      <c r="E118">
        <v>619.16999999999996</v>
      </c>
      <c r="F118">
        <v>32610983</v>
      </c>
      <c r="G118">
        <v>228557443</v>
      </c>
    </row>
    <row r="119" spans="1:7">
      <c r="A119">
        <v>214</v>
      </c>
      <c r="B119">
        <v>4550763660</v>
      </c>
      <c r="C119">
        <v>18.2</v>
      </c>
      <c r="D119">
        <v>0</v>
      </c>
      <c r="E119">
        <v>624.83000000000004</v>
      </c>
      <c r="F119">
        <v>32965248</v>
      </c>
      <c r="G119">
        <v>230995592</v>
      </c>
    </row>
    <row r="120" spans="1:7">
      <c r="A120">
        <v>216</v>
      </c>
      <c r="B120">
        <v>4578408440</v>
      </c>
      <c r="C120">
        <v>18.309999999999999</v>
      </c>
      <c r="D120">
        <v>0</v>
      </c>
      <c r="E120">
        <v>631.98</v>
      </c>
      <c r="F120">
        <v>33316643</v>
      </c>
      <c r="G120">
        <v>233440524</v>
      </c>
    </row>
    <row r="121" spans="1:7">
      <c r="A121">
        <v>218</v>
      </c>
      <c r="B121">
        <v>4832228840</v>
      </c>
      <c r="C121">
        <v>19.329999999999998</v>
      </c>
      <c r="D121">
        <v>0</v>
      </c>
      <c r="E121">
        <v>640.76</v>
      </c>
      <c r="F121">
        <v>33669529</v>
      </c>
      <c r="G121">
        <v>235900037</v>
      </c>
    </row>
    <row r="122" spans="1:7">
      <c r="A122">
        <v>220</v>
      </c>
      <c r="B122">
        <v>5287925000</v>
      </c>
      <c r="C122">
        <v>21.15</v>
      </c>
      <c r="D122">
        <v>0</v>
      </c>
      <c r="E122">
        <v>651.34</v>
      </c>
      <c r="F122">
        <v>34023420</v>
      </c>
      <c r="G122">
        <v>238359508</v>
      </c>
    </row>
    <row r="123" spans="1:7">
      <c r="A123">
        <v>222</v>
      </c>
      <c r="B123">
        <v>4909063620</v>
      </c>
      <c r="C123">
        <v>19.64</v>
      </c>
      <c r="D123">
        <v>0</v>
      </c>
      <c r="E123">
        <v>663.85</v>
      </c>
      <c r="F123">
        <v>34376700</v>
      </c>
      <c r="G123">
        <v>240860188</v>
      </c>
    </row>
    <row r="124" spans="1:7">
      <c r="A124">
        <v>224</v>
      </c>
      <c r="B124">
        <v>5020921680</v>
      </c>
      <c r="C124">
        <v>20.079999999999998</v>
      </c>
      <c r="D124">
        <v>0</v>
      </c>
      <c r="E124">
        <v>678.6</v>
      </c>
      <c r="F124">
        <v>34734895</v>
      </c>
      <c r="G124">
        <v>243382106</v>
      </c>
    </row>
    <row r="125" spans="1:7">
      <c r="A125">
        <v>226</v>
      </c>
      <c r="B125">
        <v>4803108360</v>
      </c>
      <c r="C125">
        <v>19.21</v>
      </c>
      <c r="D125">
        <v>0</v>
      </c>
      <c r="E125">
        <v>691.11</v>
      </c>
      <c r="F125">
        <v>35096430</v>
      </c>
      <c r="G125">
        <v>245934754</v>
      </c>
    </row>
    <row r="126" spans="1:7">
      <c r="A126">
        <v>228</v>
      </c>
      <c r="B126">
        <v>4670688880</v>
      </c>
      <c r="C126">
        <v>18.68</v>
      </c>
      <c r="D126">
        <v>0</v>
      </c>
      <c r="E126">
        <v>705.75</v>
      </c>
      <c r="F126">
        <v>35454474</v>
      </c>
      <c r="G126">
        <v>248508255</v>
      </c>
    </row>
    <row r="127" spans="1:7">
      <c r="A127">
        <v>230</v>
      </c>
      <c r="B127">
        <v>5169081960</v>
      </c>
      <c r="C127">
        <v>20.68</v>
      </c>
      <c r="D127">
        <v>0</v>
      </c>
      <c r="E127">
        <v>710.12</v>
      </c>
      <c r="F127">
        <v>35806403</v>
      </c>
      <c r="G127">
        <v>251090625</v>
      </c>
    </row>
    <row r="128" spans="1:7">
      <c r="A128">
        <v>232</v>
      </c>
      <c r="B128">
        <v>5124122300</v>
      </c>
      <c r="C128">
        <v>20.5</v>
      </c>
      <c r="D128">
        <v>0</v>
      </c>
      <c r="E128">
        <v>737.72</v>
      </c>
      <c r="F128">
        <v>36156604</v>
      </c>
      <c r="G128">
        <v>253684286</v>
      </c>
    </row>
    <row r="129" spans="1:7">
      <c r="A129">
        <v>234</v>
      </c>
      <c r="B129">
        <v>4585098280</v>
      </c>
      <c r="C129">
        <v>18.34</v>
      </c>
      <c r="D129">
        <v>0</v>
      </c>
      <c r="E129">
        <v>737.72</v>
      </c>
      <c r="F129">
        <v>36509966</v>
      </c>
      <c r="G129">
        <v>256287602</v>
      </c>
    </row>
    <row r="130" spans="1:7">
      <c r="A130">
        <v>236</v>
      </c>
      <c r="B130">
        <v>4680428500</v>
      </c>
      <c r="C130">
        <v>18.72</v>
      </c>
      <c r="D130">
        <v>0</v>
      </c>
      <c r="E130">
        <v>737.72</v>
      </c>
      <c r="F130">
        <v>36864742</v>
      </c>
      <c r="G130">
        <v>258891896</v>
      </c>
    </row>
    <row r="131" spans="1:7">
      <c r="A131">
        <v>238</v>
      </c>
      <c r="B131">
        <v>4561880600</v>
      </c>
      <c r="C131">
        <v>18.25</v>
      </c>
      <c r="D131">
        <v>0</v>
      </c>
      <c r="E131">
        <v>737.72</v>
      </c>
      <c r="F131">
        <v>37217666</v>
      </c>
      <c r="G131">
        <v>261504481</v>
      </c>
    </row>
    <row r="132" spans="1:7">
      <c r="A132">
        <v>240</v>
      </c>
      <c r="B132">
        <v>4817275080</v>
      </c>
      <c r="C132">
        <v>19.27</v>
      </c>
      <c r="D132">
        <v>0</v>
      </c>
      <c r="E132">
        <v>737.72</v>
      </c>
      <c r="F132">
        <v>37576232</v>
      </c>
      <c r="G132">
        <v>264123975</v>
      </c>
    </row>
    <row r="133" spans="1:7">
      <c r="A133">
        <v>242</v>
      </c>
      <c r="B133">
        <v>5014035080</v>
      </c>
      <c r="C133">
        <v>20.059999999999999</v>
      </c>
      <c r="D133">
        <v>0</v>
      </c>
      <c r="E133">
        <v>737.72</v>
      </c>
      <c r="F133">
        <v>37933072</v>
      </c>
      <c r="G133">
        <v>266746835</v>
      </c>
    </row>
    <row r="134" spans="1:7">
      <c r="A134">
        <v>244</v>
      </c>
      <c r="B134">
        <v>3849215880</v>
      </c>
      <c r="C134">
        <v>15.4</v>
      </c>
      <c r="D134">
        <v>494</v>
      </c>
      <c r="E134">
        <v>131.11000000000001</v>
      </c>
      <c r="F134">
        <v>38242466</v>
      </c>
      <c r="G134">
        <v>268815313</v>
      </c>
    </row>
    <row r="135" spans="1:7">
      <c r="A135">
        <v>246</v>
      </c>
      <c r="B135">
        <v>4514658200</v>
      </c>
      <c r="C135">
        <v>18.059999999999999</v>
      </c>
      <c r="D135">
        <v>0</v>
      </c>
      <c r="E135">
        <v>635.94000000000005</v>
      </c>
      <c r="F135">
        <v>38571179</v>
      </c>
      <c r="G135">
        <v>271070500</v>
      </c>
    </row>
    <row r="136" spans="1:7">
      <c r="A136">
        <v>248</v>
      </c>
      <c r="B136">
        <v>4858496300</v>
      </c>
      <c r="C136">
        <v>19.43</v>
      </c>
      <c r="D136">
        <v>0</v>
      </c>
      <c r="E136">
        <v>668.18</v>
      </c>
      <c r="F136">
        <v>38927346</v>
      </c>
      <c r="G136">
        <v>273469386</v>
      </c>
    </row>
    <row r="137" spans="1:7">
      <c r="A137">
        <v>250</v>
      </c>
      <c r="B137">
        <v>5523348340</v>
      </c>
      <c r="C137">
        <v>22.09</v>
      </c>
      <c r="D137">
        <v>0</v>
      </c>
      <c r="E137">
        <v>697.02</v>
      </c>
      <c r="F137">
        <v>39281406</v>
      </c>
      <c r="G137">
        <v>275940043</v>
      </c>
    </row>
    <row r="138" spans="1:7">
      <c r="A138">
        <v>252</v>
      </c>
      <c r="B138">
        <v>4747326900</v>
      </c>
      <c r="C138">
        <v>18.989999999999998</v>
      </c>
      <c r="D138">
        <v>0</v>
      </c>
      <c r="E138">
        <v>715.57</v>
      </c>
      <c r="F138">
        <v>39634611</v>
      </c>
      <c r="G138">
        <v>278457313</v>
      </c>
    </row>
    <row r="139" spans="1:7">
      <c r="A139">
        <v>254</v>
      </c>
      <c r="B139">
        <v>5243555620</v>
      </c>
      <c r="C139">
        <v>20.97</v>
      </c>
      <c r="D139">
        <v>0</v>
      </c>
      <c r="E139">
        <v>715.57</v>
      </c>
      <c r="F139">
        <v>39994751</v>
      </c>
      <c r="G139">
        <v>281004683</v>
      </c>
    </row>
    <row r="140" spans="1:7">
      <c r="A140">
        <v>256</v>
      </c>
      <c r="B140">
        <v>5273364760</v>
      </c>
      <c r="C140">
        <v>21.09</v>
      </c>
      <c r="D140">
        <v>0</v>
      </c>
      <c r="E140">
        <v>755.73</v>
      </c>
      <c r="F140">
        <v>40370695</v>
      </c>
      <c r="G140">
        <v>283596713</v>
      </c>
    </row>
    <row r="141" spans="1:7">
      <c r="A141">
        <v>258</v>
      </c>
      <c r="B141">
        <v>5135927900</v>
      </c>
      <c r="C141">
        <v>20.54</v>
      </c>
      <c r="D141">
        <v>0</v>
      </c>
      <c r="E141">
        <v>755.73</v>
      </c>
      <c r="F141">
        <v>40747340</v>
      </c>
      <c r="G141">
        <v>286192894</v>
      </c>
    </row>
    <row r="142" spans="1:7">
      <c r="A142">
        <v>260</v>
      </c>
      <c r="B142">
        <v>4792778460</v>
      </c>
      <c r="C142">
        <v>19.170000000000002</v>
      </c>
      <c r="D142">
        <v>0</v>
      </c>
      <c r="E142">
        <v>755.73</v>
      </c>
      <c r="F142">
        <v>41117066</v>
      </c>
      <c r="G142">
        <v>288790923</v>
      </c>
    </row>
    <row r="143" spans="1:7">
      <c r="A143">
        <v>262</v>
      </c>
      <c r="B143">
        <v>4599560140</v>
      </c>
      <c r="C143">
        <v>18.399999999999999</v>
      </c>
      <c r="D143">
        <v>0</v>
      </c>
      <c r="E143">
        <v>755.73</v>
      </c>
      <c r="F143">
        <v>41484283</v>
      </c>
      <c r="G143">
        <v>291396225</v>
      </c>
    </row>
    <row r="144" spans="1:7">
      <c r="A144">
        <v>264</v>
      </c>
      <c r="B144">
        <v>4675017600</v>
      </c>
      <c r="C144">
        <v>18.7</v>
      </c>
      <c r="D144">
        <v>0</v>
      </c>
      <c r="E144">
        <v>755.73</v>
      </c>
      <c r="F144">
        <v>41852108</v>
      </c>
      <c r="G144">
        <v>294003711</v>
      </c>
    </row>
    <row r="145" spans="1:7">
      <c r="A145">
        <v>266</v>
      </c>
      <c r="B145">
        <v>3819997020</v>
      </c>
      <c r="C145">
        <v>15.28</v>
      </c>
      <c r="D145">
        <v>120</v>
      </c>
      <c r="E145">
        <v>535.92999999999995</v>
      </c>
      <c r="F145">
        <v>42141147</v>
      </c>
      <c r="G145">
        <v>295871651</v>
      </c>
    </row>
    <row r="146" spans="1:7">
      <c r="A146">
        <v>268</v>
      </c>
      <c r="B146">
        <v>4609791660</v>
      </c>
      <c r="C146">
        <v>18.440000000000001</v>
      </c>
      <c r="D146">
        <v>0</v>
      </c>
      <c r="E146">
        <v>555.54999999999995</v>
      </c>
      <c r="F146">
        <v>42488292</v>
      </c>
      <c r="G146">
        <v>297985308</v>
      </c>
    </row>
    <row r="147" spans="1:7">
      <c r="A147">
        <v>270</v>
      </c>
      <c r="B147">
        <v>4283366820</v>
      </c>
      <c r="C147">
        <v>17.13</v>
      </c>
      <c r="D147">
        <v>0</v>
      </c>
      <c r="E147">
        <v>572.20000000000005</v>
      </c>
      <c r="F147">
        <v>42841795</v>
      </c>
      <c r="G147">
        <v>300173732</v>
      </c>
    </row>
    <row r="148" spans="1:7">
      <c r="A148">
        <v>272</v>
      </c>
      <c r="B148">
        <v>4558142160</v>
      </c>
      <c r="C148">
        <v>18.23</v>
      </c>
      <c r="D148">
        <v>0</v>
      </c>
      <c r="E148">
        <v>586.89</v>
      </c>
      <c r="F148">
        <v>43201081</v>
      </c>
      <c r="G148">
        <v>302409182</v>
      </c>
    </row>
    <row r="149" spans="1:7">
      <c r="A149">
        <v>274</v>
      </c>
      <c r="B149">
        <v>4638223480</v>
      </c>
      <c r="C149">
        <v>18.55</v>
      </c>
      <c r="D149">
        <v>0</v>
      </c>
      <c r="E149">
        <v>599.19000000000005</v>
      </c>
      <c r="F149">
        <v>43566729</v>
      </c>
      <c r="G149">
        <v>304698245</v>
      </c>
    </row>
    <row r="150" spans="1:7">
      <c r="A150">
        <v>276</v>
      </c>
      <c r="B150">
        <v>4713189040</v>
      </c>
      <c r="C150">
        <v>18.850000000000001</v>
      </c>
      <c r="D150">
        <v>0</v>
      </c>
      <c r="E150">
        <v>609.53</v>
      </c>
      <c r="F150">
        <v>43929966</v>
      </c>
      <c r="G150">
        <v>307035923</v>
      </c>
    </row>
    <row r="151" spans="1:7">
      <c r="A151">
        <v>278</v>
      </c>
      <c r="B151">
        <v>4302649300</v>
      </c>
      <c r="C151">
        <v>17.21</v>
      </c>
      <c r="D151">
        <v>0</v>
      </c>
      <c r="E151">
        <v>618.08000000000004</v>
      </c>
      <c r="F151">
        <v>44290335</v>
      </c>
      <c r="G151">
        <v>309410092</v>
      </c>
    </row>
    <row r="152" spans="1:7">
      <c r="A152">
        <v>280</v>
      </c>
      <c r="B152">
        <v>4688200520</v>
      </c>
      <c r="C152">
        <v>18.75</v>
      </c>
      <c r="D152">
        <v>0</v>
      </c>
      <c r="E152">
        <v>625.02</v>
      </c>
      <c r="F152">
        <v>44651757</v>
      </c>
      <c r="G152">
        <v>311805352</v>
      </c>
    </row>
    <row r="153" spans="1:7">
      <c r="A153">
        <v>282</v>
      </c>
      <c r="B153">
        <v>5166130560</v>
      </c>
      <c r="C153">
        <v>20.66</v>
      </c>
      <c r="D153">
        <v>0</v>
      </c>
      <c r="E153">
        <v>630.49</v>
      </c>
      <c r="F153">
        <v>45014032</v>
      </c>
      <c r="G153">
        <v>314215998</v>
      </c>
    </row>
    <row r="154" spans="1:7">
      <c r="A154">
        <v>284</v>
      </c>
      <c r="B154">
        <v>5086246000</v>
      </c>
      <c r="C154">
        <v>20.350000000000001</v>
      </c>
      <c r="D154">
        <v>0</v>
      </c>
      <c r="E154">
        <v>634.66</v>
      </c>
      <c r="F154">
        <v>45387841</v>
      </c>
      <c r="G154">
        <v>316655456</v>
      </c>
    </row>
    <row r="155" spans="1:7">
      <c r="A155">
        <v>286</v>
      </c>
      <c r="B155">
        <v>4499114160</v>
      </c>
      <c r="C155">
        <v>18</v>
      </c>
      <c r="D155">
        <v>0</v>
      </c>
      <c r="E155">
        <v>637.74</v>
      </c>
      <c r="F155">
        <v>45760453</v>
      </c>
      <c r="G155">
        <v>319099520</v>
      </c>
    </row>
    <row r="156" spans="1:7">
      <c r="A156">
        <v>288</v>
      </c>
      <c r="B156">
        <v>4954810320</v>
      </c>
      <c r="C156">
        <v>19.82</v>
      </c>
      <c r="D156">
        <v>0</v>
      </c>
      <c r="E156">
        <v>639.87</v>
      </c>
      <c r="F156">
        <v>46134490</v>
      </c>
      <c r="G156">
        <v>321558480</v>
      </c>
    </row>
    <row r="157" spans="1:7">
      <c r="A157">
        <v>290</v>
      </c>
      <c r="B157">
        <v>5214730280</v>
      </c>
      <c r="C157">
        <v>20.86</v>
      </c>
      <c r="D157">
        <v>0</v>
      </c>
      <c r="E157">
        <v>641.23</v>
      </c>
      <c r="F157">
        <v>46512016</v>
      </c>
      <c r="G157">
        <v>324025980</v>
      </c>
    </row>
    <row r="158" spans="1:7">
      <c r="A158">
        <v>292</v>
      </c>
      <c r="B158">
        <v>5036760860</v>
      </c>
      <c r="C158">
        <v>20.149999999999999</v>
      </c>
      <c r="D158">
        <v>0</v>
      </c>
      <c r="E158">
        <v>642.01</v>
      </c>
      <c r="F158">
        <v>46889914</v>
      </c>
      <c r="G158">
        <v>326500018</v>
      </c>
    </row>
    <row r="159" spans="1:7">
      <c r="A159">
        <v>294</v>
      </c>
      <c r="B159">
        <v>4812454460</v>
      </c>
      <c r="C159">
        <v>19.25</v>
      </c>
      <c r="D159">
        <v>0</v>
      </c>
      <c r="E159">
        <v>642.35</v>
      </c>
      <c r="F159">
        <v>47272007</v>
      </c>
      <c r="G159">
        <v>328976310</v>
      </c>
    </row>
    <row r="160" spans="1:7">
      <c r="A160">
        <v>296</v>
      </c>
      <c r="B160">
        <v>5070308440</v>
      </c>
      <c r="C160">
        <v>20.28</v>
      </c>
      <c r="D160">
        <v>0</v>
      </c>
      <c r="E160">
        <v>642.44000000000005</v>
      </c>
      <c r="F160">
        <v>47653805</v>
      </c>
      <c r="G160">
        <v>331454338</v>
      </c>
    </row>
    <row r="161" spans="1:156">
      <c r="A161">
        <v>298</v>
      </c>
      <c r="B161">
        <v>4886731360</v>
      </c>
      <c r="C161">
        <v>19.55</v>
      </c>
      <c r="D161">
        <v>0</v>
      </c>
      <c r="E161">
        <v>642.44000000000005</v>
      </c>
      <c r="F161">
        <v>48032731</v>
      </c>
      <c r="G161">
        <v>333922776</v>
      </c>
    </row>
    <row r="162" spans="1:156">
      <c r="A162" t="s">
        <v>107</v>
      </c>
      <c r="B162" t="s">
        <v>45</v>
      </c>
    </row>
    <row r="163" spans="1:156">
      <c r="A163" t="s">
        <v>108</v>
      </c>
      <c r="B163" t="s">
        <v>109</v>
      </c>
      <c r="C163" t="s">
        <v>110</v>
      </c>
      <c r="D163" t="s">
        <v>111</v>
      </c>
      <c r="E163" t="s">
        <v>112</v>
      </c>
      <c r="F163" t="s">
        <v>113</v>
      </c>
      <c r="G163" t="s">
        <v>114</v>
      </c>
      <c r="H163" t="s">
        <v>115</v>
      </c>
      <c r="I163" t="s">
        <v>116</v>
      </c>
      <c r="J163" t="s">
        <v>117</v>
      </c>
      <c r="K163" t="s">
        <v>118</v>
      </c>
      <c r="L163" t="s">
        <v>119</v>
      </c>
      <c r="M163" t="s">
        <v>120</v>
      </c>
      <c r="N163" t="s">
        <v>121</v>
      </c>
      <c r="O163" t="s">
        <v>122</v>
      </c>
      <c r="P163" t="s">
        <v>123</v>
      </c>
      <c r="Q163" t="s">
        <v>124</v>
      </c>
      <c r="R163" t="s">
        <v>118</v>
      </c>
      <c r="S163" t="s">
        <v>125</v>
      </c>
      <c r="T163" t="s">
        <v>126</v>
      </c>
      <c r="U163" t="s">
        <v>127</v>
      </c>
      <c r="V163" t="s">
        <v>128</v>
      </c>
      <c r="W163" t="s">
        <v>129</v>
      </c>
      <c r="X163" t="s">
        <v>130</v>
      </c>
      <c r="Y163" t="s">
        <v>131</v>
      </c>
      <c r="Z163" t="s">
        <v>132</v>
      </c>
      <c r="AA163" t="s">
        <v>133</v>
      </c>
      <c r="AB163" t="s">
        <v>134</v>
      </c>
      <c r="AC163" t="s">
        <v>135</v>
      </c>
      <c r="AD163" t="s">
        <v>105</v>
      </c>
      <c r="AE163" t="s">
        <v>136</v>
      </c>
      <c r="AF163" t="s">
        <v>115</v>
      </c>
      <c r="AG163" t="s">
        <v>137</v>
      </c>
      <c r="AH163" t="s">
        <v>138</v>
      </c>
      <c r="AI163" t="s">
        <v>139</v>
      </c>
      <c r="AJ163" t="s">
        <v>126</v>
      </c>
      <c r="AK163" t="s">
        <v>127</v>
      </c>
      <c r="AL163" t="s">
        <v>128</v>
      </c>
      <c r="AM163" t="s">
        <v>129</v>
      </c>
      <c r="AN163" t="s">
        <v>130</v>
      </c>
      <c r="AO163" t="s">
        <v>131</v>
      </c>
      <c r="AP163" t="s">
        <v>132</v>
      </c>
      <c r="AQ163" t="s">
        <v>133</v>
      </c>
      <c r="AR163" t="s">
        <v>134</v>
      </c>
      <c r="AS163" t="s">
        <v>140</v>
      </c>
      <c r="AT163" t="s">
        <v>105</v>
      </c>
      <c r="AU163" t="s">
        <v>136</v>
      </c>
      <c r="AV163" t="s">
        <v>115</v>
      </c>
      <c r="AW163" t="s">
        <v>137</v>
      </c>
      <c r="AX163" t="s">
        <v>138</v>
      </c>
      <c r="AY163" t="s">
        <v>141</v>
      </c>
      <c r="AZ163" t="s">
        <v>126</v>
      </c>
      <c r="BA163" t="s">
        <v>142</v>
      </c>
      <c r="BB163" t="s">
        <v>143</v>
      </c>
      <c r="BC163" t="s">
        <v>144</v>
      </c>
      <c r="BD163" t="s">
        <v>145</v>
      </c>
      <c r="BE163" t="s">
        <v>146</v>
      </c>
      <c r="BF163" t="s">
        <v>147</v>
      </c>
      <c r="BG163" t="s">
        <v>148</v>
      </c>
      <c r="BH163" t="s">
        <v>149</v>
      </c>
      <c r="BI163" t="s">
        <v>150</v>
      </c>
      <c r="BJ163" t="s">
        <v>141</v>
      </c>
      <c r="BK163" t="s">
        <v>126</v>
      </c>
      <c r="BL163" t="s">
        <v>142</v>
      </c>
      <c r="BM163" t="s">
        <v>143</v>
      </c>
      <c r="BN163" t="s">
        <v>144</v>
      </c>
      <c r="BO163" t="s">
        <v>145</v>
      </c>
      <c r="BP163" t="s">
        <v>146</v>
      </c>
      <c r="BQ163" t="s">
        <v>147</v>
      </c>
      <c r="BR163" t="s">
        <v>148</v>
      </c>
      <c r="BS163" t="s">
        <v>149</v>
      </c>
      <c r="BT163" t="s">
        <v>150</v>
      </c>
    </row>
    <row r="164" spans="1:156">
      <c r="A164">
        <v>98380</v>
      </c>
      <c r="B164">
        <v>0</v>
      </c>
      <c r="C164">
        <v>6450445</v>
      </c>
      <c r="D164">
        <v>0</v>
      </c>
      <c r="E164">
        <v>46.507899999999999</v>
      </c>
      <c r="F164" s="7">
        <v>301997000</v>
      </c>
      <c r="G164">
        <v>16922.7</v>
      </c>
      <c r="H164">
        <v>336793116</v>
      </c>
      <c r="I164">
        <v>7668</v>
      </c>
      <c r="J164">
        <v>2.27677E-3</v>
      </c>
      <c r="K164" t="s">
        <v>151</v>
      </c>
      <c r="L164">
        <v>0</v>
      </c>
      <c r="M164">
        <v>6450445</v>
      </c>
      <c r="N164">
        <v>634594779100</v>
      </c>
      <c r="O164">
        <v>46.536900000000003</v>
      </c>
      <c r="P164">
        <v>300183933</v>
      </c>
      <c r="Q164">
        <v>16912.2</v>
      </c>
      <c r="R164" t="s">
        <v>151</v>
      </c>
      <c r="S164" t="s">
        <v>152</v>
      </c>
      <c r="T164" t="s">
        <v>153</v>
      </c>
      <c r="U164" t="s">
        <v>45</v>
      </c>
      <c r="V164">
        <v>0</v>
      </c>
      <c r="W164">
        <v>0</v>
      </c>
      <c r="X164">
        <v>0</v>
      </c>
      <c r="Y164">
        <v>0</v>
      </c>
      <c r="Z164">
        <v>45</v>
      </c>
      <c r="AA164">
        <v>9058</v>
      </c>
      <c r="AB164">
        <v>0</v>
      </c>
      <c r="AC164">
        <v>0</v>
      </c>
      <c r="AD164" t="s">
        <v>154</v>
      </c>
      <c r="AE164" t="s">
        <v>45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155</v>
      </c>
      <c r="AO164" t="s">
        <v>45</v>
      </c>
      <c r="AP164">
        <v>48520152</v>
      </c>
      <c r="AQ164">
        <v>3210838080</v>
      </c>
      <c r="AR164">
        <v>0</v>
      </c>
      <c r="AS164">
        <v>77447</v>
      </c>
      <c r="AT164">
        <v>336815382</v>
      </c>
      <c r="AU164">
        <v>3035967979040</v>
      </c>
      <c r="AV164">
        <v>0</v>
      </c>
      <c r="AW164">
        <v>0</v>
      </c>
      <c r="AX164" t="s">
        <v>156</v>
      </c>
      <c r="AY164" t="s">
        <v>45</v>
      </c>
      <c r="AZ164">
        <v>0</v>
      </c>
      <c r="BA164">
        <v>0</v>
      </c>
      <c r="BB164">
        <v>0</v>
      </c>
      <c r="BC164">
        <v>0</v>
      </c>
      <c r="BD164">
        <v>43</v>
      </c>
      <c r="BE164">
        <v>8055</v>
      </c>
      <c r="BF164">
        <v>0</v>
      </c>
      <c r="BG164">
        <v>0</v>
      </c>
      <c r="BH164" t="s">
        <v>157</v>
      </c>
      <c r="BI164" t="s">
        <v>45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 t="s">
        <v>158</v>
      </c>
      <c r="BS164" t="s">
        <v>45</v>
      </c>
      <c r="BT164">
        <v>16</v>
      </c>
      <c r="BU164">
        <v>1472</v>
      </c>
      <c r="BV164">
        <v>0</v>
      </c>
      <c r="BW164">
        <v>0</v>
      </c>
      <c r="BX164">
        <v>16</v>
      </c>
      <c r="BY164">
        <v>1472</v>
      </c>
      <c r="BZ164">
        <v>0</v>
      </c>
      <c r="CA164">
        <v>0</v>
      </c>
      <c r="CB164" t="s">
        <v>135</v>
      </c>
      <c r="CC164">
        <v>48520124</v>
      </c>
      <c r="CD164">
        <v>0</v>
      </c>
      <c r="CE164">
        <v>336793116</v>
      </c>
      <c r="CF164">
        <v>0</v>
      </c>
      <c r="CG164">
        <v>22261</v>
      </c>
      <c r="CH164" t="s">
        <v>159</v>
      </c>
      <c r="CI164" t="s">
        <v>160</v>
      </c>
      <c r="CJ164" t="s">
        <v>45</v>
      </c>
      <c r="CK164">
        <v>79026</v>
      </c>
      <c r="CL164">
        <v>3623878</v>
      </c>
      <c r="CM164">
        <v>0</v>
      </c>
      <c r="CN164">
        <v>0</v>
      </c>
      <c r="CO164">
        <v>551</v>
      </c>
      <c r="CP164">
        <v>259283</v>
      </c>
      <c r="CQ164">
        <v>0</v>
      </c>
      <c r="CR164">
        <v>0</v>
      </c>
      <c r="CS164" t="s">
        <v>161</v>
      </c>
      <c r="CT164" t="s">
        <v>45</v>
      </c>
      <c r="CU164">
        <v>336889781</v>
      </c>
      <c r="CV164">
        <v>3035920513510</v>
      </c>
      <c r="CW164">
        <v>0</v>
      </c>
      <c r="CX164">
        <v>0</v>
      </c>
      <c r="CY164">
        <v>48599209</v>
      </c>
      <c r="CZ164">
        <v>3218478073</v>
      </c>
      <c r="DA164">
        <v>0</v>
      </c>
      <c r="DB164">
        <v>0</v>
      </c>
      <c r="DC164" t="s">
        <v>158</v>
      </c>
      <c r="DD164" t="s">
        <v>45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 t="s">
        <v>162</v>
      </c>
      <c r="DN164" t="s">
        <v>45</v>
      </c>
      <c r="DO164">
        <v>56270893</v>
      </c>
      <c r="DP164">
        <v>3016612358294</v>
      </c>
      <c r="DQ164">
        <v>0</v>
      </c>
      <c r="DR164">
        <v>0</v>
      </c>
      <c r="DS164">
        <v>48598552</v>
      </c>
      <c r="DT164">
        <v>3218201350</v>
      </c>
      <c r="DU164">
        <v>0</v>
      </c>
      <c r="DV164">
        <v>0</v>
      </c>
      <c r="DW164" t="s">
        <v>163</v>
      </c>
      <c r="DX164" t="s">
        <v>45</v>
      </c>
      <c r="DY164">
        <v>8554</v>
      </c>
      <c r="DZ164">
        <v>855400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 t="s">
        <v>140</v>
      </c>
      <c r="EH164">
        <v>56270341</v>
      </c>
      <c r="EI164">
        <v>0</v>
      </c>
      <c r="EJ164">
        <v>48598204</v>
      </c>
      <c r="EK164">
        <v>24</v>
      </c>
      <c r="EL164">
        <v>0</v>
      </c>
      <c r="EM164" t="s">
        <v>141</v>
      </c>
      <c r="EN164" t="s">
        <v>164</v>
      </c>
      <c r="EO164">
        <v>336889783</v>
      </c>
      <c r="EP164">
        <v>48599212</v>
      </c>
      <c r="EQ164">
        <v>336896306</v>
      </c>
      <c r="ER164">
        <v>48599212</v>
      </c>
      <c r="ES164">
        <v>0</v>
      </c>
      <c r="ET164">
        <v>0</v>
      </c>
      <c r="EU164">
        <v>0</v>
      </c>
      <c r="EV164">
        <v>0</v>
      </c>
      <c r="EW164">
        <v>0</v>
      </c>
      <c r="EX164" t="s">
        <v>141</v>
      </c>
      <c r="EY164" t="s">
        <v>45</v>
      </c>
      <c r="EZ164" t="s">
        <v>118</v>
      </c>
    </row>
    <row r="165" spans="1:156">
      <c r="A165" t="s">
        <v>165</v>
      </c>
      <c r="B165" t="s">
        <v>166</v>
      </c>
      <c r="C165" t="s">
        <v>167</v>
      </c>
      <c r="D165" t="s">
        <v>168</v>
      </c>
      <c r="E165" t="s">
        <v>169</v>
      </c>
      <c r="F165" t="s">
        <v>170</v>
      </c>
      <c r="G165" t="s">
        <v>171</v>
      </c>
      <c r="H165" t="s">
        <v>172</v>
      </c>
    </row>
    <row r="166" spans="1:156">
      <c r="A166" t="s">
        <v>173</v>
      </c>
      <c r="B166">
        <v>0</v>
      </c>
      <c r="C166">
        <v>0</v>
      </c>
      <c r="D166">
        <v>64</v>
      </c>
      <c r="E166">
        <v>35</v>
      </c>
      <c r="F166">
        <v>0</v>
      </c>
      <c r="G166">
        <v>2</v>
      </c>
      <c r="H166">
        <v>19</v>
      </c>
      <c r="I166" t="s">
        <v>45</v>
      </c>
    </row>
    <row r="167" spans="1:156">
      <c r="A167" t="s">
        <v>174</v>
      </c>
      <c r="B167">
        <v>0</v>
      </c>
      <c r="C167">
        <v>0</v>
      </c>
      <c r="D167">
        <v>78</v>
      </c>
      <c r="E167">
        <v>20</v>
      </c>
      <c r="F167">
        <v>0</v>
      </c>
      <c r="G167">
        <v>2</v>
      </c>
      <c r="H167">
        <v>30</v>
      </c>
      <c r="I167" t="s">
        <v>45</v>
      </c>
    </row>
    <row r="168" spans="1:156">
      <c r="A168" t="s">
        <v>175</v>
      </c>
      <c r="B168">
        <v>0</v>
      </c>
      <c r="C168">
        <v>0</v>
      </c>
      <c r="D168">
        <v>68</v>
      </c>
      <c r="E168">
        <v>30</v>
      </c>
      <c r="F168">
        <v>0</v>
      </c>
      <c r="G168">
        <v>2</v>
      </c>
      <c r="H168">
        <v>19</v>
      </c>
      <c r="I168" t="s">
        <v>45</v>
      </c>
    </row>
    <row r="169" spans="1:156">
      <c r="A169" t="s">
        <v>176</v>
      </c>
      <c r="B169">
        <v>0</v>
      </c>
      <c r="C169">
        <v>0</v>
      </c>
      <c r="D169">
        <v>46</v>
      </c>
      <c r="E169">
        <v>53</v>
      </c>
      <c r="F169">
        <v>0</v>
      </c>
      <c r="G169">
        <v>1</v>
      </c>
      <c r="H169">
        <v>2</v>
      </c>
      <c r="I169" t="s">
        <v>45</v>
      </c>
    </row>
    <row r="170" spans="1:156">
      <c r="A170" t="s">
        <v>177</v>
      </c>
      <c r="B170">
        <v>0</v>
      </c>
      <c r="C170">
        <v>0</v>
      </c>
      <c r="D170">
        <v>63</v>
      </c>
      <c r="E170">
        <v>36</v>
      </c>
      <c r="F170">
        <v>0</v>
      </c>
      <c r="G170">
        <v>2</v>
      </c>
      <c r="H170">
        <v>24</v>
      </c>
      <c r="I170" t="s">
        <v>45</v>
      </c>
    </row>
    <row r="171" spans="1:156">
      <c r="A171" t="s">
        <v>178</v>
      </c>
      <c r="B171" t="s">
        <v>166</v>
      </c>
      <c r="C171" t="s">
        <v>167</v>
      </c>
      <c r="D171" t="s">
        <v>168</v>
      </c>
      <c r="E171" t="s">
        <v>169</v>
      </c>
      <c r="F171" t="s">
        <v>170</v>
      </c>
      <c r="G171" t="s">
        <v>171</v>
      </c>
      <c r="H171" t="s">
        <v>172</v>
      </c>
    </row>
    <row r="172" spans="1:156">
      <c r="A172" t="s">
        <v>179</v>
      </c>
      <c r="B172">
        <v>0</v>
      </c>
      <c r="C172">
        <v>0</v>
      </c>
      <c r="D172">
        <v>6</v>
      </c>
      <c r="E172">
        <v>93</v>
      </c>
      <c r="F172">
        <v>0</v>
      </c>
      <c r="G172">
        <v>0</v>
      </c>
      <c r="H172">
        <v>0</v>
      </c>
      <c r="I172" t="s">
        <v>45</v>
      </c>
    </row>
    <row r="173" spans="1:156">
      <c r="A173" t="s">
        <v>180</v>
      </c>
      <c r="B173">
        <v>0</v>
      </c>
      <c r="C173">
        <v>0</v>
      </c>
      <c r="D173">
        <v>0</v>
      </c>
      <c r="E173">
        <v>99</v>
      </c>
      <c r="F173">
        <v>0</v>
      </c>
      <c r="G173">
        <v>0</v>
      </c>
      <c r="H173">
        <v>0</v>
      </c>
      <c r="I173" t="s">
        <v>45</v>
      </c>
    </row>
    <row r="174" spans="1:156">
      <c r="A174" t="s">
        <v>181</v>
      </c>
      <c r="B174">
        <v>0</v>
      </c>
      <c r="C174">
        <v>0</v>
      </c>
      <c r="D174">
        <v>0</v>
      </c>
      <c r="E174">
        <v>99</v>
      </c>
      <c r="F174">
        <v>0</v>
      </c>
      <c r="G174">
        <v>0</v>
      </c>
      <c r="H174">
        <v>0</v>
      </c>
      <c r="I174" t="s">
        <v>45</v>
      </c>
    </row>
    <row r="175" spans="1:156">
      <c r="A175" t="s">
        <v>182</v>
      </c>
      <c r="B175">
        <v>0</v>
      </c>
      <c r="C175">
        <v>0</v>
      </c>
      <c r="D175">
        <v>0</v>
      </c>
      <c r="E175">
        <v>99</v>
      </c>
      <c r="F175">
        <v>0</v>
      </c>
      <c r="G175">
        <v>0</v>
      </c>
      <c r="H175">
        <v>0</v>
      </c>
      <c r="I175" t="s">
        <v>45</v>
      </c>
    </row>
    <row r="176" spans="1:156">
      <c r="A176" t="s">
        <v>183</v>
      </c>
      <c r="B176">
        <v>0</v>
      </c>
      <c r="C176">
        <v>0</v>
      </c>
      <c r="D176">
        <v>0</v>
      </c>
      <c r="E176">
        <v>99</v>
      </c>
      <c r="F176">
        <v>0</v>
      </c>
      <c r="G176">
        <v>0</v>
      </c>
      <c r="H176">
        <v>0</v>
      </c>
      <c r="I176" t="s">
        <v>45</v>
      </c>
    </row>
    <row r="177" spans="1:9">
      <c r="A177" t="s">
        <v>184</v>
      </c>
      <c r="B177">
        <v>0</v>
      </c>
      <c r="C177">
        <v>0</v>
      </c>
      <c r="D177">
        <v>0</v>
      </c>
      <c r="E177">
        <v>99</v>
      </c>
      <c r="F177">
        <v>0</v>
      </c>
      <c r="G177">
        <v>0</v>
      </c>
      <c r="H177">
        <v>0</v>
      </c>
      <c r="I177" t="s">
        <v>45</v>
      </c>
    </row>
    <row r="178" spans="1:9">
      <c r="A178" t="s">
        <v>185</v>
      </c>
      <c r="B178">
        <v>0</v>
      </c>
      <c r="C178">
        <v>0</v>
      </c>
      <c r="D178">
        <v>0</v>
      </c>
      <c r="E178">
        <v>99</v>
      </c>
      <c r="F178">
        <v>0</v>
      </c>
      <c r="G178">
        <v>0</v>
      </c>
      <c r="H178">
        <v>0</v>
      </c>
      <c r="I178" t="s">
        <v>45</v>
      </c>
    </row>
    <row r="179" spans="1:9">
      <c r="A179" t="s">
        <v>186</v>
      </c>
      <c r="B179">
        <v>4</v>
      </c>
      <c r="C179">
        <v>0</v>
      </c>
      <c r="D179">
        <v>82</v>
      </c>
      <c r="E179">
        <v>13</v>
      </c>
      <c r="F179">
        <v>0</v>
      </c>
      <c r="G179">
        <v>0</v>
      </c>
      <c r="H179">
        <v>0</v>
      </c>
      <c r="I179" t="s">
        <v>45</v>
      </c>
    </row>
    <row r="180" spans="1:9">
      <c r="A180" t="s">
        <v>187</v>
      </c>
      <c r="B180">
        <v>4</v>
      </c>
      <c r="C180">
        <v>0</v>
      </c>
      <c r="D180">
        <v>88</v>
      </c>
      <c r="E180">
        <v>7</v>
      </c>
      <c r="F180">
        <v>0</v>
      </c>
      <c r="G180">
        <v>0</v>
      </c>
      <c r="H180">
        <v>0</v>
      </c>
      <c r="I180" t="s">
        <v>45</v>
      </c>
    </row>
    <row r="181" spans="1:9">
      <c r="A181" t="s">
        <v>188</v>
      </c>
      <c r="B181">
        <v>3</v>
      </c>
      <c r="C181">
        <v>0</v>
      </c>
      <c r="D181">
        <v>88</v>
      </c>
      <c r="E181">
        <v>7</v>
      </c>
      <c r="F181">
        <v>0</v>
      </c>
      <c r="G181">
        <v>0</v>
      </c>
      <c r="H181">
        <v>1</v>
      </c>
      <c r="I181" t="s">
        <v>45</v>
      </c>
    </row>
    <row r="182" spans="1:9">
      <c r="A182" t="s">
        <v>189</v>
      </c>
      <c r="B182">
        <v>3</v>
      </c>
      <c r="C182">
        <v>0</v>
      </c>
      <c r="D182">
        <v>85</v>
      </c>
      <c r="E182">
        <v>11</v>
      </c>
      <c r="F182">
        <v>0</v>
      </c>
      <c r="G182">
        <v>0</v>
      </c>
      <c r="H182">
        <v>1</v>
      </c>
      <c r="I182" t="s">
        <v>45</v>
      </c>
    </row>
    <row r="183" spans="1:9">
      <c r="A183" t="s">
        <v>190</v>
      </c>
      <c r="B183">
        <v>0</v>
      </c>
      <c r="C183">
        <v>0</v>
      </c>
      <c r="D183">
        <v>0</v>
      </c>
      <c r="E183">
        <v>99</v>
      </c>
      <c r="F183">
        <v>0</v>
      </c>
      <c r="G183">
        <v>0</v>
      </c>
      <c r="H183">
        <v>0</v>
      </c>
      <c r="I183" t="s">
        <v>45</v>
      </c>
    </row>
    <row r="184" spans="1:9">
      <c r="A184" t="s">
        <v>191</v>
      </c>
      <c r="B184">
        <v>0</v>
      </c>
      <c r="C184">
        <v>0</v>
      </c>
      <c r="D184">
        <v>0</v>
      </c>
      <c r="E184">
        <v>99</v>
      </c>
      <c r="F184">
        <v>0</v>
      </c>
      <c r="G184">
        <v>0</v>
      </c>
      <c r="H184">
        <v>0</v>
      </c>
      <c r="I184" t="s">
        <v>45</v>
      </c>
    </row>
    <row r="185" spans="1:9">
      <c r="A185" t="s">
        <v>192</v>
      </c>
      <c r="B185">
        <v>0</v>
      </c>
      <c r="C185">
        <v>0</v>
      </c>
      <c r="D185">
        <v>0</v>
      </c>
      <c r="E185">
        <v>99</v>
      </c>
      <c r="F185">
        <v>0</v>
      </c>
      <c r="G185">
        <v>0</v>
      </c>
      <c r="H185">
        <v>0</v>
      </c>
      <c r="I185" t="s">
        <v>45</v>
      </c>
    </row>
    <row r="186" spans="1:9">
      <c r="A186" t="s">
        <v>193</v>
      </c>
      <c r="B186">
        <v>0</v>
      </c>
      <c r="C186">
        <v>0</v>
      </c>
      <c r="D186">
        <v>0</v>
      </c>
      <c r="E186">
        <v>99</v>
      </c>
      <c r="F186">
        <v>0</v>
      </c>
      <c r="G186">
        <v>0</v>
      </c>
      <c r="H186">
        <v>0</v>
      </c>
      <c r="I186" t="s">
        <v>45</v>
      </c>
    </row>
    <row r="187" spans="1:9">
      <c r="A187" t="s">
        <v>194</v>
      </c>
      <c r="B187">
        <v>0</v>
      </c>
      <c r="C187">
        <v>0</v>
      </c>
      <c r="D187">
        <v>0</v>
      </c>
      <c r="E187">
        <v>99</v>
      </c>
      <c r="F187">
        <v>0</v>
      </c>
      <c r="G187">
        <v>0</v>
      </c>
      <c r="H187">
        <v>0</v>
      </c>
      <c r="I187" t="s">
        <v>45</v>
      </c>
    </row>
    <row r="188" spans="1:9">
      <c r="A188" t="s">
        <v>195</v>
      </c>
      <c r="B188">
        <v>0</v>
      </c>
      <c r="C188">
        <v>0</v>
      </c>
      <c r="D188">
        <v>0</v>
      </c>
      <c r="E188">
        <v>99</v>
      </c>
      <c r="F188">
        <v>0</v>
      </c>
      <c r="G188">
        <v>0</v>
      </c>
      <c r="H188">
        <v>0</v>
      </c>
      <c r="I188" t="s">
        <v>45</v>
      </c>
    </row>
    <row r="189" spans="1:9">
      <c r="A189" t="s">
        <v>196</v>
      </c>
      <c r="B189">
        <v>0</v>
      </c>
      <c r="C189">
        <v>0</v>
      </c>
      <c r="D189">
        <v>0</v>
      </c>
      <c r="E189">
        <v>99</v>
      </c>
      <c r="F189">
        <v>0</v>
      </c>
      <c r="G189">
        <v>0</v>
      </c>
      <c r="H189">
        <v>0</v>
      </c>
      <c r="I189" t="s">
        <v>45</v>
      </c>
    </row>
    <row r="190" spans="1:9">
      <c r="A190" t="s">
        <v>197</v>
      </c>
      <c r="B190">
        <v>0</v>
      </c>
      <c r="C190">
        <v>0</v>
      </c>
      <c r="D190">
        <v>0</v>
      </c>
      <c r="E190">
        <v>99</v>
      </c>
      <c r="F190">
        <v>0</v>
      </c>
      <c r="G190">
        <v>0</v>
      </c>
      <c r="H190">
        <v>0</v>
      </c>
      <c r="I190" t="s">
        <v>45</v>
      </c>
    </row>
    <row r="191" spans="1:9">
      <c r="A191" t="s">
        <v>198</v>
      </c>
      <c r="B191">
        <v>0</v>
      </c>
      <c r="C191">
        <v>0</v>
      </c>
      <c r="D191">
        <v>0</v>
      </c>
      <c r="E191">
        <v>99</v>
      </c>
      <c r="F191">
        <v>0</v>
      </c>
      <c r="G191">
        <v>0</v>
      </c>
      <c r="H191">
        <v>0</v>
      </c>
      <c r="I191" t="s">
        <v>45</v>
      </c>
    </row>
    <row r="192" spans="1:9">
      <c r="A192" t="s">
        <v>199</v>
      </c>
      <c r="B192">
        <v>0</v>
      </c>
      <c r="C192">
        <v>0</v>
      </c>
      <c r="D192">
        <v>0</v>
      </c>
      <c r="E192">
        <v>99</v>
      </c>
      <c r="F192">
        <v>0</v>
      </c>
      <c r="G192">
        <v>0</v>
      </c>
      <c r="H192">
        <v>0</v>
      </c>
      <c r="I192" t="s">
        <v>45</v>
      </c>
    </row>
    <row r="193" spans="1:9">
      <c r="A193" t="s">
        <v>200</v>
      </c>
      <c r="B193">
        <v>0</v>
      </c>
      <c r="C193">
        <v>0</v>
      </c>
      <c r="D193">
        <v>0</v>
      </c>
      <c r="E193">
        <v>99</v>
      </c>
      <c r="F193">
        <v>0</v>
      </c>
      <c r="G193">
        <v>0</v>
      </c>
      <c r="H193">
        <v>0</v>
      </c>
      <c r="I193" t="s">
        <v>45</v>
      </c>
    </row>
    <row r="194" spans="1:9">
      <c r="A194" t="s">
        <v>201</v>
      </c>
      <c r="B194">
        <v>0</v>
      </c>
      <c r="C194">
        <v>0</v>
      </c>
      <c r="D194">
        <v>0</v>
      </c>
      <c r="E194">
        <v>99</v>
      </c>
      <c r="F194">
        <v>0</v>
      </c>
      <c r="G194">
        <v>0</v>
      </c>
      <c r="H194">
        <v>0</v>
      </c>
      <c r="I194" t="s">
        <v>45</v>
      </c>
    </row>
    <row r="195" spans="1:9">
      <c r="A195" t="s">
        <v>202</v>
      </c>
      <c r="B195">
        <v>0</v>
      </c>
      <c r="C195">
        <v>0</v>
      </c>
      <c r="D195">
        <v>0</v>
      </c>
      <c r="E195">
        <v>99</v>
      </c>
      <c r="F195">
        <v>0</v>
      </c>
      <c r="G195">
        <v>0</v>
      </c>
      <c r="H195">
        <v>0</v>
      </c>
      <c r="I195" t="s">
        <v>45</v>
      </c>
    </row>
    <row r="196" spans="1:9">
      <c r="A196" t="s">
        <v>203</v>
      </c>
      <c r="B196">
        <v>0</v>
      </c>
      <c r="C196">
        <v>0</v>
      </c>
      <c r="D196">
        <v>0</v>
      </c>
      <c r="E196">
        <v>99</v>
      </c>
      <c r="F196">
        <v>0</v>
      </c>
      <c r="G196">
        <v>0</v>
      </c>
      <c r="H196">
        <v>0</v>
      </c>
      <c r="I196" t="s">
        <v>45</v>
      </c>
    </row>
    <row r="197" spans="1:9">
      <c r="A197" t="s">
        <v>204</v>
      </c>
      <c r="B197">
        <v>0</v>
      </c>
      <c r="C197">
        <v>0</v>
      </c>
      <c r="D197">
        <v>3</v>
      </c>
      <c r="E197">
        <v>96</v>
      </c>
      <c r="F197">
        <v>0</v>
      </c>
      <c r="G197">
        <v>0</v>
      </c>
      <c r="H197">
        <v>2</v>
      </c>
      <c r="I197" t="s">
        <v>45</v>
      </c>
    </row>
    <row r="198" spans="1:9">
      <c r="A198" t="s">
        <v>205</v>
      </c>
      <c r="B198">
        <v>0</v>
      </c>
      <c r="C198">
        <v>0</v>
      </c>
      <c r="D198">
        <v>0</v>
      </c>
      <c r="E198">
        <v>99</v>
      </c>
      <c r="F198">
        <v>0</v>
      </c>
      <c r="G198">
        <v>0</v>
      </c>
      <c r="H198">
        <v>0</v>
      </c>
      <c r="I198" t="s">
        <v>45</v>
      </c>
    </row>
    <row r="199" spans="1:9">
      <c r="A199" t="s">
        <v>206</v>
      </c>
      <c r="B199">
        <v>0</v>
      </c>
      <c r="C199">
        <v>0</v>
      </c>
      <c r="D199">
        <v>0</v>
      </c>
      <c r="E199">
        <v>99</v>
      </c>
      <c r="F199">
        <v>0</v>
      </c>
      <c r="G199">
        <v>0</v>
      </c>
      <c r="H199">
        <v>0</v>
      </c>
      <c r="I199" t="s">
        <v>45</v>
      </c>
    </row>
    <row r="200" spans="1:9">
      <c r="A200" t="s">
        <v>207</v>
      </c>
      <c r="B200">
        <v>0</v>
      </c>
      <c r="C200">
        <v>0</v>
      </c>
      <c r="D200">
        <v>0</v>
      </c>
      <c r="E200">
        <v>99</v>
      </c>
      <c r="F200">
        <v>0</v>
      </c>
      <c r="G200">
        <v>0</v>
      </c>
      <c r="H200">
        <v>0</v>
      </c>
      <c r="I200" t="s">
        <v>45</v>
      </c>
    </row>
    <row r="201" spans="1:9">
      <c r="A201" t="s">
        <v>208</v>
      </c>
      <c r="B201">
        <v>0</v>
      </c>
      <c r="C201">
        <v>0</v>
      </c>
      <c r="D201">
        <v>0</v>
      </c>
      <c r="E201">
        <v>99</v>
      </c>
      <c r="F201">
        <v>0</v>
      </c>
      <c r="G201">
        <v>0</v>
      </c>
      <c r="H201">
        <v>0</v>
      </c>
      <c r="I201" t="s">
        <v>45</v>
      </c>
    </row>
    <row r="202" spans="1:9">
      <c r="A202" t="s">
        <v>209</v>
      </c>
      <c r="B202">
        <v>0</v>
      </c>
      <c r="C202">
        <v>0</v>
      </c>
      <c r="D202">
        <v>0</v>
      </c>
      <c r="E202">
        <v>99</v>
      </c>
      <c r="F202">
        <v>0</v>
      </c>
      <c r="G202">
        <v>0</v>
      </c>
      <c r="H202">
        <v>0</v>
      </c>
      <c r="I202" t="s">
        <v>45</v>
      </c>
    </row>
    <row r="203" spans="1:9">
      <c r="A203" t="s">
        <v>210</v>
      </c>
      <c r="B203">
        <v>0</v>
      </c>
      <c r="C203">
        <v>0</v>
      </c>
      <c r="D203">
        <v>0</v>
      </c>
      <c r="E203">
        <v>99</v>
      </c>
      <c r="F203">
        <v>0</v>
      </c>
      <c r="G203">
        <v>0</v>
      </c>
      <c r="H203">
        <v>0</v>
      </c>
      <c r="I203" t="s">
        <v>45</v>
      </c>
    </row>
    <row r="204" spans="1:9">
      <c r="A204" t="s">
        <v>211</v>
      </c>
      <c r="B204">
        <v>0</v>
      </c>
      <c r="C204">
        <v>0</v>
      </c>
      <c r="D204">
        <v>0</v>
      </c>
      <c r="E204">
        <v>99</v>
      </c>
      <c r="F204">
        <v>0</v>
      </c>
      <c r="G204">
        <v>0</v>
      </c>
      <c r="H204">
        <v>0</v>
      </c>
      <c r="I204" t="s">
        <v>45</v>
      </c>
    </row>
    <row r="205" spans="1:9">
      <c r="A205" t="s">
        <v>212</v>
      </c>
      <c r="B205">
        <v>0</v>
      </c>
      <c r="C205">
        <v>0</v>
      </c>
      <c r="D205">
        <v>0</v>
      </c>
      <c r="E205">
        <v>99</v>
      </c>
      <c r="F205">
        <v>0</v>
      </c>
      <c r="G205">
        <v>0</v>
      </c>
      <c r="H205">
        <v>0</v>
      </c>
      <c r="I205" t="s">
        <v>45</v>
      </c>
    </row>
    <row r="206" spans="1:9">
      <c r="A206" t="s">
        <v>213</v>
      </c>
      <c r="B206">
        <v>0</v>
      </c>
      <c r="C206">
        <v>0</v>
      </c>
      <c r="D206">
        <v>0</v>
      </c>
      <c r="E206">
        <v>99</v>
      </c>
      <c r="F206">
        <v>0</v>
      </c>
      <c r="G206">
        <v>0</v>
      </c>
      <c r="H206">
        <v>0</v>
      </c>
      <c r="I206" t="s">
        <v>45</v>
      </c>
    </row>
    <row r="207" spans="1:9">
      <c r="A207" t="s">
        <v>214</v>
      </c>
      <c r="B207">
        <v>0</v>
      </c>
      <c r="C207">
        <v>0</v>
      </c>
      <c r="D207">
        <v>0</v>
      </c>
      <c r="E207">
        <v>99</v>
      </c>
      <c r="F207">
        <v>0</v>
      </c>
      <c r="G207">
        <v>0</v>
      </c>
      <c r="H207">
        <v>0</v>
      </c>
      <c r="I207" t="s">
        <v>45</v>
      </c>
    </row>
    <row r="208" spans="1:9">
      <c r="A208" t="s">
        <v>215</v>
      </c>
      <c r="B208">
        <v>0</v>
      </c>
      <c r="C208">
        <v>0</v>
      </c>
      <c r="D208">
        <v>0</v>
      </c>
      <c r="E208">
        <v>99</v>
      </c>
      <c r="F208">
        <v>0</v>
      </c>
      <c r="G208">
        <v>0</v>
      </c>
      <c r="H208">
        <v>0</v>
      </c>
      <c r="I208" t="s">
        <v>45</v>
      </c>
    </row>
    <row r="209" spans="1:9">
      <c r="A209" t="s">
        <v>216</v>
      </c>
      <c r="B209">
        <v>0</v>
      </c>
      <c r="C209">
        <v>0</v>
      </c>
      <c r="D209">
        <v>0</v>
      </c>
      <c r="E209">
        <v>99</v>
      </c>
      <c r="F209">
        <v>0</v>
      </c>
      <c r="G209">
        <v>0</v>
      </c>
      <c r="H209">
        <v>0</v>
      </c>
      <c r="I209" t="s">
        <v>45</v>
      </c>
    </row>
    <row r="210" spans="1:9">
      <c r="A210" t="s">
        <v>217</v>
      </c>
      <c r="B210">
        <v>0</v>
      </c>
      <c r="C210">
        <v>0</v>
      </c>
      <c r="D210">
        <v>0</v>
      </c>
      <c r="E210">
        <v>99</v>
      </c>
      <c r="F210">
        <v>0</v>
      </c>
      <c r="G210">
        <v>0</v>
      </c>
      <c r="H210">
        <v>0</v>
      </c>
      <c r="I210" t="s">
        <v>45</v>
      </c>
    </row>
    <row r="211" spans="1:9">
      <c r="A211" t="s">
        <v>218</v>
      </c>
      <c r="B211">
        <v>0</v>
      </c>
      <c r="C211">
        <v>0</v>
      </c>
      <c r="D211">
        <v>0</v>
      </c>
      <c r="E211">
        <v>99</v>
      </c>
      <c r="F211">
        <v>0</v>
      </c>
      <c r="G211">
        <v>0</v>
      </c>
      <c r="H211">
        <v>0</v>
      </c>
      <c r="I211" t="s">
        <v>45</v>
      </c>
    </row>
    <row r="212" spans="1:9">
      <c r="A212" t="s">
        <v>219</v>
      </c>
      <c r="B212">
        <v>0</v>
      </c>
      <c r="C212">
        <v>0</v>
      </c>
      <c r="D212">
        <v>0</v>
      </c>
      <c r="E212">
        <v>99</v>
      </c>
      <c r="F212">
        <v>0</v>
      </c>
      <c r="G212">
        <v>0</v>
      </c>
      <c r="H212">
        <v>0</v>
      </c>
      <c r="I212" t="s">
        <v>45</v>
      </c>
    </row>
    <row r="213" spans="1:9">
      <c r="A213" t="s">
        <v>220</v>
      </c>
      <c r="B213">
        <v>0</v>
      </c>
      <c r="C213">
        <v>0</v>
      </c>
      <c r="D213">
        <v>0</v>
      </c>
      <c r="E213">
        <v>99</v>
      </c>
      <c r="F213">
        <v>0</v>
      </c>
      <c r="G213">
        <v>0</v>
      </c>
      <c r="H213">
        <v>0</v>
      </c>
      <c r="I213" t="s">
        <v>45</v>
      </c>
    </row>
    <row r="214" spans="1:9">
      <c r="A214" t="s">
        <v>221</v>
      </c>
      <c r="B214">
        <v>0</v>
      </c>
      <c r="C214">
        <v>0</v>
      </c>
      <c r="D214">
        <v>0</v>
      </c>
      <c r="E214">
        <v>99</v>
      </c>
      <c r="F214">
        <v>0</v>
      </c>
      <c r="G214">
        <v>0</v>
      </c>
      <c r="H214">
        <v>0</v>
      </c>
      <c r="I214" t="s">
        <v>45</v>
      </c>
    </row>
    <row r="215" spans="1:9">
      <c r="A215" t="s">
        <v>222</v>
      </c>
      <c r="B215">
        <v>0</v>
      </c>
      <c r="C215">
        <v>0</v>
      </c>
      <c r="D215">
        <v>0</v>
      </c>
      <c r="E215">
        <v>99</v>
      </c>
      <c r="F215">
        <v>0</v>
      </c>
      <c r="G215">
        <v>0</v>
      </c>
      <c r="H215">
        <v>0</v>
      </c>
      <c r="I215" t="s">
        <v>45</v>
      </c>
    </row>
    <row r="216" spans="1:9">
      <c r="A216" t="s">
        <v>223</v>
      </c>
      <c r="B216">
        <v>0</v>
      </c>
      <c r="C216">
        <v>0</v>
      </c>
      <c r="D216">
        <v>0</v>
      </c>
      <c r="E216">
        <v>99</v>
      </c>
      <c r="F216">
        <v>0</v>
      </c>
      <c r="G216">
        <v>0</v>
      </c>
      <c r="H216">
        <v>0</v>
      </c>
      <c r="I216" t="s">
        <v>45</v>
      </c>
    </row>
    <row r="217" spans="1:9">
      <c r="A217" t="s">
        <v>224</v>
      </c>
      <c r="B217">
        <v>0</v>
      </c>
      <c r="C217">
        <v>0</v>
      </c>
      <c r="D217">
        <v>0</v>
      </c>
      <c r="E217">
        <v>99</v>
      </c>
      <c r="F217">
        <v>0</v>
      </c>
      <c r="G217">
        <v>0</v>
      </c>
      <c r="H217">
        <v>0</v>
      </c>
      <c r="I217" t="s">
        <v>45</v>
      </c>
    </row>
    <row r="218" spans="1:9">
      <c r="A218" t="s">
        <v>225</v>
      </c>
      <c r="B218">
        <v>0</v>
      </c>
      <c r="C218">
        <v>0</v>
      </c>
      <c r="D218">
        <v>0</v>
      </c>
      <c r="E218">
        <v>99</v>
      </c>
      <c r="F218">
        <v>0</v>
      </c>
      <c r="G218">
        <v>0</v>
      </c>
      <c r="H218">
        <v>0</v>
      </c>
      <c r="I218" t="s">
        <v>45</v>
      </c>
    </row>
    <row r="219" spans="1:9">
      <c r="A219" t="s">
        <v>226</v>
      </c>
      <c r="B219">
        <v>0</v>
      </c>
      <c r="C219">
        <v>0</v>
      </c>
      <c r="D219">
        <v>0</v>
      </c>
      <c r="E219">
        <v>99</v>
      </c>
      <c r="F219">
        <v>0</v>
      </c>
      <c r="G219">
        <v>0</v>
      </c>
      <c r="H219">
        <v>0</v>
      </c>
      <c r="I219" t="s">
        <v>45</v>
      </c>
    </row>
    <row r="220" spans="1:9">
      <c r="A220" t="s">
        <v>227</v>
      </c>
      <c r="B220">
        <v>0</v>
      </c>
      <c r="C220">
        <v>0</v>
      </c>
      <c r="D220">
        <v>0</v>
      </c>
      <c r="E220">
        <v>99</v>
      </c>
      <c r="F220">
        <v>0</v>
      </c>
      <c r="G220">
        <v>0</v>
      </c>
      <c r="H220">
        <v>0</v>
      </c>
      <c r="I220" t="s">
        <v>45</v>
      </c>
    </row>
    <row r="221" spans="1:9">
      <c r="A221" t="s">
        <v>228</v>
      </c>
      <c r="B221">
        <v>0</v>
      </c>
      <c r="C221">
        <v>0</v>
      </c>
      <c r="D221">
        <v>0</v>
      </c>
      <c r="E221">
        <v>99</v>
      </c>
      <c r="F221">
        <v>0</v>
      </c>
      <c r="G221">
        <v>0</v>
      </c>
      <c r="H221">
        <v>0</v>
      </c>
      <c r="I221" t="s">
        <v>45</v>
      </c>
    </row>
    <row r="222" spans="1:9">
      <c r="A222" t="s">
        <v>229</v>
      </c>
      <c r="B222">
        <v>0</v>
      </c>
      <c r="C222">
        <v>0</v>
      </c>
      <c r="D222">
        <v>0</v>
      </c>
      <c r="E222">
        <v>99</v>
      </c>
      <c r="F222">
        <v>0</v>
      </c>
      <c r="G222">
        <v>0</v>
      </c>
      <c r="H222">
        <v>0</v>
      </c>
      <c r="I222" t="s">
        <v>45</v>
      </c>
    </row>
    <row r="223" spans="1:9">
      <c r="A223" t="s">
        <v>230</v>
      </c>
      <c r="B223">
        <v>0</v>
      </c>
      <c r="C223">
        <v>0</v>
      </c>
      <c r="D223">
        <v>0</v>
      </c>
      <c r="E223">
        <v>99</v>
      </c>
      <c r="F223">
        <v>0</v>
      </c>
      <c r="G223">
        <v>0</v>
      </c>
      <c r="H223">
        <v>0</v>
      </c>
      <c r="I223" t="s">
        <v>45</v>
      </c>
    </row>
    <row r="224" spans="1:9">
      <c r="A224" t="s">
        <v>231</v>
      </c>
      <c r="B224">
        <v>0</v>
      </c>
      <c r="C224">
        <v>0</v>
      </c>
      <c r="D224">
        <v>0</v>
      </c>
      <c r="E224">
        <v>99</v>
      </c>
      <c r="F224">
        <v>0</v>
      </c>
      <c r="G224">
        <v>0</v>
      </c>
      <c r="H224">
        <v>0</v>
      </c>
      <c r="I224" t="s">
        <v>45</v>
      </c>
    </row>
    <row r="225" spans="1:9">
      <c r="A225" t="s">
        <v>232</v>
      </c>
      <c r="B225">
        <v>0</v>
      </c>
      <c r="C225">
        <v>0</v>
      </c>
      <c r="D225">
        <v>0</v>
      </c>
      <c r="E225">
        <v>99</v>
      </c>
      <c r="F225">
        <v>0</v>
      </c>
      <c r="G225">
        <v>0</v>
      </c>
      <c r="H225">
        <v>0</v>
      </c>
      <c r="I225" t="s">
        <v>45</v>
      </c>
    </row>
    <row r="226" spans="1:9">
      <c r="A226" t="s">
        <v>233</v>
      </c>
      <c r="B226">
        <v>0</v>
      </c>
      <c r="C226">
        <v>0</v>
      </c>
      <c r="D226">
        <v>0</v>
      </c>
      <c r="E226">
        <v>99</v>
      </c>
      <c r="F226">
        <v>0</v>
      </c>
      <c r="G226">
        <v>0</v>
      </c>
      <c r="H226">
        <v>0</v>
      </c>
      <c r="I226" t="s">
        <v>45</v>
      </c>
    </row>
    <row r="227" spans="1:9">
      <c r="A227" t="s">
        <v>234</v>
      </c>
      <c r="B227">
        <v>0</v>
      </c>
      <c r="C227">
        <v>0</v>
      </c>
      <c r="D227">
        <v>0</v>
      </c>
      <c r="E227">
        <v>99</v>
      </c>
      <c r="F227">
        <v>0</v>
      </c>
      <c r="G227">
        <v>0</v>
      </c>
      <c r="H227">
        <v>0</v>
      </c>
      <c r="I227" t="s">
        <v>45</v>
      </c>
    </row>
    <row r="228" spans="1:9">
      <c r="A228" t="s">
        <v>235</v>
      </c>
      <c r="B228">
        <v>0</v>
      </c>
      <c r="C228">
        <v>0</v>
      </c>
      <c r="D228">
        <v>0</v>
      </c>
      <c r="E228">
        <v>99</v>
      </c>
      <c r="F228">
        <v>0</v>
      </c>
      <c r="G228">
        <v>0</v>
      </c>
      <c r="H228">
        <v>0</v>
      </c>
      <c r="I228" t="s">
        <v>45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30C54-DD01-4A4F-8323-74D05FA02181}">
  <sheetPr codeName="Sheet20"/>
  <dimension ref="A1"/>
  <sheetViews>
    <sheetView topLeftCell="A4" workbookViewId="0"/>
  </sheetViews>
  <sheetFormatPr defaultRowHeight="12.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1284D-ED45-4A75-8F47-74F802C15696}">
  <sheetPr codeName="Sheet21"/>
  <dimension ref="A1"/>
  <sheetViews>
    <sheetView workbookViewId="0"/>
  </sheetViews>
  <sheetFormatPr defaultRowHeight="12.5"/>
  <cols>
    <col min="1" max="1" width="11.7265625" customWidth="1"/>
  </cols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EC83-59EF-4C96-9104-B8A3CE52BEF9}">
  <sheetPr codeName="Sheet22"/>
  <dimension ref="A1"/>
  <sheetViews>
    <sheetView topLeftCell="A4" workbookViewId="0"/>
  </sheetViews>
  <sheetFormatPr defaultRowHeight="12.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677BB-6794-4228-BDB0-15797F4DC171}">
  <sheetPr codeName="Sheet23"/>
  <dimension ref="A1"/>
  <sheetViews>
    <sheetView topLeftCell="A4" workbookViewId="0"/>
  </sheetViews>
  <sheetFormatPr defaultRowHeight="12.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4B9B6-499F-4A24-A5DB-21564741E984}">
  <sheetPr codeName="Sheet24"/>
  <dimension ref="A1"/>
  <sheetViews>
    <sheetView topLeftCell="A4" workbookViewId="0"/>
  </sheetViews>
  <sheetFormatPr defaultRowHeight="12.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A129A-71D6-4994-84EF-29707D5C9EEF}">
  <sheetPr codeName="Sheet14"/>
  <dimension ref="A1"/>
  <sheetViews>
    <sheetView topLeftCell="A16" workbookViewId="0"/>
  </sheetViews>
  <sheetFormatPr defaultRowHeight="12.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06F63-5A02-468F-B730-DA6A75CB26EC}">
  <sheetPr codeName="Sheet15"/>
  <dimension ref="A1"/>
  <sheetViews>
    <sheetView topLeftCell="I16" workbookViewId="0"/>
  </sheetViews>
  <sheetFormatPr defaultRowHeight="12.5"/>
  <cols>
    <col min="7" max="7" width="14.6328125" customWidth="1"/>
    <col min="8" max="8" width="14.7265625" customWidth="1"/>
    <col min="12" max="12" width="10.81640625" bestFit="1" customWidth="1"/>
    <col min="13" max="13" width="12.08984375" bestFit="1" customWidth="1"/>
  </cols>
  <sheetData/>
  <pageMargins left="0.7" right="0.7" top="0.75" bottom="0.75" header="0.3" footer="0.3"/>
  <pageSetup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FE8DB-A6BE-45F9-9C44-D260BC6A4EAE}">
  <sheetPr codeName="Sheet16"/>
  <dimension ref="A1"/>
  <sheetViews>
    <sheetView topLeftCell="H16" workbookViewId="0"/>
  </sheetViews>
  <sheetFormatPr defaultRowHeight="12.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56F5-1CFD-45C6-9670-7765D58742CE}">
  <sheetPr codeName="Sheet17"/>
  <dimension ref="A1"/>
  <sheetViews>
    <sheetView topLeftCell="H16" workbookViewId="0"/>
  </sheetViews>
  <sheetFormatPr defaultRowHeight="12.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46538-DEAC-4237-A110-CA0D5909C57B}">
  <sheetPr codeName="Sheet18"/>
  <dimension ref="A1"/>
  <sheetViews>
    <sheetView topLeftCell="H16" workbookViewId="0"/>
  </sheetViews>
  <sheetFormatPr defaultRowHeight="12.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E98BA-CB4F-4EAE-9098-29DB4E9DF01D}">
  <sheetPr codeName="Sheet19"/>
  <dimension ref="A1"/>
  <sheetViews>
    <sheetView topLeftCell="H16" workbookViewId="0"/>
  </sheetViews>
  <sheetFormatPr defaultRowHeight="12.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05D3B-D6C2-470B-912D-1B1FF7AA5EA6}">
  <sheetPr codeName="Sheet25"/>
  <dimension ref="A1"/>
  <sheetViews>
    <sheetView topLeftCell="A16" workbookViewId="0"/>
  </sheetViews>
  <sheetFormatPr defaultRowHeight="12.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DBF61-4A97-4604-90AA-232A5E0AA2A3}">
  <sheetPr codeName="Sheet26"/>
  <dimension ref="A1"/>
  <sheetViews>
    <sheetView workbookViewId="0"/>
  </sheetViews>
  <sheetFormatPr defaultRowHeight="12.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C2722-55BD-43A3-B708-56AC6EBAB9DC}">
  <sheetPr codeName="Sheet27"/>
  <dimension ref="A1"/>
  <sheetViews>
    <sheetView workbookViewId="0"/>
  </sheetViews>
  <sheetFormatPr defaultRowHeight="12.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230EC-40E9-488A-8E45-4D08BF011737}">
  <sheetPr codeName="Sheet28"/>
  <dimension ref="A1"/>
  <sheetViews>
    <sheetView workbookViewId="0"/>
  </sheetViews>
  <sheetFormatPr defaultRowHeight="12.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CA3D5-615F-4BC4-ABA0-8CC2E3BF9219}">
  <sheetPr codeName="Sheet29"/>
  <dimension ref="A1"/>
  <sheetViews>
    <sheetView workbookViewId="0"/>
  </sheetViews>
  <sheetFormatPr defaultRowHeight="12.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3C6C7-CFD6-40C6-8102-253C4257EEF3}">
  <sheetPr codeName="Sheet30"/>
  <dimension ref="A1"/>
  <sheetViews>
    <sheetView topLeftCell="H16" workbookViewId="0"/>
  </sheetViews>
  <sheetFormatPr defaultRowHeight="12.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A8F3-A46F-4E7D-B33A-B7836BE227D1}">
  <sheetPr codeName="Sheet31"/>
  <dimension ref="A1"/>
  <sheetViews>
    <sheetView topLeftCell="H16" workbookViewId="0"/>
  </sheetViews>
  <sheetFormatPr defaultRowHeight="12.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7673C-10DB-48CE-9B1B-54DD1A8636D2}">
  <sheetPr codeName="Sheet32"/>
  <dimension ref="A1"/>
  <sheetViews>
    <sheetView topLeftCell="A16" workbookViewId="0"/>
  </sheetViews>
  <sheetFormatPr defaultRowHeight="12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4</vt:i4>
      </vt:variant>
    </vt:vector>
  </HeadingPairs>
  <TitlesOfParts>
    <vt:vector size="36" baseType="lpstr">
      <vt:lpstr>Plots</vt:lpstr>
      <vt:lpstr>Summary</vt:lpstr>
      <vt:lpstr>convert time</vt:lpstr>
      <vt:lpstr>AARnetCBR-CamDTN1_tcpmon_ts_11</vt:lpstr>
      <vt:lpstr>AARnetCBR-CamDTN1_tcpmon_ts_21</vt:lpstr>
      <vt:lpstr>AARnetCBR-CamDTN1_tcpmon_ts_22</vt:lpstr>
      <vt:lpstr>AARnetCBR-CamDTN1_tcpmon_ts_31</vt:lpstr>
      <vt:lpstr>AARnetCBR-CamDTN1_tcpmon_ts_32</vt:lpstr>
      <vt:lpstr>AARnetCBR-CamDTN1_tcpmon_ts_33</vt:lpstr>
      <vt:lpstr>AARnetCBR-CamDTN1_tcpmon_ts_41</vt:lpstr>
      <vt:lpstr>AARnetCBR-CamDTN1_tcpmon_ts_42</vt:lpstr>
      <vt:lpstr>AARnetCBR-CamDTN1_tcpmon_ts_43</vt:lpstr>
      <vt:lpstr>AARnetCBR-CamDTN1_tcpmon_ts_44</vt:lpstr>
      <vt:lpstr>AARnetCBR-CamDTN1_tcpmon_ts_51</vt:lpstr>
      <vt:lpstr>AARnetCBR-CamDTN1_tcpmon_ts_52</vt:lpstr>
      <vt:lpstr>AARnetCBR-CamDTN1_tcpmon_ts_53</vt:lpstr>
      <vt:lpstr>AARnetCBR-CamDTN1_tcpmon_ts_54</vt:lpstr>
      <vt:lpstr>AARnetCBR-CamDTN1_tcpmon_ts_55</vt:lpstr>
      <vt:lpstr>AARnetCBR-CamDTN1_tcpmon_ts_61</vt:lpstr>
      <vt:lpstr>AARnetCBR-CamDTN1_tcpmon_ts_62</vt:lpstr>
      <vt:lpstr>AARnetCBR-CamDTN1_tcpmon_ts_63</vt:lpstr>
      <vt:lpstr>AARnetCBR-CamDTN1_tcpmon_ts_64</vt:lpstr>
      <vt:lpstr>AARnetCBR-CamDTN1_tcpmon_ts_65</vt:lpstr>
      <vt:lpstr>AARnetCBR-CamDTN1_tcpmon_ts_66</vt:lpstr>
      <vt:lpstr>AARnetCBR-CamDTN1_tcpmon_ts_81</vt:lpstr>
      <vt:lpstr>AARnetCBR-CamDTN1_tcpmon_ts_82</vt:lpstr>
      <vt:lpstr>AARnetCBR-CamDTN1_tcpmon_ts_83</vt:lpstr>
      <vt:lpstr>AARnetCBR-CamDTN1_tcpmon_ts_84</vt:lpstr>
      <vt:lpstr>AARnetCBR-CamDTN1_tcpmon_ts_85</vt:lpstr>
      <vt:lpstr>AARnetCBR-CamDTN1_tcpmon_ts_86</vt:lpstr>
      <vt:lpstr>AARnetCBR-CamDTN1_tcpmon_ts_87</vt:lpstr>
      <vt:lpstr>AARnetCBR-CamDTN1_tcpmon_ts_88</vt:lpstr>
      <vt:lpstr>flowEndRow</vt:lpstr>
      <vt:lpstr>flowStartRow</vt:lpstr>
      <vt:lpstr>sumEndRow</vt:lpstr>
      <vt:lpstr>sumStartRow</vt:lpstr>
    </vt:vector>
  </TitlesOfParts>
  <Company>The University of Manchester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Hughes-Jones</dc:creator>
  <cp:lastModifiedBy>Richard Hughes-Jones</cp:lastModifiedBy>
  <dcterms:created xsi:type="dcterms:W3CDTF">2006-03-08T07:54:56Z</dcterms:created>
  <dcterms:modified xsi:type="dcterms:W3CDTF">2024-06-11T14:13:37Z</dcterms:modified>
</cp:coreProperties>
</file>